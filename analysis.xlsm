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1_{E1F32E1B-EF98-496A-AB62-2FF357DF58D5}" xr6:coauthVersionLast="47" xr6:coauthVersionMax="47" xr10:uidLastSave="{00000000-0000-0000-0000-000000000000}"/>
  <bookViews>
    <workbookView xWindow="-108" yWindow="-108" windowWidth="23256" windowHeight="13176" firstSheet="18" activeTab="20" xr2:uid="{B53041CF-8E6F-46B1-A155-7B6D3A83D363}"/>
  </bookViews>
  <sheets>
    <sheet name="original dataset" sheetId="1" r:id="rId1"/>
    <sheet name="clean check" sheetId="2" r:id="rId2"/>
    <sheet name="cleaned data" sheetId="3" r:id="rId3"/>
    <sheet name="cleaned data miss check" sheetId="4" r:id="rId4"/>
    <sheet name="data prep for analysis" sheetId="5" r:id="rId5"/>
    <sheet name="Performance Evaluation" sheetId="6" r:id="rId6"/>
    <sheet name="Performance Evaluation(Club)" sheetId="7" r:id="rId7"/>
    <sheet name="Impact Analysis" sheetId="8" r:id="rId8"/>
    <sheet name="Impact analysis club" sheetId="10" r:id="rId9"/>
    <sheet name="Consistency Measurement yr" sheetId="11" r:id="rId10"/>
    <sheet name="Scoring Technique Analysis" sheetId="12" r:id="rId11"/>
    <sheet name="Scoring Technique Analysis(cr7)" sheetId="13" state="hidden" r:id="rId12"/>
    <sheet name="Scoring Technique(lm10)" sheetId="14" state="hidden" r:id="rId13"/>
    <sheet name="Time Analysis" sheetId="15" r:id="rId14"/>
    <sheet name="Opponent Analysis" sheetId="16" r:id="rId15"/>
    <sheet name="Opponent Analysis(cr7)" sheetId="17" state="hidden" r:id="rId16"/>
    <sheet name="Opponent Analysis(lm10)" sheetId="18" state="hidden" r:id="rId17"/>
    <sheet name="Playing Position Analysis" sheetId="19" r:id="rId18"/>
    <sheet name="performance evaluation league" sheetId="20" r:id="rId19"/>
    <sheet name="Performance Evaluation matchday" sheetId="21" r:id="rId20"/>
    <sheet name="show dashboard" sheetId="23" r:id="rId21"/>
    <sheet name="dashboard" sheetId="22" r:id="rId22"/>
  </sheets>
  <externalReferences>
    <externalReference r:id="rId23"/>
  </externalReference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414" i="5" l="1"/>
  <c r="L1414" i="5"/>
  <c r="R1413" i="5"/>
  <c r="L1413" i="5"/>
  <c r="R1412" i="5"/>
  <c r="L1412" i="5"/>
  <c r="R1411" i="5"/>
  <c r="L1411" i="5"/>
  <c r="R1410" i="5"/>
  <c r="L1410" i="5"/>
  <c r="R1409" i="5"/>
  <c r="L1409" i="5"/>
  <c r="R1408" i="5"/>
  <c r="L1408" i="5"/>
  <c r="R1407" i="5"/>
  <c r="L1407" i="5"/>
  <c r="R1406" i="5"/>
  <c r="L1406" i="5"/>
  <c r="R1405" i="5"/>
  <c r="L1405" i="5"/>
  <c r="R1404" i="5"/>
  <c r="L1404" i="5"/>
  <c r="R1403" i="5"/>
  <c r="L1403" i="5"/>
  <c r="R1402" i="5"/>
  <c r="L1402" i="5"/>
  <c r="R1401" i="5"/>
  <c r="L1401" i="5"/>
  <c r="R1400" i="5"/>
  <c r="L1400" i="5"/>
  <c r="R1399" i="5"/>
  <c r="L1399" i="5"/>
  <c r="R1398" i="5"/>
  <c r="L1398" i="5"/>
  <c r="R1397" i="5"/>
  <c r="L1397" i="5"/>
  <c r="R1396" i="5"/>
  <c r="L1396" i="5"/>
  <c r="R1395" i="5"/>
  <c r="M1395" i="5"/>
  <c r="L1395" i="5"/>
  <c r="R1394" i="5"/>
  <c r="L1394" i="5"/>
  <c r="R1393" i="5"/>
  <c r="L1393" i="5"/>
  <c r="R1392" i="5"/>
  <c r="L1392" i="5"/>
  <c r="R1391" i="5"/>
  <c r="L1391" i="5"/>
  <c r="R1390" i="5"/>
  <c r="L1390" i="5"/>
  <c r="R1389" i="5"/>
  <c r="L1389" i="5"/>
  <c r="R1388" i="5"/>
  <c r="L1388" i="5"/>
  <c r="R1387" i="5"/>
  <c r="L1387" i="5"/>
  <c r="R1386" i="5"/>
  <c r="L1386" i="5"/>
  <c r="R1385" i="5"/>
  <c r="L1385" i="5"/>
  <c r="R1384" i="5"/>
  <c r="L1384" i="5"/>
  <c r="R1383" i="5"/>
  <c r="L1383" i="5"/>
  <c r="R1382" i="5"/>
  <c r="L1382" i="5"/>
  <c r="R1381" i="5"/>
  <c r="L1381" i="5"/>
  <c r="R1380" i="5"/>
  <c r="L1380" i="5"/>
  <c r="R1379" i="5"/>
  <c r="L1379" i="5"/>
  <c r="R1378" i="5"/>
  <c r="L1378" i="5"/>
  <c r="R1377" i="5"/>
  <c r="L1377" i="5"/>
  <c r="R1376" i="5"/>
  <c r="L1376" i="5"/>
  <c r="R1375" i="5"/>
  <c r="L1375" i="5"/>
  <c r="R1374" i="5"/>
  <c r="L1374" i="5"/>
  <c r="R1373" i="5"/>
  <c r="L1373" i="5"/>
  <c r="R1372" i="5"/>
  <c r="L1372" i="5"/>
  <c r="R1371" i="5"/>
  <c r="L1371" i="5"/>
  <c r="R1370" i="5"/>
  <c r="L1370" i="5"/>
  <c r="R1369" i="5"/>
  <c r="L1369" i="5"/>
  <c r="R1368" i="5"/>
  <c r="L1368" i="5"/>
  <c r="R1367" i="5"/>
  <c r="L1367" i="5"/>
  <c r="R1366" i="5"/>
  <c r="L1366" i="5"/>
  <c r="R1365" i="5"/>
  <c r="L1365" i="5"/>
  <c r="R1364" i="5"/>
  <c r="L1364" i="5"/>
  <c r="R1363" i="5"/>
  <c r="L1363" i="5"/>
  <c r="R1362" i="5"/>
  <c r="L1362" i="5"/>
  <c r="R1361" i="5"/>
  <c r="L1361" i="5"/>
  <c r="R1360" i="5"/>
  <c r="L1360" i="5"/>
  <c r="R1359" i="5"/>
  <c r="L1359" i="5"/>
  <c r="R1358" i="5"/>
  <c r="L1358" i="5"/>
  <c r="R1357" i="5"/>
  <c r="L1357" i="5"/>
  <c r="R1356" i="5"/>
  <c r="L1356" i="5"/>
  <c r="R1355" i="5"/>
  <c r="L1355" i="5"/>
  <c r="R1354" i="5"/>
  <c r="L1354" i="5"/>
  <c r="R1353" i="5"/>
  <c r="L1353" i="5"/>
  <c r="R1352" i="5"/>
  <c r="L1352" i="5"/>
  <c r="R1351" i="5"/>
  <c r="L1351" i="5"/>
  <c r="R1350" i="5"/>
  <c r="L1350" i="5"/>
  <c r="R1349" i="5"/>
  <c r="L1349" i="5"/>
  <c r="R1348" i="5"/>
  <c r="L1348" i="5"/>
  <c r="R1347" i="5"/>
  <c r="L1347" i="5"/>
  <c r="R1346" i="5"/>
  <c r="L1346" i="5"/>
  <c r="R1345" i="5"/>
  <c r="L1345" i="5"/>
  <c r="R1344" i="5"/>
  <c r="L1344" i="5"/>
  <c r="R1343" i="5"/>
  <c r="L1343" i="5"/>
  <c r="R1342" i="5"/>
  <c r="L1342" i="5"/>
  <c r="R1341" i="5"/>
  <c r="L1341" i="5"/>
  <c r="R1340" i="5"/>
  <c r="L1340" i="5"/>
  <c r="R1339" i="5"/>
  <c r="L1339" i="5"/>
  <c r="R1338" i="5"/>
  <c r="L1338" i="5"/>
  <c r="R1337" i="5"/>
  <c r="L1337" i="5"/>
  <c r="R1336" i="5"/>
  <c r="L1336" i="5"/>
  <c r="R1335" i="5"/>
  <c r="L1335" i="5"/>
  <c r="R1334" i="5"/>
  <c r="L1334" i="5"/>
  <c r="R1333" i="5"/>
  <c r="L1333" i="5"/>
  <c r="R1332" i="5"/>
  <c r="L1332" i="5"/>
  <c r="R1331" i="5"/>
  <c r="L1331" i="5"/>
  <c r="R1330" i="5"/>
  <c r="L1330" i="5"/>
  <c r="R1329" i="5"/>
  <c r="L1329" i="5"/>
  <c r="R1328" i="5"/>
  <c r="L1328" i="5"/>
  <c r="R1327" i="5"/>
  <c r="L1327" i="5"/>
  <c r="R1326" i="5"/>
  <c r="L1326" i="5"/>
  <c r="R1325" i="5"/>
  <c r="L1325" i="5"/>
  <c r="R1324" i="5"/>
  <c r="L1324" i="5"/>
  <c r="R1323" i="5"/>
  <c r="L1323" i="5"/>
  <c r="R1322" i="5"/>
  <c r="L1322" i="5"/>
  <c r="R1321" i="5"/>
  <c r="L1321" i="5"/>
  <c r="R1320" i="5"/>
  <c r="L1320" i="5"/>
  <c r="R1319" i="5"/>
  <c r="L1319" i="5"/>
  <c r="R1318" i="5"/>
  <c r="L1318" i="5"/>
  <c r="R1317" i="5"/>
  <c r="L1317" i="5"/>
  <c r="R1316" i="5"/>
  <c r="L1316" i="5"/>
  <c r="R1315" i="5"/>
  <c r="L1315" i="5"/>
  <c r="R1314" i="5"/>
  <c r="L1314" i="5"/>
  <c r="R1313" i="5"/>
  <c r="L1313" i="5"/>
  <c r="R1312" i="5"/>
  <c r="L1312" i="5"/>
  <c r="R1311" i="5"/>
  <c r="L1311" i="5"/>
  <c r="R1310" i="5"/>
  <c r="L1310" i="5"/>
  <c r="R1309" i="5"/>
  <c r="L1309" i="5"/>
  <c r="R1308" i="5"/>
  <c r="L1308" i="5"/>
  <c r="R1307" i="5"/>
  <c r="L1307" i="5"/>
  <c r="R1306" i="5"/>
  <c r="L1306" i="5"/>
  <c r="R1305" i="5"/>
  <c r="L1305" i="5"/>
  <c r="R1304" i="5"/>
  <c r="L1304" i="5"/>
  <c r="R1303" i="5"/>
  <c r="L1303" i="5"/>
  <c r="R1302" i="5"/>
  <c r="L1302" i="5"/>
  <c r="R1301" i="5"/>
  <c r="L1301" i="5"/>
  <c r="R1300" i="5"/>
  <c r="L1300" i="5"/>
  <c r="R1299" i="5"/>
  <c r="L1299" i="5"/>
  <c r="R1298" i="5"/>
  <c r="L1298" i="5"/>
  <c r="R1297" i="5"/>
  <c r="L1297" i="5"/>
  <c r="R1296" i="5"/>
  <c r="L1296" i="5"/>
  <c r="R1295" i="5"/>
  <c r="L1295" i="5"/>
  <c r="R1294" i="5"/>
  <c r="L1294" i="5"/>
  <c r="R1293" i="5"/>
  <c r="L1293" i="5"/>
  <c r="R1292" i="5"/>
  <c r="L1292" i="5"/>
  <c r="R1291" i="5"/>
  <c r="L1291" i="5"/>
  <c r="R1290" i="5"/>
  <c r="L1290" i="5"/>
  <c r="R1289" i="5"/>
  <c r="L1289" i="5"/>
  <c r="R1288" i="5"/>
  <c r="L1288" i="5"/>
  <c r="R1287" i="5"/>
  <c r="L1287" i="5"/>
  <c r="R1286" i="5"/>
  <c r="L1286" i="5"/>
  <c r="R1285" i="5"/>
  <c r="L1285" i="5"/>
  <c r="R1284" i="5"/>
  <c r="L1284" i="5"/>
  <c r="R1283" i="5"/>
  <c r="L1283" i="5"/>
  <c r="R1282" i="5"/>
  <c r="L1282" i="5"/>
  <c r="R1281" i="5"/>
  <c r="L1281" i="5"/>
  <c r="R1280" i="5"/>
  <c r="L1280" i="5"/>
  <c r="R1279" i="5"/>
  <c r="L1279" i="5"/>
  <c r="R1278" i="5"/>
  <c r="L1278" i="5"/>
  <c r="R1277" i="5"/>
  <c r="L1277" i="5"/>
  <c r="R1276" i="5"/>
  <c r="L1276" i="5"/>
  <c r="R1275" i="5"/>
  <c r="L1275" i="5"/>
  <c r="R1274" i="5"/>
  <c r="L1274" i="5"/>
  <c r="R1273" i="5"/>
  <c r="L1273" i="5"/>
  <c r="R1272" i="5"/>
  <c r="L1272" i="5"/>
  <c r="R1271" i="5"/>
  <c r="L1271" i="5"/>
  <c r="R1270" i="5"/>
  <c r="L1270" i="5"/>
  <c r="R1269" i="5"/>
  <c r="L1269" i="5"/>
  <c r="R1268" i="5"/>
  <c r="L1268" i="5"/>
  <c r="R1267" i="5"/>
  <c r="L1267" i="5"/>
  <c r="R1266" i="5"/>
  <c r="L1266" i="5"/>
  <c r="R1265" i="5"/>
  <c r="L1265" i="5"/>
  <c r="R1264" i="5"/>
  <c r="L1264" i="5"/>
  <c r="R1263" i="5"/>
  <c r="L1263" i="5"/>
  <c r="R1262" i="5"/>
  <c r="L1262" i="5"/>
  <c r="R1261" i="5"/>
  <c r="L1261" i="5"/>
  <c r="R1260" i="5"/>
  <c r="L1260" i="5"/>
  <c r="R1259" i="5"/>
  <c r="L1259" i="5"/>
  <c r="R1258" i="5"/>
  <c r="L1258" i="5"/>
  <c r="R1257" i="5"/>
  <c r="L1257" i="5"/>
  <c r="R1256" i="5"/>
  <c r="L1256" i="5"/>
  <c r="R1255" i="5"/>
  <c r="L1255" i="5"/>
  <c r="R1254" i="5"/>
  <c r="L1254" i="5"/>
  <c r="R1253" i="5"/>
  <c r="L1253" i="5"/>
  <c r="R1252" i="5"/>
  <c r="L1252" i="5"/>
  <c r="R1251" i="5"/>
  <c r="L1251" i="5"/>
  <c r="R1250" i="5"/>
  <c r="L1250" i="5"/>
  <c r="R1249" i="5"/>
  <c r="L1249" i="5"/>
  <c r="R1248" i="5"/>
  <c r="L1248" i="5"/>
  <c r="R1247" i="5"/>
  <c r="L1247" i="5"/>
  <c r="R1246" i="5"/>
  <c r="L1246" i="5"/>
  <c r="R1245" i="5"/>
  <c r="L1245" i="5"/>
  <c r="R1244" i="5"/>
  <c r="L1244" i="5"/>
  <c r="R1243" i="5"/>
  <c r="L1243" i="5"/>
  <c r="R1242" i="5"/>
  <c r="L1242" i="5"/>
  <c r="R1241" i="5"/>
  <c r="L1241" i="5"/>
  <c r="R1240" i="5"/>
  <c r="L1240" i="5"/>
  <c r="R1239" i="5"/>
  <c r="L1239" i="5"/>
  <c r="R1238" i="5"/>
  <c r="L1238" i="5"/>
  <c r="R1237" i="5"/>
  <c r="L1237" i="5"/>
  <c r="R1236" i="5"/>
  <c r="L1236" i="5"/>
  <c r="R1235" i="5"/>
  <c r="L1235" i="5"/>
  <c r="R1234" i="5"/>
  <c r="L1234" i="5"/>
  <c r="R1233" i="5"/>
  <c r="L1233" i="5"/>
  <c r="R1232" i="5"/>
  <c r="L1232" i="5"/>
  <c r="R1231" i="5"/>
  <c r="L1231" i="5"/>
  <c r="R1230" i="5"/>
  <c r="L1230" i="5"/>
  <c r="R1229" i="5"/>
  <c r="L1229" i="5"/>
  <c r="R1228" i="5"/>
  <c r="L1228" i="5"/>
  <c r="R1227" i="5"/>
  <c r="L1227" i="5"/>
  <c r="R1226" i="5"/>
  <c r="L1226" i="5"/>
  <c r="R1225" i="5"/>
  <c r="L1225" i="5"/>
  <c r="R1224" i="5"/>
  <c r="L1224" i="5"/>
  <c r="R1223" i="5"/>
  <c r="L1223" i="5"/>
  <c r="R1222" i="5"/>
  <c r="L1222" i="5"/>
  <c r="R1221" i="5"/>
  <c r="L1221" i="5"/>
  <c r="R1220" i="5"/>
  <c r="L1220" i="5"/>
  <c r="R1219" i="5"/>
  <c r="L1219" i="5"/>
  <c r="R1218" i="5"/>
  <c r="L1218" i="5"/>
  <c r="R1217" i="5"/>
  <c r="L1217" i="5"/>
  <c r="R1216" i="5"/>
  <c r="L1216" i="5"/>
  <c r="R1215" i="5"/>
  <c r="L1215" i="5"/>
  <c r="R1214" i="5"/>
  <c r="L1214" i="5"/>
  <c r="R1213" i="5"/>
  <c r="L1213" i="5"/>
  <c r="R1212" i="5"/>
  <c r="L1212" i="5"/>
  <c r="R1211" i="5"/>
  <c r="L1211" i="5"/>
  <c r="R1210" i="5"/>
  <c r="L1210" i="5"/>
  <c r="R1209" i="5"/>
  <c r="L1209" i="5"/>
  <c r="R1208" i="5"/>
  <c r="L1208" i="5"/>
  <c r="R1207" i="5"/>
  <c r="L1207" i="5"/>
  <c r="R1206" i="5"/>
  <c r="L1206" i="5"/>
  <c r="R1205" i="5"/>
  <c r="L1205" i="5"/>
  <c r="R1204" i="5"/>
  <c r="L1204" i="5"/>
  <c r="R1203" i="5"/>
  <c r="L1203" i="5"/>
  <c r="R1202" i="5"/>
  <c r="L1202" i="5"/>
  <c r="R1201" i="5"/>
  <c r="L1201" i="5"/>
  <c r="R1200" i="5"/>
  <c r="L1200" i="5"/>
  <c r="R1199" i="5"/>
  <c r="L1199" i="5"/>
  <c r="R1198" i="5"/>
  <c r="L1198" i="5"/>
  <c r="R1197" i="5"/>
  <c r="L1197" i="5"/>
  <c r="R1196" i="5"/>
  <c r="L1196" i="5"/>
  <c r="R1195" i="5"/>
  <c r="L1195" i="5"/>
  <c r="R1194" i="5"/>
  <c r="L1194" i="5"/>
  <c r="R1193" i="5"/>
  <c r="L1193" i="5"/>
  <c r="R1192" i="5"/>
  <c r="L1192" i="5"/>
  <c r="R1191" i="5"/>
  <c r="L1191" i="5"/>
  <c r="R1190" i="5"/>
  <c r="L1190" i="5"/>
  <c r="R1189" i="5"/>
  <c r="L1189" i="5"/>
  <c r="R1188" i="5"/>
  <c r="L1188" i="5"/>
  <c r="R1187" i="5"/>
  <c r="L1187" i="5"/>
  <c r="R1186" i="5"/>
  <c r="L1186" i="5"/>
  <c r="R1185" i="5"/>
  <c r="L1185" i="5"/>
  <c r="R1184" i="5"/>
  <c r="L1184" i="5"/>
  <c r="R1183" i="5"/>
  <c r="L1183" i="5"/>
  <c r="R1182" i="5"/>
  <c r="L1182" i="5"/>
  <c r="R1181" i="5"/>
  <c r="L1181" i="5"/>
  <c r="R1180" i="5"/>
  <c r="L1180" i="5"/>
  <c r="R1179" i="5"/>
  <c r="L1179" i="5"/>
  <c r="R1178" i="5"/>
  <c r="L1178" i="5"/>
  <c r="R1177" i="5"/>
  <c r="L1177" i="5"/>
  <c r="R1176" i="5"/>
  <c r="L1176" i="5"/>
  <c r="R1175" i="5"/>
  <c r="L1175" i="5"/>
  <c r="R1174" i="5"/>
  <c r="L1174" i="5"/>
  <c r="R1173" i="5"/>
  <c r="L1173" i="5"/>
  <c r="R1172" i="5"/>
  <c r="L1172" i="5"/>
  <c r="R1171" i="5"/>
  <c r="L1171" i="5"/>
  <c r="R1170" i="5"/>
  <c r="L1170" i="5"/>
  <c r="R1169" i="5"/>
  <c r="L1169" i="5"/>
  <c r="R1168" i="5"/>
  <c r="L1168" i="5"/>
  <c r="R1167" i="5"/>
  <c r="L1167" i="5"/>
  <c r="R1166" i="5"/>
  <c r="L1166" i="5"/>
  <c r="R1165" i="5"/>
  <c r="L1165" i="5"/>
  <c r="R1164" i="5"/>
  <c r="L1164" i="5"/>
  <c r="R1163" i="5"/>
  <c r="L1163" i="5"/>
  <c r="R1162" i="5"/>
  <c r="L1162" i="5"/>
  <c r="R1161" i="5"/>
  <c r="L1161" i="5"/>
  <c r="R1160" i="5"/>
  <c r="L1160" i="5"/>
  <c r="R1159" i="5"/>
  <c r="L1159" i="5"/>
  <c r="R1158" i="5"/>
  <c r="L1158" i="5"/>
  <c r="R1157" i="5"/>
  <c r="L1157" i="5"/>
  <c r="R1156" i="5"/>
  <c r="L1156" i="5"/>
  <c r="R1155" i="5"/>
  <c r="L1155" i="5"/>
  <c r="R1154" i="5"/>
  <c r="L1154" i="5"/>
  <c r="R1153" i="5"/>
  <c r="L1153" i="5"/>
  <c r="R1152" i="5"/>
  <c r="L1152" i="5"/>
  <c r="R1151" i="5"/>
  <c r="L1151" i="5"/>
  <c r="R1150" i="5"/>
  <c r="L1150" i="5"/>
  <c r="R1149" i="5"/>
  <c r="L1149" i="5"/>
  <c r="R1148" i="5"/>
  <c r="L1148" i="5"/>
  <c r="R1147" i="5"/>
  <c r="L1147" i="5"/>
  <c r="R1146" i="5"/>
  <c r="L1146" i="5"/>
  <c r="R1145" i="5"/>
  <c r="L1145" i="5"/>
  <c r="R1144" i="5"/>
  <c r="L1144" i="5"/>
  <c r="R1143" i="5"/>
  <c r="L1143" i="5"/>
  <c r="R1142" i="5"/>
  <c r="L1142" i="5"/>
  <c r="R1141" i="5"/>
  <c r="L1141" i="5"/>
  <c r="R1140" i="5"/>
  <c r="L1140" i="5"/>
  <c r="R1139" i="5"/>
  <c r="L1139" i="5"/>
  <c r="R1138" i="5"/>
  <c r="L1138" i="5"/>
  <c r="R1137" i="5"/>
  <c r="L1137" i="5"/>
  <c r="R1136" i="5"/>
  <c r="L1136" i="5"/>
  <c r="R1135" i="5"/>
  <c r="L1135" i="5"/>
  <c r="R1134" i="5"/>
  <c r="L1134" i="5"/>
  <c r="R1133" i="5"/>
  <c r="L1133" i="5"/>
  <c r="R1132" i="5"/>
  <c r="L1132" i="5"/>
  <c r="R1131" i="5"/>
  <c r="L1131" i="5"/>
  <c r="R1130" i="5"/>
  <c r="L1130" i="5"/>
  <c r="R1129" i="5"/>
  <c r="L1129" i="5"/>
  <c r="R1128" i="5"/>
  <c r="L1128" i="5"/>
  <c r="R1127" i="5"/>
  <c r="L1127" i="5"/>
  <c r="R1126" i="5"/>
  <c r="L1126" i="5"/>
  <c r="R1125" i="5"/>
  <c r="L1125" i="5"/>
  <c r="R1124" i="5"/>
  <c r="L1124" i="5"/>
  <c r="R1123" i="5"/>
  <c r="L1123" i="5"/>
  <c r="R1122" i="5"/>
  <c r="L1122" i="5"/>
  <c r="R1121" i="5"/>
  <c r="L1121" i="5"/>
  <c r="R1120" i="5"/>
  <c r="L1120" i="5"/>
  <c r="R1119" i="5"/>
  <c r="L1119" i="5"/>
  <c r="R1118" i="5"/>
  <c r="L1118" i="5"/>
  <c r="R1117" i="5"/>
  <c r="L1117" i="5"/>
  <c r="R1116" i="5"/>
  <c r="L1116" i="5"/>
  <c r="R1115" i="5"/>
  <c r="L1115" i="5"/>
  <c r="R1114" i="5"/>
  <c r="L1114" i="5"/>
  <c r="R1113" i="5"/>
  <c r="L1113" i="5"/>
  <c r="R1112" i="5"/>
  <c r="L1112" i="5"/>
  <c r="R1111" i="5"/>
  <c r="L1111" i="5"/>
  <c r="R1110" i="5"/>
  <c r="L1110" i="5"/>
  <c r="R1109" i="5"/>
  <c r="L1109" i="5"/>
  <c r="R1108" i="5"/>
  <c r="L1108" i="5"/>
  <c r="R1107" i="5"/>
  <c r="L1107" i="5"/>
  <c r="R1106" i="5"/>
  <c r="L1106" i="5"/>
  <c r="R1105" i="5"/>
  <c r="L1105" i="5"/>
  <c r="R1104" i="5"/>
  <c r="L1104" i="5"/>
  <c r="R1103" i="5"/>
  <c r="L1103" i="5"/>
  <c r="R1102" i="5"/>
  <c r="L1102" i="5"/>
  <c r="R1101" i="5"/>
  <c r="L1101" i="5"/>
  <c r="R1100" i="5"/>
  <c r="L1100" i="5"/>
  <c r="R1099" i="5"/>
  <c r="L1099" i="5"/>
  <c r="R1098" i="5"/>
  <c r="L1098" i="5"/>
  <c r="R1097" i="5"/>
  <c r="L1097" i="5"/>
  <c r="R1096" i="5"/>
  <c r="L1096" i="5"/>
  <c r="R1095" i="5"/>
  <c r="L1095" i="5"/>
  <c r="R1094" i="5"/>
  <c r="L1094" i="5"/>
  <c r="R1093" i="5"/>
  <c r="L1093" i="5"/>
  <c r="R1092" i="5"/>
  <c r="L1092" i="5"/>
  <c r="R1091" i="5"/>
  <c r="L1091" i="5"/>
  <c r="R1090" i="5"/>
  <c r="L1090" i="5"/>
  <c r="R1089" i="5"/>
  <c r="L1089" i="5"/>
  <c r="R1088" i="5"/>
  <c r="L1088" i="5"/>
  <c r="R1087" i="5"/>
  <c r="L1087" i="5"/>
  <c r="R1086" i="5"/>
  <c r="L1086" i="5"/>
  <c r="R1085" i="5"/>
  <c r="L1085" i="5"/>
  <c r="R1084" i="5"/>
  <c r="L1084" i="5"/>
  <c r="R1083" i="5"/>
  <c r="L1083" i="5"/>
  <c r="R1082" i="5"/>
  <c r="L1082" i="5"/>
  <c r="R1081" i="5"/>
  <c r="L1081" i="5"/>
  <c r="R1080" i="5"/>
  <c r="L1080" i="5"/>
  <c r="R1079" i="5"/>
  <c r="L1079" i="5"/>
  <c r="R1078" i="5"/>
  <c r="L1078" i="5"/>
  <c r="R1077" i="5"/>
  <c r="L1077" i="5"/>
  <c r="R1076" i="5"/>
  <c r="L1076" i="5"/>
  <c r="R1075" i="5"/>
  <c r="L1075" i="5"/>
  <c r="R1074" i="5"/>
  <c r="L1074" i="5"/>
  <c r="R1073" i="5"/>
  <c r="L1073" i="5"/>
  <c r="R1072" i="5"/>
  <c r="L1072" i="5"/>
  <c r="R1071" i="5"/>
  <c r="L1071" i="5"/>
  <c r="R1070" i="5"/>
  <c r="L1070" i="5"/>
  <c r="R1069" i="5"/>
  <c r="L1069" i="5"/>
  <c r="R1068" i="5"/>
  <c r="L1068" i="5"/>
  <c r="R1067" i="5"/>
  <c r="L1067" i="5"/>
  <c r="R1066" i="5"/>
  <c r="L1066" i="5"/>
  <c r="R1065" i="5"/>
  <c r="L1065" i="5"/>
  <c r="R1064" i="5"/>
  <c r="L1064" i="5"/>
  <c r="R1063" i="5"/>
  <c r="L1063" i="5"/>
  <c r="R1062" i="5"/>
  <c r="L1062" i="5"/>
  <c r="R1061" i="5"/>
  <c r="L1061" i="5"/>
  <c r="R1060" i="5"/>
  <c r="L1060" i="5"/>
  <c r="R1059" i="5"/>
  <c r="L1059" i="5"/>
  <c r="R1058" i="5"/>
  <c r="L1058" i="5"/>
  <c r="R1057" i="5"/>
  <c r="L1057" i="5"/>
  <c r="R1056" i="5"/>
  <c r="L1056" i="5"/>
  <c r="R1055" i="5"/>
  <c r="L1055" i="5"/>
  <c r="R1054" i="5"/>
  <c r="L1054" i="5"/>
  <c r="R1053" i="5"/>
  <c r="L1053" i="5"/>
  <c r="R1052" i="5"/>
  <c r="L1052" i="5"/>
  <c r="R1051" i="5"/>
  <c r="L1051" i="5"/>
  <c r="R1050" i="5"/>
  <c r="L1050" i="5"/>
  <c r="R1049" i="5"/>
  <c r="L1049" i="5"/>
  <c r="R1048" i="5"/>
  <c r="L1048" i="5"/>
  <c r="R1047" i="5"/>
  <c r="L1047" i="5"/>
  <c r="R1046" i="5"/>
  <c r="L1046" i="5"/>
  <c r="R1045" i="5"/>
  <c r="L1045" i="5"/>
  <c r="R1044" i="5"/>
  <c r="L1044" i="5"/>
  <c r="R1043" i="5"/>
  <c r="L1043" i="5"/>
  <c r="R1042" i="5"/>
  <c r="L1042" i="5"/>
  <c r="R1041" i="5"/>
  <c r="L1041" i="5"/>
  <c r="R1040" i="5"/>
  <c r="L1040" i="5"/>
  <c r="R1039" i="5"/>
  <c r="L1039" i="5"/>
  <c r="R1038" i="5"/>
  <c r="L1038" i="5"/>
  <c r="R1037" i="5"/>
  <c r="L1037" i="5"/>
  <c r="R1036" i="5"/>
  <c r="L1036" i="5"/>
  <c r="R1035" i="5"/>
  <c r="L1035" i="5"/>
  <c r="R1034" i="5"/>
  <c r="L1034" i="5"/>
  <c r="R1033" i="5"/>
  <c r="L1033" i="5"/>
  <c r="R1032" i="5"/>
  <c r="L1032" i="5"/>
  <c r="R1031" i="5"/>
  <c r="L1031" i="5"/>
  <c r="R1030" i="5"/>
  <c r="L1030" i="5"/>
  <c r="R1029" i="5"/>
  <c r="L1029" i="5"/>
  <c r="R1028" i="5"/>
  <c r="L1028" i="5"/>
  <c r="R1027" i="5"/>
  <c r="L1027" i="5"/>
  <c r="R1026" i="5"/>
  <c r="L1026" i="5"/>
  <c r="R1025" i="5"/>
  <c r="L1025" i="5"/>
  <c r="R1024" i="5"/>
  <c r="L1024" i="5"/>
  <c r="R1023" i="5"/>
  <c r="L1023" i="5"/>
  <c r="R1022" i="5"/>
  <c r="L1022" i="5"/>
  <c r="R1021" i="5"/>
  <c r="L1021" i="5"/>
  <c r="R1020" i="5"/>
  <c r="L1020" i="5"/>
  <c r="R1019" i="5"/>
  <c r="L1019" i="5"/>
  <c r="R1018" i="5"/>
  <c r="L1018" i="5"/>
  <c r="R1017" i="5"/>
  <c r="L1017" i="5"/>
  <c r="R1016" i="5"/>
  <c r="L1016" i="5"/>
  <c r="R1015" i="5"/>
  <c r="L1015" i="5"/>
  <c r="R1014" i="5"/>
  <c r="L1014" i="5"/>
  <c r="R1013" i="5"/>
  <c r="L1013" i="5"/>
  <c r="R1012" i="5"/>
  <c r="L1012" i="5"/>
  <c r="R1011" i="5"/>
  <c r="L1011" i="5"/>
  <c r="R1010" i="5"/>
  <c r="L1010" i="5"/>
  <c r="R1009" i="5"/>
  <c r="L1009" i="5"/>
  <c r="R1008" i="5"/>
  <c r="L1008" i="5"/>
  <c r="R1007" i="5"/>
  <c r="L1007" i="5"/>
  <c r="R1006" i="5"/>
  <c r="L1006" i="5"/>
  <c r="R1005" i="5"/>
  <c r="L1005" i="5"/>
  <c r="R1004" i="5"/>
  <c r="L1004" i="5"/>
  <c r="R1003" i="5"/>
  <c r="L1003" i="5"/>
  <c r="R1002" i="5"/>
  <c r="L1002" i="5"/>
  <c r="R1001" i="5"/>
  <c r="L1001" i="5"/>
  <c r="R1000" i="5"/>
  <c r="L1000" i="5"/>
  <c r="R999" i="5"/>
  <c r="L999" i="5"/>
  <c r="R998" i="5"/>
  <c r="L998" i="5"/>
  <c r="R997" i="5"/>
  <c r="L997" i="5"/>
  <c r="R996" i="5"/>
  <c r="L996" i="5"/>
  <c r="R995" i="5"/>
  <c r="L995" i="5"/>
  <c r="R994" i="5"/>
  <c r="L994" i="5"/>
  <c r="R993" i="5"/>
  <c r="L993" i="5"/>
  <c r="R992" i="5"/>
  <c r="L992" i="5"/>
  <c r="R991" i="5"/>
  <c r="L991" i="5"/>
  <c r="R990" i="5"/>
  <c r="L990" i="5"/>
  <c r="R989" i="5"/>
  <c r="L989" i="5"/>
  <c r="R988" i="5"/>
  <c r="L988" i="5"/>
  <c r="R987" i="5"/>
  <c r="L987" i="5"/>
  <c r="R986" i="5"/>
  <c r="L986" i="5"/>
  <c r="R985" i="5"/>
  <c r="L985" i="5"/>
  <c r="R984" i="5"/>
  <c r="L984" i="5"/>
  <c r="R983" i="5"/>
  <c r="L983" i="5"/>
  <c r="R982" i="5"/>
  <c r="L982" i="5"/>
  <c r="R981" i="5"/>
  <c r="L981" i="5"/>
  <c r="R980" i="5"/>
  <c r="L980" i="5"/>
  <c r="R979" i="5"/>
  <c r="L979" i="5"/>
  <c r="R978" i="5"/>
  <c r="L978" i="5"/>
  <c r="R977" i="5"/>
  <c r="L977" i="5"/>
  <c r="R976" i="5"/>
  <c r="L976" i="5"/>
  <c r="R975" i="5"/>
  <c r="L975" i="5"/>
  <c r="R974" i="5"/>
  <c r="L974" i="5"/>
  <c r="R973" i="5"/>
  <c r="L973" i="5"/>
  <c r="R972" i="5"/>
  <c r="L972" i="5"/>
  <c r="R971" i="5"/>
  <c r="L971" i="5"/>
  <c r="R970" i="5"/>
  <c r="L970" i="5"/>
  <c r="R969" i="5"/>
  <c r="L969" i="5"/>
  <c r="R968" i="5"/>
  <c r="L968" i="5"/>
  <c r="R967" i="5"/>
  <c r="L967" i="5"/>
  <c r="R966" i="5"/>
  <c r="L966" i="5"/>
  <c r="R965" i="5"/>
  <c r="L965" i="5"/>
  <c r="R964" i="5"/>
  <c r="L964" i="5"/>
  <c r="R963" i="5"/>
  <c r="L963" i="5"/>
  <c r="R962" i="5"/>
  <c r="L962" i="5"/>
  <c r="R961" i="5"/>
  <c r="L961" i="5"/>
  <c r="R960" i="5"/>
  <c r="L960" i="5"/>
  <c r="R959" i="5"/>
  <c r="L959" i="5"/>
  <c r="R958" i="5"/>
  <c r="L958" i="5"/>
  <c r="R957" i="5"/>
  <c r="L957" i="5"/>
  <c r="R956" i="5"/>
  <c r="L956" i="5"/>
  <c r="R955" i="5"/>
  <c r="L955" i="5"/>
  <c r="R954" i="5"/>
  <c r="L954" i="5"/>
  <c r="R953" i="5"/>
  <c r="L953" i="5"/>
  <c r="R952" i="5"/>
  <c r="L952" i="5"/>
  <c r="R951" i="5"/>
  <c r="L951" i="5"/>
  <c r="R950" i="5"/>
  <c r="L950" i="5"/>
  <c r="R949" i="5"/>
  <c r="L949" i="5"/>
  <c r="R948" i="5"/>
  <c r="L948" i="5"/>
  <c r="R947" i="5"/>
  <c r="L947" i="5"/>
  <c r="R946" i="5"/>
  <c r="L946" i="5"/>
  <c r="R945" i="5"/>
  <c r="L945" i="5"/>
  <c r="R944" i="5"/>
  <c r="L944" i="5"/>
  <c r="R943" i="5"/>
  <c r="L943" i="5"/>
  <c r="R942" i="5"/>
  <c r="L942" i="5"/>
  <c r="R941" i="5"/>
  <c r="L941" i="5"/>
  <c r="R940" i="5"/>
  <c r="L940" i="5"/>
  <c r="R939" i="5"/>
  <c r="L939" i="5"/>
  <c r="R938" i="5"/>
  <c r="L938" i="5"/>
  <c r="R937" i="5"/>
  <c r="L937" i="5"/>
  <c r="R936" i="5"/>
  <c r="L936" i="5"/>
  <c r="R935" i="5"/>
  <c r="L935" i="5"/>
  <c r="R934" i="5"/>
  <c r="L934" i="5"/>
  <c r="R933" i="5"/>
  <c r="L933" i="5"/>
  <c r="R932" i="5"/>
  <c r="L932" i="5"/>
  <c r="R931" i="5"/>
  <c r="L931" i="5"/>
  <c r="R930" i="5"/>
  <c r="L930" i="5"/>
  <c r="R929" i="5"/>
  <c r="L929" i="5"/>
  <c r="R928" i="5"/>
  <c r="L928" i="5"/>
  <c r="R927" i="5"/>
  <c r="L927" i="5"/>
  <c r="R926" i="5"/>
  <c r="L926" i="5"/>
  <c r="R925" i="5"/>
  <c r="L925" i="5"/>
  <c r="R924" i="5"/>
  <c r="L924" i="5"/>
  <c r="R923" i="5"/>
  <c r="L923" i="5"/>
  <c r="R922" i="5"/>
  <c r="L922" i="5"/>
  <c r="R921" i="5"/>
  <c r="L921" i="5"/>
  <c r="R920" i="5"/>
  <c r="L920" i="5"/>
  <c r="R919" i="5"/>
  <c r="L919" i="5"/>
  <c r="R918" i="5"/>
  <c r="L918" i="5"/>
  <c r="R917" i="5"/>
  <c r="L917" i="5"/>
  <c r="R916" i="5"/>
  <c r="L916" i="5"/>
  <c r="R915" i="5"/>
  <c r="L915" i="5"/>
  <c r="R914" i="5"/>
  <c r="L914" i="5"/>
  <c r="R913" i="5"/>
  <c r="L913" i="5"/>
  <c r="R912" i="5"/>
  <c r="L912" i="5"/>
  <c r="R911" i="5"/>
  <c r="L911" i="5"/>
  <c r="R910" i="5"/>
  <c r="L910" i="5"/>
  <c r="R909" i="5"/>
  <c r="L909" i="5"/>
  <c r="R908" i="5"/>
  <c r="L908" i="5"/>
  <c r="R907" i="5"/>
  <c r="L907" i="5"/>
  <c r="R906" i="5"/>
  <c r="L906" i="5"/>
  <c r="R905" i="5"/>
  <c r="L905" i="5"/>
  <c r="R904" i="5"/>
  <c r="L904" i="5"/>
  <c r="R903" i="5"/>
  <c r="L903" i="5"/>
  <c r="R902" i="5"/>
  <c r="L902" i="5"/>
  <c r="R901" i="5"/>
  <c r="L901" i="5"/>
  <c r="R900" i="5"/>
  <c r="L900" i="5"/>
  <c r="R899" i="5"/>
  <c r="L899" i="5"/>
  <c r="R898" i="5"/>
  <c r="L898" i="5"/>
  <c r="R897" i="5"/>
  <c r="L897" i="5"/>
  <c r="R896" i="5"/>
  <c r="L896" i="5"/>
  <c r="R895" i="5"/>
  <c r="L895" i="5"/>
  <c r="R894" i="5"/>
  <c r="L894" i="5"/>
  <c r="R893" i="5"/>
  <c r="L893" i="5"/>
  <c r="R892" i="5"/>
  <c r="L892" i="5"/>
  <c r="R891" i="5"/>
  <c r="L891" i="5"/>
  <c r="R890" i="5"/>
  <c r="L890" i="5"/>
  <c r="R889" i="5"/>
  <c r="L889" i="5"/>
  <c r="R888" i="5"/>
  <c r="L888" i="5"/>
  <c r="R887" i="5"/>
  <c r="L887" i="5"/>
  <c r="R886" i="5"/>
  <c r="L886" i="5"/>
  <c r="R885" i="5"/>
  <c r="L885" i="5"/>
  <c r="R884" i="5"/>
  <c r="L884" i="5"/>
  <c r="R883" i="5"/>
  <c r="L883" i="5"/>
  <c r="R882" i="5"/>
  <c r="L882" i="5"/>
  <c r="R881" i="5"/>
  <c r="L881" i="5"/>
  <c r="R880" i="5"/>
  <c r="L880" i="5"/>
  <c r="R879" i="5"/>
  <c r="L879" i="5"/>
  <c r="R878" i="5"/>
  <c r="L878" i="5"/>
  <c r="R877" i="5"/>
  <c r="L877" i="5"/>
  <c r="R876" i="5"/>
  <c r="L876" i="5"/>
  <c r="R875" i="5"/>
  <c r="L875" i="5"/>
  <c r="R874" i="5"/>
  <c r="L874" i="5"/>
  <c r="R873" i="5"/>
  <c r="L873" i="5"/>
  <c r="R872" i="5"/>
  <c r="L872" i="5"/>
  <c r="R871" i="5"/>
  <c r="L871" i="5"/>
  <c r="R870" i="5"/>
  <c r="L870" i="5"/>
  <c r="R869" i="5"/>
  <c r="L869" i="5"/>
  <c r="R868" i="5"/>
  <c r="L868" i="5"/>
  <c r="R867" i="5"/>
  <c r="L867" i="5"/>
  <c r="R866" i="5"/>
  <c r="L866" i="5"/>
  <c r="R865" i="5"/>
  <c r="L865" i="5"/>
  <c r="R864" i="5"/>
  <c r="L864" i="5"/>
  <c r="R863" i="5"/>
  <c r="L863" i="5"/>
  <c r="R862" i="5"/>
  <c r="L862" i="5"/>
  <c r="R861" i="5"/>
  <c r="L861" i="5"/>
  <c r="R860" i="5"/>
  <c r="L860" i="5"/>
  <c r="R859" i="5"/>
  <c r="L859" i="5"/>
  <c r="R858" i="5"/>
  <c r="L858" i="5"/>
  <c r="R857" i="5"/>
  <c r="L857" i="5"/>
  <c r="R856" i="5"/>
  <c r="L856" i="5"/>
  <c r="R855" i="5"/>
  <c r="L855" i="5"/>
  <c r="R854" i="5"/>
  <c r="L854" i="5"/>
  <c r="R853" i="5"/>
  <c r="L853" i="5"/>
  <c r="R852" i="5"/>
  <c r="L852" i="5"/>
  <c r="R851" i="5"/>
  <c r="L851" i="5"/>
  <c r="R850" i="5"/>
  <c r="L850" i="5"/>
  <c r="R849" i="5"/>
  <c r="L849" i="5"/>
  <c r="R848" i="5"/>
  <c r="L848" i="5"/>
  <c r="R847" i="5"/>
  <c r="L847" i="5"/>
  <c r="R846" i="5"/>
  <c r="L846" i="5"/>
  <c r="R845" i="5"/>
  <c r="L845" i="5"/>
  <c r="R844" i="5"/>
  <c r="L844" i="5"/>
  <c r="R843" i="5"/>
  <c r="L843" i="5"/>
  <c r="R842" i="5"/>
  <c r="L842" i="5"/>
  <c r="R841" i="5"/>
  <c r="L841" i="5"/>
  <c r="R840" i="5"/>
  <c r="L840" i="5"/>
  <c r="R839" i="5"/>
  <c r="L839" i="5"/>
  <c r="R838" i="5"/>
  <c r="L838" i="5"/>
  <c r="R837" i="5"/>
  <c r="L837" i="5"/>
  <c r="R836" i="5"/>
  <c r="L836" i="5"/>
  <c r="R835" i="5"/>
  <c r="L835" i="5"/>
  <c r="R834" i="5"/>
  <c r="L834" i="5"/>
  <c r="R833" i="5"/>
  <c r="L833" i="5"/>
  <c r="R832" i="5"/>
  <c r="L832" i="5"/>
  <c r="R831" i="5"/>
  <c r="L831" i="5"/>
  <c r="R830" i="5"/>
  <c r="L830" i="5"/>
  <c r="R829" i="5"/>
  <c r="L829" i="5"/>
  <c r="R828" i="5"/>
  <c r="L828" i="5"/>
  <c r="R827" i="5"/>
  <c r="L827" i="5"/>
  <c r="R826" i="5"/>
  <c r="L826" i="5"/>
  <c r="R825" i="5"/>
  <c r="L825" i="5"/>
  <c r="R824" i="5"/>
  <c r="L824" i="5"/>
  <c r="R823" i="5"/>
  <c r="L823" i="5"/>
  <c r="R822" i="5"/>
  <c r="L822" i="5"/>
  <c r="R821" i="5"/>
  <c r="L821" i="5"/>
  <c r="R820" i="5"/>
  <c r="L820" i="5"/>
  <c r="R819" i="5"/>
  <c r="L819" i="5"/>
  <c r="R818" i="5"/>
  <c r="L818" i="5"/>
  <c r="R817" i="5"/>
  <c r="L817" i="5"/>
  <c r="R816" i="5"/>
  <c r="L816" i="5"/>
  <c r="R815" i="5"/>
  <c r="L815" i="5"/>
  <c r="R814" i="5"/>
  <c r="L814" i="5"/>
  <c r="R813" i="5"/>
  <c r="L813" i="5"/>
  <c r="R812" i="5"/>
  <c r="L812" i="5"/>
  <c r="R811" i="5"/>
  <c r="L811" i="5"/>
  <c r="R810" i="5"/>
  <c r="L810" i="5"/>
  <c r="R809" i="5"/>
  <c r="L809" i="5"/>
  <c r="R808" i="5"/>
  <c r="L808" i="5"/>
  <c r="R807" i="5"/>
  <c r="L807" i="5"/>
  <c r="R806" i="5"/>
  <c r="L806" i="5"/>
  <c r="R805" i="5"/>
  <c r="L805" i="5"/>
  <c r="R804" i="5"/>
  <c r="L804" i="5"/>
  <c r="R803" i="5"/>
  <c r="L803" i="5"/>
  <c r="R802" i="5"/>
  <c r="L802" i="5"/>
  <c r="R801" i="5"/>
  <c r="L801" i="5"/>
  <c r="R800" i="5"/>
  <c r="L800" i="5"/>
  <c r="R799" i="5"/>
  <c r="L799" i="5"/>
  <c r="R798" i="5"/>
  <c r="L798" i="5"/>
  <c r="R797" i="5"/>
  <c r="L797" i="5"/>
  <c r="R796" i="5"/>
  <c r="L796" i="5"/>
  <c r="R795" i="5"/>
  <c r="L795" i="5"/>
  <c r="R794" i="5"/>
  <c r="L794" i="5"/>
  <c r="R793" i="5"/>
  <c r="L793" i="5"/>
  <c r="R792" i="5"/>
  <c r="L792" i="5"/>
  <c r="R791" i="5"/>
  <c r="L791" i="5"/>
  <c r="R790" i="5"/>
  <c r="L790" i="5"/>
  <c r="R789" i="5"/>
  <c r="L789" i="5"/>
  <c r="R788" i="5"/>
  <c r="L788" i="5"/>
  <c r="R787" i="5"/>
  <c r="L787" i="5"/>
  <c r="R786" i="5"/>
  <c r="L786" i="5"/>
  <c r="R785" i="5"/>
  <c r="L785" i="5"/>
  <c r="R784" i="5"/>
  <c r="L784" i="5"/>
  <c r="R783" i="5"/>
  <c r="L783" i="5"/>
  <c r="R782" i="5"/>
  <c r="L782" i="5"/>
  <c r="R781" i="5"/>
  <c r="L781" i="5"/>
  <c r="R780" i="5"/>
  <c r="L780" i="5"/>
  <c r="R779" i="5"/>
  <c r="L779" i="5"/>
  <c r="R778" i="5"/>
  <c r="L778" i="5"/>
  <c r="R777" i="5"/>
  <c r="L777" i="5"/>
  <c r="R776" i="5"/>
  <c r="L776" i="5"/>
  <c r="R775" i="5"/>
  <c r="L775" i="5"/>
  <c r="R774" i="5"/>
  <c r="L774" i="5"/>
  <c r="R773" i="5"/>
  <c r="L773" i="5"/>
  <c r="R772" i="5"/>
  <c r="L772" i="5"/>
  <c r="R771" i="5"/>
  <c r="L771" i="5"/>
  <c r="R770" i="5"/>
  <c r="L770" i="5"/>
  <c r="R769" i="5"/>
  <c r="L769" i="5"/>
  <c r="R768" i="5"/>
  <c r="L768" i="5"/>
  <c r="R767" i="5"/>
  <c r="L767" i="5"/>
  <c r="R766" i="5"/>
  <c r="L766" i="5"/>
  <c r="R765" i="5"/>
  <c r="L765" i="5"/>
  <c r="R764" i="5"/>
  <c r="L764" i="5"/>
  <c r="R763" i="5"/>
  <c r="L763" i="5"/>
  <c r="R762" i="5"/>
  <c r="L762" i="5"/>
  <c r="R761" i="5"/>
  <c r="L761" i="5"/>
  <c r="R760" i="5"/>
  <c r="L760" i="5"/>
  <c r="R759" i="5"/>
  <c r="L759" i="5"/>
  <c r="R758" i="5"/>
  <c r="L758" i="5"/>
  <c r="R757" i="5"/>
  <c r="L757" i="5"/>
  <c r="R756" i="5"/>
  <c r="L756" i="5"/>
  <c r="R755" i="5"/>
  <c r="L755" i="5"/>
  <c r="R754" i="5"/>
  <c r="L754" i="5"/>
  <c r="R753" i="5"/>
  <c r="L753" i="5"/>
  <c r="R752" i="5"/>
  <c r="L752" i="5"/>
  <c r="R751" i="5"/>
  <c r="L751" i="5"/>
  <c r="R750" i="5"/>
  <c r="L750" i="5"/>
  <c r="R749" i="5"/>
  <c r="L749" i="5"/>
  <c r="R748" i="5"/>
  <c r="L748" i="5"/>
  <c r="R747" i="5"/>
  <c r="L747" i="5"/>
  <c r="R746" i="5"/>
  <c r="L746" i="5"/>
  <c r="R745" i="5"/>
  <c r="L745" i="5"/>
  <c r="R744" i="5"/>
  <c r="L744" i="5"/>
  <c r="R743" i="5"/>
  <c r="L743" i="5"/>
  <c r="R742" i="5"/>
  <c r="L742" i="5"/>
  <c r="R741" i="5"/>
  <c r="L741" i="5"/>
  <c r="R740" i="5"/>
  <c r="L740" i="5"/>
  <c r="R739" i="5"/>
  <c r="L739" i="5"/>
  <c r="R738" i="5"/>
  <c r="L738" i="5"/>
  <c r="R737" i="5"/>
  <c r="L737" i="5"/>
  <c r="R736" i="5"/>
  <c r="L736" i="5"/>
  <c r="R735" i="5"/>
  <c r="L735" i="5"/>
  <c r="R734" i="5"/>
  <c r="L734" i="5"/>
  <c r="R733" i="5"/>
  <c r="L733" i="5"/>
  <c r="R732" i="5"/>
  <c r="L732" i="5"/>
  <c r="R731" i="5"/>
  <c r="L731" i="5"/>
  <c r="R730" i="5"/>
  <c r="L730" i="5"/>
  <c r="R729" i="5"/>
  <c r="L729" i="5"/>
  <c r="R728" i="5"/>
  <c r="L728" i="5"/>
  <c r="R727" i="5"/>
  <c r="L727" i="5"/>
  <c r="R726" i="5"/>
  <c r="L726" i="5"/>
  <c r="R725" i="5"/>
  <c r="L725" i="5"/>
  <c r="R724" i="5"/>
  <c r="L724" i="5"/>
  <c r="R723" i="5"/>
  <c r="L723" i="5"/>
  <c r="R722" i="5"/>
  <c r="L722" i="5"/>
  <c r="R721" i="5"/>
  <c r="L721" i="5"/>
  <c r="R720" i="5"/>
  <c r="L720" i="5"/>
  <c r="R719" i="5"/>
  <c r="L719" i="5"/>
  <c r="R718" i="5"/>
  <c r="L718" i="5"/>
  <c r="R717" i="5"/>
  <c r="L717" i="5"/>
  <c r="R716" i="5"/>
  <c r="L716" i="5"/>
  <c r="R715" i="5"/>
  <c r="L715" i="5"/>
  <c r="R714" i="5"/>
  <c r="L714" i="5"/>
  <c r="R713" i="5"/>
  <c r="L713" i="5"/>
  <c r="R712" i="5"/>
  <c r="L712" i="5"/>
  <c r="R711" i="5"/>
  <c r="L711" i="5"/>
  <c r="R710" i="5"/>
  <c r="L710" i="5"/>
  <c r="R709" i="5"/>
  <c r="L709" i="5"/>
  <c r="R708" i="5"/>
  <c r="L708" i="5"/>
  <c r="R707" i="5"/>
  <c r="L707" i="5"/>
  <c r="R706" i="5"/>
  <c r="L706" i="5"/>
  <c r="R705" i="5"/>
  <c r="L705" i="5"/>
  <c r="R704" i="5"/>
  <c r="L704" i="5"/>
  <c r="R703" i="5"/>
  <c r="L703" i="5"/>
  <c r="R702" i="5"/>
  <c r="L702" i="5"/>
  <c r="R701" i="5"/>
  <c r="L701" i="5"/>
  <c r="R700" i="5"/>
  <c r="L700" i="5"/>
  <c r="R699" i="5"/>
  <c r="L699" i="5"/>
  <c r="R698" i="5"/>
  <c r="L698" i="5"/>
  <c r="R697" i="5"/>
  <c r="L697" i="5"/>
  <c r="R696" i="5"/>
  <c r="L696" i="5"/>
  <c r="R695" i="5"/>
  <c r="L695" i="5"/>
  <c r="R694" i="5"/>
  <c r="L694" i="5"/>
  <c r="R693" i="5"/>
  <c r="L693" i="5"/>
  <c r="R692" i="5"/>
  <c r="L692" i="5"/>
  <c r="R691" i="5"/>
  <c r="L691" i="5"/>
  <c r="R690" i="5"/>
  <c r="L690" i="5"/>
  <c r="R689" i="5"/>
  <c r="L689" i="5"/>
  <c r="R688" i="5"/>
  <c r="L688" i="5"/>
  <c r="R687" i="5"/>
  <c r="L687" i="5"/>
  <c r="R686" i="5"/>
  <c r="L686" i="5"/>
  <c r="R685" i="5"/>
  <c r="L685" i="5"/>
  <c r="R684" i="5"/>
  <c r="L684" i="5"/>
  <c r="R683" i="5"/>
  <c r="L683" i="5"/>
  <c r="R682" i="5"/>
  <c r="L682" i="5"/>
  <c r="R681" i="5"/>
  <c r="L681" i="5"/>
  <c r="R680" i="5"/>
  <c r="L680" i="5"/>
  <c r="R679" i="5"/>
  <c r="L679" i="5"/>
  <c r="R678" i="5"/>
  <c r="L678" i="5"/>
  <c r="R677" i="5"/>
  <c r="L677" i="5"/>
  <c r="R676" i="5"/>
  <c r="L676" i="5"/>
  <c r="R675" i="5"/>
  <c r="L675" i="5"/>
  <c r="R674" i="5"/>
  <c r="L674" i="5"/>
  <c r="R673" i="5"/>
  <c r="L673" i="5"/>
  <c r="R672" i="5"/>
  <c r="L672" i="5"/>
  <c r="R671" i="5"/>
  <c r="L671" i="5"/>
  <c r="R670" i="5"/>
  <c r="L670" i="5"/>
  <c r="R669" i="5"/>
  <c r="L669" i="5"/>
  <c r="R668" i="5"/>
  <c r="L668" i="5"/>
  <c r="R667" i="5"/>
  <c r="L667" i="5"/>
  <c r="R666" i="5"/>
  <c r="L666" i="5"/>
  <c r="R665" i="5"/>
  <c r="L665" i="5"/>
  <c r="R664" i="5"/>
  <c r="L664" i="5"/>
  <c r="R663" i="5"/>
  <c r="L663" i="5"/>
  <c r="R662" i="5"/>
  <c r="L662" i="5"/>
  <c r="R661" i="5"/>
  <c r="L661" i="5"/>
  <c r="R660" i="5"/>
  <c r="L660" i="5"/>
  <c r="R659" i="5"/>
  <c r="L659" i="5"/>
  <c r="R658" i="5"/>
  <c r="L658" i="5"/>
  <c r="R657" i="5"/>
  <c r="L657" i="5"/>
  <c r="R656" i="5"/>
  <c r="L656" i="5"/>
  <c r="R655" i="5"/>
  <c r="L655" i="5"/>
  <c r="R654" i="5"/>
  <c r="L654" i="5"/>
  <c r="R653" i="5"/>
  <c r="L653" i="5"/>
  <c r="R652" i="5"/>
  <c r="L652" i="5"/>
  <c r="R651" i="5"/>
  <c r="L651" i="5"/>
  <c r="R650" i="5"/>
  <c r="L650" i="5"/>
  <c r="R649" i="5"/>
  <c r="L649" i="5"/>
  <c r="R648" i="5"/>
  <c r="L648" i="5"/>
  <c r="R647" i="5"/>
  <c r="L647" i="5"/>
  <c r="R646" i="5"/>
  <c r="L646" i="5"/>
  <c r="R645" i="5"/>
  <c r="L645" i="5"/>
  <c r="R644" i="5"/>
  <c r="L644" i="5"/>
  <c r="R643" i="5"/>
  <c r="L643" i="5"/>
  <c r="R642" i="5"/>
  <c r="L642" i="5"/>
  <c r="R641" i="5"/>
  <c r="L641" i="5"/>
  <c r="R640" i="5"/>
  <c r="L640" i="5"/>
  <c r="R639" i="5"/>
  <c r="L639" i="5"/>
  <c r="R638" i="5"/>
  <c r="L638" i="5"/>
  <c r="R637" i="5"/>
  <c r="L637" i="5"/>
  <c r="R636" i="5"/>
  <c r="L636" i="5"/>
  <c r="R635" i="5"/>
  <c r="L635" i="5"/>
  <c r="R634" i="5"/>
  <c r="L634" i="5"/>
  <c r="R633" i="5"/>
  <c r="L633" i="5"/>
  <c r="R632" i="5"/>
  <c r="L632" i="5"/>
  <c r="R631" i="5"/>
  <c r="L631" i="5"/>
  <c r="R630" i="5"/>
  <c r="L630" i="5"/>
  <c r="R629" i="5"/>
  <c r="L629" i="5"/>
  <c r="R628" i="5"/>
  <c r="L628" i="5"/>
  <c r="R627" i="5"/>
  <c r="L627" i="5"/>
  <c r="R626" i="5"/>
  <c r="L626" i="5"/>
  <c r="R625" i="5"/>
  <c r="L625" i="5"/>
  <c r="R624" i="5"/>
  <c r="L624" i="5"/>
  <c r="R623" i="5"/>
  <c r="L623" i="5"/>
  <c r="R622" i="5"/>
  <c r="L622" i="5"/>
  <c r="R621" i="5"/>
  <c r="L621" i="5"/>
  <c r="R620" i="5"/>
  <c r="L620" i="5"/>
  <c r="R619" i="5"/>
  <c r="L619" i="5"/>
  <c r="R618" i="5"/>
  <c r="L618" i="5"/>
  <c r="R617" i="5"/>
  <c r="L617" i="5"/>
  <c r="R616" i="5"/>
  <c r="L616" i="5"/>
  <c r="R615" i="5"/>
  <c r="L615" i="5"/>
  <c r="R614" i="5"/>
  <c r="L614" i="5"/>
  <c r="R613" i="5"/>
  <c r="L613" i="5"/>
  <c r="R612" i="5"/>
  <c r="L612" i="5"/>
  <c r="R611" i="5"/>
  <c r="L611" i="5"/>
  <c r="R610" i="5"/>
  <c r="L610" i="5"/>
  <c r="R609" i="5"/>
  <c r="L609" i="5"/>
  <c r="R608" i="5"/>
  <c r="L608" i="5"/>
  <c r="R607" i="5"/>
  <c r="L607" i="5"/>
  <c r="R606" i="5"/>
  <c r="L606" i="5"/>
  <c r="R605" i="5"/>
  <c r="L605" i="5"/>
  <c r="R604" i="5"/>
  <c r="L604" i="5"/>
  <c r="R603" i="5"/>
  <c r="L603" i="5"/>
  <c r="R602" i="5"/>
  <c r="L602" i="5"/>
  <c r="R601" i="5"/>
  <c r="L601" i="5"/>
  <c r="R600" i="5"/>
  <c r="L600" i="5"/>
  <c r="R599" i="5"/>
  <c r="L599" i="5"/>
  <c r="R598" i="5"/>
  <c r="L598" i="5"/>
  <c r="R597" i="5"/>
  <c r="L597" i="5"/>
  <c r="R596" i="5"/>
  <c r="L596" i="5"/>
  <c r="R595" i="5"/>
  <c r="L595" i="5"/>
  <c r="R594" i="5"/>
  <c r="L594" i="5"/>
  <c r="R593" i="5"/>
  <c r="L593" i="5"/>
  <c r="R592" i="5"/>
  <c r="L592" i="5"/>
  <c r="R591" i="5"/>
  <c r="L591" i="5"/>
  <c r="R590" i="5"/>
  <c r="L590" i="5"/>
  <c r="R589" i="5"/>
  <c r="L589" i="5"/>
  <c r="R588" i="5"/>
  <c r="L588" i="5"/>
  <c r="R587" i="5"/>
  <c r="L587" i="5"/>
  <c r="R586" i="5"/>
  <c r="L586" i="5"/>
  <c r="R585" i="5"/>
  <c r="L585" i="5"/>
  <c r="R584" i="5"/>
  <c r="L584" i="5"/>
  <c r="R583" i="5"/>
  <c r="L583" i="5"/>
  <c r="R582" i="5"/>
  <c r="L582" i="5"/>
  <c r="R581" i="5"/>
  <c r="L581" i="5"/>
  <c r="R580" i="5"/>
  <c r="L580" i="5"/>
  <c r="R579" i="5"/>
  <c r="L579" i="5"/>
  <c r="R578" i="5"/>
  <c r="L578" i="5"/>
  <c r="R577" i="5"/>
  <c r="L577" i="5"/>
  <c r="R576" i="5"/>
  <c r="L576" i="5"/>
  <c r="R575" i="5"/>
  <c r="L575" i="5"/>
  <c r="R574" i="5"/>
  <c r="L574" i="5"/>
  <c r="R573" i="5"/>
  <c r="L573" i="5"/>
  <c r="R572" i="5"/>
  <c r="L572" i="5"/>
  <c r="R571" i="5"/>
  <c r="L571" i="5"/>
  <c r="R570" i="5"/>
  <c r="L570" i="5"/>
  <c r="R569" i="5"/>
  <c r="L569" i="5"/>
  <c r="R568" i="5"/>
  <c r="L568" i="5"/>
  <c r="R567" i="5"/>
  <c r="L567" i="5"/>
  <c r="R566" i="5"/>
  <c r="L566" i="5"/>
  <c r="R565" i="5"/>
  <c r="L565" i="5"/>
  <c r="R564" i="5"/>
  <c r="L564" i="5"/>
  <c r="R563" i="5"/>
  <c r="L563" i="5"/>
  <c r="R562" i="5"/>
  <c r="L562" i="5"/>
  <c r="R561" i="5"/>
  <c r="L561" i="5"/>
  <c r="R560" i="5"/>
  <c r="L560" i="5"/>
  <c r="R559" i="5"/>
  <c r="L559" i="5"/>
  <c r="R558" i="5"/>
  <c r="L558" i="5"/>
  <c r="R557" i="5"/>
  <c r="L557" i="5"/>
  <c r="R556" i="5"/>
  <c r="L556" i="5"/>
  <c r="R555" i="5"/>
  <c r="L555" i="5"/>
  <c r="R554" i="5"/>
  <c r="L554" i="5"/>
  <c r="R553" i="5"/>
  <c r="L553" i="5"/>
  <c r="R552" i="5"/>
  <c r="L552" i="5"/>
  <c r="R551" i="5"/>
  <c r="L551" i="5"/>
  <c r="R550" i="5"/>
  <c r="L550" i="5"/>
  <c r="R549" i="5"/>
  <c r="L549" i="5"/>
  <c r="R548" i="5"/>
  <c r="L548" i="5"/>
  <c r="R547" i="5"/>
  <c r="L547" i="5"/>
  <c r="R546" i="5"/>
  <c r="L546" i="5"/>
  <c r="R545" i="5"/>
  <c r="L545" i="5"/>
  <c r="R544" i="5"/>
  <c r="L544" i="5"/>
  <c r="R543" i="5"/>
  <c r="L543" i="5"/>
  <c r="R542" i="5"/>
  <c r="L542" i="5"/>
  <c r="R541" i="5"/>
  <c r="L541" i="5"/>
  <c r="R540" i="5"/>
  <c r="L540" i="5"/>
  <c r="R539" i="5"/>
  <c r="L539" i="5"/>
  <c r="R538" i="5"/>
  <c r="L538" i="5"/>
  <c r="R537" i="5"/>
  <c r="L537" i="5"/>
  <c r="R536" i="5"/>
  <c r="L536" i="5"/>
  <c r="R535" i="5"/>
  <c r="L535" i="5"/>
  <c r="R534" i="5"/>
  <c r="L534" i="5"/>
  <c r="R533" i="5"/>
  <c r="L533" i="5"/>
  <c r="R532" i="5"/>
  <c r="L532" i="5"/>
  <c r="R531" i="5"/>
  <c r="L531" i="5"/>
  <c r="R530" i="5"/>
  <c r="L530" i="5"/>
  <c r="R529" i="5"/>
  <c r="L529" i="5"/>
  <c r="R528" i="5"/>
  <c r="L528" i="5"/>
  <c r="R527" i="5"/>
  <c r="L527" i="5"/>
  <c r="R526" i="5"/>
  <c r="L526" i="5"/>
  <c r="R525" i="5"/>
  <c r="L525" i="5"/>
  <c r="R524" i="5"/>
  <c r="L524" i="5"/>
  <c r="R523" i="5"/>
  <c r="L523" i="5"/>
  <c r="R522" i="5"/>
  <c r="L522" i="5"/>
  <c r="R521" i="5"/>
  <c r="L521" i="5"/>
  <c r="R520" i="5"/>
  <c r="L520" i="5"/>
  <c r="R519" i="5"/>
  <c r="L519" i="5"/>
  <c r="R518" i="5"/>
  <c r="L518" i="5"/>
  <c r="R517" i="5"/>
  <c r="L517" i="5"/>
  <c r="R516" i="5"/>
  <c r="L516" i="5"/>
  <c r="R515" i="5"/>
  <c r="L515" i="5"/>
  <c r="R514" i="5"/>
  <c r="L514" i="5"/>
  <c r="R513" i="5"/>
  <c r="L513" i="5"/>
  <c r="R512" i="5"/>
  <c r="L512" i="5"/>
  <c r="R511" i="5"/>
  <c r="L511" i="5"/>
  <c r="R510" i="5"/>
  <c r="L510" i="5"/>
  <c r="R509" i="5"/>
  <c r="L509" i="5"/>
  <c r="R508" i="5"/>
  <c r="L508" i="5"/>
  <c r="R507" i="5"/>
  <c r="L507" i="5"/>
  <c r="R506" i="5"/>
  <c r="L506" i="5"/>
  <c r="R505" i="5"/>
  <c r="L505" i="5"/>
  <c r="R504" i="5"/>
  <c r="L504" i="5"/>
  <c r="R503" i="5"/>
  <c r="L503" i="5"/>
  <c r="R502" i="5"/>
  <c r="L502" i="5"/>
  <c r="R501" i="5"/>
  <c r="L501" i="5"/>
  <c r="R500" i="5"/>
  <c r="L500" i="5"/>
  <c r="R499" i="5"/>
  <c r="L499" i="5"/>
  <c r="R498" i="5"/>
  <c r="L498" i="5"/>
  <c r="R497" i="5"/>
  <c r="L497" i="5"/>
  <c r="R496" i="5"/>
  <c r="L496" i="5"/>
  <c r="R495" i="5"/>
  <c r="L495" i="5"/>
  <c r="R494" i="5"/>
  <c r="L494" i="5"/>
  <c r="R493" i="5"/>
  <c r="L493" i="5"/>
  <c r="R492" i="5"/>
  <c r="L492" i="5"/>
  <c r="R491" i="5"/>
  <c r="L491" i="5"/>
  <c r="R490" i="5"/>
  <c r="L490" i="5"/>
  <c r="R489" i="5"/>
  <c r="L489" i="5"/>
  <c r="R488" i="5"/>
  <c r="L488" i="5"/>
  <c r="R487" i="5"/>
  <c r="L487" i="5"/>
  <c r="R486" i="5"/>
  <c r="L486" i="5"/>
  <c r="R485" i="5"/>
  <c r="L485" i="5"/>
  <c r="R484" i="5"/>
  <c r="L484" i="5"/>
  <c r="R483" i="5"/>
  <c r="L483" i="5"/>
  <c r="R482" i="5"/>
  <c r="L482" i="5"/>
  <c r="R481" i="5"/>
  <c r="L481" i="5"/>
  <c r="R480" i="5"/>
  <c r="L480" i="5"/>
  <c r="R479" i="5"/>
  <c r="L479" i="5"/>
  <c r="R478" i="5"/>
  <c r="L478" i="5"/>
  <c r="R477" i="5"/>
  <c r="L477" i="5"/>
  <c r="R476" i="5"/>
  <c r="L476" i="5"/>
  <c r="R475" i="5"/>
  <c r="L475" i="5"/>
  <c r="R474" i="5"/>
  <c r="L474" i="5"/>
  <c r="R473" i="5"/>
  <c r="L473" i="5"/>
  <c r="R472" i="5"/>
  <c r="L472" i="5"/>
  <c r="R471" i="5"/>
  <c r="L471" i="5"/>
  <c r="R470" i="5"/>
  <c r="L470" i="5"/>
  <c r="R469" i="5"/>
  <c r="L469" i="5"/>
  <c r="R468" i="5"/>
  <c r="L468" i="5"/>
  <c r="R467" i="5"/>
  <c r="L467" i="5"/>
  <c r="R466" i="5"/>
  <c r="L466" i="5"/>
  <c r="R465" i="5"/>
  <c r="L465" i="5"/>
  <c r="R464" i="5"/>
  <c r="L464" i="5"/>
  <c r="R463" i="5"/>
  <c r="L463" i="5"/>
  <c r="R462" i="5"/>
  <c r="L462" i="5"/>
  <c r="R461" i="5"/>
  <c r="L461" i="5"/>
  <c r="R460" i="5"/>
  <c r="L460" i="5"/>
  <c r="R459" i="5"/>
  <c r="L459" i="5"/>
  <c r="R458" i="5"/>
  <c r="L458" i="5"/>
  <c r="R457" i="5"/>
  <c r="L457" i="5"/>
  <c r="R456" i="5"/>
  <c r="L456" i="5"/>
  <c r="R455" i="5"/>
  <c r="L455" i="5"/>
  <c r="R454" i="5"/>
  <c r="L454" i="5"/>
  <c r="R453" i="5"/>
  <c r="L453" i="5"/>
  <c r="R452" i="5"/>
  <c r="L452" i="5"/>
  <c r="R451" i="5"/>
  <c r="L451" i="5"/>
  <c r="R450" i="5"/>
  <c r="L450" i="5"/>
  <c r="R449" i="5"/>
  <c r="L449" i="5"/>
  <c r="R448" i="5"/>
  <c r="L448" i="5"/>
  <c r="R447" i="5"/>
  <c r="L447" i="5"/>
  <c r="R446" i="5"/>
  <c r="L446" i="5"/>
  <c r="R445" i="5"/>
  <c r="L445" i="5"/>
  <c r="R444" i="5"/>
  <c r="L444" i="5"/>
  <c r="R443" i="5"/>
  <c r="L443" i="5"/>
  <c r="R442" i="5"/>
  <c r="L442" i="5"/>
  <c r="R441" i="5"/>
  <c r="L441" i="5"/>
  <c r="R440" i="5"/>
  <c r="L440" i="5"/>
  <c r="R439" i="5"/>
  <c r="L439" i="5"/>
  <c r="R438" i="5"/>
  <c r="L438" i="5"/>
  <c r="R437" i="5"/>
  <c r="L437" i="5"/>
  <c r="R436" i="5"/>
  <c r="L436" i="5"/>
  <c r="R435" i="5"/>
  <c r="L435" i="5"/>
  <c r="R434" i="5"/>
  <c r="L434" i="5"/>
  <c r="R433" i="5"/>
  <c r="L433" i="5"/>
  <c r="R432" i="5"/>
  <c r="L432" i="5"/>
  <c r="R431" i="5"/>
  <c r="L431" i="5"/>
  <c r="R430" i="5"/>
  <c r="L430" i="5"/>
  <c r="R429" i="5"/>
  <c r="L429" i="5"/>
  <c r="R428" i="5"/>
  <c r="L428" i="5"/>
  <c r="R427" i="5"/>
  <c r="L427" i="5"/>
  <c r="R426" i="5"/>
  <c r="L426" i="5"/>
  <c r="R425" i="5"/>
  <c r="L425" i="5"/>
  <c r="R424" i="5"/>
  <c r="L424" i="5"/>
  <c r="R423" i="5"/>
  <c r="L423" i="5"/>
  <c r="R422" i="5"/>
  <c r="L422" i="5"/>
  <c r="R421" i="5"/>
  <c r="L421" i="5"/>
  <c r="R420" i="5"/>
  <c r="L420" i="5"/>
  <c r="R419" i="5"/>
  <c r="L419" i="5"/>
  <c r="R418" i="5"/>
  <c r="L418" i="5"/>
  <c r="R417" i="5"/>
  <c r="L417" i="5"/>
  <c r="R416" i="5"/>
  <c r="L416" i="5"/>
  <c r="R415" i="5"/>
  <c r="L415" i="5"/>
  <c r="R414" i="5"/>
  <c r="L414" i="5"/>
  <c r="R413" i="5"/>
  <c r="L413" i="5"/>
  <c r="R412" i="5"/>
  <c r="L412" i="5"/>
  <c r="R411" i="5"/>
  <c r="L411" i="5"/>
  <c r="R410" i="5"/>
  <c r="L410" i="5"/>
  <c r="R409" i="5"/>
  <c r="L409" i="5"/>
  <c r="R408" i="5"/>
  <c r="L408" i="5"/>
  <c r="R407" i="5"/>
  <c r="L407" i="5"/>
  <c r="R406" i="5"/>
  <c r="L406" i="5"/>
  <c r="R405" i="5"/>
  <c r="L405" i="5"/>
  <c r="R404" i="5"/>
  <c r="L404" i="5"/>
  <c r="R403" i="5"/>
  <c r="L403" i="5"/>
  <c r="R402" i="5"/>
  <c r="L402" i="5"/>
  <c r="R401" i="5"/>
  <c r="L401" i="5"/>
  <c r="R400" i="5"/>
  <c r="L400" i="5"/>
  <c r="R399" i="5"/>
  <c r="L399" i="5"/>
  <c r="R398" i="5"/>
  <c r="L398" i="5"/>
  <c r="R397" i="5"/>
  <c r="L397" i="5"/>
  <c r="R396" i="5"/>
  <c r="L396" i="5"/>
  <c r="R395" i="5"/>
  <c r="L395" i="5"/>
  <c r="R394" i="5"/>
  <c r="L394" i="5"/>
  <c r="R393" i="5"/>
  <c r="L393" i="5"/>
  <c r="R392" i="5"/>
  <c r="L392" i="5"/>
  <c r="R391" i="5"/>
  <c r="L391" i="5"/>
  <c r="R390" i="5"/>
  <c r="L390" i="5"/>
  <c r="R389" i="5"/>
  <c r="L389" i="5"/>
  <c r="R388" i="5"/>
  <c r="L388" i="5"/>
  <c r="R387" i="5"/>
  <c r="L387" i="5"/>
  <c r="R386" i="5"/>
  <c r="L386" i="5"/>
  <c r="R385" i="5"/>
  <c r="L385" i="5"/>
  <c r="R384" i="5"/>
  <c r="L384" i="5"/>
  <c r="R383" i="5"/>
  <c r="L383" i="5"/>
  <c r="R382" i="5"/>
  <c r="L382" i="5"/>
  <c r="R381" i="5"/>
  <c r="L381" i="5"/>
  <c r="R380" i="5"/>
  <c r="L380" i="5"/>
  <c r="R379" i="5"/>
  <c r="L379" i="5"/>
  <c r="R378" i="5"/>
  <c r="L378" i="5"/>
  <c r="R377" i="5"/>
  <c r="L377" i="5"/>
  <c r="R376" i="5"/>
  <c r="L376" i="5"/>
  <c r="R375" i="5"/>
  <c r="L375" i="5"/>
  <c r="R374" i="5"/>
  <c r="L374" i="5"/>
  <c r="R373" i="5"/>
  <c r="L373" i="5"/>
  <c r="R372" i="5"/>
  <c r="L372" i="5"/>
  <c r="R371" i="5"/>
  <c r="L371" i="5"/>
  <c r="R370" i="5"/>
  <c r="L370" i="5"/>
  <c r="R369" i="5"/>
  <c r="L369" i="5"/>
  <c r="R368" i="5"/>
  <c r="L368" i="5"/>
  <c r="R367" i="5"/>
  <c r="L367" i="5"/>
  <c r="R366" i="5"/>
  <c r="L366" i="5"/>
  <c r="R365" i="5"/>
  <c r="L365" i="5"/>
  <c r="R364" i="5"/>
  <c r="L364" i="5"/>
  <c r="R363" i="5"/>
  <c r="L363" i="5"/>
  <c r="R362" i="5"/>
  <c r="L362" i="5"/>
  <c r="R361" i="5"/>
  <c r="L361" i="5"/>
  <c r="R360" i="5"/>
  <c r="L360" i="5"/>
  <c r="R359" i="5"/>
  <c r="L359" i="5"/>
  <c r="R358" i="5"/>
  <c r="L358" i="5"/>
  <c r="R357" i="5"/>
  <c r="L357" i="5"/>
  <c r="R356" i="5"/>
  <c r="L356" i="5"/>
  <c r="R355" i="5"/>
  <c r="L355" i="5"/>
  <c r="R354" i="5"/>
  <c r="L354" i="5"/>
  <c r="R353" i="5"/>
  <c r="L353" i="5"/>
  <c r="R352" i="5"/>
  <c r="L352" i="5"/>
  <c r="R351" i="5"/>
  <c r="L351" i="5"/>
  <c r="R350" i="5"/>
  <c r="L350" i="5"/>
  <c r="R349" i="5"/>
  <c r="L349" i="5"/>
  <c r="R348" i="5"/>
  <c r="L348" i="5"/>
  <c r="R347" i="5"/>
  <c r="L347" i="5"/>
  <c r="R346" i="5"/>
  <c r="L346" i="5"/>
  <c r="R345" i="5"/>
  <c r="L345" i="5"/>
  <c r="R344" i="5"/>
  <c r="L344" i="5"/>
  <c r="R343" i="5"/>
  <c r="L343" i="5"/>
  <c r="R342" i="5"/>
  <c r="L342" i="5"/>
  <c r="R341" i="5"/>
  <c r="L341" i="5"/>
  <c r="R340" i="5"/>
  <c r="L340" i="5"/>
  <c r="R339" i="5"/>
  <c r="L339" i="5"/>
  <c r="R338" i="5"/>
  <c r="L338" i="5"/>
  <c r="R337" i="5"/>
  <c r="L337" i="5"/>
  <c r="R336" i="5"/>
  <c r="L336" i="5"/>
  <c r="R335" i="5"/>
  <c r="L335" i="5"/>
  <c r="R334" i="5"/>
  <c r="L334" i="5"/>
  <c r="R333" i="5"/>
  <c r="L333" i="5"/>
  <c r="R332" i="5"/>
  <c r="L332" i="5"/>
  <c r="R331" i="5"/>
  <c r="L331" i="5"/>
  <c r="R330" i="5"/>
  <c r="L330" i="5"/>
  <c r="R329" i="5"/>
  <c r="L329" i="5"/>
  <c r="R328" i="5"/>
  <c r="L328" i="5"/>
  <c r="R327" i="5"/>
  <c r="L327" i="5"/>
  <c r="R326" i="5"/>
  <c r="L326" i="5"/>
  <c r="R325" i="5"/>
  <c r="L325" i="5"/>
  <c r="R324" i="5"/>
  <c r="L324" i="5"/>
  <c r="R323" i="5"/>
  <c r="L323" i="5"/>
  <c r="R322" i="5"/>
  <c r="L322" i="5"/>
  <c r="R321" i="5"/>
  <c r="L321" i="5"/>
  <c r="R320" i="5"/>
  <c r="L320" i="5"/>
  <c r="R319" i="5"/>
  <c r="L319" i="5"/>
  <c r="R318" i="5"/>
  <c r="L318" i="5"/>
  <c r="R317" i="5"/>
  <c r="L317" i="5"/>
  <c r="R316" i="5"/>
  <c r="L316" i="5"/>
  <c r="R315" i="5"/>
  <c r="L315" i="5"/>
  <c r="R314" i="5"/>
  <c r="L314" i="5"/>
  <c r="R313" i="5"/>
  <c r="M313" i="5"/>
  <c r="L313" i="5"/>
  <c r="R312" i="5"/>
  <c r="L312" i="5"/>
  <c r="R311" i="5"/>
  <c r="L311" i="5"/>
  <c r="R310" i="5"/>
  <c r="L310" i="5"/>
  <c r="R309" i="5"/>
  <c r="L309" i="5"/>
  <c r="R308" i="5"/>
  <c r="L308" i="5"/>
  <c r="R307" i="5"/>
  <c r="L307" i="5"/>
  <c r="R306" i="5"/>
  <c r="L306" i="5"/>
  <c r="R305" i="5"/>
  <c r="L305" i="5"/>
  <c r="R304" i="5"/>
  <c r="L304" i="5"/>
  <c r="R303" i="5"/>
  <c r="L303" i="5"/>
  <c r="R302" i="5"/>
  <c r="L302" i="5"/>
  <c r="R301" i="5"/>
  <c r="L301" i="5"/>
  <c r="R300" i="5"/>
  <c r="L300" i="5"/>
  <c r="R299" i="5"/>
  <c r="L299" i="5"/>
  <c r="R298" i="5"/>
  <c r="L298" i="5"/>
  <c r="R297" i="5"/>
  <c r="L297" i="5"/>
  <c r="R296" i="5"/>
  <c r="L296" i="5"/>
  <c r="R295" i="5"/>
  <c r="L295" i="5"/>
  <c r="R294" i="5"/>
  <c r="L294" i="5"/>
  <c r="R293" i="5"/>
  <c r="L293" i="5"/>
  <c r="R292" i="5"/>
  <c r="L292" i="5"/>
  <c r="R291" i="5"/>
  <c r="L291" i="5"/>
  <c r="R290" i="5"/>
  <c r="L290" i="5"/>
  <c r="R289" i="5"/>
  <c r="L289" i="5"/>
  <c r="R288" i="5"/>
  <c r="L288" i="5"/>
  <c r="R287" i="5"/>
  <c r="L287" i="5"/>
  <c r="R286" i="5"/>
  <c r="L286" i="5"/>
  <c r="R285" i="5"/>
  <c r="L285" i="5"/>
  <c r="R284" i="5"/>
  <c r="L284" i="5"/>
  <c r="R283" i="5"/>
  <c r="L283" i="5"/>
  <c r="R282" i="5"/>
  <c r="L282" i="5"/>
  <c r="R281" i="5"/>
  <c r="L281" i="5"/>
  <c r="R280" i="5"/>
  <c r="M280" i="5"/>
  <c r="L280" i="5"/>
  <c r="R279" i="5"/>
  <c r="M279" i="5"/>
  <c r="L279" i="5"/>
  <c r="R278" i="5"/>
  <c r="M278" i="5"/>
  <c r="L278" i="5"/>
  <c r="R277" i="5"/>
  <c r="L277" i="5"/>
  <c r="R276" i="5"/>
  <c r="L276" i="5"/>
  <c r="R275" i="5"/>
  <c r="L275" i="5"/>
  <c r="R274" i="5"/>
  <c r="M274" i="5"/>
  <c r="M275" i="5" s="1"/>
  <c r="L274" i="5"/>
  <c r="R273" i="5"/>
  <c r="L273" i="5"/>
  <c r="R272" i="5"/>
  <c r="L272" i="5"/>
  <c r="R271" i="5"/>
  <c r="L271" i="5"/>
  <c r="R270" i="5"/>
  <c r="M270" i="5"/>
  <c r="L270" i="5"/>
  <c r="R269" i="5"/>
  <c r="L269" i="5"/>
  <c r="R268" i="5"/>
  <c r="L268" i="5"/>
  <c r="R267" i="5"/>
  <c r="L267" i="5"/>
  <c r="R266" i="5"/>
  <c r="L266" i="5"/>
  <c r="R265" i="5"/>
  <c r="L265" i="5"/>
  <c r="R264" i="5"/>
  <c r="M264" i="5"/>
  <c r="L264" i="5"/>
  <c r="R263" i="5"/>
  <c r="L263" i="5"/>
  <c r="R262" i="5"/>
  <c r="L262" i="5"/>
  <c r="R261" i="5"/>
  <c r="M261" i="5"/>
  <c r="M262" i="5" s="1"/>
  <c r="L261" i="5"/>
  <c r="R260" i="5"/>
  <c r="L260" i="5"/>
  <c r="R259" i="5"/>
  <c r="L259" i="5"/>
  <c r="R258" i="5"/>
  <c r="L258" i="5"/>
  <c r="R257" i="5"/>
  <c r="L257" i="5"/>
  <c r="R256" i="5"/>
  <c r="L256" i="5"/>
  <c r="R255" i="5"/>
  <c r="L255" i="5"/>
  <c r="R254" i="5"/>
  <c r="L254" i="5"/>
  <c r="R253" i="5"/>
  <c r="L253" i="5"/>
  <c r="R252" i="5"/>
  <c r="L252" i="5"/>
  <c r="R251" i="5"/>
  <c r="L251" i="5"/>
  <c r="R250" i="5"/>
  <c r="L250" i="5"/>
  <c r="R249" i="5"/>
  <c r="L249" i="5"/>
  <c r="R248" i="5"/>
  <c r="L248" i="5"/>
  <c r="R247" i="5"/>
  <c r="L247" i="5"/>
  <c r="R246" i="5"/>
  <c r="L246" i="5"/>
  <c r="R245" i="5"/>
  <c r="M245" i="5"/>
  <c r="M246" i="5" s="1"/>
  <c r="L245" i="5"/>
  <c r="R244" i="5"/>
  <c r="M244" i="5"/>
  <c r="L244" i="5"/>
  <c r="R243" i="5"/>
  <c r="M243" i="5"/>
  <c r="L243" i="5"/>
  <c r="R242" i="5"/>
  <c r="L242" i="5"/>
  <c r="R241" i="5"/>
  <c r="L241" i="5"/>
  <c r="R240" i="5"/>
  <c r="L240" i="5"/>
  <c r="R239" i="5"/>
  <c r="L239" i="5"/>
  <c r="R238" i="5"/>
  <c r="L238" i="5"/>
  <c r="R237" i="5"/>
  <c r="L237" i="5"/>
  <c r="R236" i="5"/>
  <c r="L236" i="5"/>
  <c r="R235" i="5"/>
  <c r="L235" i="5"/>
  <c r="R234" i="5"/>
  <c r="L234" i="5"/>
  <c r="R233" i="5"/>
  <c r="L233" i="5"/>
  <c r="R232" i="5"/>
  <c r="L232" i="5"/>
  <c r="R231" i="5"/>
  <c r="L231" i="5"/>
  <c r="R230" i="5"/>
  <c r="L230" i="5"/>
  <c r="R229" i="5"/>
  <c r="L229" i="5"/>
  <c r="R228" i="5"/>
  <c r="L228" i="5"/>
  <c r="R227" i="5"/>
  <c r="L227" i="5"/>
  <c r="R226" i="5"/>
  <c r="L226" i="5"/>
  <c r="R225" i="5"/>
  <c r="L225" i="5"/>
  <c r="R224" i="5"/>
  <c r="L224" i="5"/>
  <c r="R223" i="5"/>
  <c r="L223" i="5"/>
  <c r="R222" i="5"/>
  <c r="L222" i="5"/>
  <c r="R221" i="5"/>
  <c r="L221" i="5"/>
  <c r="R220" i="5"/>
  <c r="L220" i="5"/>
  <c r="R219" i="5"/>
  <c r="L219" i="5"/>
  <c r="R218" i="5"/>
  <c r="L218" i="5"/>
  <c r="R217" i="5"/>
  <c r="L217" i="5"/>
  <c r="R216" i="5"/>
  <c r="L216" i="5"/>
  <c r="R215" i="5"/>
  <c r="L215" i="5"/>
  <c r="R214" i="5"/>
  <c r="L214" i="5"/>
  <c r="R213" i="5"/>
  <c r="L213" i="5"/>
  <c r="R212" i="5"/>
  <c r="L212" i="5"/>
  <c r="R211" i="5"/>
  <c r="L211" i="5"/>
  <c r="R210" i="5"/>
  <c r="L210" i="5"/>
  <c r="R209" i="5"/>
  <c r="M209" i="5"/>
  <c r="L209" i="5"/>
  <c r="R208" i="5"/>
  <c r="L208" i="5"/>
  <c r="R207" i="5"/>
  <c r="L207" i="5"/>
  <c r="R206" i="5"/>
  <c r="L206" i="5"/>
  <c r="R205" i="5"/>
  <c r="L205" i="5"/>
  <c r="R204" i="5"/>
  <c r="L204" i="5"/>
  <c r="R203" i="5"/>
  <c r="L203" i="5"/>
  <c r="R202" i="5"/>
  <c r="L202" i="5"/>
  <c r="R201" i="5"/>
  <c r="L201" i="5"/>
  <c r="R200" i="5"/>
  <c r="L200" i="5"/>
  <c r="R199" i="5"/>
  <c r="L199" i="5"/>
  <c r="R198" i="5"/>
  <c r="L198" i="5"/>
  <c r="R197" i="5"/>
  <c r="L197" i="5"/>
  <c r="R196" i="5"/>
  <c r="L196" i="5"/>
  <c r="R195" i="5"/>
  <c r="L195" i="5"/>
  <c r="R194" i="5"/>
  <c r="L194" i="5"/>
  <c r="R193" i="5"/>
  <c r="L193" i="5"/>
  <c r="R192" i="5"/>
  <c r="L192" i="5"/>
  <c r="R191" i="5"/>
  <c r="L191" i="5"/>
  <c r="R190" i="5"/>
  <c r="L190" i="5"/>
  <c r="R189" i="5"/>
  <c r="L189" i="5"/>
  <c r="R188" i="5"/>
  <c r="L188" i="5"/>
  <c r="R187" i="5"/>
  <c r="L187" i="5"/>
  <c r="R186" i="5"/>
  <c r="L186" i="5"/>
  <c r="R185" i="5"/>
  <c r="L185" i="5"/>
  <c r="R184" i="5"/>
  <c r="L184" i="5"/>
  <c r="R183" i="5"/>
  <c r="L183" i="5"/>
  <c r="R182" i="5"/>
  <c r="L182" i="5"/>
  <c r="R181" i="5"/>
  <c r="M181" i="5"/>
  <c r="L181" i="5"/>
  <c r="R180" i="5"/>
  <c r="L180" i="5"/>
  <c r="R179" i="5"/>
  <c r="L179" i="5"/>
  <c r="R178" i="5"/>
  <c r="L178" i="5"/>
  <c r="R177" i="5"/>
  <c r="L177" i="5"/>
  <c r="R176" i="5"/>
  <c r="L176" i="5"/>
  <c r="R175" i="5"/>
  <c r="L175" i="5"/>
  <c r="R174" i="5"/>
  <c r="L174" i="5"/>
  <c r="R173" i="5"/>
  <c r="L173" i="5"/>
  <c r="R172" i="5"/>
  <c r="M172" i="5"/>
  <c r="L172" i="5"/>
  <c r="R171" i="5"/>
  <c r="L171" i="5"/>
  <c r="R170" i="5"/>
  <c r="L170" i="5"/>
  <c r="R169" i="5"/>
  <c r="L169" i="5"/>
  <c r="R168" i="5"/>
  <c r="L168" i="5"/>
  <c r="R167" i="5"/>
  <c r="L167" i="5"/>
  <c r="R166" i="5"/>
  <c r="L166" i="5"/>
  <c r="R165" i="5"/>
  <c r="L165" i="5"/>
  <c r="R164" i="5"/>
  <c r="L164" i="5"/>
  <c r="R163" i="5"/>
  <c r="L163" i="5"/>
  <c r="R162" i="5"/>
  <c r="L162" i="5"/>
  <c r="R161" i="5"/>
  <c r="L161" i="5"/>
  <c r="R160" i="5"/>
  <c r="L160" i="5"/>
  <c r="R159" i="5"/>
  <c r="L159" i="5"/>
  <c r="R158" i="5"/>
  <c r="L158" i="5"/>
  <c r="R157" i="5"/>
  <c r="L157" i="5"/>
  <c r="R156" i="5"/>
  <c r="L156" i="5"/>
  <c r="R155" i="5"/>
  <c r="L155" i="5"/>
  <c r="R154" i="5"/>
  <c r="L154" i="5"/>
  <c r="R153" i="5"/>
  <c r="L153" i="5"/>
  <c r="R152" i="5"/>
  <c r="L152" i="5"/>
  <c r="R151" i="5"/>
  <c r="L151" i="5"/>
  <c r="R150" i="5"/>
  <c r="L150" i="5"/>
  <c r="R149" i="5"/>
  <c r="L149" i="5"/>
  <c r="R148" i="5"/>
  <c r="L148" i="5"/>
  <c r="R147" i="5"/>
  <c r="L147" i="5"/>
  <c r="R146" i="5"/>
  <c r="L146" i="5"/>
  <c r="R145" i="5"/>
  <c r="L145" i="5"/>
  <c r="R144" i="5"/>
  <c r="M144" i="5"/>
  <c r="L144" i="5"/>
  <c r="R143" i="5"/>
  <c r="L143" i="5"/>
  <c r="R142" i="5"/>
  <c r="L142" i="5"/>
  <c r="R141" i="5"/>
  <c r="L141" i="5"/>
  <c r="R140" i="5"/>
  <c r="L140" i="5"/>
  <c r="R139" i="5"/>
  <c r="L139" i="5"/>
  <c r="R138" i="5"/>
  <c r="L138" i="5"/>
  <c r="R137" i="5"/>
  <c r="L137" i="5"/>
  <c r="R136" i="5"/>
  <c r="L136" i="5"/>
  <c r="R135" i="5"/>
  <c r="L135" i="5"/>
  <c r="R134" i="5"/>
  <c r="L134" i="5"/>
  <c r="R133" i="5"/>
  <c r="L133" i="5"/>
  <c r="R132" i="5"/>
  <c r="L132" i="5"/>
  <c r="R131" i="5"/>
  <c r="L131" i="5"/>
  <c r="R130" i="5"/>
  <c r="L130" i="5"/>
  <c r="R129" i="5"/>
  <c r="M129" i="5"/>
  <c r="M130" i="5" s="1"/>
  <c r="L129" i="5"/>
  <c r="R128" i="5"/>
  <c r="M128" i="5"/>
  <c r="L128" i="5"/>
  <c r="R127" i="5"/>
  <c r="L127" i="5"/>
  <c r="R126" i="5"/>
  <c r="L126" i="5"/>
  <c r="R125" i="5"/>
  <c r="L125" i="5"/>
  <c r="R124" i="5"/>
  <c r="L124" i="5"/>
  <c r="R123" i="5"/>
  <c r="L123" i="5"/>
  <c r="R122" i="5"/>
  <c r="L122" i="5"/>
  <c r="R121" i="5"/>
  <c r="L121" i="5"/>
  <c r="R120" i="5"/>
  <c r="L120" i="5"/>
  <c r="R119" i="5"/>
  <c r="L119" i="5"/>
  <c r="R118" i="5"/>
  <c r="L118" i="5"/>
  <c r="R117" i="5"/>
  <c r="L117" i="5"/>
  <c r="R116" i="5"/>
  <c r="L116" i="5"/>
  <c r="R115" i="5"/>
  <c r="L115" i="5"/>
  <c r="R114" i="5"/>
  <c r="L114" i="5"/>
  <c r="R113" i="5"/>
  <c r="M113" i="5"/>
  <c r="L113" i="5"/>
  <c r="R112" i="5"/>
  <c r="L112" i="5"/>
  <c r="R111" i="5"/>
  <c r="M111" i="5"/>
  <c r="L111" i="5"/>
  <c r="R110" i="5"/>
  <c r="L110" i="5"/>
  <c r="R109" i="5"/>
  <c r="L109" i="5"/>
  <c r="R108" i="5"/>
  <c r="M108" i="5"/>
  <c r="L108" i="5"/>
  <c r="R107" i="5"/>
  <c r="M107" i="5"/>
  <c r="L107" i="5"/>
  <c r="R106" i="5"/>
  <c r="M106" i="5"/>
  <c r="L106" i="5"/>
  <c r="R105" i="5"/>
  <c r="L105" i="5"/>
  <c r="R104" i="5"/>
  <c r="L104" i="5"/>
  <c r="R103" i="5"/>
  <c r="L103" i="5"/>
  <c r="R102" i="5"/>
  <c r="L102" i="5"/>
  <c r="R101" i="5"/>
  <c r="L101" i="5"/>
  <c r="R100" i="5"/>
  <c r="L100" i="5"/>
  <c r="R99" i="5"/>
  <c r="L99" i="5"/>
  <c r="R98" i="5"/>
  <c r="P98" i="5"/>
  <c r="L98" i="5"/>
  <c r="R97" i="5"/>
  <c r="L97" i="5"/>
  <c r="R96" i="5"/>
  <c r="L96" i="5"/>
  <c r="R95" i="5"/>
  <c r="L95" i="5"/>
  <c r="R94" i="5"/>
  <c r="L94" i="5"/>
  <c r="R93" i="5"/>
  <c r="L93" i="5"/>
  <c r="R92" i="5"/>
  <c r="L92" i="5"/>
  <c r="R91" i="5"/>
  <c r="L91" i="5"/>
  <c r="R90" i="5"/>
  <c r="L90" i="5"/>
  <c r="R89" i="5"/>
  <c r="P89" i="5"/>
  <c r="L89" i="5"/>
  <c r="R88" i="5"/>
  <c r="L88" i="5"/>
  <c r="R87" i="5"/>
  <c r="L87" i="5"/>
  <c r="R86" i="5"/>
  <c r="L86" i="5"/>
  <c r="R85" i="5"/>
  <c r="L85" i="5"/>
  <c r="R84" i="5"/>
  <c r="L84" i="5"/>
  <c r="R83" i="5"/>
  <c r="L83" i="5"/>
  <c r="R82" i="5"/>
  <c r="L82" i="5"/>
  <c r="R81" i="5"/>
  <c r="L81" i="5"/>
  <c r="R80" i="5"/>
  <c r="P80" i="5"/>
  <c r="L80" i="5"/>
  <c r="R79" i="5"/>
  <c r="L79" i="5"/>
  <c r="R78" i="5"/>
  <c r="L78" i="5"/>
  <c r="R77" i="5"/>
  <c r="L77" i="5"/>
  <c r="R76" i="5"/>
  <c r="L76" i="5"/>
  <c r="R75" i="5"/>
  <c r="L75" i="5"/>
  <c r="R74" i="5"/>
  <c r="L74" i="5"/>
  <c r="R73" i="5"/>
  <c r="L73" i="5"/>
  <c r="R72" i="5"/>
  <c r="M72" i="5"/>
  <c r="L72" i="5"/>
  <c r="R71" i="5"/>
  <c r="L71" i="5"/>
  <c r="R70" i="5"/>
  <c r="L70" i="5"/>
  <c r="R69" i="5"/>
  <c r="L69" i="5"/>
  <c r="R68" i="5"/>
  <c r="M68" i="5"/>
  <c r="L68" i="5"/>
  <c r="R67" i="5"/>
  <c r="L67" i="5"/>
  <c r="R66" i="5"/>
  <c r="L66" i="5"/>
  <c r="R65" i="5"/>
  <c r="L65" i="5"/>
  <c r="R64" i="5"/>
  <c r="L64" i="5"/>
  <c r="R63" i="5"/>
  <c r="L63" i="5"/>
  <c r="R62" i="5"/>
  <c r="M62" i="5"/>
  <c r="L62" i="5"/>
  <c r="R61" i="5"/>
  <c r="L61" i="5"/>
  <c r="R60" i="5"/>
  <c r="L60" i="5"/>
  <c r="R59" i="5"/>
  <c r="M59" i="5"/>
  <c r="L59" i="5"/>
  <c r="R58" i="5"/>
  <c r="L58" i="5"/>
  <c r="R57" i="5"/>
  <c r="P57" i="5"/>
  <c r="P58" i="5" s="1"/>
  <c r="L57" i="5"/>
  <c r="R56" i="5"/>
  <c r="P56" i="5"/>
  <c r="L56" i="5"/>
  <c r="R55" i="5"/>
  <c r="L55" i="5"/>
  <c r="R54" i="5"/>
  <c r="L54" i="5"/>
  <c r="R53" i="5"/>
  <c r="L53" i="5"/>
  <c r="R52" i="5"/>
  <c r="L52" i="5"/>
  <c r="R51" i="5"/>
  <c r="P51" i="5"/>
  <c r="P52" i="5" s="1"/>
  <c r="P53" i="5" s="1"/>
  <c r="P54" i="5" s="1"/>
  <c r="M51" i="5"/>
  <c r="M52" i="5" s="1"/>
  <c r="M53" i="5" s="1"/>
  <c r="M54" i="5" s="1"/>
  <c r="M55" i="5" s="1"/>
  <c r="M56" i="5" s="1"/>
  <c r="L51" i="5"/>
  <c r="R50" i="5"/>
  <c r="L50" i="5"/>
  <c r="R49" i="5"/>
  <c r="P49" i="5"/>
  <c r="M49" i="5"/>
  <c r="L49" i="5"/>
  <c r="R48" i="5"/>
  <c r="L48" i="5"/>
  <c r="R47" i="5"/>
  <c r="L47" i="5"/>
  <c r="R46" i="5"/>
  <c r="P46" i="5"/>
  <c r="L46" i="5"/>
  <c r="R45" i="5"/>
  <c r="L45" i="5"/>
  <c r="R44" i="5"/>
  <c r="L44" i="5"/>
  <c r="R43" i="5"/>
  <c r="P43" i="5"/>
  <c r="M43" i="5"/>
  <c r="L43" i="5"/>
  <c r="R42" i="5"/>
  <c r="L42" i="5"/>
  <c r="R41" i="5"/>
  <c r="M41" i="5"/>
  <c r="L41" i="5"/>
  <c r="R40" i="5"/>
  <c r="P40" i="5"/>
  <c r="L40" i="5"/>
  <c r="R39" i="5"/>
  <c r="L39" i="5"/>
  <c r="R38" i="5"/>
  <c r="L38" i="5"/>
  <c r="R37" i="5"/>
  <c r="L37" i="5"/>
  <c r="R36" i="5"/>
  <c r="L36" i="5"/>
  <c r="R35" i="5"/>
  <c r="M35" i="5"/>
  <c r="M36" i="5" s="1"/>
  <c r="L35" i="5"/>
  <c r="R34" i="5"/>
  <c r="L34" i="5"/>
  <c r="R33" i="5"/>
  <c r="L33" i="5"/>
  <c r="R32" i="5"/>
  <c r="L32" i="5"/>
  <c r="R31" i="5"/>
  <c r="L31" i="5"/>
  <c r="R30" i="5"/>
  <c r="L30" i="5"/>
  <c r="R29" i="5"/>
  <c r="L29" i="5"/>
  <c r="R28" i="5"/>
  <c r="M28" i="5"/>
  <c r="M29" i="5" s="1"/>
  <c r="L28" i="5"/>
  <c r="R27" i="5"/>
  <c r="L27" i="5"/>
  <c r="R26" i="5"/>
  <c r="L26" i="5"/>
  <c r="R25" i="5"/>
  <c r="L25" i="5"/>
  <c r="R24" i="5"/>
  <c r="L24" i="5"/>
  <c r="R23" i="5"/>
  <c r="M23" i="5"/>
  <c r="M24" i="5" s="1"/>
  <c r="L23" i="5"/>
  <c r="R22" i="5"/>
  <c r="L22" i="5"/>
  <c r="R21" i="5"/>
  <c r="L21" i="5"/>
  <c r="R20" i="5"/>
  <c r="L20" i="5"/>
  <c r="R19" i="5"/>
  <c r="L19" i="5"/>
  <c r="R18" i="5"/>
  <c r="M18" i="5"/>
  <c r="M19" i="5" s="1"/>
  <c r="M20" i="5" s="1"/>
  <c r="L18" i="5"/>
  <c r="R17" i="5"/>
  <c r="L17" i="5"/>
  <c r="R16" i="5"/>
  <c r="L16" i="5"/>
  <c r="R15" i="5"/>
  <c r="M15" i="5"/>
  <c r="L15" i="5"/>
  <c r="R14" i="5"/>
  <c r="P14" i="5"/>
  <c r="M14" i="5"/>
  <c r="L14" i="5"/>
  <c r="R13" i="5"/>
  <c r="M13" i="5"/>
  <c r="L13" i="5"/>
  <c r="R12" i="5"/>
  <c r="L12" i="5"/>
  <c r="R11" i="5"/>
  <c r="L11" i="5"/>
  <c r="R10" i="5"/>
  <c r="M10" i="5"/>
  <c r="M11" i="5" s="1"/>
  <c r="L10" i="5"/>
  <c r="R9" i="5"/>
  <c r="M9" i="5"/>
  <c r="L9" i="5"/>
  <c r="R8" i="5"/>
  <c r="L8" i="5"/>
  <c r="R7" i="5"/>
  <c r="L7" i="5"/>
  <c r="R6" i="5"/>
  <c r="P6" i="5"/>
  <c r="L6" i="5"/>
  <c r="R5" i="5"/>
  <c r="L5" i="5"/>
  <c r="R4" i="5"/>
  <c r="M4" i="5"/>
  <c r="M5" i="5" s="1"/>
  <c r="M6" i="5" s="1"/>
  <c r="L4" i="5"/>
  <c r="R3" i="5"/>
  <c r="L3" i="5"/>
  <c r="R2" i="5"/>
  <c r="L2" i="5"/>
  <c r="N2" i="4"/>
  <c r="M2" i="4"/>
  <c r="L2" i="4"/>
  <c r="K2" i="4"/>
  <c r="J2" i="4"/>
  <c r="I2" i="4"/>
  <c r="H2" i="4"/>
  <c r="G2" i="4"/>
  <c r="F2" i="4"/>
  <c r="E2" i="4"/>
  <c r="D2" i="4"/>
  <c r="C2" i="4"/>
  <c r="B2" i="4"/>
  <c r="A2" i="4"/>
  <c r="O1414" i="3"/>
  <c r="O1413" i="3"/>
  <c r="O1412" i="3"/>
  <c r="O1411" i="3"/>
  <c r="O1410" i="3"/>
  <c r="O1409" i="3"/>
  <c r="O1408" i="3"/>
  <c r="O1407" i="3"/>
  <c r="O1406" i="3"/>
  <c r="O1405" i="3"/>
  <c r="O1404" i="3"/>
  <c r="O1403" i="3"/>
  <c r="O1402" i="3"/>
  <c r="O1401" i="3"/>
  <c r="O1400" i="3"/>
  <c r="O1399" i="3"/>
  <c r="O1398" i="3"/>
  <c r="O1397" i="3"/>
  <c r="O1396" i="3"/>
  <c r="O1395" i="3"/>
  <c r="J1395" i="3"/>
  <c r="O1394" i="3"/>
  <c r="O1393" i="3"/>
  <c r="O1392" i="3"/>
  <c r="O1391" i="3"/>
  <c r="O1390" i="3"/>
  <c r="O1389" i="3"/>
  <c r="O1388" i="3"/>
  <c r="O1387" i="3"/>
  <c r="O1386" i="3"/>
  <c r="O1385" i="3"/>
  <c r="O1384" i="3"/>
  <c r="O1383" i="3"/>
  <c r="O1382" i="3"/>
  <c r="O1381" i="3"/>
  <c r="O1380" i="3"/>
  <c r="O1379" i="3"/>
  <c r="O1378" i="3"/>
  <c r="O1377" i="3"/>
  <c r="O1376" i="3"/>
  <c r="O1375" i="3"/>
  <c r="O1374" i="3"/>
  <c r="O1373" i="3"/>
  <c r="O1372" i="3"/>
  <c r="O1371" i="3"/>
  <c r="O1370" i="3"/>
  <c r="O1369" i="3"/>
  <c r="O1368" i="3"/>
  <c r="O1367" i="3"/>
  <c r="O1366" i="3"/>
  <c r="O1365" i="3"/>
  <c r="O1364" i="3"/>
  <c r="O1363" i="3"/>
  <c r="O1362" i="3"/>
  <c r="O1361" i="3"/>
  <c r="O1360" i="3"/>
  <c r="O1359" i="3"/>
  <c r="O1358" i="3"/>
  <c r="O1357" i="3"/>
  <c r="O1356" i="3"/>
  <c r="O1355" i="3"/>
  <c r="O1354" i="3"/>
  <c r="O1353" i="3"/>
  <c r="O1352" i="3"/>
  <c r="O1351" i="3"/>
  <c r="O1350" i="3"/>
  <c r="O1349" i="3"/>
  <c r="O1348" i="3"/>
  <c r="O1347" i="3"/>
  <c r="O1346" i="3"/>
  <c r="O1345" i="3"/>
  <c r="O1344" i="3"/>
  <c r="O1343" i="3"/>
  <c r="O1342" i="3"/>
  <c r="O1341" i="3"/>
  <c r="O1340" i="3"/>
  <c r="O1339" i="3"/>
  <c r="O1338" i="3"/>
  <c r="O1337" i="3"/>
  <c r="O1336" i="3"/>
  <c r="O1335" i="3"/>
  <c r="O1334" i="3"/>
  <c r="O1333" i="3"/>
  <c r="O1332" i="3"/>
  <c r="O1331" i="3"/>
  <c r="O1330" i="3"/>
  <c r="O1329" i="3"/>
  <c r="O1328" i="3"/>
  <c r="O1327" i="3"/>
  <c r="O1326" i="3"/>
  <c r="O1325" i="3"/>
  <c r="O1324" i="3"/>
  <c r="O1323" i="3"/>
  <c r="O1322" i="3"/>
  <c r="O1321" i="3"/>
  <c r="O1320" i="3"/>
  <c r="O1319" i="3"/>
  <c r="O1318" i="3"/>
  <c r="O1317" i="3"/>
  <c r="O1316" i="3"/>
  <c r="O1315" i="3"/>
  <c r="O1314" i="3"/>
  <c r="O1313" i="3"/>
  <c r="O1312" i="3"/>
  <c r="O1311" i="3"/>
  <c r="O1310" i="3"/>
  <c r="O1309" i="3"/>
  <c r="O1308" i="3"/>
  <c r="O1307" i="3"/>
  <c r="O1306" i="3"/>
  <c r="O1305" i="3"/>
  <c r="O1304" i="3"/>
  <c r="O1303" i="3"/>
  <c r="O1302" i="3"/>
  <c r="O1301" i="3"/>
  <c r="O1300" i="3"/>
  <c r="O1299" i="3"/>
  <c r="O1298" i="3"/>
  <c r="O1297" i="3"/>
  <c r="O1296" i="3"/>
  <c r="O1295" i="3"/>
  <c r="O1294" i="3"/>
  <c r="O1293" i="3"/>
  <c r="O1292" i="3"/>
  <c r="O1291" i="3"/>
  <c r="O1290" i="3"/>
  <c r="O1289" i="3"/>
  <c r="O1288" i="3"/>
  <c r="O1287" i="3"/>
  <c r="O1286" i="3"/>
  <c r="O1285" i="3"/>
  <c r="O1284" i="3"/>
  <c r="O1283" i="3"/>
  <c r="O1282" i="3"/>
  <c r="O1281" i="3"/>
  <c r="O1280" i="3"/>
  <c r="O1279" i="3"/>
  <c r="O1278" i="3"/>
  <c r="O1277" i="3"/>
  <c r="O1276" i="3"/>
  <c r="O1275" i="3"/>
  <c r="O1274" i="3"/>
  <c r="O1273" i="3"/>
  <c r="O1272" i="3"/>
  <c r="O1271" i="3"/>
  <c r="O1270" i="3"/>
  <c r="O1269" i="3"/>
  <c r="O1268" i="3"/>
  <c r="O1267" i="3"/>
  <c r="O1266" i="3"/>
  <c r="O1265" i="3"/>
  <c r="O1264" i="3"/>
  <c r="O1263" i="3"/>
  <c r="O1262" i="3"/>
  <c r="O1261" i="3"/>
  <c r="O1260" i="3"/>
  <c r="O1259" i="3"/>
  <c r="O1258" i="3"/>
  <c r="O1257" i="3"/>
  <c r="O1256" i="3"/>
  <c r="O1255" i="3"/>
  <c r="O1254" i="3"/>
  <c r="O1253" i="3"/>
  <c r="O1252" i="3"/>
  <c r="O1251" i="3"/>
  <c r="O1250" i="3"/>
  <c r="O1249" i="3"/>
  <c r="O1248" i="3"/>
  <c r="O1247" i="3"/>
  <c r="O1246" i="3"/>
  <c r="O1245" i="3"/>
  <c r="O1244" i="3"/>
  <c r="O1243" i="3"/>
  <c r="O1242" i="3"/>
  <c r="O1241" i="3"/>
  <c r="O1240" i="3"/>
  <c r="O1239" i="3"/>
  <c r="O1238" i="3"/>
  <c r="O1237" i="3"/>
  <c r="O1236" i="3"/>
  <c r="O1235" i="3"/>
  <c r="O1234" i="3"/>
  <c r="O1233" i="3"/>
  <c r="O1232" i="3"/>
  <c r="O1231" i="3"/>
  <c r="O1230" i="3"/>
  <c r="O1229" i="3"/>
  <c r="O1228" i="3"/>
  <c r="O1227" i="3"/>
  <c r="O1226" i="3"/>
  <c r="O1225" i="3"/>
  <c r="O1224" i="3"/>
  <c r="O1223" i="3"/>
  <c r="O1222" i="3"/>
  <c r="O1221" i="3"/>
  <c r="O1220" i="3"/>
  <c r="O1219" i="3"/>
  <c r="O1218" i="3"/>
  <c r="O1217" i="3"/>
  <c r="O1216" i="3"/>
  <c r="O1215" i="3"/>
  <c r="O1214" i="3"/>
  <c r="O1213" i="3"/>
  <c r="O1212" i="3"/>
  <c r="O1211" i="3"/>
  <c r="O1210" i="3"/>
  <c r="O1209" i="3"/>
  <c r="O1208" i="3"/>
  <c r="O1207" i="3"/>
  <c r="O1206" i="3"/>
  <c r="O1205" i="3"/>
  <c r="O1204" i="3"/>
  <c r="O1203" i="3"/>
  <c r="O1202" i="3"/>
  <c r="O1201" i="3"/>
  <c r="O1200" i="3"/>
  <c r="O1199" i="3"/>
  <c r="O1198" i="3"/>
  <c r="O1197" i="3"/>
  <c r="O1196" i="3"/>
  <c r="O1195" i="3"/>
  <c r="O1194" i="3"/>
  <c r="O1193" i="3"/>
  <c r="O1192" i="3"/>
  <c r="O1191" i="3"/>
  <c r="O1190" i="3"/>
  <c r="O1189" i="3"/>
  <c r="O1188" i="3"/>
  <c r="O1187" i="3"/>
  <c r="O1186" i="3"/>
  <c r="O1185" i="3"/>
  <c r="O1184" i="3"/>
  <c r="O1183" i="3"/>
  <c r="O1182" i="3"/>
  <c r="O1181" i="3"/>
  <c r="O1180" i="3"/>
  <c r="O1179" i="3"/>
  <c r="O1178" i="3"/>
  <c r="O1177" i="3"/>
  <c r="O1176" i="3"/>
  <c r="O1175" i="3"/>
  <c r="O1174" i="3"/>
  <c r="O1173" i="3"/>
  <c r="O1172" i="3"/>
  <c r="O1171" i="3"/>
  <c r="O1170" i="3"/>
  <c r="O1169" i="3"/>
  <c r="O1168" i="3"/>
  <c r="O1167" i="3"/>
  <c r="O1166" i="3"/>
  <c r="O1165" i="3"/>
  <c r="O1164" i="3"/>
  <c r="O1163" i="3"/>
  <c r="O1162" i="3"/>
  <c r="O1161" i="3"/>
  <c r="O1160" i="3"/>
  <c r="O1159" i="3"/>
  <c r="O1158" i="3"/>
  <c r="O1157" i="3"/>
  <c r="O1156" i="3"/>
  <c r="O1155" i="3"/>
  <c r="O1154" i="3"/>
  <c r="O1153" i="3"/>
  <c r="O1152" i="3"/>
  <c r="O1151" i="3"/>
  <c r="O1150" i="3"/>
  <c r="O1149" i="3"/>
  <c r="O1148" i="3"/>
  <c r="O1147" i="3"/>
  <c r="O1146" i="3"/>
  <c r="O1145" i="3"/>
  <c r="O1144" i="3"/>
  <c r="O1143" i="3"/>
  <c r="O1142" i="3"/>
  <c r="O1141" i="3"/>
  <c r="O1140" i="3"/>
  <c r="O1139" i="3"/>
  <c r="O1138" i="3"/>
  <c r="O1137" i="3"/>
  <c r="O1136" i="3"/>
  <c r="O1135" i="3"/>
  <c r="O1134" i="3"/>
  <c r="O1133" i="3"/>
  <c r="O1132" i="3"/>
  <c r="O1131" i="3"/>
  <c r="O1130" i="3"/>
  <c r="O1129" i="3"/>
  <c r="O1128" i="3"/>
  <c r="O1127" i="3"/>
  <c r="O1126" i="3"/>
  <c r="O1125" i="3"/>
  <c r="O1124" i="3"/>
  <c r="O1123" i="3"/>
  <c r="O1122" i="3"/>
  <c r="O1121" i="3"/>
  <c r="O1120" i="3"/>
  <c r="O1119" i="3"/>
  <c r="O1118" i="3"/>
  <c r="O1117" i="3"/>
  <c r="O1116" i="3"/>
  <c r="O1115" i="3"/>
  <c r="O1114" i="3"/>
  <c r="O1113" i="3"/>
  <c r="O1112" i="3"/>
  <c r="O1111" i="3"/>
  <c r="O1110" i="3"/>
  <c r="O1109" i="3"/>
  <c r="O1108" i="3"/>
  <c r="O1107" i="3"/>
  <c r="O1106" i="3"/>
  <c r="O1105" i="3"/>
  <c r="O1104" i="3"/>
  <c r="O1103" i="3"/>
  <c r="O1102" i="3"/>
  <c r="O1101" i="3"/>
  <c r="O1100" i="3"/>
  <c r="O1099" i="3"/>
  <c r="O1098" i="3"/>
  <c r="O1097" i="3"/>
  <c r="O1096" i="3"/>
  <c r="O1095" i="3"/>
  <c r="O1094" i="3"/>
  <c r="O1093" i="3"/>
  <c r="O1092" i="3"/>
  <c r="O1091" i="3"/>
  <c r="O1090" i="3"/>
  <c r="O1089" i="3"/>
  <c r="O1088" i="3"/>
  <c r="O1087" i="3"/>
  <c r="O1086" i="3"/>
  <c r="O1085" i="3"/>
  <c r="O1084" i="3"/>
  <c r="O1083" i="3"/>
  <c r="O1082" i="3"/>
  <c r="O1081" i="3"/>
  <c r="O1080" i="3"/>
  <c r="O1079" i="3"/>
  <c r="O1078" i="3"/>
  <c r="O1077" i="3"/>
  <c r="O1076" i="3"/>
  <c r="O1075" i="3"/>
  <c r="O1074" i="3"/>
  <c r="O1073" i="3"/>
  <c r="O1072" i="3"/>
  <c r="O1071" i="3"/>
  <c r="O1070" i="3"/>
  <c r="O1069" i="3"/>
  <c r="O1068" i="3"/>
  <c r="O1067" i="3"/>
  <c r="O1066" i="3"/>
  <c r="O1065" i="3"/>
  <c r="O1064" i="3"/>
  <c r="O1063" i="3"/>
  <c r="O1062" i="3"/>
  <c r="O1061" i="3"/>
  <c r="O1060" i="3"/>
  <c r="O1059" i="3"/>
  <c r="O1058" i="3"/>
  <c r="O1057" i="3"/>
  <c r="O1056" i="3"/>
  <c r="O1055" i="3"/>
  <c r="O1054" i="3"/>
  <c r="O1053" i="3"/>
  <c r="O1052" i="3"/>
  <c r="O1051" i="3"/>
  <c r="O1050" i="3"/>
  <c r="O1049" i="3"/>
  <c r="O1048" i="3"/>
  <c r="O1047" i="3"/>
  <c r="O1046" i="3"/>
  <c r="O1045" i="3"/>
  <c r="O1044" i="3"/>
  <c r="O1043" i="3"/>
  <c r="O1042" i="3"/>
  <c r="O1041" i="3"/>
  <c r="O1040" i="3"/>
  <c r="O1039" i="3"/>
  <c r="O1038" i="3"/>
  <c r="O1037" i="3"/>
  <c r="O1036" i="3"/>
  <c r="O1035" i="3"/>
  <c r="O1034" i="3"/>
  <c r="O1033" i="3"/>
  <c r="O1032" i="3"/>
  <c r="O1031" i="3"/>
  <c r="O1030" i="3"/>
  <c r="O1029" i="3"/>
  <c r="O1028" i="3"/>
  <c r="O1027" i="3"/>
  <c r="O1026" i="3"/>
  <c r="O1025" i="3"/>
  <c r="O1024" i="3"/>
  <c r="O1023" i="3"/>
  <c r="O1022" i="3"/>
  <c r="O1021" i="3"/>
  <c r="O1020" i="3"/>
  <c r="O1019" i="3"/>
  <c r="O1018" i="3"/>
  <c r="O1017" i="3"/>
  <c r="O1016" i="3"/>
  <c r="O1015" i="3"/>
  <c r="O1014" i="3"/>
  <c r="O1013" i="3"/>
  <c r="O1012" i="3"/>
  <c r="O1011" i="3"/>
  <c r="O1010" i="3"/>
  <c r="O1009" i="3"/>
  <c r="O1008" i="3"/>
  <c r="O1007" i="3"/>
  <c r="O1006" i="3"/>
  <c r="O1005" i="3"/>
  <c r="O1004" i="3"/>
  <c r="O1003" i="3"/>
  <c r="O1002" i="3"/>
  <c r="O1001" i="3"/>
  <c r="O1000" i="3"/>
  <c r="O999" i="3"/>
  <c r="O998" i="3"/>
  <c r="O997" i="3"/>
  <c r="O996" i="3"/>
  <c r="O995" i="3"/>
  <c r="O994" i="3"/>
  <c r="O993" i="3"/>
  <c r="O992" i="3"/>
  <c r="O991" i="3"/>
  <c r="O990" i="3"/>
  <c r="O989" i="3"/>
  <c r="O988" i="3"/>
  <c r="O987" i="3"/>
  <c r="O986" i="3"/>
  <c r="O985" i="3"/>
  <c r="O984" i="3"/>
  <c r="O983" i="3"/>
  <c r="O982" i="3"/>
  <c r="O981" i="3"/>
  <c r="O980" i="3"/>
  <c r="O979" i="3"/>
  <c r="O978" i="3"/>
  <c r="O977" i="3"/>
  <c r="O976" i="3"/>
  <c r="O975" i="3"/>
  <c r="O974" i="3"/>
  <c r="O973" i="3"/>
  <c r="O972" i="3"/>
  <c r="O971" i="3"/>
  <c r="O970" i="3"/>
  <c r="O969" i="3"/>
  <c r="O968" i="3"/>
  <c r="O967" i="3"/>
  <c r="O966" i="3"/>
  <c r="O965" i="3"/>
  <c r="O964" i="3"/>
  <c r="O963" i="3"/>
  <c r="O962" i="3"/>
  <c r="O961" i="3"/>
  <c r="O960" i="3"/>
  <c r="O959" i="3"/>
  <c r="O958" i="3"/>
  <c r="O957" i="3"/>
  <c r="O956" i="3"/>
  <c r="O955" i="3"/>
  <c r="O954" i="3"/>
  <c r="O953" i="3"/>
  <c r="O952" i="3"/>
  <c r="O951" i="3"/>
  <c r="O950" i="3"/>
  <c r="O949" i="3"/>
  <c r="O948" i="3"/>
  <c r="O947" i="3"/>
  <c r="O946" i="3"/>
  <c r="O945" i="3"/>
  <c r="O944" i="3"/>
  <c r="O943" i="3"/>
  <c r="O942" i="3"/>
  <c r="O941" i="3"/>
  <c r="O940" i="3"/>
  <c r="O939" i="3"/>
  <c r="O938" i="3"/>
  <c r="O937" i="3"/>
  <c r="O936" i="3"/>
  <c r="O935" i="3"/>
  <c r="O934" i="3"/>
  <c r="O933" i="3"/>
  <c r="O932" i="3"/>
  <c r="O931" i="3"/>
  <c r="O930" i="3"/>
  <c r="O929" i="3"/>
  <c r="O928" i="3"/>
  <c r="O927" i="3"/>
  <c r="O926" i="3"/>
  <c r="O925" i="3"/>
  <c r="O924" i="3"/>
  <c r="O923" i="3"/>
  <c r="O922" i="3"/>
  <c r="O921" i="3"/>
  <c r="O920" i="3"/>
  <c r="O919" i="3"/>
  <c r="O918" i="3"/>
  <c r="O917" i="3"/>
  <c r="O916" i="3"/>
  <c r="O915" i="3"/>
  <c r="O914" i="3"/>
  <c r="O913" i="3"/>
  <c r="O912" i="3"/>
  <c r="O911" i="3"/>
  <c r="O910" i="3"/>
  <c r="O909" i="3"/>
  <c r="O908" i="3"/>
  <c r="O907" i="3"/>
  <c r="O906" i="3"/>
  <c r="O905" i="3"/>
  <c r="O904" i="3"/>
  <c r="O903" i="3"/>
  <c r="O902" i="3"/>
  <c r="O901" i="3"/>
  <c r="O900" i="3"/>
  <c r="O899" i="3"/>
  <c r="O898" i="3"/>
  <c r="O897" i="3"/>
  <c r="O896" i="3"/>
  <c r="O895" i="3"/>
  <c r="O894" i="3"/>
  <c r="O893" i="3"/>
  <c r="O892" i="3"/>
  <c r="O891" i="3"/>
  <c r="O890" i="3"/>
  <c r="O889" i="3"/>
  <c r="O888" i="3"/>
  <c r="O887" i="3"/>
  <c r="O886" i="3"/>
  <c r="O885" i="3"/>
  <c r="O884" i="3"/>
  <c r="O883" i="3"/>
  <c r="O882" i="3"/>
  <c r="O881" i="3"/>
  <c r="O880" i="3"/>
  <c r="O879" i="3"/>
  <c r="O878" i="3"/>
  <c r="O877" i="3"/>
  <c r="O876" i="3"/>
  <c r="O875" i="3"/>
  <c r="O874" i="3"/>
  <c r="O873" i="3"/>
  <c r="O872" i="3"/>
  <c r="O871" i="3"/>
  <c r="O870" i="3"/>
  <c r="O869" i="3"/>
  <c r="O868" i="3"/>
  <c r="O867" i="3"/>
  <c r="O866" i="3"/>
  <c r="O865" i="3"/>
  <c r="O864" i="3"/>
  <c r="O863" i="3"/>
  <c r="O862" i="3"/>
  <c r="O861" i="3"/>
  <c r="O860" i="3"/>
  <c r="O859" i="3"/>
  <c r="O858" i="3"/>
  <c r="O857" i="3"/>
  <c r="O856" i="3"/>
  <c r="O855" i="3"/>
  <c r="O854" i="3"/>
  <c r="O853" i="3"/>
  <c r="O852" i="3"/>
  <c r="O851" i="3"/>
  <c r="O850" i="3"/>
  <c r="O849" i="3"/>
  <c r="O848" i="3"/>
  <c r="O847" i="3"/>
  <c r="O846" i="3"/>
  <c r="O845" i="3"/>
  <c r="O844" i="3"/>
  <c r="O843" i="3"/>
  <c r="O842" i="3"/>
  <c r="O841" i="3"/>
  <c r="O840" i="3"/>
  <c r="O839" i="3"/>
  <c r="O838" i="3"/>
  <c r="O837" i="3"/>
  <c r="O836" i="3"/>
  <c r="O835" i="3"/>
  <c r="O834" i="3"/>
  <c r="O833" i="3"/>
  <c r="O832" i="3"/>
  <c r="O831" i="3"/>
  <c r="O830" i="3"/>
  <c r="O829" i="3"/>
  <c r="O828" i="3"/>
  <c r="O827" i="3"/>
  <c r="O826" i="3"/>
  <c r="O825" i="3"/>
  <c r="O824" i="3"/>
  <c r="O823" i="3"/>
  <c r="O822" i="3"/>
  <c r="O821" i="3"/>
  <c r="O820" i="3"/>
  <c r="O819" i="3"/>
  <c r="O818" i="3"/>
  <c r="O817" i="3"/>
  <c r="O816" i="3"/>
  <c r="O815" i="3"/>
  <c r="O814" i="3"/>
  <c r="O813" i="3"/>
  <c r="O812" i="3"/>
  <c r="O811" i="3"/>
  <c r="O810" i="3"/>
  <c r="O809" i="3"/>
  <c r="O808" i="3"/>
  <c r="O807" i="3"/>
  <c r="O806" i="3"/>
  <c r="O805" i="3"/>
  <c r="O804" i="3"/>
  <c r="O803" i="3"/>
  <c r="O802" i="3"/>
  <c r="O801" i="3"/>
  <c r="O800" i="3"/>
  <c r="O799" i="3"/>
  <c r="O798" i="3"/>
  <c r="O797" i="3"/>
  <c r="O796" i="3"/>
  <c r="O795" i="3"/>
  <c r="O794" i="3"/>
  <c r="O793" i="3"/>
  <c r="O792" i="3"/>
  <c r="O791" i="3"/>
  <c r="O790" i="3"/>
  <c r="O789" i="3"/>
  <c r="O788" i="3"/>
  <c r="O787" i="3"/>
  <c r="O786" i="3"/>
  <c r="O785" i="3"/>
  <c r="O784" i="3"/>
  <c r="O783" i="3"/>
  <c r="O782" i="3"/>
  <c r="O781" i="3"/>
  <c r="O780" i="3"/>
  <c r="O779" i="3"/>
  <c r="O778" i="3"/>
  <c r="O777" i="3"/>
  <c r="O776" i="3"/>
  <c r="O775" i="3"/>
  <c r="O774" i="3"/>
  <c r="O773" i="3"/>
  <c r="O772" i="3"/>
  <c r="O771" i="3"/>
  <c r="O770" i="3"/>
  <c r="O769" i="3"/>
  <c r="O768" i="3"/>
  <c r="O767" i="3"/>
  <c r="O766" i="3"/>
  <c r="O765" i="3"/>
  <c r="O764" i="3"/>
  <c r="O763" i="3"/>
  <c r="O762" i="3"/>
  <c r="O761" i="3"/>
  <c r="O760" i="3"/>
  <c r="O759" i="3"/>
  <c r="O758" i="3"/>
  <c r="O757" i="3"/>
  <c r="O756" i="3"/>
  <c r="O755" i="3"/>
  <c r="O754" i="3"/>
  <c r="O753" i="3"/>
  <c r="O752" i="3"/>
  <c r="O751" i="3"/>
  <c r="O750" i="3"/>
  <c r="O749" i="3"/>
  <c r="O748" i="3"/>
  <c r="O747" i="3"/>
  <c r="O746" i="3"/>
  <c r="O745" i="3"/>
  <c r="O744" i="3"/>
  <c r="O743" i="3"/>
  <c r="O742" i="3"/>
  <c r="O741" i="3"/>
  <c r="O740" i="3"/>
  <c r="O739" i="3"/>
  <c r="O738" i="3"/>
  <c r="O737" i="3"/>
  <c r="O736" i="3"/>
  <c r="O735" i="3"/>
  <c r="O734" i="3"/>
  <c r="O733" i="3"/>
  <c r="O732" i="3"/>
  <c r="O731" i="3"/>
  <c r="O730" i="3"/>
  <c r="O729" i="3"/>
  <c r="O728" i="3"/>
  <c r="O727" i="3"/>
  <c r="O726" i="3"/>
  <c r="O725" i="3"/>
  <c r="O724" i="3"/>
  <c r="O723" i="3"/>
  <c r="O722" i="3"/>
  <c r="O721" i="3"/>
  <c r="O720" i="3"/>
  <c r="O719" i="3"/>
  <c r="O718" i="3"/>
  <c r="O717" i="3"/>
  <c r="O716" i="3"/>
  <c r="O715" i="3"/>
  <c r="O714" i="3"/>
  <c r="O713" i="3"/>
  <c r="O712" i="3"/>
  <c r="O711" i="3"/>
  <c r="O710" i="3"/>
  <c r="O709" i="3"/>
  <c r="O708" i="3"/>
  <c r="O707" i="3"/>
  <c r="O706" i="3"/>
  <c r="O705" i="3"/>
  <c r="O704" i="3"/>
  <c r="O703" i="3"/>
  <c r="O702" i="3"/>
  <c r="O701" i="3"/>
  <c r="O700" i="3"/>
  <c r="O699" i="3"/>
  <c r="O698" i="3"/>
  <c r="O697" i="3"/>
  <c r="O696" i="3"/>
  <c r="O695" i="3"/>
  <c r="O694" i="3"/>
  <c r="O693" i="3"/>
  <c r="O692" i="3"/>
  <c r="O691" i="3"/>
  <c r="O690" i="3"/>
  <c r="O689" i="3"/>
  <c r="O688" i="3"/>
  <c r="O687" i="3"/>
  <c r="O686" i="3"/>
  <c r="O685" i="3"/>
  <c r="O684" i="3"/>
  <c r="O683" i="3"/>
  <c r="O682" i="3"/>
  <c r="O681" i="3"/>
  <c r="O680" i="3"/>
  <c r="O679" i="3"/>
  <c r="O678" i="3"/>
  <c r="O677" i="3"/>
  <c r="O676" i="3"/>
  <c r="O675" i="3"/>
  <c r="O674" i="3"/>
  <c r="O673" i="3"/>
  <c r="O672" i="3"/>
  <c r="O671" i="3"/>
  <c r="O670" i="3"/>
  <c r="O669" i="3"/>
  <c r="O668" i="3"/>
  <c r="O667" i="3"/>
  <c r="O666" i="3"/>
  <c r="O665" i="3"/>
  <c r="O664" i="3"/>
  <c r="O663" i="3"/>
  <c r="O662" i="3"/>
  <c r="O661" i="3"/>
  <c r="O660" i="3"/>
  <c r="O659" i="3"/>
  <c r="O658" i="3"/>
  <c r="O657" i="3"/>
  <c r="O656" i="3"/>
  <c r="O655" i="3"/>
  <c r="O654" i="3"/>
  <c r="O653" i="3"/>
  <c r="O652" i="3"/>
  <c r="O651" i="3"/>
  <c r="O650" i="3"/>
  <c r="O649" i="3"/>
  <c r="O648" i="3"/>
  <c r="O647" i="3"/>
  <c r="O646" i="3"/>
  <c r="O645" i="3"/>
  <c r="O644" i="3"/>
  <c r="O643" i="3"/>
  <c r="O642" i="3"/>
  <c r="O641" i="3"/>
  <c r="O640" i="3"/>
  <c r="O639" i="3"/>
  <c r="O638" i="3"/>
  <c r="O637" i="3"/>
  <c r="O636" i="3"/>
  <c r="O635" i="3"/>
  <c r="O634" i="3"/>
  <c r="O633" i="3"/>
  <c r="O632" i="3"/>
  <c r="O631" i="3"/>
  <c r="O630" i="3"/>
  <c r="O629" i="3"/>
  <c r="O628" i="3"/>
  <c r="O627" i="3"/>
  <c r="O626" i="3"/>
  <c r="O625" i="3"/>
  <c r="O624" i="3"/>
  <c r="O623" i="3"/>
  <c r="O622" i="3"/>
  <c r="O621" i="3"/>
  <c r="O620" i="3"/>
  <c r="O619" i="3"/>
  <c r="O618" i="3"/>
  <c r="O617" i="3"/>
  <c r="O616" i="3"/>
  <c r="O615" i="3"/>
  <c r="O614" i="3"/>
  <c r="O613" i="3"/>
  <c r="O612" i="3"/>
  <c r="O611" i="3"/>
  <c r="O610" i="3"/>
  <c r="O609" i="3"/>
  <c r="O608" i="3"/>
  <c r="O607" i="3"/>
  <c r="O606" i="3"/>
  <c r="O605" i="3"/>
  <c r="O604" i="3"/>
  <c r="O603" i="3"/>
  <c r="O602" i="3"/>
  <c r="O601" i="3"/>
  <c r="O600" i="3"/>
  <c r="O599" i="3"/>
  <c r="O598" i="3"/>
  <c r="O597" i="3"/>
  <c r="O596" i="3"/>
  <c r="O595" i="3"/>
  <c r="O594" i="3"/>
  <c r="O593" i="3"/>
  <c r="O592" i="3"/>
  <c r="O591" i="3"/>
  <c r="O590" i="3"/>
  <c r="O589" i="3"/>
  <c r="O588" i="3"/>
  <c r="O587" i="3"/>
  <c r="O586" i="3"/>
  <c r="O585" i="3"/>
  <c r="O584" i="3"/>
  <c r="O583" i="3"/>
  <c r="O582" i="3"/>
  <c r="O581" i="3"/>
  <c r="O580" i="3"/>
  <c r="O579" i="3"/>
  <c r="O578" i="3"/>
  <c r="O577" i="3"/>
  <c r="O576" i="3"/>
  <c r="O575" i="3"/>
  <c r="O574" i="3"/>
  <c r="O573" i="3"/>
  <c r="O572" i="3"/>
  <c r="O571" i="3"/>
  <c r="O570" i="3"/>
  <c r="O569" i="3"/>
  <c r="O568" i="3"/>
  <c r="O567" i="3"/>
  <c r="O566" i="3"/>
  <c r="O565" i="3"/>
  <c r="O564" i="3"/>
  <c r="O563" i="3"/>
  <c r="O562" i="3"/>
  <c r="O561" i="3"/>
  <c r="O560" i="3"/>
  <c r="O559" i="3"/>
  <c r="O558" i="3"/>
  <c r="O557" i="3"/>
  <c r="O556" i="3"/>
  <c r="O555" i="3"/>
  <c r="O554" i="3"/>
  <c r="O553" i="3"/>
  <c r="O552" i="3"/>
  <c r="O551" i="3"/>
  <c r="O550" i="3"/>
  <c r="O549" i="3"/>
  <c r="O548" i="3"/>
  <c r="O547" i="3"/>
  <c r="O546" i="3"/>
  <c r="O545" i="3"/>
  <c r="O544" i="3"/>
  <c r="O543" i="3"/>
  <c r="O542" i="3"/>
  <c r="O541" i="3"/>
  <c r="O540" i="3"/>
  <c r="O539" i="3"/>
  <c r="O538" i="3"/>
  <c r="O537" i="3"/>
  <c r="O536" i="3"/>
  <c r="O535" i="3"/>
  <c r="O534" i="3"/>
  <c r="O533" i="3"/>
  <c r="O532" i="3"/>
  <c r="O531" i="3"/>
  <c r="O530" i="3"/>
  <c r="O529" i="3"/>
  <c r="O528" i="3"/>
  <c r="O527" i="3"/>
  <c r="O526" i="3"/>
  <c r="O525" i="3"/>
  <c r="O524" i="3"/>
  <c r="O523" i="3"/>
  <c r="O522" i="3"/>
  <c r="O521" i="3"/>
  <c r="O520" i="3"/>
  <c r="O519" i="3"/>
  <c r="O518" i="3"/>
  <c r="O517" i="3"/>
  <c r="O516" i="3"/>
  <c r="O515" i="3"/>
  <c r="O514" i="3"/>
  <c r="O513" i="3"/>
  <c r="O512" i="3"/>
  <c r="O511" i="3"/>
  <c r="O510" i="3"/>
  <c r="O509" i="3"/>
  <c r="O508" i="3"/>
  <c r="O507" i="3"/>
  <c r="O506" i="3"/>
  <c r="O505" i="3"/>
  <c r="O504" i="3"/>
  <c r="O503" i="3"/>
  <c r="O502" i="3"/>
  <c r="O501" i="3"/>
  <c r="O500" i="3"/>
  <c r="O499" i="3"/>
  <c r="O498" i="3"/>
  <c r="O497" i="3"/>
  <c r="O496" i="3"/>
  <c r="O495" i="3"/>
  <c r="O494" i="3"/>
  <c r="O493" i="3"/>
  <c r="O492" i="3"/>
  <c r="O491" i="3"/>
  <c r="O490" i="3"/>
  <c r="O489" i="3"/>
  <c r="O488" i="3"/>
  <c r="O487" i="3"/>
  <c r="O486" i="3"/>
  <c r="O485" i="3"/>
  <c r="O484" i="3"/>
  <c r="O483" i="3"/>
  <c r="O482" i="3"/>
  <c r="O481" i="3"/>
  <c r="O480" i="3"/>
  <c r="O479" i="3"/>
  <c r="O478" i="3"/>
  <c r="O477" i="3"/>
  <c r="O476" i="3"/>
  <c r="O475" i="3"/>
  <c r="O474" i="3"/>
  <c r="O473" i="3"/>
  <c r="O472" i="3"/>
  <c r="O471" i="3"/>
  <c r="O470" i="3"/>
  <c r="O469" i="3"/>
  <c r="O468" i="3"/>
  <c r="O467" i="3"/>
  <c r="O466" i="3"/>
  <c r="O465" i="3"/>
  <c r="O464" i="3"/>
  <c r="O463" i="3"/>
  <c r="O462" i="3"/>
  <c r="O461" i="3"/>
  <c r="O460" i="3"/>
  <c r="O459" i="3"/>
  <c r="O458" i="3"/>
  <c r="O457" i="3"/>
  <c r="O456" i="3"/>
  <c r="O455" i="3"/>
  <c r="O454" i="3"/>
  <c r="O453" i="3"/>
  <c r="O452" i="3"/>
  <c r="O451" i="3"/>
  <c r="O450" i="3"/>
  <c r="O449" i="3"/>
  <c r="O448" i="3"/>
  <c r="O447" i="3"/>
  <c r="O446" i="3"/>
  <c r="O445" i="3"/>
  <c r="O444" i="3"/>
  <c r="O443" i="3"/>
  <c r="O442" i="3"/>
  <c r="O441" i="3"/>
  <c r="O440" i="3"/>
  <c r="O439" i="3"/>
  <c r="O438" i="3"/>
  <c r="O437" i="3"/>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11" i="3"/>
  <c r="O410" i="3"/>
  <c r="O409" i="3"/>
  <c r="O408"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82" i="3"/>
  <c r="O381" i="3"/>
  <c r="O380" i="3"/>
  <c r="O379"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53" i="3"/>
  <c r="O352" i="3"/>
  <c r="O351" i="3"/>
  <c r="O350"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4" i="3"/>
  <c r="O323" i="3"/>
  <c r="O322" i="3"/>
  <c r="O321" i="3"/>
  <c r="O320" i="3"/>
  <c r="O319" i="3"/>
  <c r="O318" i="3"/>
  <c r="O317" i="3"/>
  <c r="O316" i="3"/>
  <c r="O315" i="3"/>
  <c r="O314" i="3"/>
  <c r="O313" i="3"/>
  <c r="J313" i="3"/>
  <c r="O312" i="3"/>
  <c r="O311" i="3"/>
  <c r="O310" i="3"/>
  <c r="O309" i="3"/>
  <c r="O308" i="3"/>
  <c r="O307" i="3"/>
  <c r="O306" i="3"/>
  <c r="O305" i="3"/>
  <c r="O304" i="3"/>
  <c r="O303" i="3"/>
  <c r="O302" i="3"/>
  <c r="O301" i="3"/>
  <c r="O300" i="3"/>
  <c r="O299" i="3"/>
  <c r="O298" i="3"/>
  <c r="O297" i="3"/>
  <c r="O296" i="3"/>
  <c r="O295" i="3"/>
  <c r="O294" i="3"/>
  <c r="O293" i="3"/>
  <c r="O292" i="3"/>
  <c r="O291" i="3"/>
  <c r="O290" i="3"/>
  <c r="O289" i="3"/>
  <c r="O288" i="3"/>
  <c r="O287" i="3"/>
  <c r="O286" i="3"/>
  <c r="O285" i="3"/>
  <c r="O284" i="3"/>
  <c r="O283" i="3"/>
  <c r="O282" i="3"/>
  <c r="O281" i="3"/>
  <c r="O280" i="3"/>
  <c r="O279" i="3"/>
  <c r="O278" i="3"/>
  <c r="J278" i="3"/>
  <c r="J279" i="3" s="1"/>
  <c r="J280" i="3" s="1"/>
  <c r="O277" i="3"/>
  <c r="O276" i="3"/>
  <c r="O275" i="3"/>
  <c r="O274" i="3"/>
  <c r="J274" i="3"/>
  <c r="J275" i="3" s="1"/>
  <c r="O273" i="3"/>
  <c r="O272" i="3"/>
  <c r="O271" i="3"/>
  <c r="O270" i="3"/>
  <c r="J270" i="3"/>
  <c r="O269" i="3"/>
  <c r="O268" i="3"/>
  <c r="O267" i="3"/>
  <c r="O266" i="3"/>
  <c r="O265" i="3"/>
  <c r="O264" i="3"/>
  <c r="J264" i="3"/>
  <c r="O263" i="3"/>
  <c r="O262" i="3"/>
  <c r="O261" i="3"/>
  <c r="J261" i="3"/>
  <c r="J262" i="3" s="1"/>
  <c r="O260" i="3"/>
  <c r="O259" i="3"/>
  <c r="O258" i="3"/>
  <c r="O257" i="3"/>
  <c r="O256" i="3"/>
  <c r="O255" i="3"/>
  <c r="O254" i="3"/>
  <c r="O253" i="3"/>
  <c r="O252" i="3"/>
  <c r="O251" i="3"/>
  <c r="O250" i="3"/>
  <c r="O249" i="3"/>
  <c r="O248" i="3"/>
  <c r="O247" i="3"/>
  <c r="O246" i="3"/>
  <c r="O245" i="3"/>
  <c r="O244" i="3"/>
  <c r="O243" i="3"/>
  <c r="J243" i="3"/>
  <c r="J244" i="3" s="1"/>
  <c r="J245" i="3" s="1"/>
  <c r="J246" i="3" s="1"/>
  <c r="O242" i="3"/>
  <c r="O241" i="3"/>
  <c r="O240" i="3"/>
  <c r="O239" i="3"/>
  <c r="O238" i="3"/>
  <c r="O237" i="3"/>
  <c r="O236" i="3"/>
  <c r="O235" i="3"/>
  <c r="O234"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J209" i="3"/>
  <c r="O208" i="3"/>
  <c r="O207" i="3"/>
  <c r="O206" i="3"/>
  <c r="O205" i="3"/>
  <c r="O204" i="3"/>
  <c r="O203" i="3"/>
  <c r="O202" i="3"/>
  <c r="O201" i="3"/>
  <c r="O200" i="3"/>
  <c r="O199" i="3"/>
  <c r="O198" i="3"/>
  <c r="O197" i="3"/>
  <c r="O196" i="3"/>
  <c r="O195" i="3"/>
  <c r="O194" i="3"/>
  <c r="O193" i="3"/>
  <c r="O192" i="3"/>
  <c r="O191" i="3"/>
  <c r="O190" i="3"/>
  <c r="O189" i="3"/>
  <c r="O188" i="3"/>
  <c r="O187" i="3"/>
  <c r="O186" i="3"/>
  <c r="O185" i="3"/>
  <c r="O184" i="3"/>
  <c r="O183" i="3"/>
  <c r="O182" i="3"/>
  <c r="O181" i="3"/>
  <c r="J181" i="3"/>
  <c r="O180" i="3"/>
  <c r="O179" i="3"/>
  <c r="O178" i="3"/>
  <c r="O177" i="3"/>
  <c r="O176" i="3"/>
  <c r="O175" i="3"/>
  <c r="O174" i="3"/>
  <c r="O173" i="3"/>
  <c r="O172" i="3"/>
  <c r="J172" i="3"/>
  <c r="O171" i="3"/>
  <c r="O170" i="3"/>
  <c r="O169" i="3"/>
  <c r="O168" i="3"/>
  <c r="O167" i="3"/>
  <c r="O166" i="3"/>
  <c r="O165" i="3"/>
  <c r="O164" i="3"/>
  <c r="O163" i="3"/>
  <c r="O162" i="3"/>
  <c r="O161" i="3"/>
  <c r="O160" i="3"/>
  <c r="O159" i="3"/>
  <c r="O158" i="3"/>
  <c r="O157" i="3"/>
  <c r="O156" i="3"/>
  <c r="O155" i="3"/>
  <c r="O154" i="3"/>
  <c r="O153" i="3"/>
  <c r="O152" i="3"/>
  <c r="O151" i="3"/>
  <c r="O150" i="3"/>
  <c r="O149" i="3"/>
  <c r="O148" i="3"/>
  <c r="O147" i="3"/>
  <c r="O146" i="3"/>
  <c r="O145" i="3"/>
  <c r="O144" i="3"/>
  <c r="J144" i="3"/>
  <c r="O143" i="3"/>
  <c r="O142" i="3"/>
  <c r="O141" i="3"/>
  <c r="O140" i="3"/>
  <c r="O139" i="3"/>
  <c r="O138" i="3"/>
  <c r="O137" i="3"/>
  <c r="O136" i="3"/>
  <c r="O135" i="3"/>
  <c r="O134" i="3"/>
  <c r="O133" i="3"/>
  <c r="O132" i="3"/>
  <c r="O131" i="3"/>
  <c r="O130" i="3"/>
  <c r="O129" i="3"/>
  <c r="O128" i="3"/>
  <c r="J128" i="3"/>
  <c r="J129" i="3" s="1"/>
  <c r="J130" i="3" s="1"/>
  <c r="O127" i="3"/>
  <c r="O126" i="3"/>
  <c r="O125" i="3"/>
  <c r="O124" i="3"/>
  <c r="O123" i="3"/>
  <c r="O122" i="3"/>
  <c r="O121" i="3"/>
  <c r="O120" i="3"/>
  <c r="O119" i="3"/>
  <c r="O118" i="3"/>
  <c r="O117" i="3"/>
  <c r="O116" i="3"/>
  <c r="O115" i="3"/>
  <c r="O114" i="3"/>
  <c r="O113" i="3"/>
  <c r="J113" i="3"/>
  <c r="O112" i="3"/>
  <c r="O111" i="3"/>
  <c r="J111" i="3"/>
  <c r="O110" i="3"/>
  <c r="O109" i="3"/>
  <c r="O108" i="3"/>
  <c r="O107" i="3"/>
  <c r="J107" i="3"/>
  <c r="J108" i="3" s="1"/>
  <c r="O106" i="3"/>
  <c r="J106" i="3"/>
  <c r="O105" i="3"/>
  <c r="O104" i="3"/>
  <c r="O103" i="3"/>
  <c r="O102" i="3"/>
  <c r="O101" i="3"/>
  <c r="O100" i="3"/>
  <c r="O99" i="3"/>
  <c r="O98" i="3"/>
  <c r="M98" i="3"/>
  <c r="O97" i="3"/>
  <c r="O96" i="3"/>
  <c r="O95" i="3"/>
  <c r="O94" i="3"/>
  <c r="O93" i="3"/>
  <c r="O92" i="3"/>
  <c r="O91" i="3"/>
  <c r="O90" i="3"/>
  <c r="O89" i="3"/>
  <c r="M89" i="3"/>
  <c r="O88" i="3"/>
  <c r="O87" i="3"/>
  <c r="O86" i="3"/>
  <c r="O85" i="3"/>
  <c r="O84" i="3"/>
  <c r="O83" i="3"/>
  <c r="O82" i="3"/>
  <c r="O81" i="3"/>
  <c r="O80" i="3"/>
  <c r="M80" i="3"/>
  <c r="O79" i="3"/>
  <c r="O78" i="3"/>
  <c r="O77" i="3"/>
  <c r="O76" i="3"/>
  <c r="O75" i="3"/>
  <c r="O74" i="3"/>
  <c r="O73" i="3"/>
  <c r="O72" i="3"/>
  <c r="J72" i="3"/>
  <c r="O71" i="3"/>
  <c r="O70" i="3"/>
  <c r="O69" i="3"/>
  <c r="O68" i="3"/>
  <c r="J68" i="3"/>
  <c r="O67" i="3"/>
  <c r="O66" i="3"/>
  <c r="O65" i="3"/>
  <c r="O64" i="3"/>
  <c r="O63" i="3"/>
  <c r="O62" i="3"/>
  <c r="J62" i="3"/>
  <c r="O61" i="3"/>
  <c r="O60" i="3"/>
  <c r="O59" i="3"/>
  <c r="J59" i="3"/>
  <c r="O58" i="3"/>
  <c r="O57" i="3"/>
  <c r="O56" i="3"/>
  <c r="M56" i="3"/>
  <c r="M57" i="3" s="1"/>
  <c r="M58" i="3" s="1"/>
  <c r="O55" i="3"/>
  <c r="O54" i="3"/>
  <c r="O53" i="3"/>
  <c r="O52" i="3"/>
  <c r="O51" i="3"/>
  <c r="M51" i="3"/>
  <c r="M52" i="3" s="1"/>
  <c r="M53" i="3" s="1"/>
  <c r="M54" i="3" s="1"/>
  <c r="J51" i="3"/>
  <c r="J52" i="3" s="1"/>
  <c r="J53" i="3" s="1"/>
  <c r="J54" i="3" s="1"/>
  <c r="J55" i="3" s="1"/>
  <c r="J56" i="3" s="1"/>
  <c r="O50" i="3"/>
  <c r="O49" i="3"/>
  <c r="M49" i="3"/>
  <c r="J49" i="3"/>
  <c r="O48" i="3"/>
  <c r="O47" i="3"/>
  <c r="O46" i="3"/>
  <c r="M46" i="3"/>
  <c r="O45" i="3"/>
  <c r="O44" i="3"/>
  <c r="O43" i="3"/>
  <c r="M43" i="3"/>
  <c r="J43" i="3"/>
  <c r="O42" i="3"/>
  <c r="O41" i="3"/>
  <c r="J41" i="3"/>
  <c r="O40" i="3"/>
  <c r="M40" i="3"/>
  <c r="O39" i="3"/>
  <c r="O38" i="3"/>
  <c r="O37" i="3"/>
  <c r="O36" i="3"/>
  <c r="J36" i="3"/>
  <c r="O35" i="3"/>
  <c r="J35" i="3"/>
  <c r="O34" i="3"/>
  <c r="O33" i="3"/>
  <c r="O32" i="3"/>
  <c r="O31" i="3"/>
  <c r="O30" i="3"/>
  <c r="O29" i="3"/>
  <c r="O28" i="3"/>
  <c r="J28" i="3"/>
  <c r="J29" i="3" s="1"/>
  <c r="O27" i="3"/>
  <c r="O26" i="3"/>
  <c r="O25" i="3"/>
  <c r="O24" i="3"/>
  <c r="J24" i="3"/>
  <c r="O23" i="3"/>
  <c r="J23" i="3"/>
  <c r="O22" i="3"/>
  <c r="O21" i="3"/>
  <c r="O20" i="3"/>
  <c r="O19" i="3"/>
  <c r="O18" i="3"/>
  <c r="J18" i="3"/>
  <c r="J19" i="3" s="1"/>
  <c r="J20" i="3" s="1"/>
  <c r="O17" i="3"/>
  <c r="O16" i="3"/>
  <c r="O15" i="3"/>
  <c r="O14" i="3"/>
  <c r="M14" i="3"/>
  <c r="O13" i="3"/>
  <c r="J13" i="3"/>
  <c r="J14" i="3" s="1"/>
  <c r="J15" i="3" s="1"/>
  <c r="O12" i="3"/>
  <c r="O11" i="3"/>
  <c r="O10" i="3"/>
  <c r="O9" i="3"/>
  <c r="J9" i="3"/>
  <c r="J10" i="3" s="1"/>
  <c r="J11" i="3" s="1"/>
  <c r="O8" i="3"/>
  <c r="O7" i="3"/>
  <c r="O6" i="3"/>
  <c r="M6" i="3"/>
  <c r="O5" i="3"/>
  <c r="O4" i="3"/>
  <c r="J4" i="3"/>
  <c r="J5" i="3" s="1"/>
  <c r="J6" i="3" s="1"/>
  <c r="O3" i="3"/>
  <c r="O2" i="3"/>
  <c r="N2" i="2"/>
  <c r="M2" i="2"/>
  <c r="L2" i="2"/>
  <c r="K2" i="2"/>
  <c r="J2" i="2"/>
  <c r="I2" i="2"/>
  <c r="H2" i="2"/>
  <c r="G2" i="2"/>
  <c r="F2" i="2"/>
  <c r="E2" i="2"/>
  <c r="D2" i="2"/>
  <c r="C2" i="2"/>
  <c r="B2" i="2"/>
  <c r="A2" i="2"/>
</calcChain>
</file>

<file path=xl/sharedStrings.xml><?xml version="1.0" encoding="utf-8"?>
<sst xmlns="http://schemas.openxmlformats.org/spreadsheetml/2006/main" count="39762" uniqueCount="514">
  <si>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</si>
  <si>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</si>
  <si>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</si>
  <si>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</si>
  <si>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</si>
  <si>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</si>
  <si>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</si>
  <si>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</si>
  <si>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</si>
  <si>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</si>
  <si>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</si>
  <si>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</si>
  <si>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</si>
  <si>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</si>
  <si>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</si>
  <si>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</si>
  <si>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</si>
  <si>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</si>
  <si>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</si>
  <si>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</si>
  <si>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</si>
  <si>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</si>
  <si>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</si>
  <si>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</si>
  <si>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</si>
  <si>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</si>
  <si>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</si>
  <si>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</si>
  <si>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</si>
  <si>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</si>
  <si>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</si>
  <si>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</si>
  <si>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</si>
  <si>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</si>
  <si>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</si>
  <si>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</si>
  <si>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</si>
  <si>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</si>
  <si>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</si>
  <si>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</si>
  <si>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</si>
  <si>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</si>
  <si>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</si>
  <si>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</si>
  <si>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</si>
  <si>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</si>
  <si>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</si>
  <si>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</si>
  <si>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</si>
  <si>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</si>
  <si>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</si>
  <si>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</si>
  <si>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</si>
  <si>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</si>
  <si>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</si>
  <si>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</si>
  <si>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</si>
  <si>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</si>
  <si>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</si>
  <si>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</si>
  <si>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</si>
  <si>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</si>
  <si>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</si>
  <si>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</si>
  <si>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</si>
  <si>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</si>
  <si>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</si>
  <si>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</si>
  <si>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</si>
  <si>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</si>
  <si>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</si>
  <si>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</si>
  <si>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</si>
  <si>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</si>
  <si>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</si>
  <si>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</si>
  <si>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</si>
  <si>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</si>
  <si>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</si>
  <si>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</si>
  <si>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</si>
  <si>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</si>
  <si>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</si>
  <si>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</si>
  <si>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</si>
  <si>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</si>
  <si>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</si>
  <si>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</si>
  <si>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</si>
  <si>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</si>
  <si>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</si>
  <si>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</si>
  <si>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</si>
  <si>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</si>
  <si>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</si>
  <si>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</si>
  <si>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</si>
  <si>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</si>
  <si>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</si>
  <si>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</si>
  <si>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</si>
  <si>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</si>
  <si>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</si>
  <si>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</si>
  <si>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</si>
  <si>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</si>
  <si>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</si>
  <si>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</si>
  <si>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</si>
  <si>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</si>
  <si>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</si>
  <si>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</si>
  <si>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</si>
  <si>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</si>
  <si>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</si>
  <si>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</si>
  <si>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</si>
  <si>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</si>
  <si>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</si>
  <si>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</si>
  <si>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</si>
  <si>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</si>
  <si>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</si>
  <si>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</si>
  <si>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</si>
  <si>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</si>
  <si>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</si>
  <si>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</si>
  <si>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</si>
  <si>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</si>
  <si>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</si>
  <si>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</si>
  <si>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</si>
  <si>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</si>
  <si>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</si>
  <si>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</si>
  <si>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</si>
  <si>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</si>
  <si>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</si>
  <si>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</si>
  <si>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</si>
  <si>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</si>
  <si>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</si>
  <si>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</si>
  <si>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</si>
  <si>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</si>
  <si>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</si>
  <si>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</si>
  <si>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</si>
  <si>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</si>
  <si>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</si>
  <si>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</si>
  <si>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</si>
  <si>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</si>
  <si>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</si>
  <si>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</si>
  <si>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</si>
  <si>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</si>
  <si>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</si>
  <si>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</si>
  <si>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</si>
  <si>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</si>
  <si>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</si>
  <si>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</si>
  <si>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</si>
  <si>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</si>
  <si>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</si>
  <si>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</si>
  <si>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</si>
  <si>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</si>
  <si>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</si>
  <si>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</si>
  <si>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</si>
  <si>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</si>
  <si>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</si>
  <si>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</si>
  <si>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</si>
  <si>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</si>
  <si>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</si>
  <si>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</si>
  <si>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</si>
  <si>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</si>
  <si>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</si>
  <si>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</si>
  <si>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</si>
  <si>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</si>
  <si>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</si>
  <si>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</si>
  <si>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</si>
  <si>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</si>
  <si>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</si>
  <si>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</si>
  <si>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</si>
  <si>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</si>
  <si>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</si>
  <si>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</si>
  <si>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</si>
  <si>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</si>
  <si>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</si>
  <si>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</si>
  <si>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</si>
  <si>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</si>
  <si>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</si>
  <si>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</si>
  <si>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</si>
  <si>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</si>
  <si>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</si>
  <si>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</si>
  <si>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</si>
  <si>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</si>
  <si>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</si>
  <si>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</si>
  <si>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</si>
  <si>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</si>
  <si>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</si>
  <si>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</si>
  <si>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</si>
  <si>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</si>
  <si>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</si>
  <si>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</si>
  <si>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</si>
  <si>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</si>
  <si>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</si>
  <si>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</si>
  <si>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</si>
  <si>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</si>
  <si>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</si>
  <si>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</si>
  <si>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</si>
  <si>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</si>
  <si>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</si>
  <si>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</si>
  <si>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</si>
  <si>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</si>
  <si>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</si>
  <si>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</si>
  <si>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</si>
  <si>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</si>
  <si>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</si>
  <si>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</si>
  <si>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</si>
  <si>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</si>
  <si>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</si>
  <si>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</si>
  <si>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</si>
  <si>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</si>
  <si>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</si>
  <si>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</si>
  <si>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</si>
  <si>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</si>
  <si>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</si>
  <si>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</si>
  <si>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</si>
  <si>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</si>
  <si>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</si>
  <si>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</si>
  <si>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</si>
  <si>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</si>
  <si>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</si>
  <si>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</si>
  <si>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</si>
  <si>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</si>
  <si>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</si>
  <si>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</si>
  <si>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</si>
  <si>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</si>
  <si>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</si>
  <si>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</si>
  <si>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</si>
  <si>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</si>
  <si>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</si>
  <si>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</si>
  <si>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</si>
  <si>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</si>
  <si>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</si>
  <si>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</si>
  <si>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</si>
  <si>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</si>
  <si>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</si>
  <si>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</si>
  <si>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</si>
  <si>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</si>
  <si>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</si>
  <si>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</si>
  <si>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</si>
  <si>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</si>
  <si>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</si>
  <si>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</si>
  <si>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</si>
  <si>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</si>
  <si>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</si>
  <si>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</si>
  <si>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</si>
  <si>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</si>
  <si>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</si>
  <si>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</si>
  <si>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</si>
  <si>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</si>
  <si>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</si>
  <si>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</si>
  <si>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</si>
  <si>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</si>
  <si>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</si>
  <si>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</si>
  <si>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</si>
  <si>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</si>
  <si>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</si>
  <si>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</si>
  <si>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</si>
  <si>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</si>
  <si>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</si>
  <si>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</si>
  <si>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</si>
  <si>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</si>
  <si>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</si>
  <si>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</si>
  <si>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</si>
  <si>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</si>
  <si>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</si>
  <si>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</si>
  <si>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</si>
  <si>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</si>
  <si>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</si>
  <si>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</si>
  <si>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</si>
  <si>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</si>
  <si>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</si>
  <si>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</si>
  <si>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</si>
  <si>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</si>
  <si>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</si>
  <si>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</si>
  <si>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</si>
  <si>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</si>
  <si>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</si>
  <si>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</si>
  <si>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</si>
  <si>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</si>
  <si>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</si>
  <si>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</si>
  <si>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</si>
  <si>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</si>
  <si>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</si>
  <si>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</si>
  <si>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</si>
  <si>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</si>
  <si>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</si>
  <si>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</si>
  <si>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</si>
  <si>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</si>
  <si>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</si>
  <si>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</si>
  <si>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</si>
  <si>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</si>
  <si>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</si>
  <si>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</si>
  <si>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</si>
  <si>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</si>
  <si>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</si>
  <si>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</si>
  <si>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</si>
  <si>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</si>
  <si>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</si>
  <si>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</si>
  <si>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</si>
  <si>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</si>
  <si>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</si>
  <si>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</si>
  <si>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</si>
  <si>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</si>
  <si>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</si>
  <si>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</si>
  <si>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</si>
  <si>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</si>
  <si>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</si>
  <si>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</si>
  <si>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</si>
  <si>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</si>
  <si>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</si>
  <si>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</si>
  <si>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</si>
  <si>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</si>
  <si>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</si>
  <si>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</si>
  <si>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</si>
  <si>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</si>
  <si>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</si>
  <si>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</si>
  <si>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</si>
  <si>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</si>
  <si>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</si>
  <si>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</si>
  <si>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</si>
  <si>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</si>
  <si>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</si>
  <si>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</si>
  <si>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</si>
  <si>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</si>
  <si>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</si>
  <si>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</si>
  <si>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</si>
  <si>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</si>
  <si>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</si>
  <si>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</si>
  <si>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</si>
  <si>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</si>
  <si>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</si>
  <si>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</si>
  <si>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</si>
  <si>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</si>
  <si>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</si>
  <si>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</si>
  <si>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</si>
  <si>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</si>
  <si>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</si>
  <si>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</si>
  <si>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</si>
  <si>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</si>
  <si>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</si>
  <si>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</si>
  <si>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</si>
  <si>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</si>
  <si>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</si>
  <si>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</si>
  <si>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</si>
  <si>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</si>
  <si>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</si>
  <si>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</si>
  <si>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</si>
  <si>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</si>
  <si>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</si>
  <si>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</si>
  <si>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</si>
  <si>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</si>
  <si>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</si>
  <si>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</si>
  <si>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</si>
  <si>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</si>
  <si>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</si>
  <si>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</si>
  <si>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</si>
  <si>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</si>
  <si>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</si>
  <si>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</si>
  <si>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</si>
  <si>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</si>
  <si>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</si>
  <si>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</si>
  <si>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</si>
  <si>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</si>
  <si>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</si>
  <si>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</si>
  <si>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</si>
  <si>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</si>
  <si>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</si>
  <si>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</si>
  <si>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</si>
  <si>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</si>
  <si>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</si>
  <si>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</si>
  <si>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</si>
  <si>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</si>
  <si>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</si>
  <si>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</si>
  <si>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</si>
  <si>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</si>
  <si>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</si>
  <si>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</si>
  <si>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</si>
  <si>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</si>
  <si>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</si>
  <si>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</si>
  <si>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</si>
  <si>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</si>
  <si>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</si>
  <si>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</si>
  <si>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</si>
  <si>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</si>
  <si>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</si>
  <si>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</si>
  <si>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</si>
  <si>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</si>
  <si>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</si>
  <si>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</si>
  <si>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</si>
  <si>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*From this analysis we get to know that Cristiano Ronaldo has scored more number of Solo Goals compared to Lionel Messi</t>
  </si>
  <si>
    <t>*Also, we got to know that Lionel Messi has scored more number of Goals through Assists compared to Christiano Ronaldo</t>
  </si>
  <si>
    <t>*From this analysis, we got to know that Lionel Messi had scored more number of goals in his club career for FC Barcelona</t>
  </si>
  <si>
    <t>*Whereas, Cristiano Ronaldo had scored more number of goals in his career for Real Madrid</t>
  </si>
  <si>
    <t>*From this analysis, we can say that both Lionel Messi and Cristiano Ronaldo have scored maximum number of goals in the winning cause followed by loosing cause</t>
  </si>
  <si>
    <t>*From this analysis, we can say that Cristiano Ronaldo had scored maximum number of goals for Real Madrid in the winning cause followed Manchester United</t>
  </si>
  <si>
    <t>*Lionel Messi had scored maximum number of goals for FC Barcelona in the winning cause followed by Paris Saint-German FC</t>
  </si>
  <si>
    <t>*Lionel Messi and Cristiano Ronaldo had also maximum number of goals in the loosing cause for same clubs</t>
  </si>
  <si>
    <t>*Lionel Messi had scored a record number of goals(79) in the year 2012</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</si>
  <si>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</si>
  <si>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</si>
  <si>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</si>
  <si>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*Ronaldo had scored highest number of goals(17) at 90th minute of the game in his entire club career</t>
  </si>
  <si>
    <t>*Lionel Messi had scored highest number of goals(14) at 55th minute of the game in his entire club career</t>
  </si>
  <si>
    <t>*Cristiano Ronaldo had scored most number of goals(255) in the fashion of Right-footed shot in his entire club career</t>
  </si>
  <si>
    <t>*Lionel Messi had scored most number of goals(436) in the fashion of Left-footed shot in his entire entire club career</t>
  </si>
  <si>
    <t>*His second major scoring fashion was through Penalties with a sum of 133 goals</t>
  </si>
  <si>
    <t>*His second major scoring fashion was Right-footed shot with a sum of 86 goals</t>
  </si>
  <si>
    <t>*Lionel Messi had scored most number of goals(38) against Sevilla FC in his entire club career</t>
  </si>
  <si>
    <t>*Cristiano Ronaldo had also scored most number of goals(27) against Sevilla FC in his entire club career</t>
  </si>
  <si>
    <t>*Both of them had scored equal number of least goals against multiple teams</t>
  </si>
  <si>
    <t>*Lionel Messi had scored highest number of goals(276) by playing as Centre Forward in his club career followed by Right Winger with 221 goals</t>
  </si>
  <si>
    <t>*Cristiano Ronaldo had scored highest number of goals(359) by playing as Left Winger in his club career followed by Centre Forward with 217 goals</t>
  </si>
  <si>
    <t>*Both Lionel Messi and Cristiano Ronaldo had scored highest number of goals in LaLiga with 474 and 311 goals respectively</t>
  </si>
  <si>
    <t>*Lionel Messi dominated in LaLiga whereas Cristiano Ronaldo dominated in UEFA Champions League</t>
  </si>
  <si>
    <t>*They both had have second highest number of goals in UEFA Champions League with 128 and 140 goals respectively</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</si>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</sst>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20">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0" fillId="0" borderId="0" xfId="0" applyAlignment="1">
      <alignment horizontal="center"/>
    </xf>
    <xf numFmtId="0" fontId="0" fillId="3" borderId="0" xfId="0" applyFill="1" applyAlignment="1">
      <alignment horizontal="center"/>
    </xf>
  </cellXfs>
  <cellStyles count="1">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1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8.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11/relationships/timelineCache" Target="timelineCaches/timelineCach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23-5CD5-41BB-B5C4-9A560BE3BB88}"/>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32-5CD5-41BB-B5C4-9A560BE3BB88}"/>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33-5CD5-41BB-B5C4-9A560BE3BB88}"/>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34-5CD5-41BB-B5C4-9A560BE3BB88}"/>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35-5CD5-41BB-B5C4-9A560BE3BB88}"/>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36-5CD5-41BB-B5C4-9A560BE3BB88}"/>
            </c:ext>
          </c:extLst>
        </c:ser>
        <c:dLbls>
          <c:showLegendKey val="0"/>
          <c:showVal val="0"/>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4-9EA4-4D05-BD10-11FF8AAA4E80}"/>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5-9EA4-4D05-BD10-11FF8AAA4E80}"/>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23-9B25-4A49-AC48-07461F619005}"/>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32-9B25-4A49-AC48-07461F619005}"/>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33-9B25-4A49-AC48-07461F619005}"/>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34-9B25-4A49-AC48-07461F619005}"/>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35-9B25-4A49-AC48-07461F619005}"/>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36-9B25-4A49-AC48-07461F619005}"/>
            </c:ext>
          </c:extLst>
        </c:ser>
        <c:dLbls>
          <c:showLegendKey val="0"/>
          <c:showVal val="0"/>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8-DDC0-4D09-9B26-42C837290165}"/>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7-D6F6-44F1-AA92-995C87A5E153}"/>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BA7-44A9-BECA-3DAFE78CD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BA7-44A9-BECA-3DAFE78CD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BA7-44A9-BECA-3DAFE78CD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BA7-44A9-BECA-3DAFE78CD12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BA7-44A9-BECA-3DAFE78CD12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BA7-44A9-BECA-3DAFE78CD12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BA7-44A9-BECA-3DAFE78CD12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BA7-44A9-BECA-3DAFE78CD12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BA7-44A9-BECA-3DAFE78CD12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BA7-44A9-BECA-3DAFE78CD12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BA7-44A9-BECA-3DAFE78CD12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BA7-44A9-BECA-3DAFE78CD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1E-F140-4A73-848C-97D15030078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FDC-4D28-9DF0-E78C9ECA6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0FDC-4D28-9DF0-E78C9ECA6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0FDC-4D28-9DF0-E78C9ECA6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0FDC-4D28-9DF0-E78C9ECA6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0FDC-4D28-9DF0-E78C9ECA6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0FDC-4D28-9DF0-E78C9ECA6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0FDC-4D28-9DF0-E78C9ECA63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0FDC-4D28-9DF0-E78C9ECA63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0FDC-4D28-9DF0-E78C9ECA63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0FDC-4D28-9DF0-E78C9ECA63B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0FDC-4D28-9DF0-E78C9ECA63B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0FDC-4D28-9DF0-E78C9ECA63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20-01DC-4996-B78E-349DD5736F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7-FCD5-40D1-9938-5FD826045124}"/>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7-2C99-4041-9E70-687F39E815C7}"/>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17FF-4DDB-950A-17E4E52CDFF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17FF-4DDB-950A-17E4E52CDF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17FF-4DDB-950A-17E4E52CDFF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17FF-4DDB-950A-17E4E52CD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17FF-4DDB-950A-17E4E52CDFF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17FF-4DDB-950A-17E4E52CDFF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17FF-4DDB-950A-17E4E52CDFF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17FF-4DDB-950A-17E4E52CDFF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17FF-4DDB-950A-17E4E52CDFF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17FF-4DDB-950A-17E4E52CDFF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17FF-4DDB-950A-17E4E52CDFF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17FF-4DDB-950A-17E4E52CDFF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17FF-4DDB-950A-17E4E52CDFF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17FF-4DDB-950A-17E4E52CDFF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17FF-4DDB-950A-17E4E52CDFF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17FF-4DDB-950A-17E4E52CDFFF}"/>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17FF-4DDB-950A-17E4E52CDFFF}"/>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17FF-4DDB-950A-17E4E52CDFFF}"/>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17FF-4DDB-950A-17E4E52CDFFF}"/>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17FF-4DDB-950A-17E4E52CDFFF}"/>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17FF-4DDB-950A-17E4E52CDFFF}"/>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17FF-4DDB-950A-17E4E52CDFFF}"/>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17FF-4DDB-950A-17E4E52CDFFF}"/>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17FF-4DDB-950A-17E4E52CDFFF}"/>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17FF-4DDB-950A-17E4E52CDFFF}"/>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17FF-4DDB-950A-17E4E52CDFFF}"/>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17FF-4DDB-950A-17E4E52CDFFF}"/>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17FF-4DDB-950A-17E4E52CDFFF}"/>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17FF-4DDB-950A-17E4E52CDFFF}"/>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17FF-4DDB-950A-17E4E52CDFFF}"/>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17FF-4DDB-950A-17E4E52CDFFF}"/>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17FF-4DDB-950A-17E4E52CDFFF}"/>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17FF-4DDB-950A-17E4E52CDFFF}"/>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17FF-4DDB-950A-17E4E52CDFFF}"/>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17FF-4DDB-950A-17E4E52CDFFF}"/>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17FF-4DDB-950A-17E4E52CDFFF}"/>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17FF-4DDB-950A-17E4E52CDFFF}"/>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17FF-4DDB-950A-17E4E52CDFFF}"/>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17FF-4DDB-950A-17E4E52CDFFF}"/>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17FF-4DDB-950A-17E4E52CDFFF}"/>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17FF-4DDB-950A-17E4E52CDFFF}"/>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17FF-4DDB-950A-17E4E52CDFFF}"/>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17FF-4DDB-950A-17E4E52CDFFF}"/>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17FF-4DDB-950A-17E4E52CDFFF}"/>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17FF-4DDB-950A-17E4E52CDFFF}"/>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17FF-4DDB-950A-17E4E52CDFFF}"/>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17FF-4DDB-950A-17E4E52CDFFF}"/>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17FF-4DDB-950A-17E4E52CDFFF}"/>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17FF-4DDB-950A-17E4E52CDFFF}"/>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17FF-4DDB-950A-17E4E52CDFFF}"/>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17FF-4DDB-950A-17E4E52CDFFF}"/>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17FF-4DDB-950A-17E4E52CDFFF}"/>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17FF-4DDB-950A-17E4E52CDFFF}"/>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17FF-4DDB-950A-17E4E52CDFFF}"/>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17FF-4DDB-950A-17E4E52CDFFF}"/>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17FF-4DDB-950A-17E4E52CDFFF}"/>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17FF-4DDB-950A-17E4E52CDFFF}"/>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17FF-4DDB-950A-17E4E52CDFFF}"/>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17FF-4DDB-950A-17E4E52CDFFF}"/>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17FF-4DDB-950A-17E4E52CDFFF}"/>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17FF-4DDB-950A-17E4E52CDFFF}"/>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17FF-4DDB-950A-17E4E52CDFFF}"/>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17FF-4DDB-950A-17E4E52CDFFF}"/>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17FF-4DDB-950A-17E4E52CDFFF}"/>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17FF-4DDB-950A-17E4E52CDFFF}"/>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17FF-4DDB-950A-17E4E52CDFFF}"/>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17FF-4DDB-950A-17E4E52CDFFF}"/>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17FF-4DDB-950A-17E4E52CDFFF}"/>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17FF-4DDB-950A-17E4E52CDFFF}"/>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17FF-4DDB-950A-17E4E52CDFFF}"/>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17FF-4DDB-950A-17E4E52CDFFF}"/>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17FF-4DDB-950A-17E4E52CDFFF}"/>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17FF-4DDB-950A-17E4E52CDFFF}"/>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17FF-4DDB-950A-17E4E52CDFFF}"/>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17FF-4DDB-950A-17E4E52CDFFF}"/>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17FF-4DDB-950A-17E4E52CDFFF}"/>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17FF-4DDB-950A-17E4E52CDFFF}"/>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17FF-4DDB-950A-17E4E52CDFFF}"/>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17FF-4DDB-950A-17E4E52CDFFF}"/>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17FF-4DDB-950A-17E4E52CDFFF}"/>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17FF-4DDB-950A-17E4E52CDFFF}"/>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17FF-4DDB-950A-17E4E52CDFFF}"/>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17FF-4DDB-950A-17E4E52CDFFF}"/>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17FF-4DDB-950A-17E4E52CDFFF}"/>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17FF-4DDB-950A-17E4E52CDFFF}"/>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17FF-4DDB-950A-17E4E52CDFFF}"/>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17FF-4DDB-950A-17E4E52CDFFF}"/>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17FF-4DDB-950A-17E4E52CDFFF}"/>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17FF-4DDB-950A-17E4E52CDFFF}"/>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17FF-4DDB-950A-17E4E52CDFFF}"/>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17FF-4DDB-950A-17E4E52CDFFF}"/>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17FF-4DDB-950A-17E4E52CDFFF}"/>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17FF-4DDB-950A-17E4E52CDFFF}"/>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17FF-4DDB-950A-17E4E52CDFFF}"/>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17FF-4DDB-950A-17E4E52CDFFF}"/>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17FF-4DDB-950A-17E4E52CDFFF}"/>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17FF-4DDB-950A-17E4E52CDFFF}"/>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17FF-4DDB-950A-17E4E52CDFFF}"/>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17FF-4DDB-950A-17E4E52CDFFF}"/>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17FF-4DDB-950A-17E4E52CDFFF}"/>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17FF-4DDB-950A-17E4E52CDFFF}"/>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17FF-4DDB-950A-17E4E52CDFFF}"/>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17FF-4DDB-950A-17E4E52CDFFF}"/>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17FF-4DDB-950A-17E4E52CDFFF}"/>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17FF-4DDB-950A-17E4E52CDFFF}"/>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17FF-4DDB-950A-17E4E52CDFFF}"/>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17FF-4DDB-950A-17E4E52CDFFF}"/>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17FF-4DDB-950A-17E4E52CDFFF}"/>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17FF-4DDB-950A-17E4E52CDFFF}"/>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17FF-4DDB-950A-17E4E52CDFFF}"/>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17FF-4DDB-950A-17E4E52CDFFF}"/>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17FF-4DDB-950A-17E4E52CDFFF}"/>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17FF-4DDB-950A-17E4E52CDFFF}"/>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17FF-4DDB-950A-17E4E52CDFFF}"/>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17FF-4DDB-950A-17E4E52CDFFF}"/>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17FF-4DDB-950A-17E4E52CDFFF}"/>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17FF-4DDB-950A-17E4E52CDFFF}"/>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17FF-4DDB-950A-17E4E52CDFFF}"/>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17FF-4DDB-950A-17E4E52CDFFF}"/>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17FF-4DDB-950A-17E4E52CDFFF}"/>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17FF-4DDB-950A-17E4E52CDFFF}"/>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17FF-4DDB-950A-17E4E52CDFFF}"/>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17FF-4DDB-950A-17E4E52CDFFF}"/>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17FF-4DDB-950A-17E4E52CDFFF}"/>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17FF-4DDB-950A-17E4E52CDFFF}"/>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17FF-4DDB-950A-17E4E52CDFFF}"/>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17FF-4DDB-950A-17E4E52CDFFF}"/>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17FF-4DDB-950A-17E4E52CDFFF}"/>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17FF-4DDB-950A-17E4E52CDFFF}"/>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10A-82B8-44FA-92FD-7ADC1C3275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[messi vs ronaldo.xlsm]Opponent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ED93-42B9-9BA5-3AD1BBFD4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ED93-42B9-9BA5-3AD1BBFD4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ED93-42B9-9BA5-3AD1BBFD4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ED93-42B9-9BA5-3AD1BBFD4B8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ED93-42B9-9BA5-3AD1BBFD4B8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ED93-42B9-9BA5-3AD1BBFD4B8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ED93-42B9-9BA5-3AD1BBFD4B8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ED93-42B9-9BA5-3AD1BBFD4B8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ED93-42B9-9BA5-3AD1BBFD4B8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ED93-42B9-9BA5-3AD1BBFD4B8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ED93-42B9-9BA5-3AD1BBFD4B8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ED93-42B9-9BA5-3AD1BBFD4B8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ED93-42B9-9BA5-3AD1BBFD4B8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ED93-42B9-9BA5-3AD1BBFD4B8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ED93-42B9-9BA5-3AD1BBFD4B8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ED93-42B9-9BA5-3AD1BBFD4B8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ED93-42B9-9BA5-3AD1BBFD4B8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ED93-42B9-9BA5-3AD1BBFD4B8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ED93-42B9-9BA5-3AD1BBFD4B8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ED93-42B9-9BA5-3AD1BBFD4B8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ED93-42B9-9BA5-3AD1BBFD4B8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ED93-42B9-9BA5-3AD1BBFD4B8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ED93-42B9-9BA5-3AD1BBFD4B8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ED93-42B9-9BA5-3AD1BBFD4B8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ED93-42B9-9BA5-3AD1BBFD4B8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ED93-42B9-9BA5-3AD1BBFD4B8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ED93-42B9-9BA5-3AD1BBFD4B8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ED93-42B9-9BA5-3AD1BBFD4B8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ED93-42B9-9BA5-3AD1BBFD4B8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ED93-42B9-9BA5-3AD1BBFD4B8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ED93-42B9-9BA5-3AD1BBFD4B8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ED93-42B9-9BA5-3AD1BBFD4B8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ED93-42B9-9BA5-3AD1BBFD4B8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ED93-42B9-9BA5-3AD1BBFD4B8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ED93-42B9-9BA5-3AD1BBFD4B8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ED93-42B9-9BA5-3AD1BBFD4B8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ED93-42B9-9BA5-3AD1BBFD4B89}"/>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ED93-42B9-9BA5-3AD1BBFD4B89}"/>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ED93-42B9-9BA5-3AD1BBFD4B89}"/>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ED93-42B9-9BA5-3AD1BBFD4B89}"/>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ED93-42B9-9BA5-3AD1BBFD4B89}"/>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ED93-42B9-9BA5-3AD1BBFD4B89}"/>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ED93-42B9-9BA5-3AD1BBFD4B89}"/>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ED93-42B9-9BA5-3AD1BBFD4B89}"/>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ED93-42B9-9BA5-3AD1BBFD4B89}"/>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ED93-42B9-9BA5-3AD1BBFD4B89}"/>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ED93-42B9-9BA5-3AD1BBFD4B89}"/>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ED93-42B9-9BA5-3AD1BBFD4B89}"/>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ED93-42B9-9BA5-3AD1BBFD4B89}"/>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ED93-42B9-9BA5-3AD1BBFD4B89}"/>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ED93-42B9-9BA5-3AD1BBFD4B89}"/>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ED93-42B9-9BA5-3AD1BBFD4B89}"/>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ED93-42B9-9BA5-3AD1BBFD4B89}"/>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ED93-42B9-9BA5-3AD1BBFD4B89}"/>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ED93-42B9-9BA5-3AD1BBFD4B89}"/>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ED93-42B9-9BA5-3AD1BBFD4B89}"/>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ED93-42B9-9BA5-3AD1BBFD4B89}"/>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ED93-42B9-9BA5-3AD1BBFD4B89}"/>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ED93-42B9-9BA5-3AD1BBFD4B89}"/>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ED93-42B9-9BA5-3AD1BBFD4B89}"/>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ED93-42B9-9BA5-3AD1BBFD4B89}"/>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ED93-42B9-9BA5-3AD1BBFD4B89}"/>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ED93-42B9-9BA5-3AD1BBFD4B89}"/>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ED93-42B9-9BA5-3AD1BBFD4B89}"/>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ED93-42B9-9BA5-3AD1BBFD4B89}"/>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ED93-42B9-9BA5-3AD1BBFD4B89}"/>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ED93-42B9-9BA5-3AD1BBFD4B89}"/>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ED93-42B9-9BA5-3AD1BBFD4B89}"/>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ED93-42B9-9BA5-3AD1BBFD4B89}"/>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ED93-42B9-9BA5-3AD1BBFD4B89}"/>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ED93-42B9-9BA5-3AD1BBFD4B89}"/>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ED93-42B9-9BA5-3AD1BBFD4B89}"/>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ED93-42B9-9BA5-3AD1BBFD4B89}"/>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ED93-42B9-9BA5-3AD1BBFD4B89}"/>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ED93-42B9-9BA5-3AD1BBFD4B89}"/>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ED93-42B9-9BA5-3AD1BBFD4B89}"/>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ED93-42B9-9BA5-3AD1BBFD4B89}"/>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ED93-42B9-9BA5-3AD1BBFD4B89}"/>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ED93-42B9-9BA5-3AD1BBFD4B89}"/>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ED93-42B9-9BA5-3AD1BBFD4B89}"/>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ED93-42B9-9BA5-3AD1BBFD4B89}"/>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ED93-42B9-9BA5-3AD1BBFD4B89}"/>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ED93-42B9-9BA5-3AD1BBFD4B89}"/>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ED93-42B9-9BA5-3AD1BBFD4B89}"/>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ED93-42B9-9BA5-3AD1BBFD4B89}"/>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ED93-42B9-9BA5-3AD1BBFD4B89}"/>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ED93-42B9-9BA5-3AD1BBFD4B89}"/>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ED93-42B9-9BA5-3AD1BBFD4B89}"/>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ED93-42B9-9BA5-3AD1BBFD4B89}"/>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ED93-42B9-9BA5-3AD1BBFD4B89}"/>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ED93-42B9-9BA5-3AD1BBFD4B89}"/>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ED93-42B9-9BA5-3AD1BBFD4B89}"/>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ED93-42B9-9BA5-3AD1BBFD4B89}"/>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ED93-42B9-9BA5-3AD1BBFD4B89}"/>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ED93-42B9-9BA5-3AD1BBFD4B89}"/>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ED93-42B9-9BA5-3AD1BBFD4B89}"/>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ED93-42B9-9BA5-3AD1BBFD4B89}"/>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C9-B275-4FF3-925D-A10A36625A6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E0F9-4406-A19D-49C1B2448E45}"/>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E0F9-4406-A19D-49C1B2448E45}"/>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E0F9-4406-A19D-49C1B2448E45}"/>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E0F9-4406-A19D-49C1B2448E45}"/>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E0F9-4406-A19D-49C1B2448E45}"/>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E0F9-4406-A19D-49C1B2448E45}"/>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E0F9-4406-A19D-49C1B2448E45}"/>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E0F9-4406-A19D-49C1B2448E45}"/>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E0F9-4406-A19D-49C1B2448E45}"/>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0F2B-40C2-BAD4-1E97B4F17723}"/>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9-3035-4D95-B47A-8B37FED1845E}"/>
            </c:ext>
          </c:extLst>
        </c:ser>
        <c:dLbls>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BC16-4D93-821B-825E0801FA6F}"/>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D-B001-451A-837E-D1376638BBEA}"/>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90BC-463B-B31B-7C63EA11BFE0}"/>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90BC-463B-B31B-7C63EA11BFE0}"/>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90BC-463B-B31B-7C63EA11BFE0}"/>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90BC-463B-B31B-7C63EA11BFE0}"/>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90BC-463B-B31B-7C63EA11BFE0}"/>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90BC-463B-B31B-7C63EA11BFE0}"/>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90BC-463B-B31B-7C63EA11BFE0}"/>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90BC-463B-B31B-7C63EA11BFE0}"/>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90BC-463B-B31B-7C63EA11BFE0}"/>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9-8FF2-463B-A049-D8AC220FD0C5}"/>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9-3654-41C8-812D-EAE882D28A1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41-FB3B-4150-95EA-0760277BEB4B}"/>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[messi vs ronaldo.xlsm]Impact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8-8EF4-4EB7-9571-D0CE635F6096}"/>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9-8EF4-4EB7-9571-D0CE635F6096}"/>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9</xdr:row>
      <xdr:rowOff>0</xdr:rowOff>
    </xdr:from>
    <xdr:to>
      <xdr:col>12</xdr:col>
      <xdr:colOff>487860</xdr:colOff>
      <xdr:row>11</xdr:row>
      <xdr:rowOff>67101</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8176260" y="2057400"/>
          <a:ext cx="2072820" cy="5243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15</xdr:row>
      <xdr:rowOff>0</xdr:rowOff>
    </xdr:from>
    <xdr:to>
      <xdr:col>11</xdr:col>
      <xdr:colOff>487860</xdr:colOff>
      <xdr:row>17</xdr:row>
      <xdr:rowOff>67101</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469880" y="3429000"/>
          <a:ext cx="2072820" cy="524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205920</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4</xdr:row>
      <xdr:rowOff>0</xdr:rowOff>
    </xdr:from>
    <xdr:to>
      <xdr:col>21</xdr:col>
      <xdr:colOff>487860</xdr:colOff>
      <xdr:row>6</xdr:row>
      <xdr:rowOff>73198</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794480" y="914400"/>
          <a:ext cx="2072820" cy="53039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107662</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3</xdr:row>
      <xdr:rowOff>0</xdr:rowOff>
    </xdr:from>
    <xdr:to>
      <xdr:col>25</xdr:col>
      <xdr:colOff>493956</xdr:colOff>
      <xdr:row>5</xdr:row>
      <xdr:rowOff>73198</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5133320" y="685800"/>
          <a:ext cx="2078916" cy="5303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0</xdr:colOff>
      <xdr:row>7</xdr:row>
      <xdr:rowOff>0</xdr:rowOff>
    </xdr:from>
    <xdr:to>
      <xdr:col>18</xdr:col>
      <xdr:colOff>496301</xdr:colOff>
      <xdr:row>9</xdr:row>
      <xdr:rowOff>61475</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5327923" y="1641231"/>
          <a:ext cx="2078916" cy="5303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547352</xdr:colOff>
      <xdr:row>6</xdr:row>
      <xdr:rowOff>107324</xdr:rowOff>
    </xdr:from>
    <xdr:to>
      <xdr:col>24</xdr:col>
      <xdr:colOff>243676</xdr:colOff>
      <xdr:row>8</xdr:row>
      <xdr:rowOff>186962</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7676253" y="1459606"/>
          <a:ext cx="2078916" cy="53039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202406</xdr:colOff>
      <xdr:row>22</xdr:row>
      <xdr:rowOff>35719</xdr:rowOff>
    </xdr:from>
    <xdr:to>
      <xdr:col>27</xdr:col>
      <xdr:colOff>440531</xdr:colOff>
      <xdr:row>32</xdr:row>
      <xdr:rowOff>178594</xdr:rowOff>
    </xdr:to>
    <xdr:sp macro="[0]!show_dashboard" textlink="">
      <xdr:nvSpPr>
        <xdr:cNvPr id="2" name="Rectangle: Diagonal Corners Rounded 1">
          <a:extLst>
            <a:ext uri="{FF2B5EF4-FFF2-40B4-BE49-F238E27FC236}">
              <a16:creationId xmlns:a16="http://schemas.microsoft.com/office/drawing/2014/main" id="{CAFE89A9-9BFD-6FF7-6F19-F80FE8E1DDB4}"/>
            </a:ext>
          </a:extLst>
        </xdr:cNvPr>
        <xdr:cNvSpPr/>
      </xdr:nvSpPr>
      <xdr:spPr>
        <a:xfrm>
          <a:off x="202406" y="5012532"/>
          <a:ext cx="21776531" cy="2405062"/>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600" b="1" i="1"/>
            <a:t>SHOW DASHBOARD</a:t>
          </a:r>
          <a:r>
            <a:rPr lang="en-IN" sz="3600" b="1" i="1" baseline="0"/>
            <a:t> OF THE DATA ANALYSIS BETWEEN LIONEL MESSI AND CRISTIANO RONALDO</a:t>
          </a:r>
          <a:endParaRPr lang="en-IN" sz="3600" b="1" i="1"/>
        </a:p>
      </xdr:txBody>
    </xdr:sp>
    <xdr:clientData/>
  </xdr:twoCellAnchor>
  <xdr:twoCellAnchor>
    <xdr:from>
      <xdr:col>0</xdr:col>
      <xdr:colOff>297656</xdr:colOff>
      <xdr:row>2</xdr:row>
      <xdr:rowOff>59531</xdr:rowOff>
    </xdr:from>
    <xdr:to>
      <xdr:col>12</xdr:col>
      <xdr:colOff>202406</xdr:colOff>
      <xdr:row>13</xdr:row>
      <xdr:rowOff>190500</xdr:rowOff>
    </xdr:to>
    <xdr:sp macro="[0]!show_dataset" textlink="">
      <xdr:nvSpPr>
        <xdr:cNvPr id="5" name="Rectangle: Diagonal Corners Rounded 4">
          <a:extLst>
            <a:ext uri="{FF2B5EF4-FFF2-40B4-BE49-F238E27FC236}">
              <a16:creationId xmlns:a16="http://schemas.microsoft.com/office/drawing/2014/main" id="{432E6776-7C78-7C86-BD86-457A2505D3D2}"/>
            </a:ext>
          </a:extLst>
        </xdr:cNvPr>
        <xdr:cNvSpPr/>
      </xdr:nvSpPr>
      <xdr:spPr>
        <a:xfrm>
          <a:off x="297656" y="511969"/>
          <a:ext cx="9477375" cy="2619375"/>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6000" b="1" i="1"/>
            <a:t>SHOW ORIGINAL</a:t>
          </a:r>
          <a:r>
            <a:rPr lang="en-IN" sz="6000" b="1" i="1" baseline="0"/>
            <a:t> DATASET</a:t>
          </a:r>
          <a:endParaRPr lang="en-IN" sz="6000" b="1" i="1"/>
        </a:p>
      </xdr:txBody>
    </xdr:sp>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lpu\4th%20sem\INT217\Project\Project\Analysis\messi%20vs%20ronaldo.xlsx" TargetMode="External"/><Relationship Id="rId1" Type="http://schemas.openxmlformats.org/officeDocument/2006/relationships/externalLinkPath" Target="/lpu/4th%20sem/INT217/Project/Project/Analysis/messi%20vs%20ronald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iginal dataset"/>
      <sheetName val="miss check"/>
      <sheetName val="cleaned data"/>
      <sheetName val="cleaned data miss check"/>
      <sheetName val="data prep for analysis"/>
      <sheetName val="Performance Evaluation"/>
      <sheetName val="Performance Evaluation(club)"/>
      <sheetName val="Impact Analysis"/>
      <sheetName val="Impact analysis club(ronaldo)"/>
      <sheetName val="Impact analysis club(messi)"/>
      <sheetName val="Consistency Measurement over yr"/>
      <sheetName val="Scoring Technique Analysis"/>
      <sheetName val="Scoring Technique ronaldo"/>
      <sheetName val="Scoring Technique messi"/>
      <sheetName val="Time Analysis"/>
      <sheetName val="Opponent Analysis"/>
      <sheetName val="Opponent analysis(cr7)"/>
      <sheetName val="Opponent Analysis(lm10)"/>
      <sheetName val="Playing Position Analysis"/>
      <sheetName val="Performance Evaluation(league)"/>
      <sheetName val="Performance Evaluatio(Matchday)"/>
      <sheetName val="Dashboard"/>
      <sheetName val="messi vs ronal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0.683456134262"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9">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sortType="descending">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autoSortScope>
        <pivotArea dataOnly="0" outline="0" fieldPosition="0">
          <references count="2">
            <reference field="4294967294" count="1" selected="0">
              <x v="0"/>
            </reference>
            <reference field="0" count="1" selected="0">
              <x v="0"/>
            </reference>
          </references>
        </pivotArea>
      </autoSortScope>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v="140"/>
    </i>
    <i>
      <x v="16"/>
    </i>
    <i>
      <x v="85"/>
    </i>
    <i>
      <x v="41"/>
    </i>
    <i>
      <x v="65"/>
    </i>
    <i>
      <x v="101"/>
    </i>
    <i>
      <x v="15"/>
    </i>
    <i>
      <x v="126"/>
    </i>
    <i>
      <x v="132"/>
    </i>
    <i>
      <x v="164"/>
    </i>
    <i>
      <x v="167"/>
    </i>
    <i>
      <x v="96"/>
    </i>
    <i>
      <x v="156"/>
    </i>
    <i>
      <x v="57"/>
    </i>
    <i>
      <x v="32"/>
    </i>
    <i>
      <x v="123"/>
    </i>
    <i>
      <x v="89"/>
    </i>
    <i>
      <x v="12"/>
    </i>
    <i>
      <x v="94"/>
    </i>
    <i>
      <x v="5"/>
    </i>
    <i>
      <x v="11"/>
    </i>
    <i>
      <x v="19"/>
    </i>
    <i>
      <x v="13"/>
    </i>
    <i>
      <x v="36"/>
    </i>
    <i>
      <x v="110"/>
    </i>
    <i>
      <x v="161"/>
    </i>
    <i>
      <x v="81"/>
    </i>
    <i>
      <x v="171"/>
    </i>
    <i>
      <x v="134"/>
    </i>
    <i>
      <x v="137"/>
    </i>
    <i>
      <x v="60"/>
    </i>
    <i>
      <x v="159"/>
    </i>
    <i>
      <x v="74"/>
    </i>
    <i>
      <x v="127"/>
    </i>
    <i>
      <x v="26"/>
    </i>
    <i>
      <x v="149"/>
    </i>
    <i>
      <x v="25"/>
    </i>
    <i>
      <x v="14"/>
    </i>
    <i>
      <x v="10"/>
    </i>
    <i>
      <x v="2"/>
    </i>
    <i>
      <x v="129"/>
    </i>
    <i>
      <x v="163"/>
    </i>
    <i>
      <x v="170"/>
    </i>
    <i>
      <x v="82"/>
    </i>
    <i>
      <x v="114"/>
    </i>
    <i>
      <x v="118"/>
    </i>
    <i>
      <x v="119"/>
    </i>
    <i>
      <x v="63"/>
    </i>
    <i>
      <x v="121"/>
    </i>
    <i>
      <x v="102"/>
    </i>
    <i>
      <x v="105"/>
    </i>
    <i>
      <x v="55"/>
    </i>
    <i>
      <x v="157"/>
    </i>
    <i>
      <x v="141"/>
    </i>
    <i>
      <x v="84"/>
    </i>
    <i>
      <x v="103"/>
    </i>
    <i>
      <x v="150"/>
    </i>
    <i>
      <x v="128"/>
    </i>
    <i>
      <x v="9"/>
    </i>
    <i>
      <x v="93"/>
    </i>
    <i>
      <x v="115"/>
    </i>
    <i>
      <x v="58"/>
    </i>
    <i>
      <x v="59"/>
    </i>
    <i>
      <x v="111"/>
    </i>
    <i>
      <x v="169"/>
    </i>
    <i>
      <x v="151"/>
    </i>
    <i>
      <x v="172"/>
    </i>
    <i>
      <x v="155"/>
    </i>
    <i>
      <x v="87"/>
    </i>
    <i>
      <x v="166"/>
    </i>
    <i>
      <x v="147"/>
    </i>
    <i>
      <x v="53"/>
    </i>
    <i>
      <x v="3"/>
    </i>
    <i>
      <x v="22"/>
    </i>
    <i>
      <x v="90"/>
    </i>
    <i>
      <x v="51"/>
    </i>
    <i>
      <x v="95"/>
    </i>
    <i>
      <x v="145"/>
    </i>
    <i>
      <x v="97"/>
    </i>
    <i>
      <x v="148"/>
    </i>
    <i>
      <x v="104"/>
    </i>
    <i>
      <x v="160"/>
    </i>
    <i>
      <x v="67"/>
    </i>
    <i>
      <x v="133"/>
    </i>
    <i>
      <x v="117"/>
    </i>
    <i>
      <x v="61"/>
    </i>
    <i>
      <x v="144"/>
    </i>
    <i>
      <x v="168"/>
    </i>
    <i>
      <x v="92"/>
    </i>
    <i>
      <x v="152"/>
    </i>
    <i>
      <x v="75"/>
    </i>
    <i>
      <x v="80"/>
    </i>
    <i>
      <x v="99"/>
    </i>
    <i>
      <x v="91"/>
    </i>
    <i>
      <x v="78"/>
    </i>
    <i>
      <x v="18"/>
    </i>
    <i>
      <x v="109"/>
    </i>
    <i>
      <x v="21"/>
    </i>
    <i>
      <x v="68"/>
    </i>
    <i>
      <x v="24"/>
    </i>
    <i>
      <x v="46"/>
    </i>
    <i>
      <x v="66"/>
    </i>
    <i>
      <x v="7"/>
    </i>
    <i>
      <x v="45"/>
    </i>
    <i>
      <x v="162"/>
    </i>
    <i>
      <x v="131"/>
    </i>
    <i>
      <x v="79"/>
    </i>
    <i>
      <x v="4"/>
    </i>
    <i>
      <x v="69"/>
    </i>
    <i>
      <x v="37"/>
    </i>
    <i>
      <x v="64"/>
    </i>
    <i>
      <x v="106"/>
    </i>
    <i>
      <x v="8"/>
    </i>
    <i>
      <x v="28"/>
    </i>
    <i>
      <x v="153"/>
    </i>
    <i>
      <x v="54"/>
    </i>
    <i>
      <x v="88"/>
    </i>
    <i>
      <x v="31"/>
    </i>
    <i>
      <x v="30"/>
    </i>
    <i>
      <x v="29"/>
    </i>
    <i>
      <x v="23"/>
    </i>
    <i>
      <x/>
    </i>
    <i>
      <x v="73"/>
    </i>
    <i>
      <x v="72"/>
    </i>
    <i>
      <x v="35"/>
    </i>
    <i>
      <x v="40"/>
    </i>
    <i>
      <x v="83"/>
    </i>
    <i>
      <x v="139"/>
    </i>
    <i>
      <x v="43"/>
    </i>
    <i>
      <x v="100"/>
    </i>
    <i>
      <x v="17"/>
    </i>
    <i>
      <x v="76"/>
    </i>
    <i>
      <x v="130"/>
    </i>
    <i>
      <x v="98"/>
    </i>
    <i>
      <x v="1"/>
    </i>
    <i>
      <x v="34"/>
    </i>
    <i>
      <x v="50"/>
    </i>
    <i>
      <x v="56"/>
    </i>
    <i>
      <x v="6"/>
    </i>
    <i>
      <x v="154"/>
    </i>
    <i>
      <x v="27"/>
    </i>
    <i>
      <x v="158"/>
    </i>
    <i>
      <x v="135"/>
    </i>
    <i>
      <x v="44"/>
    </i>
    <i>
      <x v="136"/>
    </i>
    <i>
      <x v="124"/>
    </i>
    <i>
      <x v="52"/>
    </i>
    <i>
      <x v="48"/>
    </i>
    <i>
      <x v="138"/>
    </i>
    <i>
      <x v="70"/>
    </i>
    <i>
      <x v="77"/>
    </i>
    <i>
      <x v="116"/>
    </i>
    <i>
      <x v="107"/>
    </i>
    <i>
      <x v="20"/>
    </i>
    <i>
      <x v="108"/>
    </i>
    <i>
      <x v="42"/>
    </i>
    <i>
      <x v="142"/>
    </i>
    <i>
      <x v="71"/>
    </i>
    <i>
      <x v="143"/>
    </i>
    <i>
      <x v="62"/>
    </i>
    <i>
      <x v="33"/>
    </i>
    <i>
      <x v="122"/>
    </i>
    <i>
      <x v="38"/>
    </i>
    <i>
      <x v="165"/>
    </i>
    <i>
      <x v="146"/>
    </i>
    <i>
      <x v="125"/>
    </i>
    <i>
      <x v="39"/>
    </i>
    <i>
      <x v="47"/>
    </i>
    <i>
      <x v="112"/>
    </i>
    <i>
      <x v="49"/>
    </i>
    <i>
      <x v="113"/>
    </i>
    <i>
      <x v="120"/>
    </i>
    <i>
      <x v="86"/>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33">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0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0">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calculatedColumnFormula>IF(Table13[[#This Row],[Goal_assist]]="",1,0)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calculatedColumnFormula>IF([1]!Table13[[#This Row],[Goal_assist]]="",1,0)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4.bin"/><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5.bin"/><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6.bin"/><Relationship Id="rId1"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7.bin"/><Relationship Id="rId1" Type="http://schemas.openxmlformats.org/officeDocument/2006/relationships/pivotTable" Target="../pivotTables/pivotTable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8.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workbookViewId="0">
      <selection sqref="A1:N1414"/>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1:N2"/>
  <sheetViews>
    <sheetView workbookViewId="0">
      <selection sqref="A1:N2"/>
    </sheetView>
  </sheetViews>
  <sheetFormatPr defaultRowHeight="18" x14ac:dyDescent="0.35"/>
  <sheetData>
    <row r="1" spans="1:14" x14ac:dyDescent="0.35">
      <c r="A1" s="5" t="s">
        <v>0</v>
      </c>
      <c r="B1" s="6" t="s">
        <v>1</v>
      </c>
      <c r="C1" s="6" t="s">
        <v>2</v>
      </c>
      <c r="D1" s="6" t="s">
        <v>3</v>
      </c>
      <c r="E1" s="6" t="s">
        <v>4</v>
      </c>
      <c r="F1" s="6" t="s">
        <v>5</v>
      </c>
      <c r="G1" s="6" t="s">
        <v>6</v>
      </c>
      <c r="H1" s="6" t="s">
        <v>7</v>
      </c>
      <c r="I1" s="6" t="s">
        <v>8</v>
      </c>
      <c r="J1" s="6" t="s">
        <v>9</v>
      </c>
      <c r="K1" s="6" t="s">
        <v>10</v>
      </c>
      <c r="L1" s="6" t="s">
        <v>11</v>
      </c>
      <c r="M1" s="6" t="s">
        <v>12</v>
      </c>
      <c r="N1" s="7" t="s">
        <v>13</v>
      </c>
    </row>
    <row r="2" spans="1:14" x14ac:dyDescent="0.35">
      <c r="A2" t="e">
        <f>COUNTBLANK([1]!Table1[Player])</f>
        <v>#REF!</v>
      </c>
      <c r="B2" t="e">
        <f>COUNTBLANK([1]!Table1[Season])</f>
        <v>#REF!</v>
      </c>
      <c r="C2" t="e">
        <f>COUNTBLANK([1]!Table1[Competition])</f>
        <v>#REF!</v>
      </c>
      <c r="D2" t="e">
        <f>COUNTBLANK([1]!Table1[Matchday])</f>
        <v>#REF!</v>
      </c>
      <c r="E2" t="e">
        <f>COUNTBLANK([1]!Table1[Date])</f>
        <v>#REF!</v>
      </c>
      <c r="F2" t="e">
        <f>COUNTBLANK([1]!Table1[Venue])</f>
        <v>#REF!</v>
      </c>
      <c r="G2" t="e">
        <f>COUNTBLANK([1]!Table1[Club])</f>
        <v>#REF!</v>
      </c>
      <c r="H2" t="e">
        <f>COUNTBLANK([1]!Table1[Opponent])</f>
        <v>#REF!</v>
      </c>
      <c r="I2" t="e">
        <f>COUNTBLANK([1]!Table1[Result])</f>
        <v>#REF!</v>
      </c>
      <c r="J2" t="e">
        <f>COUNTBLANK([1]!Table1[Playing_Position])</f>
        <v>#REF!</v>
      </c>
      <c r="K2" t="e">
        <f>COUNTBLANK([1]!Table1[Minute])</f>
        <v>#REF!</v>
      </c>
      <c r="L2" t="e">
        <f>COUNTBLANK([1]!Table1[At_score])</f>
        <v>#REF!</v>
      </c>
      <c r="M2" t="e">
        <f>COUNTBLANK([1]!Table1[Type])</f>
        <v>#REF!</v>
      </c>
      <c r="N2" t="e">
        <f>COUNTBLANK([1]!Table1[Goal_assist])</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workbookViewId="0">
      <selection sqref="A1:O1414"/>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f>IF(Table13[[#This Row],[Goal_assist]]="",1,0)</f>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f>IF(Table13[[#This Row],[Goal_assist]]="",1,0)</f>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f>IF(Table13[[#This Row],[Goal_assist]]="",1,0)</f>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f>IF(Table13[[#This Row],[Goal_assist]]="",1,0)</f>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f>IF(Table13[[#This Row],[Goal_assist]]="",1,0)</f>
        <v>1</v>
      </c>
    </row>
    <row r="7" spans="1:15" x14ac:dyDescent="0.35">
      <c r="A7" t="s">
        <v>14</v>
      </c>
      <c r="B7" s="1">
        <v>45385</v>
      </c>
      <c r="C7" t="s">
        <v>35</v>
      </c>
      <c r="D7">
        <v>11</v>
      </c>
      <c r="E7" s="2">
        <v>37926</v>
      </c>
      <c r="F7" t="s">
        <v>16</v>
      </c>
      <c r="G7" t="s">
        <v>36</v>
      </c>
      <c r="H7" t="s">
        <v>37</v>
      </c>
      <c r="I7" s="3">
        <v>0.125</v>
      </c>
      <c r="J7" t="s">
        <v>38</v>
      </c>
      <c r="K7">
        <v>80</v>
      </c>
      <c r="L7" s="3">
        <v>8.3333333333333329E-2</v>
      </c>
      <c r="M7" t="s">
        <v>39</v>
      </c>
      <c r="O7">
        <f>IF(Table13[[#This Row],[Goal_assist]]="",1,0)</f>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f>IF(Table13[[#This Row],[Goal_assist]]="",1,0)</f>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f>IF(Table13[[#This Row],[Goal_assist]]="",1,0)</f>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f>IF(Table13[[#This Row],[Goal_assist]]="",1,0)</f>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f>IF(Table13[[#This Row],[Goal_assist]]="",1,0)</f>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f>IF(Table13[[#This Row],[Goal_assist]]="",1,0)</f>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f>IF(Table13[[#This Row],[Goal_assist]]="",1,0)</f>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f>IF(Table13[[#This Row],[Goal_assist]]="",1,0)</f>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f>IF(Table13[[#This Row],[Goal_assist]]="",1,0)</f>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f>IF(Table13[[#This Row],[Goal_assist]]="",1,0)</f>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f>IF(Table13[[#This Row],[Goal_assist]]="",1,0)</f>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f>IF(Table13[[#This Row],[Goal_assist]]="",1,0)</f>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f>IF(Table13[[#This Row],[Goal_assist]]="",1,0)</f>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f>IF(Table13[[#This Row],[Goal_assist]]="",1,0)</f>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f>IF(Table13[[#This Row],[Goal_assist]]="",1,0)</f>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f>IF(Table13[[#This Row],[Goal_assist]]="",1,0)</f>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f>IF(Table13[[#This Row],[Goal_assist]]="",1,0)</f>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f>IF(Table13[[#This Row],[Goal_assist]]="",1,0)</f>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f>IF(Table13[[#This Row],[Goal_assist]]="",1,0)</f>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f>IF(Table13[[#This Row],[Goal_assist]]="",1,0)</f>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f>IF(Table13[[#This Row],[Goal_assist]]="",1,0)</f>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f>IF(Table13[[#This Row],[Goal_assist]]="",1,0)</f>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f>IF(Table13[[#This Row],[Goal_assist]]="",1,0)</f>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f>IF(Table13[[#This Row],[Goal_assist]]="",1,0)</f>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f>IF(Table13[[#This Row],[Goal_assist]]="",1,0)</f>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f>IF(Table13[[#This Row],[Goal_assist]]="",1,0)</f>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f>IF(Table13[[#This Row],[Goal_assist]]="",1,0)</f>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f>IF(Table13[[#This Row],[Goal_assist]]="",1,0)</f>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f>IF(Table13[[#This Row],[Goal_assist]]="",1,0)</f>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f>IF(Table13[[#This Row],[Goal_assist]]="",1,0)</f>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f>IF(Table13[[#This Row],[Goal_assist]]="",1,0)</f>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f>IF(Table13[[#This Row],[Goal_assist]]="",1,0)</f>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f>IF(Table13[[#This Row],[Goal_assist]]="",1,0)</f>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f>IF(Table13[[#This Row],[Goal_assist]]="",1,0)</f>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f>IF(Table13[[#This Row],[Goal_assist]]="",1,0)</f>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f>IF(Table13[[#This Row],[Goal_assist]]="",1,0)</f>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f>IF(Table13[[#This Row],[Goal_assist]]="",1,0)</f>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f>IF(Table13[[#This Row],[Goal_assist]]="",1,0)</f>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f>IF(Table13[[#This Row],[Goal_assist]]="",1,0)</f>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f>IF(Table13[[#This Row],[Goal_assist]]="",1,0)</f>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f>IF(Table13[[#This Row],[Goal_assist]]="",1,0)</f>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f>IF(Table13[[#This Row],[Goal_assist]]="",1,0)</f>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f>IF(Table13[[#This Row],[Goal_assist]]="",1,0)</f>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f>IF(Table13[[#This Row],[Goal_assist]]="",1,0)</f>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f>IF(Table13[[#This Row],[Goal_assist]]="",1,0)</f>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f>IF(Table13[[#This Row],[Goal_assist]]="",1,0)</f>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f>IF(Table13[[#This Row],[Goal_assist]]="",1,0)</f>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f>IF(Table13[[#This Row],[Goal_assist]]="",1,0)</f>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f>IF(Table13[[#This Row],[Goal_assist]]="",1,0)</f>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f>IF(Table13[[#This Row],[Goal_assist]]="",1,0)</f>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f>IF(Table13[[#This Row],[Goal_assist]]="",1,0)</f>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f>IF(Table13[[#This Row],[Goal_assist]]="",1,0)</f>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f>IF(Table13[[#This Row],[Goal_assist]]="",1,0)</f>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f>IF(Table13[[#This Row],[Goal_assist]]="",1,0)</f>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f>IF(Table13[[#This Row],[Goal_assist]]="",1,0)</f>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f>IF(Table13[[#This Row],[Goal_assist]]="",1,0)</f>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f>IF(Table13[[#This Row],[Goal_assist]]="",1,0)</f>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f>IF(Table13[[#This Row],[Goal_assist]]="",1,0)</f>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f>IF(Table13[[#This Row],[Goal_assist]]="",1,0)</f>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f>IF(Table13[[#This Row],[Goal_assist]]="",1,0)</f>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f>IF(Table13[[#This Row],[Goal_assist]]="",1,0)</f>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f>IF(Table13[[#This Row],[Goal_assist]]="",1,0)</f>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f>IF(Table13[[#This Row],[Goal_assist]]="",1,0)</f>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f>IF(Table13[[#This Row],[Goal_assist]]="",1,0)</f>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f>IF(Table13[[#This Row],[Goal_assist]]="",1,0)</f>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f>IF(Table13[[#This Row],[Goal_assist]]="",1,0)</f>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f>IF(Table13[[#This Row],[Goal_assist]]="",1,0)</f>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f>IF(Table13[[#This Row],[Goal_assist]]="",1,0)</f>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f>IF(Table13[[#This Row],[Goal_assist]]="",1,0)</f>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f>IF(Table13[[#This Row],[Goal_assist]]="",1,0)</f>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f>IF(Table13[[#This Row],[Goal_assist]]="",1,0)</f>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f>IF(Table13[[#This Row],[Goal_assist]]="",1,0)</f>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f>IF(Table13[[#This Row],[Goal_assist]]="",1,0)</f>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f>IF(Table13[[#This Row],[Goal_assist]]="",1,0)</f>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f>IF(Table13[[#This Row],[Goal_assist]]="",1,0)</f>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f>IF(Table13[[#This Row],[Goal_assist]]="",1,0)</f>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f>IF(Table13[[#This Row],[Goal_assist]]="",1,0)</f>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f>IF(Table13[[#This Row],[Goal_assist]]="",1,0)</f>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f>IF(Table13[[#This Row],[Goal_assist]]="",1,0)</f>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f>IF(Table13[[#This Row],[Goal_assist]]="",1,0)</f>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f>IF(Table13[[#This Row],[Goal_assist]]="",1,0)</f>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f>IF(Table13[[#This Row],[Goal_assist]]="",1,0)</f>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f>IF(Table13[[#This Row],[Goal_assist]]="",1,0)</f>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f>IF(Table13[[#This Row],[Goal_assist]]="",1,0)</f>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f>IF(Table13[[#This Row],[Goal_assist]]="",1,0)</f>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f>IF(Table13[[#This Row],[Goal_assist]]="",1,0)</f>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f>IF(Table13[[#This Row],[Goal_assist]]="",1,0)</f>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f>IF(Table13[[#This Row],[Goal_assist]]="",1,0)</f>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f>IF(Table13[[#This Row],[Goal_assist]]="",1,0)</f>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f>IF(Table13[[#This Row],[Goal_assist]]="",1,0)</f>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f>IF(Table13[[#This Row],[Goal_assist]]="",1,0)</f>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f>IF(Table13[[#This Row],[Goal_assist]]="",1,0)</f>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f>IF(Table13[[#This Row],[Goal_assist]]="",1,0)</f>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f>IF(Table13[[#This Row],[Goal_assist]]="",1,0)</f>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f>IF(Table13[[#This Row],[Goal_assist]]="",1,0)</f>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f>IF(Table13[[#This Row],[Goal_assist]]="",1,0)</f>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f>IF(Table13[[#This Row],[Goal_assist]]="",1,0)</f>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f>IF(Table13[[#This Row],[Goal_assist]]="",1,0)</f>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f>IF(Table13[[#This Row],[Goal_assist]]="",1,0)</f>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f>IF(Table13[[#This Row],[Goal_assist]]="",1,0)</f>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f>IF(Table13[[#This Row],[Goal_assist]]="",1,0)</f>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f>IF(Table13[[#This Row],[Goal_assist]]="",1,0)</f>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f>IF(Table13[[#This Row],[Goal_assist]]="",1,0)</f>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f>IF(Table13[[#This Row],[Goal_assist]]="",1,0)</f>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f>IF(Table13[[#This Row],[Goal_assist]]="",1,0)</f>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f>IF(Table13[[#This Row],[Goal_assist]]="",1,0)</f>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f>IF(Table13[[#This Row],[Goal_assist]]="",1,0)</f>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f>IF(Table13[[#This Row],[Goal_assist]]="",1,0)</f>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f>IF(Table13[[#This Row],[Goal_assist]]="",1,0)</f>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f>IF(Table13[[#This Row],[Goal_assist]]="",1,0)</f>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f>IF(Table13[[#This Row],[Goal_assist]]="",1,0)</f>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f>IF(Table13[[#This Row],[Goal_assist]]="",1,0)</f>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f>IF(Table13[[#This Row],[Goal_assist]]="",1,0)</f>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f>IF(Table13[[#This Row],[Goal_assist]]="",1,0)</f>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f>IF(Table13[[#This Row],[Goal_assist]]="",1,0)</f>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f>IF(Table13[[#This Row],[Goal_assist]]="",1,0)</f>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f>IF(Table13[[#This Row],[Goal_assist]]="",1,0)</f>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f>IF(Table13[[#This Row],[Goal_assist]]="",1,0)</f>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f>IF(Table13[[#This Row],[Goal_assist]]="",1,0)</f>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f>IF(Table13[[#This Row],[Goal_assist]]="",1,0)</f>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f>IF(Table13[[#This Row],[Goal_assist]]="",1,0)</f>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f>IF(Table13[[#This Row],[Goal_assist]]="",1,0)</f>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f>IF(Table13[[#This Row],[Goal_assist]]="",1,0)</f>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f>IF(Table13[[#This Row],[Goal_assist]]="",1,0)</f>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f>IF(Table13[[#This Row],[Goal_assist]]="",1,0)</f>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f>IF(Table13[[#This Row],[Goal_assist]]="",1,0)</f>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f>IF(Table13[[#This Row],[Goal_assist]]="",1,0)</f>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f>IF(Table13[[#This Row],[Goal_assist]]="",1,0)</f>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f>IF(Table13[[#This Row],[Goal_assist]]="",1,0)</f>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f>IF(Table13[[#This Row],[Goal_assist]]="",1,0)</f>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f>IF(Table13[[#This Row],[Goal_assist]]="",1,0)</f>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f>IF(Table13[[#This Row],[Goal_assist]]="",1,0)</f>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f>IF(Table13[[#This Row],[Goal_assist]]="",1,0)</f>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f>IF(Table13[[#This Row],[Goal_assist]]="",1,0)</f>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f>IF(Table13[[#This Row],[Goal_assist]]="",1,0)</f>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f>IF(Table13[[#This Row],[Goal_assist]]="",1,0)</f>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f>IF(Table13[[#This Row],[Goal_assist]]="",1,0)</f>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f>IF(Table13[[#This Row],[Goal_assist]]="",1,0)</f>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f>IF(Table13[[#This Row],[Goal_assist]]="",1,0)</f>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f>IF(Table13[[#This Row],[Goal_assist]]="",1,0)</f>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f>IF(Table13[[#This Row],[Goal_assist]]="",1,0)</f>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f>IF(Table13[[#This Row],[Goal_assist]]="",1,0)</f>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f>IF(Table13[[#This Row],[Goal_assist]]="",1,0)</f>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f>IF(Table13[[#This Row],[Goal_assist]]="",1,0)</f>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f>IF(Table13[[#This Row],[Goal_assist]]="",1,0)</f>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f>IF(Table13[[#This Row],[Goal_assist]]="",1,0)</f>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f>IF(Table13[[#This Row],[Goal_assist]]="",1,0)</f>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f>IF(Table13[[#This Row],[Goal_assist]]="",1,0)</f>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f>IF(Table13[[#This Row],[Goal_assist]]="",1,0)</f>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f>IF(Table13[[#This Row],[Goal_assist]]="",1,0)</f>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f>IF(Table13[[#This Row],[Goal_assist]]="",1,0)</f>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f>IF(Table13[[#This Row],[Goal_assist]]="",1,0)</f>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f>IF(Table13[[#This Row],[Goal_assist]]="",1,0)</f>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f>IF(Table13[[#This Row],[Goal_assist]]="",1,0)</f>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f>IF(Table13[[#This Row],[Goal_assist]]="",1,0)</f>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f>IF(Table13[[#This Row],[Goal_assist]]="",1,0)</f>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f>IF(Table13[[#This Row],[Goal_assist]]="",1,0)</f>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f>IF(Table13[[#This Row],[Goal_assist]]="",1,0)</f>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f>IF(Table13[[#This Row],[Goal_assist]]="",1,0)</f>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f>IF(Table13[[#This Row],[Goal_assist]]="",1,0)</f>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f>IF(Table13[[#This Row],[Goal_assist]]="",1,0)</f>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f>IF(Table13[[#This Row],[Goal_assist]]="",1,0)</f>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f>IF(Table13[[#This Row],[Goal_assist]]="",1,0)</f>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f>IF(Table13[[#This Row],[Goal_assist]]="",1,0)</f>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f>IF(Table13[[#This Row],[Goal_assist]]="",1,0)</f>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f>IF(Table13[[#This Row],[Goal_assist]]="",1,0)</f>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f>IF(Table13[[#This Row],[Goal_assist]]="",1,0)</f>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f>IF(Table13[[#This Row],[Goal_assist]]="",1,0)</f>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f>IF(Table13[[#This Row],[Goal_assist]]="",1,0)</f>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f>IF(Table13[[#This Row],[Goal_assist]]="",1,0)</f>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f>IF(Table13[[#This Row],[Goal_assist]]="",1,0)</f>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f>IF(Table13[[#This Row],[Goal_assist]]="",1,0)</f>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f>IF(Table13[[#This Row],[Goal_assist]]="",1,0)</f>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f>IF(Table13[[#This Row],[Goal_assist]]="",1,0)</f>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f>IF(Table13[[#This Row],[Goal_assist]]="",1,0)</f>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f>IF(Table13[[#This Row],[Goal_assist]]="",1,0)</f>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f>IF(Table13[[#This Row],[Goal_assist]]="",1,0)</f>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f>IF(Table13[[#This Row],[Goal_assist]]="",1,0)</f>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f>IF(Table13[[#This Row],[Goal_assist]]="",1,0)</f>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f>IF(Table13[[#This Row],[Goal_assist]]="",1,0)</f>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f>IF(Table13[[#This Row],[Goal_assist]]="",1,0)</f>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f>IF(Table13[[#This Row],[Goal_assist]]="",1,0)</f>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f>IF(Table13[[#This Row],[Goal_assist]]="",1,0)</f>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f>IF(Table13[[#This Row],[Goal_assist]]="",1,0)</f>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f>IF(Table13[[#This Row],[Goal_assist]]="",1,0)</f>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f>IF(Table13[[#This Row],[Goal_assist]]="",1,0)</f>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f>IF(Table13[[#This Row],[Goal_assist]]="",1,0)</f>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f>IF(Table13[[#This Row],[Goal_assist]]="",1,0)</f>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f>IF(Table13[[#This Row],[Goal_assist]]="",1,0)</f>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f>IF(Table13[[#This Row],[Goal_assist]]="",1,0)</f>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f>IF(Table13[[#This Row],[Goal_assist]]="",1,0)</f>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f>IF(Table13[[#This Row],[Goal_assist]]="",1,0)</f>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f>IF(Table13[[#This Row],[Goal_assist]]="",1,0)</f>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f>IF(Table13[[#This Row],[Goal_assist]]="",1,0)</f>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f>IF(Table13[[#This Row],[Goal_assist]]="",1,0)</f>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f>IF(Table13[[#This Row],[Goal_assist]]="",1,0)</f>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f>IF(Table13[[#This Row],[Goal_assist]]="",1,0)</f>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f>IF(Table13[[#This Row],[Goal_assist]]="",1,0)</f>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f>IF(Table13[[#This Row],[Goal_assist]]="",1,0)</f>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f>IF(Table13[[#This Row],[Goal_assist]]="",1,0)</f>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f>IF(Table13[[#This Row],[Goal_assist]]="",1,0)</f>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f>IF(Table13[[#This Row],[Goal_assist]]="",1,0)</f>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f>IF(Table13[[#This Row],[Goal_assist]]="",1,0)</f>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f>IF(Table13[[#This Row],[Goal_assist]]="",1,0)</f>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f>IF(Table13[[#This Row],[Goal_assist]]="",1,0)</f>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f>IF(Table13[[#This Row],[Goal_assist]]="",1,0)</f>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f>IF(Table13[[#This Row],[Goal_assist]]="",1,0)</f>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f>IF(Table13[[#This Row],[Goal_assist]]="",1,0)</f>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f>IF(Table13[[#This Row],[Goal_assist]]="",1,0)</f>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f>IF(Table13[[#This Row],[Goal_assist]]="",1,0)</f>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f>IF(Table13[[#This Row],[Goal_assist]]="",1,0)</f>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f>IF(Table13[[#This Row],[Goal_assist]]="",1,0)</f>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f>IF(Table13[[#This Row],[Goal_assist]]="",1,0)</f>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f>IF(Table13[[#This Row],[Goal_assist]]="",1,0)</f>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f>IF(Table13[[#This Row],[Goal_assist]]="",1,0)</f>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f>IF(Table13[[#This Row],[Goal_assist]]="",1,0)</f>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f>IF(Table13[[#This Row],[Goal_assist]]="",1,0)</f>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f>IF(Table13[[#This Row],[Goal_assist]]="",1,0)</f>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f>IF(Table13[[#This Row],[Goal_assist]]="",1,0)</f>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f>IF(Table13[[#This Row],[Goal_assist]]="",1,0)</f>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f>IF(Table13[[#This Row],[Goal_assist]]="",1,0)</f>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f>IF(Table13[[#This Row],[Goal_assist]]="",1,0)</f>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f>IF(Table13[[#This Row],[Goal_assist]]="",1,0)</f>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f>IF(Table13[[#This Row],[Goal_assist]]="",1,0)</f>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f>IF(Table13[[#This Row],[Goal_assist]]="",1,0)</f>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f>IF(Table13[[#This Row],[Goal_assist]]="",1,0)</f>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f>IF(Table13[[#This Row],[Goal_assist]]="",1,0)</f>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f>IF(Table13[[#This Row],[Goal_assist]]="",1,0)</f>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f>IF(Table13[[#This Row],[Goal_assist]]="",1,0)</f>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f>IF(Table13[[#This Row],[Goal_assist]]="",1,0)</f>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f>IF(Table13[[#This Row],[Goal_assist]]="",1,0)</f>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f>IF(Table13[[#This Row],[Goal_assist]]="",1,0)</f>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f>IF(Table13[[#This Row],[Goal_assist]]="",1,0)</f>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f>IF(Table13[[#This Row],[Goal_assist]]="",1,0)</f>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f>IF(Table13[[#This Row],[Goal_assist]]="",1,0)</f>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f>IF(Table13[[#This Row],[Goal_assist]]="",1,0)</f>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f>IF(Table13[[#This Row],[Goal_assist]]="",1,0)</f>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f>IF(Table13[[#This Row],[Goal_assist]]="",1,0)</f>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f>IF(Table13[[#This Row],[Goal_assist]]="",1,0)</f>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f>IF(Table13[[#This Row],[Goal_assist]]="",1,0)</f>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f>IF(Table13[[#This Row],[Goal_assist]]="",1,0)</f>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f>IF(Table13[[#This Row],[Goal_assist]]="",1,0)</f>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f>IF(Table13[[#This Row],[Goal_assist]]="",1,0)</f>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f>IF(Table13[[#This Row],[Goal_assist]]="",1,0)</f>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f>IF(Table13[[#This Row],[Goal_assist]]="",1,0)</f>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f>IF(Table13[[#This Row],[Goal_assist]]="",1,0)</f>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f>IF(Table13[[#This Row],[Goal_assist]]="",1,0)</f>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f>IF(Table13[[#This Row],[Goal_assist]]="",1,0)</f>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f>IF(Table13[[#This Row],[Goal_assist]]="",1,0)</f>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f>IF(Table13[[#This Row],[Goal_assist]]="",1,0)</f>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f>IF(Table13[[#This Row],[Goal_assist]]="",1,0)</f>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f>IF(Table13[[#This Row],[Goal_assist]]="",1,0)</f>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f>IF(Table13[[#This Row],[Goal_assist]]="",1,0)</f>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f>IF(Table13[[#This Row],[Goal_assist]]="",1,0)</f>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f>IF(Table13[[#This Row],[Goal_assist]]="",1,0)</f>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f>IF(Table13[[#This Row],[Goal_assist]]="",1,0)</f>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f>IF(Table13[[#This Row],[Goal_assist]]="",1,0)</f>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f>IF(Table13[[#This Row],[Goal_assist]]="",1,0)</f>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f>IF(Table13[[#This Row],[Goal_assist]]="",1,0)</f>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f>IF(Table13[[#This Row],[Goal_assist]]="",1,0)</f>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f>IF(Table13[[#This Row],[Goal_assist]]="",1,0)</f>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f>IF(Table13[[#This Row],[Goal_assist]]="",1,0)</f>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f>IF(Table13[[#This Row],[Goal_assist]]="",1,0)</f>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f>IF(Table13[[#This Row],[Goal_assist]]="",1,0)</f>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f>IF(Table13[[#This Row],[Goal_assist]]="",1,0)</f>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f>IF(Table13[[#This Row],[Goal_assist]]="",1,0)</f>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f>IF(Table13[[#This Row],[Goal_assist]]="",1,0)</f>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f>IF(Table13[[#This Row],[Goal_assist]]="",1,0)</f>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f>IF(Table13[[#This Row],[Goal_assist]]="",1,0)</f>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f>IF(Table13[[#This Row],[Goal_assist]]="",1,0)</f>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f>IF(Table13[[#This Row],[Goal_assist]]="",1,0)</f>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f>IF(Table13[[#This Row],[Goal_assist]]="",1,0)</f>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f>IF(Table13[[#This Row],[Goal_assist]]="",1,0)</f>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f>IF(Table13[[#This Row],[Goal_assist]]="",1,0)</f>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f>IF(Table13[[#This Row],[Goal_assist]]="",1,0)</f>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f>IF(Table13[[#This Row],[Goal_assist]]="",1,0)</f>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f>IF(Table13[[#This Row],[Goal_assist]]="",1,0)</f>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f>IF(Table13[[#This Row],[Goal_assist]]="",1,0)</f>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f>IF(Table13[[#This Row],[Goal_assist]]="",1,0)</f>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f>IF(Table13[[#This Row],[Goal_assist]]="",1,0)</f>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f>IF(Table13[[#This Row],[Goal_assist]]="",1,0)</f>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f>IF(Table13[[#This Row],[Goal_assist]]="",1,0)</f>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f>IF(Table13[[#This Row],[Goal_assist]]="",1,0)</f>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f>IF(Table13[[#This Row],[Goal_assist]]="",1,0)</f>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f>IF(Table13[[#This Row],[Goal_assist]]="",1,0)</f>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f>IF(Table13[[#This Row],[Goal_assist]]="",1,0)</f>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f>IF(Table13[[#This Row],[Goal_assist]]="",1,0)</f>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f>IF(Table13[[#This Row],[Goal_assist]]="",1,0)</f>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f>IF(Table13[[#This Row],[Goal_assist]]="",1,0)</f>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f>IF(Table13[[#This Row],[Goal_assist]]="",1,0)</f>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f>IF(Table13[[#This Row],[Goal_assist]]="",1,0)</f>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f>IF(Table13[[#This Row],[Goal_assist]]="",1,0)</f>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f>IF(Table13[[#This Row],[Goal_assist]]="",1,0)</f>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f>IF(Table13[[#This Row],[Goal_assist]]="",1,0)</f>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f>IF(Table13[[#This Row],[Goal_assist]]="",1,0)</f>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f>IF(Table13[[#This Row],[Goal_assist]]="",1,0)</f>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f>IF(Table13[[#This Row],[Goal_assist]]="",1,0)</f>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f>IF(Table13[[#This Row],[Goal_assist]]="",1,0)</f>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f>IF(Table13[[#This Row],[Goal_assist]]="",1,0)</f>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f>IF(Table13[[#This Row],[Goal_assist]]="",1,0)</f>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f>IF(Table13[[#This Row],[Goal_assist]]="",1,0)</f>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f>IF(Table13[[#This Row],[Goal_assist]]="",1,0)</f>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f>IF(Table13[[#This Row],[Goal_assist]]="",1,0)</f>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f>IF(Table13[[#This Row],[Goal_assist]]="",1,0)</f>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f>IF(Table13[[#This Row],[Goal_assist]]="",1,0)</f>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f>IF(Table13[[#This Row],[Goal_assist]]="",1,0)</f>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f>IF(Table13[[#This Row],[Goal_assist]]="",1,0)</f>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f>IF(Table13[[#This Row],[Goal_assist]]="",1,0)</f>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f>IF(Table13[[#This Row],[Goal_assist]]="",1,0)</f>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f>IF(Table13[[#This Row],[Goal_assist]]="",1,0)</f>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f>IF(Table13[[#This Row],[Goal_assist]]="",1,0)</f>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f>IF(Table13[[#This Row],[Goal_assist]]="",1,0)</f>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f>IF(Table13[[#This Row],[Goal_assist]]="",1,0)</f>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f>IF(Table13[[#This Row],[Goal_assist]]="",1,0)</f>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f>IF(Table13[[#This Row],[Goal_assist]]="",1,0)</f>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f>IF(Table13[[#This Row],[Goal_assist]]="",1,0)</f>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f>IF(Table13[[#This Row],[Goal_assist]]="",1,0)</f>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f>IF(Table13[[#This Row],[Goal_assist]]="",1,0)</f>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f>IF(Table13[[#This Row],[Goal_assist]]="",1,0)</f>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f>IF(Table13[[#This Row],[Goal_assist]]="",1,0)</f>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f>IF(Table13[[#This Row],[Goal_assist]]="",1,0)</f>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f>IF(Table13[[#This Row],[Goal_assist]]="",1,0)</f>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f>IF(Table13[[#This Row],[Goal_assist]]="",1,0)</f>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f>IF(Table13[[#This Row],[Goal_assist]]="",1,0)</f>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f>IF(Table13[[#This Row],[Goal_assist]]="",1,0)</f>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f>IF(Table13[[#This Row],[Goal_assist]]="",1,0)</f>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f>IF(Table13[[#This Row],[Goal_assist]]="",1,0)</f>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f>IF(Table13[[#This Row],[Goal_assist]]="",1,0)</f>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f>IF(Table13[[#This Row],[Goal_assist]]="",1,0)</f>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f>IF(Table13[[#This Row],[Goal_assist]]="",1,0)</f>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f>IF(Table13[[#This Row],[Goal_assist]]="",1,0)</f>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f>IF(Table13[[#This Row],[Goal_assist]]="",1,0)</f>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f>IF(Table13[[#This Row],[Goal_assist]]="",1,0)</f>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f>IF(Table13[[#This Row],[Goal_assist]]="",1,0)</f>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f>IF(Table13[[#This Row],[Goal_assist]]="",1,0)</f>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f>IF(Table13[[#This Row],[Goal_assist]]="",1,0)</f>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f>IF(Table13[[#This Row],[Goal_assist]]="",1,0)</f>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f>IF(Table13[[#This Row],[Goal_assist]]="",1,0)</f>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f>IF(Table13[[#This Row],[Goal_assist]]="",1,0)</f>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f>IF(Table13[[#This Row],[Goal_assist]]="",1,0)</f>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f>IF(Table13[[#This Row],[Goal_assist]]="",1,0)</f>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f>IF(Table13[[#This Row],[Goal_assist]]="",1,0)</f>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f>IF(Table13[[#This Row],[Goal_assist]]="",1,0)</f>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f>IF(Table13[[#This Row],[Goal_assist]]="",1,0)</f>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f>IF(Table13[[#This Row],[Goal_assist]]="",1,0)</f>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f>IF(Table13[[#This Row],[Goal_assist]]="",1,0)</f>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f>IF(Table13[[#This Row],[Goal_assist]]="",1,0)</f>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f>IF(Table13[[#This Row],[Goal_assist]]="",1,0)</f>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f>IF(Table13[[#This Row],[Goal_assist]]="",1,0)</f>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f>IF(Table13[[#This Row],[Goal_assist]]="",1,0)</f>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f>IF(Table13[[#This Row],[Goal_assist]]="",1,0)</f>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f>IF(Table13[[#This Row],[Goal_assist]]="",1,0)</f>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f>IF(Table13[[#This Row],[Goal_assist]]="",1,0)</f>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f>IF(Table13[[#This Row],[Goal_assist]]="",1,0)</f>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f>IF(Table13[[#This Row],[Goal_assist]]="",1,0)</f>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f>IF(Table13[[#This Row],[Goal_assist]]="",1,0)</f>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f>IF(Table13[[#This Row],[Goal_assist]]="",1,0)</f>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f>IF(Table13[[#This Row],[Goal_assist]]="",1,0)</f>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f>IF(Table13[[#This Row],[Goal_assist]]="",1,0)</f>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f>IF(Table13[[#This Row],[Goal_assist]]="",1,0)</f>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f>IF(Table13[[#This Row],[Goal_assist]]="",1,0)</f>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f>IF(Table13[[#This Row],[Goal_assist]]="",1,0)</f>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f>IF(Table13[[#This Row],[Goal_assist]]="",1,0)</f>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f>IF(Table13[[#This Row],[Goal_assist]]="",1,0)</f>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f>IF(Table13[[#This Row],[Goal_assist]]="",1,0)</f>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f>IF(Table13[[#This Row],[Goal_assist]]="",1,0)</f>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f>IF(Table13[[#This Row],[Goal_assist]]="",1,0)</f>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f>IF(Table13[[#This Row],[Goal_assist]]="",1,0)</f>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f>IF(Table13[[#This Row],[Goal_assist]]="",1,0)</f>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f>IF(Table13[[#This Row],[Goal_assist]]="",1,0)</f>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f>IF(Table13[[#This Row],[Goal_assist]]="",1,0)</f>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f>IF(Table13[[#This Row],[Goal_assist]]="",1,0)</f>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f>IF(Table13[[#This Row],[Goal_assist]]="",1,0)</f>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f>IF(Table13[[#This Row],[Goal_assist]]="",1,0)</f>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f>IF(Table13[[#This Row],[Goal_assist]]="",1,0)</f>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f>IF(Table13[[#This Row],[Goal_assist]]="",1,0)</f>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f>IF(Table13[[#This Row],[Goal_assist]]="",1,0)</f>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f>IF(Table13[[#This Row],[Goal_assist]]="",1,0)</f>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f>IF(Table13[[#This Row],[Goal_assist]]="",1,0)</f>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f>IF(Table13[[#This Row],[Goal_assist]]="",1,0)</f>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f>IF(Table13[[#This Row],[Goal_assist]]="",1,0)</f>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f>IF(Table13[[#This Row],[Goal_assist]]="",1,0)</f>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f>IF(Table13[[#This Row],[Goal_assist]]="",1,0)</f>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f>IF(Table13[[#This Row],[Goal_assist]]="",1,0)</f>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f>IF(Table13[[#This Row],[Goal_assist]]="",1,0)</f>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f>IF(Table13[[#This Row],[Goal_assist]]="",1,0)</f>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f>IF(Table13[[#This Row],[Goal_assist]]="",1,0)</f>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f>IF(Table13[[#This Row],[Goal_assist]]="",1,0)</f>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f>IF(Table13[[#This Row],[Goal_assist]]="",1,0)</f>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f>IF(Table13[[#This Row],[Goal_assist]]="",1,0)</f>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f>IF(Table13[[#This Row],[Goal_assist]]="",1,0)</f>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f>IF(Table13[[#This Row],[Goal_assist]]="",1,0)</f>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f>IF(Table13[[#This Row],[Goal_assist]]="",1,0)</f>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f>IF(Table13[[#This Row],[Goal_assist]]="",1,0)</f>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f>IF(Table13[[#This Row],[Goal_assist]]="",1,0)</f>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f>IF(Table13[[#This Row],[Goal_assist]]="",1,0)</f>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f>IF(Table13[[#This Row],[Goal_assist]]="",1,0)</f>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f>IF(Table13[[#This Row],[Goal_assist]]="",1,0)</f>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f>IF(Table13[[#This Row],[Goal_assist]]="",1,0)</f>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f>IF(Table13[[#This Row],[Goal_assist]]="",1,0)</f>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f>IF(Table13[[#This Row],[Goal_assist]]="",1,0)</f>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f>IF(Table13[[#This Row],[Goal_assist]]="",1,0)</f>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f>IF(Table13[[#This Row],[Goal_assist]]="",1,0)</f>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f>IF(Table13[[#This Row],[Goal_assist]]="",1,0)</f>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f>IF(Table13[[#This Row],[Goal_assist]]="",1,0)</f>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f>IF(Table13[[#This Row],[Goal_assist]]="",1,0)</f>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f>IF(Table13[[#This Row],[Goal_assist]]="",1,0)</f>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f>IF(Table13[[#This Row],[Goal_assist]]="",1,0)</f>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f>IF(Table13[[#This Row],[Goal_assist]]="",1,0)</f>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f>IF(Table13[[#This Row],[Goal_assist]]="",1,0)</f>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f>IF(Table13[[#This Row],[Goal_assist]]="",1,0)</f>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f>IF(Table13[[#This Row],[Goal_assist]]="",1,0)</f>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f>IF(Table13[[#This Row],[Goal_assist]]="",1,0)</f>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f>IF(Table13[[#This Row],[Goal_assist]]="",1,0)</f>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f>IF(Table13[[#This Row],[Goal_assist]]="",1,0)</f>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f>IF(Table13[[#This Row],[Goal_assist]]="",1,0)</f>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f>IF(Table13[[#This Row],[Goal_assist]]="",1,0)</f>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f>IF(Table13[[#This Row],[Goal_assist]]="",1,0)</f>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f>IF(Table13[[#This Row],[Goal_assist]]="",1,0)</f>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f>IF(Table13[[#This Row],[Goal_assist]]="",1,0)</f>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f>IF(Table13[[#This Row],[Goal_assist]]="",1,0)</f>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f>IF(Table13[[#This Row],[Goal_assist]]="",1,0)</f>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f>IF(Table13[[#This Row],[Goal_assist]]="",1,0)</f>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f>IF(Table13[[#This Row],[Goal_assist]]="",1,0)</f>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f>IF(Table13[[#This Row],[Goal_assist]]="",1,0)</f>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f>IF(Table13[[#This Row],[Goal_assist]]="",1,0)</f>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f>IF(Table13[[#This Row],[Goal_assist]]="",1,0)</f>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f>IF(Table13[[#This Row],[Goal_assist]]="",1,0)</f>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f>IF(Table13[[#This Row],[Goal_assist]]="",1,0)</f>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f>IF(Table13[[#This Row],[Goal_assist]]="",1,0)</f>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f>IF(Table13[[#This Row],[Goal_assist]]="",1,0)</f>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f>IF(Table13[[#This Row],[Goal_assist]]="",1,0)</f>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f>IF(Table13[[#This Row],[Goal_assist]]="",1,0)</f>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f>IF(Table13[[#This Row],[Goal_assist]]="",1,0)</f>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f>IF(Table13[[#This Row],[Goal_assist]]="",1,0)</f>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f>IF(Table13[[#This Row],[Goal_assist]]="",1,0)</f>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f>IF(Table13[[#This Row],[Goal_assist]]="",1,0)</f>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f>IF(Table13[[#This Row],[Goal_assist]]="",1,0)</f>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f>IF(Table13[[#This Row],[Goal_assist]]="",1,0)</f>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f>IF(Table13[[#This Row],[Goal_assist]]="",1,0)</f>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f>IF(Table13[[#This Row],[Goal_assist]]="",1,0)</f>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f>IF(Table13[[#This Row],[Goal_assist]]="",1,0)</f>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f>IF(Table13[[#This Row],[Goal_assist]]="",1,0)</f>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f>IF(Table13[[#This Row],[Goal_assist]]="",1,0)</f>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f>IF(Table13[[#This Row],[Goal_assist]]="",1,0)</f>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f>IF(Table13[[#This Row],[Goal_assist]]="",1,0)</f>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f>IF(Table13[[#This Row],[Goal_assist]]="",1,0)</f>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f>IF(Table13[[#This Row],[Goal_assist]]="",1,0)</f>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f>IF(Table13[[#This Row],[Goal_assist]]="",1,0)</f>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f>IF(Table13[[#This Row],[Goal_assist]]="",1,0)</f>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f>IF(Table13[[#This Row],[Goal_assist]]="",1,0)</f>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f>IF(Table13[[#This Row],[Goal_assist]]="",1,0)</f>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f>IF(Table13[[#This Row],[Goal_assist]]="",1,0)</f>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f>IF(Table13[[#This Row],[Goal_assist]]="",1,0)</f>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f>IF(Table13[[#This Row],[Goal_assist]]="",1,0)</f>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f>IF(Table13[[#This Row],[Goal_assist]]="",1,0)</f>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f>IF(Table13[[#This Row],[Goal_assist]]="",1,0)</f>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f>IF(Table13[[#This Row],[Goal_assist]]="",1,0)</f>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f>IF(Table13[[#This Row],[Goal_assist]]="",1,0)</f>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f>IF(Table13[[#This Row],[Goal_assist]]="",1,0)</f>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f>IF(Table13[[#This Row],[Goal_assist]]="",1,0)</f>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f>IF(Table13[[#This Row],[Goal_assist]]="",1,0)</f>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f>IF(Table13[[#This Row],[Goal_assist]]="",1,0)</f>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f>IF(Table13[[#This Row],[Goal_assist]]="",1,0)</f>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f>IF(Table13[[#This Row],[Goal_assist]]="",1,0)</f>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f>IF(Table13[[#This Row],[Goal_assist]]="",1,0)</f>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f>IF(Table13[[#This Row],[Goal_assist]]="",1,0)</f>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f>IF(Table13[[#This Row],[Goal_assist]]="",1,0)</f>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f>IF(Table13[[#This Row],[Goal_assist]]="",1,0)</f>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f>IF(Table13[[#This Row],[Goal_assist]]="",1,0)</f>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f>IF(Table13[[#This Row],[Goal_assist]]="",1,0)</f>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f>IF(Table13[[#This Row],[Goal_assist]]="",1,0)</f>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f>IF(Table13[[#This Row],[Goal_assist]]="",1,0)</f>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f>IF(Table13[[#This Row],[Goal_assist]]="",1,0)</f>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f>IF(Table13[[#This Row],[Goal_assist]]="",1,0)</f>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f>IF(Table13[[#This Row],[Goal_assist]]="",1,0)</f>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f>IF(Table13[[#This Row],[Goal_assist]]="",1,0)</f>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f>IF(Table13[[#This Row],[Goal_assist]]="",1,0)</f>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f>IF(Table13[[#This Row],[Goal_assist]]="",1,0)</f>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f>IF(Table13[[#This Row],[Goal_assist]]="",1,0)</f>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f>IF(Table13[[#This Row],[Goal_assist]]="",1,0)</f>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f>IF(Table13[[#This Row],[Goal_assist]]="",1,0)</f>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f>IF(Table13[[#This Row],[Goal_assist]]="",1,0)</f>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f>IF(Table13[[#This Row],[Goal_assist]]="",1,0)</f>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f>IF(Table13[[#This Row],[Goal_assist]]="",1,0)</f>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f>IF(Table13[[#This Row],[Goal_assist]]="",1,0)</f>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f>IF(Table13[[#This Row],[Goal_assist]]="",1,0)</f>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f>IF(Table13[[#This Row],[Goal_assist]]="",1,0)</f>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f>IF(Table13[[#This Row],[Goal_assist]]="",1,0)</f>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f>IF(Table13[[#This Row],[Goal_assist]]="",1,0)</f>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f>IF(Table13[[#This Row],[Goal_assist]]="",1,0)</f>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f>IF(Table13[[#This Row],[Goal_assist]]="",1,0)</f>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f>IF(Table13[[#This Row],[Goal_assist]]="",1,0)</f>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f>IF(Table13[[#This Row],[Goal_assist]]="",1,0)</f>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f>IF(Table13[[#This Row],[Goal_assist]]="",1,0)</f>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f>IF(Table13[[#This Row],[Goal_assist]]="",1,0)</f>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f>IF(Table13[[#This Row],[Goal_assist]]="",1,0)</f>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f>IF(Table13[[#This Row],[Goal_assist]]="",1,0)</f>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f>IF(Table13[[#This Row],[Goal_assist]]="",1,0)</f>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f>IF(Table13[[#This Row],[Goal_assist]]="",1,0)</f>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f>IF(Table13[[#This Row],[Goal_assist]]="",1,0)</f>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f>IF(Table13[[#This Row],[Goal_assist]]="",1,0)</f>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f>IF(Table13[[#This Row],[Goal_assist]]="",1,0)</f>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f>IF(Table13[[#This Row],[Goal_assist]]="",1,0)</f>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f>IF(Table13[[#This Row],[Goal_assist]]="",1,0)</f>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f>IF(Table13[[#This Row],[Goal_assist]]="",1,0)</f>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f>IF(Table13[[#This Row],[Goal_assist]]="",1,0)</f>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f>IF(Table13[[#This Row],[Goal_assist]]="",1,0)</f>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f>IF(Table13[[#This Row],[Goal_assist]]="",1,0)</f>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f>IF(Table13[[#This Row],[Goal_assist]]="",1,0)</f>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f>IF(Table13[[#This Row],[Goal_assist]]="",1,0)</f>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f>IF(Table13[[#This Row],[Goal_assist]]="",1,0)</f>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f>IF(Table13[[#This Row],[Goal_assist]]="",1,0)</f>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f>IF(Table13[[#This Row],[Goal_assist]]="",1,0)</f>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f>IF(Table13[[#This Row],[Goal_assist]]="",1,0)</f>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f>IF(Table13[[#This Row],[Goal_assist]]="",1,0)</f>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f>IF(Table13[[#This Row],[Goal_assist]]="",1,0)</f>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f>IF(Table13[[#This Row],[Goal_assist]]="",1,0)</f>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f>IF(Table13[[#This Row],[Goal_assist]]="",1,0)</f>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f>IF(Table13[[#This Row],[Goal_assist]]="",1,0)</f>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f>IF(Table13[[#This Row],[Goal_assist]]="",1,0)</f>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f>IF(Table13[[#This Row],[Goal_assist]]="",1,0)</f>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f>IF(Table13[[#This Row],[Goal_assist]]="",1,0)</f>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f>IF(Table13[[#This Row],[Goal_assist]]="",1,0)</f>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f>IF(Table13[[#This Row],[Goal_assist]]="",1,0)</f>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f>IF(Table13[[#This Row],[Goal_assist]]="",1,0)</f>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f>IF(Table13[[#This Row],[Goal_assist]]="",1,0)</f>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f>IF(Table13[[#This Row],[Goal_assist]]="",1,0)</f>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f>IF(Table13[[#This Row],[Goal_assist]]="",1,0)</f>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f>IF(Table13[[#This Row],[Goal_assist]]="",1,0)</f>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f>IF(Table13[[#This Row],[Goal_assist]]="",1,0)</f>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f>IF(Table13[[#This Row],[Goal_assist]]="",1,0)</f>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f>IF(Table13[[#This Row],[Goal_assist]]="",1,0)</f>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f>IF(Table13[[#This Row],[Goal_assist]]="",1,0)</f>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f>IF(Table13[[#This Row],[Goal_assist]]="",1,0)</f>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f>IF(Table13[[#This Row],[Goal_assist]]="",1,0)</f>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f>IF(Table13[[#This Row],[Goal_assist]]="",1,0)</f>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f>IF(Table13[[#This Row],[Goal_assist]]="",1,0)</f>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f>IF(Table13[[#This Row],[Goal_assist]]="",1,0)</f>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f>IF(Table13[[#This Row],[Goal_assist]]="",1,0)</f>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f>IF(Table13[[#This Row],[Goal_assist]]="",1,0)</f>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f>IF(Table13[[#This Row],[Goal_assist]]="",1,0)</f>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f>IF(Table13[[#This Row],[Goal_assist]]="",1,0)</f>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f>IF(Table13[[#This Row],[Goal_assist]]="",1,0)</f>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f>IF(Table13[[#This Row],[Goal_assist]]="",1,0)</f>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f>IF(Table13[[#This Row],[Goal_assist]]="",1,0)</f>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f>IF(Table13[[#This Row],[Goal_assist]]="",1,0)</f>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f>IF(Table13[[#This Row],[Goal_assist]]="",1,0)</f>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f>IF(Table13[[#This Row],[Goal_assist]]="",1,0)</f>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f>IF(Table13[[#This Row],[Goal_assist]]="",1,0)</f>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f>IF(Table13[[#This Row],[Goal_assist]]="",1,0)</f>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f>IF(Table13[[#This Row],[Goal_assist]]="",1,0)</f>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f>IF(Table13[[#This Row],[Goal_assist]]="",1,0)</f>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f>IF(Table13[[#This Row],[Goal_assist]]="",1,0)</f>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f>IF(Table13[[#This Row],[Goal_assist]]="",1,0)</f>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f>IF(Table13[[#This Row],[Goal_assist]]="",1,0)</f>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f>IF(Table13[[#This Row],[Goal_assist]]="",1,0)</f>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f>IF(Table13[[#This Row],[Goal_assist]]="",1,0)</f>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f>IF(Table13[[#This Row],[Goal_assist]]="",1,0)</f>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f>IF(Table13[[#This Row],[Goal_assist]]="",1,0)</f>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f>IF(Table13[[#This Row],[Goal_assist]]="",1,0)</f>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f>IF(Table13[[#This Row],[Goal_assist]]="",1,0)</f>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f>IF(Table13[[#This Row],[Goal_assist]]="",1,0)</f>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f>IF(Table13[[#This Row],[Goal_assist]]="",1,0)</f>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f>IF(Table13[[#This Row],[Goal_assist]]="",1,0)</f>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f>IF(Table13[[#This Row],[Goal_assist]]="",1,0)</f>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f>IF(Table13[[#This Row],[Goal_assist]]="",1,0)</f>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f>IF(Table13[[#This Row],[Goal_assist]]="",1,0)</f>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f>IF(Table13[[#This Row],[Goal_assist]]="",1,0)</f>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f>IF(Table13[[#This Row],[Goal_assist]]="",1,0)</f>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f>IF(Table13[[#This Row],[Goal_assist]]="",1,0)</f>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f>IF(Table13[[#This Row],[Goal_assist]]="",1,0)</f>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f>IF(Table13[[#This Row],[Goal_assist]]="",1,0)</f>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f>IF(Table13[[#This Row],[Goal_assist]]="",1,0)</f>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f>IF(Table13[[#This Row],[Goal_assist]]="",1,0)</f>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f>IF(Table13[[#This Row],[Goal_assist]]="",1,0)</f>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f>IF(Table13[[#This Row],[Goal_assist]]="",1,0)</f>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f>IF(Table13[[#This Row],[Goal_assist]]="",1,0)</f>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f>IF(Table13[[#This Row],[Goal_assist]]="",1,0)</f>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f>IF(Table13[[#This Row],[Goal_assist]]="",1,0)</f>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f>IF(Table13[[#This Row],[Goal_assist]]="",1,0)</f>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f>IF(Table13[[#This Row],[Goal_assist]]="",1,0)</f>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f>IF(Table13[[#This Row],[Goal_assist]]="",1,0)</f>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f>IF(Table13[[#This Row],[Goal_assist]]="",1,0)</f>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f>IF(Table13[[#This Row],[Goal_assist]]="",1,0)</f>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f>IF(Table13[[#This Row],[Goal_assist]]="",1,0)</f>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f>IF(Table13[[#This Row],[Goal_assist]]="",1,0)</f>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f>IF(Table13[[#This Row],[Goal_assist]]="",1,0)</f>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f>IF(Table13[[#This Row],[Goal_assist]]="",1,0)</f>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f>IF(Table13[[#This Row],[Goal_assist]]="",1,0)</f>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f>IF(Table13[[#This Row],[Goal_assist]]="",1,0)</f>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f>IF(Table13[[#This Row],[Goal_assist]]="",1,0)</f>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f>IF(Table13[[#This Row],[Goal_assist]]="",1,0)</f>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f>IF(Table13[[#This Row],[Goal_assist]]="",1,0)</f>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f>IF(Table13[[#This Row],[Goal_assist]]="",1,0)</f>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f>IF(Table13[[#This Row],[Goal_assist]]="",1,0)</f>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f>IF(Table13[[#This Row],[Goal_assist]]="",1,0)</f>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f>IF(Table13[[#This Row],[Goal_assist]]="",1,0)</f>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f>IF(Table13[[#This Row],[Goal_assist]]="",1,0)</f>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f>IF(Table13[[#This Row],[Goal_assist]]="",1,0)</f>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f>IF(Table13[[#This Row],[Goal_assist]]="",1,0)</f>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f>IF(Table13[[#This Row],[Goal_assist]]="",1,0)</f>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f>IF(Table13[[#This Row],[Goal_assist]]="",1,0)</f>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f>IF(Table13[[#This Row],[Goal_assist]]="",1,0)</f>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f>IF(Table13[[#This Row],[Goal_assist]]="",1,0)</f>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f>IF(Table13[[#This Row],[Goal_assist]]="",1,0)</f>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f>IF(Table13[[#This Row],[Goal_assist]]="",1,0)</f>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f>IF(Table13[[#This Row],[Goal_assist]]="",1,0)</f>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f>IF(Table13[[#This Row],[Goal_assist]]="",1,0)</f>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f>IF(Table13[[#This Row],[Goal_assist]]="",1,0)</f>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f>IF(Table13[[#This Row],[Goal_assist]]="",1,0)</f>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f>IF(Table13[[#This Row],[Goal_assist]]="",1,0)</f>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f>IF(Table13[[#This Row],[Goal_assist]]="",1,0)</f>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f>IF(Table13[[#This Row],[Goal_assist]]="",1,0)</f>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f>IF(Table13[[#This Row],[Goal_assist]]="",1,0)</f>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f>IF(Table13[[#This Row],[Goal_assist]]="",1,0)</f>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f>IF(Table13[[#This Row],[Goal_assist]]="",1,0)</f>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f>IF(Table13[[#This Row],[Goal_assist]]="",1,0)</f>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f>IF(Table13[[#This Row],[Goal_assist]]="",1,0)</f>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f>IF(Table13[[#This Row],[Goal_assist]]="",1,0)</f>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f>IF(Table13[[#This Row],[Goal_assist]]="",1,0)</f>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f>IF(Table13[[#This Row],[Goal_assist]]="",1,0)</f>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f>IF(Table13[[#This Row],[Goal_assist]]="",1,0)</f>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f>IF(Table13[[#This Row],[Goal_assist]]="",1,0)</f>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f>IF(Table13[[#This Row],[Goal_assist]]="",1,0)</f>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f>IF(Table13[[#This Row],[Goal_assist]]="",1,0)</f>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f>IF(Table13[[#This Row],[Goal_assist]]="",1,0)</f>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f>IF(Table13[[#This Row],[Goal_assist]]="",1,0)</f>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f>IF(Table13[[#This Row],[Goal_assist]]="",1,0)</f>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f>IF(Table13[[#This Row],[Goal_assist]]="",1,0)</f>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f>IF(Table13[[#This Row],[Goal_assist]]="",1,0)</f>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f>IF(Table13[[#This Row],[Goal_assist]]="",1,0)</f>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f>IF(Table13[[#This Row],[Goal_assist]]="",1,0)</f>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f>IF(Table13[[#This Row],[Goal_assist]]="",1,0)</f>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f>IF(Table13[[#This Row],[Goal_assist]]="",1,0)</f>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f>IF(Table13[[#This Row],[Goal_assist]]="",1,0)</f>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f>IF(Table13[[#This Row],[Goal_assist]]="",1,0)</f>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f>IF(Table13[[#This Row],[Goal_assist]]="",1,0)</f>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f>IF(Table13[[#This Row],[Goal_assist]]="",1,0)</f>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f>IF(Table13[[#This Row],[Goal_assist]]="",1,0)</f>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f>IF(Table13[[#This Row],[Goal_assist]]="",1,0)</f>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f>IF(Table13[[#This Row],[Goal_assist]]="",1,0)</f>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f>IF(Table13[[#This Row],[Goal_assist]]="",1,0)</f>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f>IF(Table13[[#This Row],[Goal_assist]]="",1,0)</f>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f>IF(Table13[[#This Row],[Goal_assist]]="",1,0)</f>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f>IF(Table13[[#This Row],[Goal_assist]]="",1,0)</f>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f>IF(Table13[[#This Row],[Goal_assist]]="",1,0)</f>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f>IF(Table13[[#This Row],[Goal_assist]]="",1,0)</f>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f>IF(Table13[[#This Row],[Goal_assist]]="",1,0)</f>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f>IF(Table13[[#This Row],[Goal_assist]]="",1,0)</f>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f>IF(Table13[[#This Row],[Goal_assist]]="",1,0)</f>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f>IF(Table13[[#This Row],[Goal_assist]]="",1,0)</f>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f>IF(Table13[[#This Row],[Goal_assist]]="",1,0)</f>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f>IF(Table13[[#This Row],[Goal_assist]]="",1,0)</f>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f>IF(Table13[[#This Row],[Goal_assist]]="",1,0)</f>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f>IF(Table13[[#This Row],[Goal_assist]]="",1,0)</f>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f>IF(Table13[[#This Row],[Goal_assist]]="",1,0)</f>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f>IF(Table13[[#This Row],[Goal_assist]]="",1,0)</f>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f>IF(Table13[[#This Row],[Goal_assist]]="",1,0)</f>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f>IF(Table13[[#This Row],[Goal_assist]]="",1,0)</f>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f>IF(Table13[[#This Row],[Goal_assist]]="",1,0)</f>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f>IF(Table13[[#This Row],[Goal_assist]]="",1,0)</f>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f>IF(Table13[[#This Row],[Goal_assist]]="",1,0)</f>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f>IF(Table13[[#This Row],[Goal_assist]]="",1,0)</f>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f>IF(Table13[[#This Row],[Goal_assist]]="",1,0)</f>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f>IF(Table13[[#This Row],[Goal_assist]]="",1,0)</f>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f>IF(Table13[[#This Row],[Goal_assist]]="",1,0)</f>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f>IF(Table13[[#This Row],[Goal_assist]]="",1,0)</f>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f>IF(Table13[[#This Row],[Goal_assist]]="",1,0)</f>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f>IF(Table13[[#This Row],[Goal_assist]]="",1,0)</f>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f>IF(Table13[[#This Row],[Goal_assist]]="",1,0)</f>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f>IF(Table13[[#This Row],[Goal_assist]]="",1,0)</f>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f>IF(Table13[[#This Row],[Goal_assist]]="",1,0)</f>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f>IF(Table13[[#This Row],[Goal_assist]]="",1,0)</f>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f>IF(Table13[[#This Row],[Goal_assist]]="",1,0)</f>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f>IF(Table13[[#This Row],[Goal_assist]]="",1,0)</f>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f>IF(Table13[[#This Row],[Goal_assist]]="",1,0)</f>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f>IF(Table13[[#This Row],[Goal_assist]]="",1,0)</f>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f>IF(Table13[[#This Row],[Goal_assist]]="",1,0)</f>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f>IF(Table13[[#This Row],[Goal_assist]]="",1,0)</f>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f>IF(Table13[[#This Row],[Goal_assist]]="",1,0)</f>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f>IF(Table13[[#This Row],[Goal_assist]]="",1,0)</f>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f>IF(Table13[[#This Row],[Goal_assist]]="",1,0)</f>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f>IF(Table13[[#This Row],[Goal_assist]]="",1,0)</f>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f>IF(Table13[[#This Row],[Goal_assist]]="",1,0)</f>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f>IF(Table13[[#This Row],[Goal_assist]]="",1,0)</f>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f>IF(Table13[[#This Row],[Goal_assist]]="",1,0)</f>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f>IF(Table13[[#This Row],[Goal_assist]]="",1,0)</f>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f>IF(Table13[[#This Row],[Goal_assist]]="",1,0)</f>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f>IF(Table13[[#This Row],[Goal_assist]]="",1,0)</f>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f>IF(Table13[[#This Row],[Goal_assist]]="",1,0)</f>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f>IF(Table13[[#This Row],[Goal_assist]]="",1,0)</f>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f>IF(Table13[[#This Row],[Goal_assist]]="",1,0)</f>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f>IF(Table13[[#This Row],[Goal_assist]]="",1,0)</f>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f>IF(Table13[[#This Row],[Goal_assist]]="",1,0)</f>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f>IF(Table13[[#This Row],[Goal_assist]]="",1,0)</f>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f>IF(Table13[[#This Row],[Goal_assist]]="",1,0)</f>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f>IF(Table13[[#This Row],[Goal_assist]]="",1,0)</f>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f>IF(Table13[[#This Row],[Goal_assist]]="",1,0)</f>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f>IF(Table13[[#This Row],[Goal_assist]]="",1,0)</f>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f>IF(Table13[[#This Row],[Goal_assist]]="",1,0)</f>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f>IF(Table13[[#This Row],[Goal_assist]]="",1,0)</f>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f>IF(Table13[[#This Row],[Goal_assist]]="",1,0)</f>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f>IF(Table13[[#This Row],[Goal_assist]]="",1,0)</f>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f>IF(Table13[[#This Row],[Goal_assist]]="",1,0)</f>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f>IF(Table13[[#This Row],[Goal_assist]]="",1,0)</f>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f>IF(Table13[[#This Row],[Goal_assist]]="",1,0)</f>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f>IF(Table13[[#This Row],[Goal_assist]]="",1,0)</f>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f>IF(Table13[[#This Row],[Goal_assist]]="",1,0)</f>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f>IF(Table13[[#This Row],[Goal_assist]]="",1,0)</f>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f>IF(Table13[[#This Row],[Goal_assist]]="",1,0)</f>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f>IF(Table13[[#This Row],[Goal_assist]]="",1,0)</f>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f>IF(Table13[[#This Row],[Goal_assist]]="",1,0)</f>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f>IF(Table13[[#This Row],[Goal_assist]]="",1,0)</f>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f>IF(Table13[[#This Row],[Goal_assist]]="",1,0)</f>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f>IF(Table13[[#This Row],[Goal_assist]]="",1,0)</f>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f>IF(Table13[[#This Row],[Goal_assist]]="",1,0)</f>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f>IF(Table13[[#This Row],[Goal_assist]]="",1,0)</f>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f>IF(Table13[[#This Row],[Goal_assist]]="",1,0)</f>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f>IF(Table13[[#This Row],[Goal_assist]]="",1,0)</f>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f>IF(Table13[[#This Row],[Goal_assist]]="",1,0)</f>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f>IF(Table13[[#This Row],[Goal_assist]]="",1,0)</f>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f>IF(Table13[[#This Row],[Goal_assist]]="",1,0)</f>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f>IF(Table13[[#This Row],[Goal_assist]]="",1,0)</f>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f>IF(Table13[[#This Row],[Goal_assist]]="",1,0)</f>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f>IF(Table13[[#This Row],[Goal_assist]]="",1,0)</f>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f>IF(Table13[[#This Row],[Goal_assist]]="",1,0)</f>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f>IF(Table13[[#This Row],[Goal_assist]]="",1,0)</f>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f>IF(Table13[[#This Row],[Goal_assist]]="",1,0)</f>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f>IF(Table13[[#This Row],[Goal_assist]]="",1,0)</f>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f>IF(Table13[[#This Row],[Goal_assist]]="",1,0)</f>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f>IF(Table13[[#This Row],[Goal_assist]]="",1,0)</f>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f>IF(Table13[[#This Row],[Goal_assist]]="",1,0)</f>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f>IF(Table13[[#This Row],[Goal_assist]]="",1,0)</f>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f>IF(Table13[[#This Row],[Goal_assist]]="",1,0)</f>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f>IF(Table13[[#This Row],[Goal_assist]]="",1,0)</f>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f>IF(Table13[[#This Row],[Goal_assist]]="",1,0)</f>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f>IF(Table13[[#This Row],[Goal_assist]]="",1,0)</f>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f>IF(Table13[[#This Row],[Goal_assist]]="",1,0)</f>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f>IF(Table13[[#This Row],[Goal_assist]]="",1,0)</f>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f>IF(Table13[[#This Row],[Goal_assist]]="",1,0)</f>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f>IF(Table13[[#This Row],[Goal_assist]]="",1,0)</f>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f>IF(Table13[[#This Row],[Goal_assist]]="",1,0)</f>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f>IF(Table13[[#This Row],[Goal_assist]]="",1,0)</f>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f>IF(Table13[[#This Row],[Goal_assist]]="",1,0)</f>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f>IF(Table13[[#This Row],[Goal_assist]]="",1,0)</f>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f>IF(Table13[[#This Row],[Goal_assist]]="",1,0)</f>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f>IF(Table13[[#This Row],[Goal_assist]]="",1,0)</f>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f>IF(Table13[[#This Row],[Goal_assist]]="",1,0)</f>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f>IF(Table13[[#This Row],[Goal_assist]]="",1,0)</f>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f>IF(Table13[[#This Row],[Goal_assist]]="",1,0)</f>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f>IF(Table13[[#This Row],[Goal_assist]]="",1,0)</f>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f>IF(Table13[[#This Row],[Goal_assist]]="",1,0)</f>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f>IF(Table13[[#This Row],[Goal_assist]]="",1,0)</f>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f>IF(Table13[[#This Row],[Goal_assist]]="",1,0)</f>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f>IF(Table13[[#This Row],[Goal_assist]]="",1,0)</f>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f>IF(Table13[[#This Row],[Goal_assist]]="",1,0)</f>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f>IF(Table13[[#This Row],[Goal_assist]]="",1,0)</f>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f>IF(Table13[[#This Row],[Goal_assist]]="",1,0)</f>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f>IF(Table13[[#This Row],[Goal_assist]]="",1,0)</f>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f>IF(Table13[[#This Row],[Goal_assist]]="",1,0)</f>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f>IF(Table13[[#This Row],[Goal_assist]]="",1,0)</f>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f>IF(Table13[[#This Row],[Goal_assist]]="",1,0)</f>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f>IF(Table13[[#This Row],[Goal_assist]]="",1,0)</f>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f>IF(Table13[[#This Row],[Goal_assist]]="",1,0)</f>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f>IF(Table13[[#This Row],[Goal_assist]]="",1,0)</f>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f>IF(Table13[[#This Row],[Goal_assist]]="",1,0)</f>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f>IF(Table13[[#This Row],[Goal_assist]]="",1,0)</f>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f>IF(Table13[[#This Row],[Goal_assist]]="",1,0)</f>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f>IF(Table13[[#This Row],[Goal_assist]]="",1,0)</f>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f>IF(Table13[[#This Row],[Goal_assist]]="",1,0)</f>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f>IF(Table13[[#This Row],[Goal_assist]]="",1,0)</f>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f>IF(Table13[[#This Row],[Goal_assist]]="",1,0)</f>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f>IF(Table13[[#This Row],[Goal_assist]]="",1,0)</f>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f>IF(Table13[[#This Row],[Goal_assist]]="",1,0)</f>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f>IF(Table13[[#This Row],[Goal_assist]]="",1,0)</f>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f>IF(Table13[[#This Row],[Goal_assist]]="",1,0)</f>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f>IF(Table13[[#This Row],[Goal_assist]]="",1,0)</f>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f>IF(Table13[[#This Row],[Goal_assist]]="",1,0)</f>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f>IF(Table13[[#This Row],[Goal_assist]]="",1,0)</f>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f>IF(Table13[[#This Row],[Goal_assist]]="",1,0)</f>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f>IF(Table13[[#This Row],[Goal_assist]]="",1,0)</f>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f>IF(Table13[[#This Row],[Goal_assist]]="",1,0)</f>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f>IF(Table13[[#This Row],[Goal_assist]]="",1,0)</f>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f>IF(Table13[[#This Row],[Goal_assist]]="",1,0)</f>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f>IF(Table13[[#This Row],[Goal_assist]]="",1,0)</f>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f>IF(Table13[[#This Row],[Goal_assist]]="",1,0)</f>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f>IF(Table13[[#This Row],[Goal_assist]]="",1,0)</f>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f>IF(Table13[[#This Row],[Goal_assist]]="",1,0)</f>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f>IF(Table13[[#This Row],[Goal_assist]]="",1,0)</f>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f>IF(Table13[[#This Row],[Goal_assist]]="",1,0)</f>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f>IF(Table13[[#This Row],[Goal_assist]]="",1,0)</f>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f>IF(Table13[[#This Row],[Goal_assist]]="",1,0)</f>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f>IF(Table13[[#This Row],[Goal_assist]]="",1,0)</f>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f>IF(Table13[[#This Row],[Goal_assist]]="",1,0)</f>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f>IF(Table13[[#This Row],[Goal_assist]]="",1,0)</f>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f>IF(Table13[[#This Row],[Goal_assist]]="",1,0)</f>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f>IF(Table13[[#This Row],[Goal_assist]]="",1,0)</f>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f>IF(Table13[[#This Row],[Goal_assist]]="",1,0)</f>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f>IF(Table13[[#This Row],[Goal_assist]]="",1,0)</f>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f>IF(Table13[[#This Row],[Goal_assist]]="",1,0)</f>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f>IF(Table13[[#This Row],[Goal_assist]]="",1,0)</f>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f>IF(Table13[[#This Row],[Goal_assist]]="",1,0)</f>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f>IF(Table13[[#This Row],[Goal_assist]]="",1,0)</f>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f>IF(Table13[[#This Row],[Goal_assist]]="",1,0)</f>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f>IF(Table13[[#This Row],[Goal_assist]]="",1,0)</f>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f>IF(Table13[[#This Row],[Goal_assist]]="",1,0)</f>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f>IF(Table13[[#This Row],[Goal_assist]]="",1,0)</f>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f>IF(Table13[[#This Row],[Goal_assist]]="",1,0)</f>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f>IF(Table13[[#This Row],[Goal_assist]]="",1,0)</f>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f>IF(Table13[[#This Row],[Goal_assist]]="",1,0)</f>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f>IF(Table13[[#This Row],[Goal_assist]]="",1,0)</f>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f>IF(Table13[[#This Row],[Goal_assist]]="",1,0)</f>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f>IF(Table13[[#This Row],[Goal_assist]]="",1,0)</f>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f>IF(Table13[[#This Row],[Goal_assist]]="",1,0)</f>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f>IF(Table13[[#This Row],[Goal_assist]]="",1,0)</f>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f>IF(Table13[[#This Row],[Goal_assist]]="",1,0)</f>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f>IF(Table13[[#This Row],[Goal_assist]]="",1,0)</f>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f>IF(Table13[[#This Row],[Goal_assist]]="",1,0)</f>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f>IF(Table13[[#This Row],[Goal_assist]]="",1,0)</f>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f>IF(Table13[[#This Row],[Goal_assist]]="",1,0)</f>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f>IF(Table13[[#This Row],[Goal_assist]]="",1,0)</f>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f>IF(Table13[[#This Row],[Goal_assist]]="",1,0)</f>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f>IF(Table13[[#This Row],[Goal_assist]]="",1,0)</f>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f>IF(Table13[[#This Row],[Goal_assist]]="",1,0)</f>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f>IF(Table13[[#This Row],[Goal_assist]]="",1,0)</f>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f>IF(Table13[[#This Row],[Goal_assist]]="",1,0)</f>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f>IF(Table13[[#This Row],[Goal_assist]]="",1,0)</f>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f>IF(Table13[[#This Row],[Goal_assist]]="",1,0)</f>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f>IF(Table13[[#This Row],[Goal_assist]]="",1,0)</f>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f>IF(Table13[[#This Row],[Goal_assist]]="",1,0)</f>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f>IF(Table13[[#This Row],[Goal_assist]]="",1,0)</f>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f>IF(Table13[[#This Row],[Goal_assist]]="",1,0)</f>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f>IF(Table13[[#This Row],[Goal_assist]]="",1,0)</f>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f>IF(Table13[[#This Row],[Goal_assist]]="",1,0)</f>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f>IF(Table13[[#This Row],[Goal_assist]]="",1,0)</f>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f>IF(Table13[[#This Row],[Goal_assist]]="",1,0)</f>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f>IF(Table13[[#This Row],[Goal_assist]]="",1,0)</f>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f>IF(Table13[[#This Row],[Goal_assist]]="",1,0)</f>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f>IF(Table13[[#This Row],[Goal_assist]]="",1,0)</f>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f>IF(Table13[[#This Row],[Goal_assist]]="",1,0)</f>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f>IF(Table13[[#This Row],[Goal_assist]]="",1,0)</f>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f>IF(Table13[[#This Row],[Goal_assist]]="",1,0)</f>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f>IF(Table13[[#This Row],[Goal_assist]]="",1,0)</f>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f>IF(Table13[[#This Row],[Goal_assist]]="",1,0)</f>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f>IF(Table13[[#This Row],[Goal_assist]]="",1,0)</f>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f>IF(Table13[[#This Row],[Goal_assist]]="",1,0)</f>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f>IF(Table13[[#This Row],[Goal_assist]]="",1,0)</f>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f>IF(Table13[[#This Row],[Goal_assist]]="",1,0)</f>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f>IF(Table13[[#This Row],[Goal_assist]]="",1,0)</f>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f>IF(Table13[[#This Row],[Goal_assist]]="",1,0)</f>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f>IF(Table13[[#This Row],[Goal_assist]]="",1,0)</f>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f>IF(Table13[[#This Row],[Goal_assist]]="",1,0)</f>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f>IF(Table13[[#This Row],[Goal_assist]]="",1,0)</f>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f>IF(Table13[[#This Row],[Goal_assist]]="",1,0)</f>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f>IF(Table13[[#This Row],[Goal_assist]]="",1,0)</f>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f>IF(Table13[[#This Row],[Goal_assist]]="",1,0)</f>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f>IF(Table13[[#This Row],[Goal_assist]]="",1,0)</f>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f>IF(Table13[[#This Row],[Goal_assist]]="",1,0)</f>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f>IF(Table13[[#This Row],[Goal_assist]]="",1,0)</f>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f>IF(Table13[[#This Row],[Goal_assist]]="",1,0)</f>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f>IF(Table13[[#This Row],[Goal_assist]]="",1,0)</f>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f>IF(Table13[[#This Row],[Goal_assist]]="",1,0)</f>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f>IF(Table13[[#This Row],[Goal_assist]]="",1,0)</f>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f>IF(Table13[[#This Row],[Goal_assist]]="",1,0)</f>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f>IF(Table13[[#This Row],[Goal_assist]]="",1,0)</f>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f>IF(Table13[[#This Row],[Goal_assist]]="",1,0)</f>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f>IF(Table13[[#This Row],[Goal_assist]]="",1,0)</f>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f>IF(Table13[[#This Row],[Goal_assist]]="",1,0)</f>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f>IF(Table13[[#This Row],[Goal_assist]]="",1,0)</f>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f>IF(Table13[[#This Row],[Goal_assist]]="",1,0)</f>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f>IF(Table13[[#This Row],[Goal_assist]]="",1,0)</f>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f>IF(Table13[[#This Row],[Goal_assist]]="",1,0)</f>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f>IF(Table13[[#This Row],[Goal_assist]]="",1,0)</f>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f>IF(Table13[[#This Row],[Goal_assist]]="",1,0)</f>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f>IF(Table13[[#This Row],[Goal_assist]]="",1,0)</f>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f>IF(Table13[[#This Row],[Goal_assist]]="",1,0)</f>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f>IF(Table13[[#This Row],[Goal_assist]]="",1,0)</f>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f>IF(Table13[[#This Row],[Goal_assist]]="",1,0)</f>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f>IF(Table13[[#This Row],[Goal_assist]]="",1,0)</f>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f>IF(Table13[[#This Row],[Goal_assist]]="",1,0)</f>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f>IF(Table13[[#This Row],[Goal_assist]]="",1,0)</f>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f>IF(Table13[[#This Row],[Goal_assist]]="",1,0)</f>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f>IF(Table13[[#This Row],[Goal_assist]]="",1,0)</f>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f>IF(Table13[[#This Row],[Goal_assist]]="",1,0)</f>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f>IF(Table13[[#This Row],[Goal_assist]]="",1,0)</f>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f>IF(Table13[[#This Row],[Goal_assist]]="",1,0)</f>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f>IF(Table13[[#This Row],[Goal_assist]]="",1,0)</f>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f>IF(Table13[[#This Row],[Goal_assist]]="",1,0)</f>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f>IF(Table13[[#This Row],[Goal_assist]]="",1,0)</f>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f>IF(Table13[[#This Row],[Goal_assist]]="",1,0)</f>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f>IF(Table13[[#This Row],[Goal_assist]]="",1,0)</f>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f>IF(Table13[[#This Row],[Goal_assist]]="",1,0)</f>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f>IF(Table13[[#This Row],[Goal_assist]]="",1,0)</f>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f>IF(Table13[[#This Row],[Goal_assist]]="",1,0)</f>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f>IF(Table13[[#This Row],[Goal_assist]]="",1,0)</f>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f>IF(Table13[[#This Row],[Goal_assist]]="",1,0)</f>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f>IF(Table13[[#This Row],[Goal_assist]]="",1,0)</f>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f>IF(Table13[[#This Row],[Goal_assist]]="",1,0)</f>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f>IF(Table13[[#This Row],[Goal_assist]]="",1,0)</f>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f>IF(Table13[[#This Row],[Goal_assist]]="",1,0)</f>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f>IF(Table13[[#This Row],[Goal_assist]]="",1,0)</f>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f>IF(Table13[[#This Row],[Goal_assist]]="",1,0)</f>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f>IF(Table13[[#This Row],[Goal_assist]]="",1,0)</f>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f>IF(Table13[[#This Row],[Goal_assist]]="",1,0)</f>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f>IF(Table13[[#This Row],[Goal_assist]]="",1,0)</f>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f>IF(Table13[[#This Row],[Goal_assist]]="",1,0)</f>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f>IF(Table13[[#This Row],[Goal_assist]]="",1,0)</f>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f>IF(Table13[[#This Row],[Goal_assist]]="",1,0)</f>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f>IF(Table13[[#This Row],[Goal_assist]]="",1,0)</f>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f>IF(Table13[[#This Row],[Goal_assist]]="",1,0)</f>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f>IF(Table13[[#This Row],[Goal_assist]]="",1,0)</f>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f>IF(Table13[[#This Row],[Goal_assist]]="",1,0)</f>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f>IF(Table13[[#This Row],[Goal_assist]]="",1,0)</f>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f>IF(Table13[[#This Row],[Goal_assist]]="",1,0)</f>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f>IF(Table13[[#This Row],[Goal_assist]]="",1,0)</f>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f>IF(Table13[[#This Row],[Goal_assist]]="",1,0)</f>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f>IF(Table13[[#This Row],[Goal_assist]]="",1,0)</f>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f>IF(Table13[[#This Row],[Goal_assist]]="",1,0)</f>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f>IF(Table13[[#This Row],[Goal_assist]]="",1,0)</f>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f>IF(Table13[[#This Row],[Goal_assist]]="",1,0)</f>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f>IF(Table13[[#This Row],[Goal_assist]]="",1,0)</f>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f>IF(Table13[[#This Row],[Goal_assist]]="",1,0)</f>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f>IF(Table13[[#This Row],[Goal_assist]]="",1,0)</f>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f>IF(Table13[[#This Row],[Goal_assist]]="",1,0)</f>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f>IF(Table13[[#This Row],[Goal_assist]]="",1,0)</f>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f>IF(Table13[[#This Row],[Goal_assist]]="",1,0)</f>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f>IF(Table13[[#This Row],[Goal_assist]]="",1,0)</f>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f>IF(Table13[[#This Row],[Goal_assist]]="",1,0)</f>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f>IF(Table13[[#This Row],[Goal_assist]]="",1,0)</f>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f>IF(Table13[[#This Row],[Goal_assist]]="",1,0)</f>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f>IF(Table13[[#This Row],[Goal_assist]]="",1,0)</f>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f>IF(Table13[[#This Row],[Goal_assist]]="",1,0)</f>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f>IF(Table13[[#This Row],[Goal_assist]]="",1,0)</f>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f>IF(Table13[[#This Row],[Goal_assist]]="",1,0)</f>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f>IF(Table13[[#This Row],[Goal_assist]]="",1,0)</f>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f>IF(Table13[[#This Row],[Goal_assist]]="",1,0)</f>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f>IF(Table13[[#This Row],[Goal_assist]]="",1,0)</f>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f>IF(Table13[[#This Row],[Goal_assist]]="",1,0)</f>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f>IF(Table13[[#This Row],[Goal_assist]]="",1,0)</f>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f>IF(Table13[[#This Row],[Goal_assist]]="",1,0)</f>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f>IF(Table13[[#This Row],[Goal_assist]]="",1,0)</f>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f>IF(Table13[[#This Row],[Goal_assist]]="",1,0)</f>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f>IF(Table13[[#This Row],[Goal_assist]]="",1,0)</f>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f>IF(Table13[[#This Row],[Goal_assist]]="",1,0)</f>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f>IF(Table13[[#This Row],[Goal_assist]]="",1,0)</f>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f>IF(Table13[[#This Row],[Goal_assist]]="",1,0)</f>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f>IF(Table13[[#This Row],[Goal_assist]]="",1,0)</f>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f>IF(Table13[[#This Row],[Goal_assist]]="",1,0)</f>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f>IF(Table13[[#This Row],[Goal_assist]]="",1,0)</f>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f>IF(Table13[[#This Row],[Goal_assist]]="",1,0)</f>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f>IF(Table13[[#This Row],[Goal_assist]]="",1,0)</f>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f>IF(Table13[[#This Row],[Goal_assist]]="",1,0)</f>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f>IF(Table13[[#This Row],[Goal_assist]]="",1,0)</f>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f>IF(Table13[[#This Row],[Goal_assist]]="",1,0)</f>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f>IF(Table13[[#This Row],[Goal_assist]]="",1,0)</f>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f>IF(Table13[[#This Row],[Goal_assist]]="",1,0)</f>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f>IF(Table13[[#This Row],[Goal_assist]]="",1,0)</f>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f>IF(Table13[[#This Row],[Goal_assist]]="",1,0)</f>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f>IF(Table13[[#This Row],[Goal_assist]]="",1,0)</f>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f>IF(Table13[[#This Row],[Goal_assist]]="",1,0)</f>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f>IF(Table13[[#This Row],[Goal_assist]]="",1,0)</f>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f>IF(Table13[[#This Row],[Goal_assist]]="",1,0)</f>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f>IF(Table13[[#This Row],[Goal_assist]]="",1,0)</f>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f>IF(Table13[[#This Row],[Goal_assist]]="",1,0)</f>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f>IF(Table13[[#This Row],[Goal_assist]]="",1,0)</f>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f>IF(Table13[[#This Row],[Goal_assist]]="",1,0)</f>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f>IF(Table13[[#This Row],[Goal_assist]]="",1,0)</f>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f>IF(Table13[[#This Row],[Goal_assist]]="",1,0)</f>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f>IF(Table13[[#This Row],[Goal_assist]]="",1,0)</f>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f>IF(Table13[[#This Row],[Goal_assist]]="",1,0)</f>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f>IF(Table13[[#This Row],[Goal_assist]]="",1,0)</f>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f>IF(Table13[[#This Row],[Goal_assist]]="",1,0)</f>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f>IF(Table13[[#This Row],[Goal_assist]]="",1,0)</f>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f>IF(Table13[[#This Row],[Goal_assist]]="",1,0)</f>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f>IF(Table13[[#This Row],[Goal_assist]]="",1,0)</f>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f>IF(Table13[[#This Row],[Goal_assist]]="",1,0)</f>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f>IF(Table13[[#This Row],[Goal_assist]]="",1,0)</f>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f>IF(Table13[[#This Row],[Goal_assist]]="",1,0)</f>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f>IF(Table13[[#This Row],[Goal_assist]]="",1,0)</f>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f>IF(Table13[[#This Row],[Goal_assist]]="",1,0)</f>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f>IF(Table13[[#This Row],[Goal_assist]]="",1,0)</f>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f>IF(Table13[[#This Row],[Goal_assist]]="",1,0)</f>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f>IF(Table13[[#This Row],[Goal_assist]]="",1,0)</f>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f>IF(Table13[[#This Row],[Goal_assist]]="",1,0)</f>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f>IF(Table13[[#This Row],[Goal_assist]]="",1,0)</f>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f>IF(Table13[[#This Row],[Goal_assist]]="",1,0)</f>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f>IF(Table13[[#This Row],[Goal_assist]]="",1,0)</f>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f>IF(Table13[[#This Row],[Goal_assist]]="",1,0)</f>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f>IF(Table13[[#This Row],[Goal_assist]]="",1,0)</f>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f>IF(Table13[[#This Row],[Goal_assist]]="",1,0)</f>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f>IF(Table13[[#This Row],[Goal_assist]]="",1,0)</f>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f>IF(Table13[[#This Row],[Goal_assist]]="",1,0)</f>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f>IF(Table13[[#This Row],[Goal_assist]]="",1,0)</f>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f>IF(Table13[[#This Row],[Goal_assist]]="",1,0)</f>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f>IF(Table13[[#This Row],[Goal_assist]]="",1,0)</f>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f>IF(Table13[[#This Row],[Goal_assist]]="",1,0)</f>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f>IF(Table13[[#This Row],[Goal_assist]]="",1,0)</f>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f>IF(Table13[[#This Row],[Goal_assist]]="",1,0)</f>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f>IF(Table13[[#This Row],[Goal_assist]]="",1,0)</f>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f>IF(Table13[[#This Row],[Goal_assist]]="",1,0)</f>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f>IF(Table13[[#This Row],[Goal_assist]]="",1,0)</f>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f>IF(Table13[[#This Row],[Goal_assist]]="",1,0)</f>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f>IF(Table13[[#This Row],[Goal_assist]]="",1,0)</f>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f>IF(Table13[[#This Row],[Goal_assist]]="",1,0)</f>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f>IF(Table13[[#This Row],[Goal_assist]]="",1,0)</f>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f>IF(Table13[[#This Row],[Goal_assist]]="",1,0)</f>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f>IF(Table13[[#This Row],[Goal_assist]]="",1,0)</f>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f>IF(Table13[[#This Row],[Goal_assist]]="",1,0)</f>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f>IF(Table13[[#This Row],[Goal_assist]]="",1,0)</f>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f>IF(Table13[[#This Row],[Goal_assist]]="",1,0)</f>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f>IF(Table13[[#This Row],[Goal_assist]]="",1,0)</f>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f>IF(Table13[[#This Row],[Goal_assist]]="",1,0)</f>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f>IF(Table13[[#This Row],[Goal_assist]]="",1,0)</f>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f>IF(Table13[[#This Row],[Goal_assist]]="",1,0)</f>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f>IF(Table13[[#This Row],[Goal_assist]]="",1,0)</f>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f>IF(Table13[[#This Row],[Goal_assist]]="",1,0)</f>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f>IF(Table13[[#This Row],[Goal_assist]]="",1,0)</f>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f>IF(Table13[[#This Row],[Goal_assist]]="",1,0)</f>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f>IF(Table13[[#This Row],[Goal_assist]]="",1,0)</f>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f>IF(Table13[[#This Row],[Goal_assist]]="",1,0)</f>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f>IF(Table13[[#This Row],[Goal_assist]]="",1,0)</f>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f>IF(Table13[[#This Row],[Goal_assist]]="",1,0)</f>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f>IF(Table13[[#This Row],[Goal_assist]]="",1,0)</f>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f>IF(Table13[[#This Row],[Goal_assist]]="",1,0)</f>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f>IF(Table13[[#This Row],[Goal_assist]]="",1,0)</f>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f>IF(Table13[[#This Row],[Goal_assist]]="",1,0)</f>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f>IF(Table13[[#This Row],[Goal_assist]]="",1,0)</f>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f>IF(Table13[[#This Row],[Goal_assist]]="",1,0)</f>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f>IF(Table13[[#This Row],[Goal_assist]]="",1,0)</f>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f>IF(Table13[[#This Row],[Goal_assist]]="",1,0)</f>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f>IF(Table13[[#This Row],[Goal_assist]]="",1,0)</f>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f>IF(Table13[[#This Row],[Goal_assist]]="",1,0)</f>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f>IF(Table13[[#This Row],[Goal_assist]]="",1,0)</f>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f>IF(Table13[[#This Row],[Goal_assist]]="",1,0)</f>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f>IF(Table13[[#This Row],[Goal_assist]]="",1,0)</f>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f>IF(Table13[[#This Row],[Goal_assist]]="",1,0)</f>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f>IF(Table13[[#This Row],[Goal_assist]]="",1,0)</f>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f>IF(Table13[[#This Row],[Goal_assist]]="",1,0)</f>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f>IF(Table13[[#This Row],[Goal_assist]]="",1,0)</f>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f>IF(Table13[[#This Row],[Goal_assist]]="",1,0)</f>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f>IF(Table13[[#This Row],[Goal_assist]]="",1,0)</f>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f>IF(Table13[[#This Row],[Goal_assist]]="",1,0)</f>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f>IF(Table13[[#This Row],[Goal_assist]]="",1,0)</f>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f>IF(Table13[[#This Row],[Goal_assist]]="",1,0)</f>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f>IF(Table13[[#This Row],[Goal_assist]]="",1,0)</f>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f>IF(Table13[[#This Row],[Goal_assist]]="",1,0)</f>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f>IF(Table13[[#This Row],[Goal_assist]]="",1,0)</f>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f>IF(Table13[[#This Row],[Goal_assist]]="",1,0)</f>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f>IF(Table13[[#This Row],[Goal_assist]]="",1,0)</f>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f>IF(Table13[[#This Row],[Goal_assist]]="",1,0)</f>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f>IF(Table13[[#This Row],[Goal_assist]]="",1,0)</f>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f>IF(Table13[[#This Row],[Goal_assist]]="",1,0)</f>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f>IF(Table13[[#This Row],[Goal_assist]]="",1,0)</f>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f>IF(Table13[[#This Row],[Goal_assist]]="",1,0)</f>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f>IF(Table13[[#This Row],[Goal_assist]]="",1,0)</f>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f>IF(Table13[[#This Row],[Goal_assist]]="",1,0)</f>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f>IF(Table13[[#This Row],[Goal_assist]]="",1,0)</f>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f>IF(Table13[[#This Row],[Goal_assist]]="",1,0)</f>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f>IF(Table13[[#This Row],[Goal_assist]]="",1,0)</f>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f>IF(Table13[[#This Row],[Goal_assist]]="",1,0)</f>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f>IF(Table13[[#This Row],[Goal_assist]]="",1,0)</f>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f>IF(Table13[[#This Row],[Goal_assist]]="",1,0)</f>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f>IF(Table13[[#This Row],[Goal_assist]]="",1,0)</f>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f>IF(Table13[[#This Row],[Goal_assist]]="",1,0)</f>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f>IF(Table13[[#This Row],[Goal_assist]]="",1,0)</f>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f>IF(Table13[[#This Row],[Goal_assist]]="",1,0)</f>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f>IF(Table13[[#This Row],[Goal_assist]]="",1,0)</f>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f>IF(Table13[[#This Row],[Goal_assist]]="",1,0)</f>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f>IF(Table13[[#This Row],[Goal_assist]]="",1,0)</f>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f>IF(Table13[[#This Row],[Goal_assist]]="",1,0)</f>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f>IF(Table13[[#This Row],[Goal_assist]]="",1,0)</f>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f>IF(Table13[[#This Row],[Goal_assist]]="",1,0)</f>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f>IF(Table13[[#This Row],[Goal_assist]]="",1,0)</f>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f>IF(Table13[[#This Row],[Goal_assist]]="",1,0)</f>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f>IF(Table13[[#This Row],[Goal_assist]]="",1,0)</f>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f>IF(Table13[[#This Row],[Goal_assist]]="",1,0)</f>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f>IF(Table13[[#This Row],[Goal_assist]]="",1,0)</f>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f>IF(Table13[[#This Row],[Goal_assist]]="",1,0)</f>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f>IF(Table13[[#This Row],[Goal_assist]]="",1,0)</f>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f>IF(Table13[[#This Row],[Goal_assist]]="",1,0)</f>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f>IF(Table13[[#This Row],[Goal_assist]]="",1,0)</f>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f>IF(Table13[[#This Row],[Goal_assist]]="",1,0)</f>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f>IF(Table13[[#This Row],[Goal_assist]]="",1,0)</f>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f>IF(Table13[[#This Row],[Goal_assist]]="",1,0)</f>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f>IF(Table13[[#This Row],[Goal_assist]]="",1,0)</f>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f>IF(Table13[[#This Row],[Goal_assist]]="",1,0)</f>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f>IF(Table13[[#This Row],[Goal_assist]]="",1,0)</f>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f>IF(Table13[[#This Row],[Goal_assist]]="",1,0)</f>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f>IF(Table13[[#This Row],[Goal_assist]]="",1,0)</f>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f>IF(Table13[[#This Row],[Goal_assist]]="",1,0)</f>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f>IF(Table13[[#This Row],[Goal_assist]]="",1,0)</f>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f>IF(Table13[[#This Row],[Goal_assist]]="",1,0)</f>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f>IF(Table13[[#This Row],[Goal_assist]]="",1,0)</f>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f>IF(Table13[[#This Row],[Goal_assist]]="",1,0)</f>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f>IF(Table13[[#This Row],[Goal_assist]]="",1,0)</f>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f>IF(Table13[[#This Row],[Goal_assist]]="",1,0)</f>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f>IF(Table13[[#This Row],[Goal_assist]]="",1,0)</f>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f>IF(Table13[[#This Row],[Goal_assist]]="",1,0)</f>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f>IF(Table13[[#This Row],[Goal_assist]]="",1,0)</f>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f>IF(Table13[[#This Row],[Goal_assist]]="",1,0)</f>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f>IF(Table13[[#This Row],[Goal_assist]]="",1,0)</f>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f>IF(Table13[[#This Row],[Goal_assist]]="",1,0)</f>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f>IF(Table13[[#This Row],[Goal_assist]]="",1,0)</f>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f>IF(Table13[[#This Row],[Goal_assist]]="",1,0)</f>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f>IF(Table13[[#This Row],[Goal_assist]]="",1,0)</f>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f>IF(Table13[[#This Row],[Goal_assist]]="",1,0)</f>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f>IF(Table13[[#This Row],[Goal_assist]]="",1,0)</f>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f>IF(Table13[[#This Row],[Goal_assist]]="",1,0)</f>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f>IF(Table13[[#This Row],[Goal_assist]]="",1,0)</f>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f>IF(Table13[[#This Row],[Goal_assist]]="",1,0)</f>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f>IF(Table13[[#This Row],[Goal_assist]]="",1,0)</f>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f>IF(Table13[[#This Row],[Goal_assist]]="",1,0)</f>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f>IF(Table13[[#This Row],[Goal_assist]]="",1,0)</f>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f>IF(Table13[[#This Row],[Goal_assist]]="",1,0)</f>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f>IF(Table13[[#This Row],[Goal_assist]]="",1,0)</f>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f>IF(Table13[[#This Row],[Goal_assist]]="",1,0)</f>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f>IF(Table13[[#This Row],[Goal_assist]]="",1,0)</f>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f>IF(Table13[[#This Row],[Goal_assist]]="",1,0)</f>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f>IF(Table13[[#This Row],[Goal_assist]]="",1,0)</f>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f>IF(Table13[[#This Row],[Goal_assist]]="",1,0)</f>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f>IF(Table13[[#This Row],[Goal_assist]]="",1,0)</f>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f>IF(Table13[[#This Row],[Goal_assist]]="",1,0)</f>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f>IF(Table13[[#This Row],[Goal_assist]]="",1,0)</f>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f>IF(Table13[[#This Row],[Goal_assist]]="",1,0)</f>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f>IF(Table13[[#This Row],[Goal_assist]]="",1,0)</f>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f>IF(Table13[[#This Row],[Goal_assist]]="",1,0)</f>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f>IF(Table13[[#This Row],[Goal_assist]]="",1,0)</f>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f>IF(Table13[[#This Row],[Goal_assist]]="",1,0)</f>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f>IF(Table13[[#This Row],[Goal_assist]]="",1,0)</f>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f>IF(Table13[[#This Row],[Goal_assist]]="",1,0)</f>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f>IF(Table13[[#This Row],[Goal_assist]]="",1,0)</f>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f>IF(Table13[[#This Row],[Goal_assist]]="",1,0)</f>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f>IF(Table13[[#This Row],[Goal_assist]]="",1,0)</f>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f>IF(Table13[[#This Row],[Goal_assist]]="",1,0)</f>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f>IF(Table13[[#This Row],[Goal_assist]]="",1,0)</f>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f>IF(Table13[[#This Row],[Goal_assist]]="",1,0)</f>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f>IF(Table13[[#This Row],[Goal_assist]]="",1,0)</f>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f>IF(Table13[[#This Row],[Goal_assist]]="",1,0)</f>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f>IF(Table13[[#This Row],[Goal_assist]]="",1,0)</f>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f>IF(Table13[[#This Row],[Goal_assist]]="",1,0)</f>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f>IF(Table13[[#This Row],[Goal_assist]]="",1,0)</f>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f>IF(Table13[[#This Row],[Goal_assist]]="",1,0)</f>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f>IF(Table13[[#This Row],[Goal_assist]]="",1,0)</f>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f>IF(Table13[[#This Row],[Goal_assist]]="",1,0)</f>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f>IF(Table13[[#This Row],[Goal_assist]]="",1,0)</f>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f>IF(Table13[[#This Row],[Goal_assist]]="",1,0)</f>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f>IF(Table13[[#This Row],[Goal_assist]]="",1,0)</f>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f>IF(Table13[[#This Row],[Goal_assist]]="",1,0)</f>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f>IF(Table13[[#This Row],[Goal_assist]]="",1,0)</f>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f>IF(Table13[[#This Row],[Goal_assist]]="",1,0)</f>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f>IF(Table13[[#This Row],[Goal_assist]]="",1,0)</f>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f>IF(Table13[[#This Row],[Goal_assist]]="",1,0)</f>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f>IF(Table13[[#This Row],[Goal_assist]]="",1,0)</f>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f>IF(Table13[[#This Row],[Goal_assist]]="",1,0)</f>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f>IF(Table13[[#This Row],[Goal_assist]]="",1,0)</f>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f>IF(Table13[[#This Row],[Goal_assist]]="",1,0)</f>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f>IF(Table13[[#This Row],[Goal_assist]]="",1,0)</f>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f>IF(Table13[[#This Row],[Goal_assist]]="",1,0)</f>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f>IF(Table13[[#This Row],[Goal_assist]]="",1,0)</f>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f>IF(Table13[[#This Row],[Goal_assist]]="",1,0)</f>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f>IF(Table13[[#This Row],[Goal_assist]]="",1,0)</f>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f>IF(Table13[[#This Row],[Goal_assist]]="",1,0)</f>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f>IF(Table13[[#This Row],[Goal_assist]]="",1,0)</f>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f>IF(Table13[[#This Row],[Goal_assist]]="",1,0)</f>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f>IF(Table13[[#This Row],[Goal_assist]]="",1,0)</f>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f>IF(Table13[[#This Row],[Goal_assist]]="",1,0)</f>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f>IF(Table13[[#This Row],[Goal_assist]]="",1,0)</f>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f>IF(Table13[[#This Row],[Goal_assist]]="",1,0)</f>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f>IF(Table13[[#This Row],[Goal_assist]]="",1,0)</f>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f>IF(Table13[[#This Row],[Goal_assist]]="",1,0)</f>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f>IF(Table13[[#This Row],[Goal_assist]]="",1,0)</f>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f>IF(Table13[[#This Row],[Goal_assist]]="",1,0)</f>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f>IF(Table13[[#This Row],[Goal_assist]]="",1,0)</f>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f>IF(Table13[[#This Row],[Goal_assist]]="",1,0)</f>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f>IF(Table13[[#This Row],[Goal_assist]]="",1,0)</f>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f>IF(Table13[[#This Row],[Goal_assist]]="",1,0)</f>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f>IF(Table13[[#This Row],[Goal_assist]]="",1,0)</f>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f>IF(Table13[[#This Row],[Goal_assist]]="",1,0)</f>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f>IF(Table13[[#This Row],[Goal_assist]]="",1,0)</f>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f>IF(Table13[[#This Row],[Goal_assist]]="",1,0)</f>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f>IF(Table13[[#This Row],[Goal_assist]]="",1,0)</f>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f>IF(Table13[[#This Row],[Goal_assist]]="",1,0)</f>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f>IF(Table13[[#This Row],[Goal_assist]]="",1,0)</f>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f>IF(Table13[[#This Row],[Goal_assist]]="",1,0)</f>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f>IF(Table13[[#This Row],[Goal_assist]]="",1,0)</f>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f>IF(Table13[[#This Row],[Goal_assist]]="",1,0)</f>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f>IF(Table13[[#This Row],[Goal_assist]]="",1,0)</f>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f>IF(Table13[[#This Row],[Goal_assist]]="",1,0)</f>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f>IF(Table13[[#This Row],[Goal_assist]]="",1,0)</f>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f>IF(Table13[[#This Row],[Goal_assist]]="",1,0)</f>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f>IF(Table13[[#This Row],[Goal_assist]]="",1,0)</f>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f>IF(Table13[[#This Row],[Goal_assist]]="",1,0)</f>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f>IF(Table13[[#This Row],[Goal_assist]]="",1,0)</f>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f>IF(Table13[[#This Row],[Goal_assist]]="",1,0)</f>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f>IF(Table13[[#This Row],[Goal_assist]]="",1,0)</f>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f>IF(Table13[[#This Row],[Goal_assist]]="",1,0)</f>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f>IF(Table13[[#This Row],[Goal_assist]]="",1,0)</f>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f>IF(Table13[[#This Row],[Goal_assist]]="",1,0)</f>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f>IF(Table13[[#This Row],[Goal_assist]]="",1,0)</f>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f>IF(Table13[[#This Row],[Goal_assist]]="",1,0)</f>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f>IF(Table13[[#This Row],[Goal_assist]]="",1,0)</f>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f>IF(Table13[[#This Row],[Goal_assist]]="",1,0)</f>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f>IF(Table13[[#This Row],[Goal_assist]]="",1,0)</f>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f>IF(Table13[[#This Row],[Goal_assist]]="",1,0)</f>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f>IF(Table13[[#This Row],[Goal_assist]]="",1,0)</f>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f>IF(Table13[[#This Row],[Goal_assist]]="",1,0)</f>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f>IF(Table13[[#This Row],[Goal_assist]]="",1,0)</f>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f>IF(Table13[[#This Row],[Goal_assist]]="",1,0)</f>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f>IF(Table13[[#This Row],[Goal_assist]]="",1,0)</f>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f>IF(Table13[[#This Row],[Goal_assist]]="",1,0)</f>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f>IF(Table13[[#This Row],[Goal_assist]]="",1,0)</f>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f>IF(Table13[[#This Row],[Goal_assist]]="",1,0)</f>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f>IF(Table13[[#This Row],[Goal_assist]]="",1,0)</f>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f>IF(Table13[[#This Row],[Goal_assist]]="",1,0)</f>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f>IF(Table13[[#This Row],[Goal_assist]]="",1,0)</f>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f>IF(Table13[[#This Row],[Goal_assist]]="",1,0)</f>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f>IF(Table13[[#This Row],[Goal_assist]]="",1,0)</f>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f>IF(Table13[[#This Row],[Goal_assist]]="",1,0)</f>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f>IF(Table13[[#This Row],[Goal_assist]]="",1,0)</f>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f>IF(Table13[[#This Row],[Goal_assist]]="",1,0)</f>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f>IF(Table13[[#This Row],[Goal_assist]]="",1,0)</f>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f>IF(Table13[[#This Row],[Goal_assist]]="",1,0)</f>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f>IF(Table13[[#This Row],[Goal_assist]]="",1,0)</f>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f>IF(Table13[[#This Row],[Goal_assist]]="",1,0)</f>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f>IF(Table13[[#This Row],[Goal_assist]]="",1,0)</f>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f>IF(Table13[[#This Row],[Goal_assist]]="",1,0)</f>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f>IF(Table13[[#This Row],[Goal_assist]]="",1,0)</f>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f>IF(Table13[[#This Row],[Goal_assist]]="",1,0)</f>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f>IF(Table13[[#This Row],[Goal_assist]]="",1,0)</f>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f>IF(Table13[[#This Row],[Goal_assist]]="",1,0)</f>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f>IF(Table13[[#This Row],[Goal_assist]]="",1,0)</f>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f>IF(Table13[[#This Row],[Goal_assist]]="",1,0)</f>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f>IF(Table13[[#This Row],[Goal_assist]]="",1,0)</f>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f>IF(Table13[[#This Row],[Goal_assist]]="",1,0)</f>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f>IF(Table13[[#This Row],[Goal_assist]]="",1,0)</f>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f>IF(Table13[[#This Row],[Goal_assist]]="",1,0)</f>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f>IF(Table13[[#This Row],[Goal_assist]]="",1,0)</f>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f>IF(Table13[[#This Row],[Goal_assist]]="",1,0)</f>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f>IF(Table13[[#This Row],[Goal_assist]]="",1,0)</f>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f>IF(Table13[[#This Row],[Goal_assist]]="",1,0)</f>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f>IF(Table13[[#This Row],[Goal_assist]]="",1,0)</f>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f>IF(Table13[[#This Row],[Goal_assist]]="",1,0)</f>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f>IF(Table13[[#This Row],[Goal_assist]]="",1,0)</f>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f>IF(Table13[[#This Row],[Goal_assist]]="",1,0)</f>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f>IF(Table13[[#This Row],[Goal_assist]]="",1,0)</f>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f>IF(Table13[[#This Row],[Goal_assist]]="",1,0)</f>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f>IF(Table13[[#This Row],[Goal_assist]]="",1,0)</f>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f>IF(Table13[[#This Row],[Goal_assist]]="",1,0)</f>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f>IF(Table13[[#This Row],[Goal_assist]]="",1,0)</f>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f>IF(Table13[[#This Row],[Goal_assist]]="",1,0)</f>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f>IF(Table13[[#This Row],[Goal_assist]]="",1,0)</f>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f>IF(Table13[[#This Row],[Goal_assist]]="",1,0)</f>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f>IF(Table13[[#This Row],[Goal_assist]]="",1,0)</f>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f>IF(Table13[[#This Row],[Goal_assist]]="",1,0)</f>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f>IF(Table13[[#This Row],[Goal_assist]]="",1,0)</f>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f>IF(Table13[[#This Row],[Goal_assist]]="",1,0)</f>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f>IF(Table13[[#This Row],[Goal_assist]]="",1,0)</f>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f>IF(Table13[[#This Row],[Goal_assist]]="",1,0)</f>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f>IF(Table13[[#This Row],[Goal_assist]]="",1,0)</f>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f>IF(Table13[[#This Row],[Goal_assist]]="",1,0)</f>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f>IF(Table13[[#This Row],[Goal_assist]]="",1,0)</f>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f>IF(Table13[[#This Row],[Goal_assist]]="",1,0)</f>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f>IF(Table13[[#This Row],[Goal_assist]]="",1,0)</f>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f>IF(Table13[[#This Row],[Goal_assist]]="",1,0)</f>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f>IF(Table13[[#This Row],[Goal_assist]]="",1,0)</f>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f>IF(Table13[[#This Row],[Goal_assist]]="",1,0)</f>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f>IF(Table13[[#This Row],[Goal_assist]]="",1,0)</f>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f>IF(Table13[[#This Row],[Goal_assist]]="",1,0)</f>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f>IF(Table13[[#This Row],[Goal_assist]]="",1,0)</f>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f>IF(Table13[[#This Row],[Goal_assist]]="",1,0)</f>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f>IF(Table13[[#This Row],[Goal_assist]]="",1,0)</f>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f>IF(Table13[[#This Row],[Goal_assist]]="",1,0)</f>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f>IF(Table13[[#This Row],[Goal_assist]]="",1,0)</f>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f>IF(Table13[[#This Row],[Goal_assist]]="",1,0)</f>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f>IF(Table13[[#This Row],[Goal_assist]]="",1,0)</f>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f>IF(Table13[[#This Row],[Goal_assist]]="",1,0)</f>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f>IF(Table13[[#This Row],[Goal_assist]]="",1,0)</f>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f>IF(Table13[[#This Row],[Goal_assist]]="",1,0)</f>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f>IF(Table13[[#This Row],[Goal_assist]]="",1,0)</f>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f>IF(Table13[[#This Row],[Goal_assist]]="",1,0)</f>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f>IF(Table13[[#This Row],[Goal_assist]]="",1,0)</f>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f>IF(Table13[[#This Row],[Goal_assist]]="",1,0)</f>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f>IF(Table13[[#This Row],[Goal_assist]]="",1,0)</f>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f>IF(Table13[[#This Row],[Goal_assist]]="",1,0)</f>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f>IF(Table13[[#This Row],[Goal_assist]]="",1,0)</f>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f>IF(Table13[[#This Row],[Goal_assist]]="",1,0)</f>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f>IF(Table13[[#This Row],[Goal_assist]]="",1,0)</f>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f>IF(Table13[[#This Row],[Goal_assist]]="",1,0)</f>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f>IF(Table13[[#This Row],[Goal_assist]]="",1,0)</f>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f>IF(Table13[[#This Row],[Goal_assist]]="",1,0)</f>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f>IF(Table13[[#This Row],[Goal_assist]]="",1,0)</f>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f>IF(Table13[[#This Row],[Goal_assist]]="",1,0)</f>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f>IF(Table13[[#This Row],[Goal_assist]]="",1,0)</f>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f>IF(Table13[[#This Row],[Goal_assist]]="",1,0)</f>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f>IF(Table13[[#This Row],[Goal_assist]]="",1,0)</f>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f>IF(Table13[[#This Row],[Goal_assist]]="",1,0)</f>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f>IF(Table13[[#This Row],[Goal_assist]]="",1,0)</f>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f>IF(Table13[[#This Row],[Goal_assist]]="",1,0)</f>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f>IF(Table13[[#This Row],[Goal_assist]]="",1,0)</f>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f>IF(Table13[[#This Row],[Goal_assist]]="",1,0)</f>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f>IF(Table13[[#This Row],[Goal_assist]]="",1,0)</f>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f>IF(Table13[[#This Row],[Goal_assist]]="",1,0)</f>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f>IF(Table13[[#This Row],[Goal_assist]]="",1,0)</f>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f>IF(Table13[[#This Row],[Goal_assist]]="",1,0)</f>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f>IF(Table13[[#This Row],[Goal_assist]]="",1,0)</f>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f>IF(Table13[[#This Row],[Goal_assist]]="",1,0)</f>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f>IF(Table13[[#This Row],[Goal_assist]]="",1,0)</f>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f>IF(Table13[[#This Row],[Goal_assist]]="",1,0)</f>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f>IF(Table13[[#This Row],[Goal_assist]]="",1,0)</f>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f>IF(Table13[[#This Row],[Goal_assist]]="",1,0)</f>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f>IF(Table13[[#This Row],[Goal_assist]]="",1,0)</f>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f>IF(Table13[[#This Row],[Goal_assist]]="",1,0)</f>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f>IF(Table13[[#This Row],[Goal_assist]]="",1,0)</f>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f>IF(Table13[[#This Row],[Goal_assist]]="",1,0)</f>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f>IF(Table13[[#This Row],[Goal_assist]]="",1,0)</f>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f>IF(Table13[[#This Row],[Goal_assist]]="",1,0)</f>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f>IF(Table13[[#This Row],[Goal_assist]]="",1,0)</f>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f>IF(Table13[[#This Row],[Goal_assist]]="",1,0)</f>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f>IF(Table13[[#This Row],[Goal_assist]]="",1,0)</f>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f>IF(Table13[[#This Row],[Goal_assist]]="",1,0)</f>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f>IF(Table13[[#This Row],[Goal_assist]]="",1,0)</f>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f>IF(Table13[[#This Row],[Goal_assist]]="",1,0)</f>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f>IF(Table13[[#This Row],[Goal_assist]]="",1,0)</f>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f>IF(Table13[[#This Row],[Goal_assist]]="",1,0)</f>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f>IF(Table13[[#This Row],[Goal_assist]]="",1,0)</f>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f>IF(Table13[[#This Row],[Goal_assist]]="",1,0)</f>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f>IF(Table13[[#This Row],[Goal_assist]]="",1,0)</f>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f>IF(Table13[[#This Row],[Goal_assist]]="",1,0)</f>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f>IF(Table13[[#This Row],[Goal_assist]]="",1,0)</f>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f>IF(Table13[[#This Row],[Goal_assist]]="",1,0)</f>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f>IF(Table13[[#This Row],[Goal_assist]]="",1,0)</f>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f>IF(Table13[[#This Row],[Goal_assist]]="",1,0)</f>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f>IF(Table13[[#This Row],[Goal_assist]]="",1,0)</f>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f>IF(Table13[[#This Row],[Goal_assist]]="",1,0)</f>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f>IF(Table13[[#This Row],[Goal_assist]]="",1,0)</f>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f>IF(Table13[[#This Row],[Goal_assist]]="",1,0)</f>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f>IF(Table13[[#This Row],[Goal_assist]]="",1,0)</f>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f>IF(Table13[[#This Row],[Goal_assist]]="",1,0)</f>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f>IF(Table13[[#This Row],[Goal_assist]]="",1,0)</f>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f>IF(Table13[[#This Row],[Goal_assist]]="",1,0)</f>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f>IF(Table13[[#This Row],[Goal_assist]]="",1,0)</f>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f>IF(Table13[[#This Row],[Goal_assist]]="",1,0)</f>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f>IF(Table13[[#This Row],[Goal_assist]]="",1,0)</f>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f>IF(Table13[[#This Row],[Goal_assist]]="",1,0)</f>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f>IF(Table13[[#This Row],[Goal_assist]]="",1,0)</f>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f>IF(Table13[[#This Row],[Goal_assist]]="",1,0)</f>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f>IF(Table13[[#This Row],[Goal_assist]]="",1,0)</f>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f>IF(Table13[[#This Row],[Goal_assist]]="",1,0)</f>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f>IF(Table13[[#This Row],[Goal_assist]]="",1,0)</f>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f>IF(Table13[[#This Row],[Goal_assist]]="",1,0)</f>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f>IF(Table13[[#This Row],[Goal_assist]]="",1,0)</f>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f>IF(Table13[[#This Row],[Goal_assist]]="",1,0)</f>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f>IF(Table13[[#This Row],[Goal_assist]]="",1,0)</f>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f>IF(Table13[[#This Row],[Goal_assist]]="",1,0)</f>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f>IF(Table13[[#This Row],[Goal_assist]]="",1,0)</f>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f>IF(Table13[[#This Row],[Goal_assist]]="",1,0)</f>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f>IF(Table13[[#This Row],[Goal_assist]]="",1,0)</f>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f>IF(Table13[[#This Row],[Goal_assist]]="",1,0)</f>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f>IF(Table13[[#This Row],[Goal_assist]]="",1,0)</f>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f>IF(Table13[[#This Row],[Goal_assist]]="",1,0)</f>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f>IF(Table13[[#This Row],[Goal_assist]]="",1,0)</f>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f>IF(Table13[[#This Row],[Goal_assist]]="",1,0)</f>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f>IF(Table13[[#This Row],[Goal_assist]]="",1,0)</f>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f>IF(Table13[[#This Row],[Goal_assist]]="",1,0)</f>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f>IF(Table13[[#This Row],[Goal_assist]]="",1,0)</f>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f>IF(Table13[[#This Row],[Goal_assist]]="",1,0)</f>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f>IF(Table13[[#This Row],[Goal_assist]]="",1,0)</f>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f>IF(Table13[[#This Row],[Goal_assist]]="",1,0)</f>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f>IF(Table13[[#This Row],[Goal_assist]]="",1,0)</f>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f>IF(Table13[[#This Row],[Goal_assist]]="",1,0)</f>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f>IF(Table13[[#This Row],[Goal_assist]]="",1,0)</f>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f>IF(Table13[[#This Row],[Goal_assist]]="",1,0)</f>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f>IF(Table13[[#This Row],[Goal_assist]]="",1,0)</f>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f>IF(Table13[[#This Row],[Goal_assist]]="",1,0)</f>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f>IF(Table13[[#This Row],[Goal_assist]]="",1,0)</f>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f>IF(Table13[[#This Row],[Goal_assist]]="",1,0)</f>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f>IF(Table13[[#This Row],[Goal_assist]]="",1,0)</f>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f>IF(Table13[[#This Row],[Goal_assist]]="",1,0)</f>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f>IF(Table13[[#This Row],[Goal_assist]]="",1,0)</f>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f>IF(Table13[[#This Row],[Goal_assist]]="",1,0)</f>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f>IF(Table13[[#This Row],[Goal_assist]]="",1,0)</f>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f>IF(Table13[[#This Row],[Goal_assist]]="",1,0)</f>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f>IF(Table13[[#This Row],[Goal_assist]]="",1,0)</f>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f>IF(Table13[[#This Row],[Goal_assist]]="",1,0)</f>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f>IF(Table13[[#This Row],[Goal_assist]]="",1,0)</f>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f>IF(Table13[[#This Row],[Goal_assist]]="",1,0)</f>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f>IF(Table13[[#This Row],[Goal_assist]]="",1,0)</f>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f>IF(Table13[[#This Row],[Goal_assist]]="",1,0)</f>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f>IF(Table13[[#This Row],[Goal_assist]]="",1,0)</f>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f>IF(Table13[[#This Row],[Goal_assist]]="",1,0)</f>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f>IF(Table13[[#This Row],[Goal_assist]]="",1,0)</f>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f>IF(Table13[[#This Row],[Goal_assist]]="",1,0)</f>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f>IF(Table13[[#This Row],[Goal_assist]]="",1,0)</f>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f>IF(Table13[[#This Row],[Goal_assist]]="",1,0)</f>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f>IF(Table13[[#This Row],[Goal_assist]]="",1,0)</f>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f>IF(Table13[[#This Row],[Goal_assist]]="",1,0)</f>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f>IF(Table13[[#This Row],[Goal_assist]]="",1,0)</f>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f>IF(Table13[[#This Row],[Goal_assist]]="",1,0)</f>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f>IF(Table13[[#This Row],[Goal_assist]]="",1,0)</f>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f>IF(Table13[[#This Row],[Goal_assist]]="",1,0)</f>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f>IF(Table13[[#This Row],[Goal_assist]]="",1,0)</f>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f>IF(Table13[[#This Row],[Goal_assist]]="",1,0)</f>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f>IF(Table13[[#This Row],[Goal_assist]]="",1,0)</f>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f>IF(Table13[[#This Row],[Goal_assist]]="",1,0)</f>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f>IF(Table13[[#This Row],[Goal_assist]]="",1,0)</f>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f>IF(Table13[[#This Row],[Goal_assist]]="",1,0)</f>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f>IF(Table13[[#This Row],[Goal_assist]]="",1,0)</f>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N2"/>
  <sheetViews>
    <sheetView workbookViewId="0">
      <selection sqref="A1:N2"/>
    </sheetView>
  </sheetViews>
  <sheetFormatPr defaultRowHeight="18" x14ac:dyDescent="0.35"/>
  <sheetData>
    <row r="1" spans="1:14" x14ac:dyDescent="0.35">
      <c r="A1" s="5" t="s">
        <v>0</v>
      </c>
      <c r="B1" s="6" t="s">
        <v>1</v>
      </c>
      <c r="C1" s="6" t="s">
        <v>2</v>
      </c>
      <c r="D1" s="6" t="s">
        <v>3</v>
      </c>
      <c r="E1" s="6" t="s">
        <v>4</v>
      </c>
      <c r="F1" s="6" t="s">
        <v>5</v>
      </c>
      <c r="G1" s="6" t="s">
        <v>6</v>
      </c>
      <c r="H1" s="6" t="s">
        <v>7</v>
      </c>
      <c r="I1" s="6" t="s">
        <v>8</v>
      </c>
      <c r="J1" s="6" t="s">
        <v>9</v>
      </c>
      <c r="K1" s="6" t="s">
        <v>10</v>
      </c>
      <c r="L1" s="6" t="s">
        <v>11</v>
      </c>
      <c r="M1" s="6" t="s">
        <v>12</v>
      </c>
      <c r="N1" s="7" t="s">
        <v>13</v>
      </c>
    </row>
    <row r="2" spans="1:14" x14ac:dyDescent="0.35">
      <c r="A2" t="e">
        <f>COUNTBLANK([1]!Table13[[#This Row],[Player]])</f>
        <v>#REF!</v>
      </c>
      <c r="B2" t="e">
        <f>COUNTBLANK([1]!Table13[[#This Row],[Season]])</f>
        <v>#REF!</v>
      </c>
      <c r="C2" t="e">
        <f>COUNTBLANK([1]!Table13[[#This Row],[Competition]])</f>
        <v>#REF!</v>
      </c>
      <c r="D2" t="e">
        <f>COUNTBLANK([1]!Table13[[#This Row],[Matchday]])</f>
        <v>#REF!</v>
      </c>
      <c r="E2" t="e">
        <f>COUNTBLANK([1]!Table13[[#This Row],[Date]])</f>
        <v>#REF!</v>
      </c>
      <c r="F2" t="e">
        <f>COUNTBLANK([1]!Table13[[#This Row],[Venue]])</f>
        <v>#REF!</v>
      </c>
      <c r="G2" t="e">
        <f>COUNTBLANK([1]!Table13[[#This Row],[Club]])</f>
        <v>#REF!</v>
      </c>
      <c r="H2" t="e">
        <f>COUNTBLANK([1]!Table13[[#This Row],[Opponent]])</f>
        <v>#REF!</v>
      </c>
      <c r="I2" t="e">
        <f>COUNTBLANK([1]!Table13[[#This Row],[Result]])</f>
        <v>#REF!</v>
      </c>
      <c r="J2" t="e">
        <f>COUNTBLANK([1]!Table13[[#This Row],[Playing_Position]])</f>
        <v>#REF!</v>
      </c>
      <c r="K2" t="e">
        <f>COUNTBLANK([1]!Table13[[#This Row],[Minute]])</f>
        <v>#REF!</v>
      </c>
      <c r="L2" t="e">
        <f>COUNTBLANK([1]!Table13[[#This Row],[At_score]])</f>
        <v>#REF!</v>
      </c>
      <c r="M2" t="e">
        <f>COUNTBLANK([1]!Table13[[#This Row],[Type]])</f>
        <v>#REF!</v>
      </c>
      <c r="N2" t="e">
        <f>COUNTBLANK([1]!Table13[[#This Row],[Goal_assist]])</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workbookViewId="0">
      <selection sqref="A1:R1414"/>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t="e">
        <f>IF([1]!Table13[[#This Row],[Goal_assist]]="",1,0)</f>
        <v>#REF!</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t="e">
        <f>IF([1]!Table13[[#This Row],[Goal_assist]]="",1,0)</f>
        <v>#REF!</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t="e">
        <f>IF([1]!Table13[[#This Row],[Goal_assist]]="",1,0)</f>
        <v>#REF!</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t="e">
        <f>IF([1]!Table13[[#This Row],[Goal_assist]]="",1,0)</f>
        <v>#REF!</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t="e">
        <f>IF([1]!Table13[[#This Row],[Goal_assist]]="",1,0)</f>
        <v>#REF!</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t="e">
        <f>IF([1]!Table13[[#This Row],[Goal_assist]]="",1,0)</f>
        <v>#REF!</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t="e">
        <f>IF([1]!Table13[[#This Row],[Goal_assist]]="",1,0)</f>
        <v>#REF!</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t="e">
        <f>IF([1]!Table13[[#This Row],[Goal_assist]]="",1,0)</f>
        <v>#REF!</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t="e">
        <f>IF([1]!Table13[[#This Row],[Goal_assist]]="",1,0)</f>
        <v>#REF!</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t="e">
        <f>IF([1]!Table13[[#This Row],[Goal_assist]]="",1,0)</f>
        <v>#REF!</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t="e">
        <f>IF([1]!Table13[[#This Row],[Goal_assist]]="",1,0)</f>
        <v>#REF!</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t="e">
        <f>IF([1]!Table13[[#This Row],[Goal_assist]]="",1,0)</f>
        <v>#REF!</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t="e">
        <f>IF([1]!Table13[[#This Row],[Goal_assist]]="",1,0)</f>
        <v>#REF!</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t="e">
        <f>IF([1]!Table13[[#This Row],[Goal_assist]]="",1,0)</f>
        <v>#REF!</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t="e">
        <f>IF([1]!Table13[[#This Row],[Goal_assist]]="",1,0)</f>
        <v>#REF!</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t="e">
        <f>IF([1]!Table13[[#This Row],[Goal_assist]]="",1,0)</f>
        <v>#REF!</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t="e">
        <f>IF([1]!Table13[[#This Row],[Goal_assist]]="",1,0)</f>
        <v>#REF!</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t="e">
        <f>IF([1]!Table13[[#This Row],[Goal_assist]]="",1,0)</f>
        <v>#REF!</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t="e">
        <f>IF([1]!Table13[[#This Row],[Goal_assist]]="",1,0)</f>
        <v>#REF!</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t="e">
        <f>IF([1]!Table13[[#This Row],[Goal_assist]]="",1,0)</f>
        <v>#REF!</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t="e">
        <f>IF([1]!Table13[[#This Row],[Goal_assist]]="",1,0)</f>
        <v>#REF!</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t="e">
        <f>IF([1]!Table13[[#This Row],[Goal_assist]]="",1,0)</f>
        <v>#REF!</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t="e">
        <f>IF([1]!Table13[[#This Row],[Goal_assist]]="",1,0)</f>
        <v>#REF!</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t="e">
        <f>IF([1]!Table13[[#This Row],[Goal_assist]]="",1,0)</f>
        <v>#REF!</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t="e">
        <f>IF([1]!Table13[[#This Row],[Goal_assist]]="",1,0)</f>
        <v>#REF!</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t="e">
        <f>IF([1]!Table13[[#This Row],[Goal_assist]]="",1,0)</f>
        <v>#REF!</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t="e">
        <f>IF([1]!Table13[[#This Row],[Goal_assist]]="",1,0)</f>
        <v>#REF!</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t="e">
        <f>IF([1]!Table13[[#This Row],[Goal_assist]]="",1,0)</f>
        <v>#REF!</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t="e">
        <f>IF([1]!Table13[[#This Row],[Goal_assist]]="",1,0)</f>
        <v>#REF!</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t="e">
        <f>IF([1]!Table13[[#This Row],[Goal_assist]]="",1,0)</f>
        <v>#REF!</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t="e">
        <f>IF([1]!Table13[[#This Row],[Goal_assist]]="",1,0)</f>
        <v>#REF!</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t="e">
        <f>IF([1]!Table13[[#This Row],[Goal_assist]]="",1,0)</f>
        <v>#REF!</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t="e">
        <f>IF([1]!Table13[[#This Row],[Goal_assist]]="",1,0)</f>
        <v>#REF!</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t="e">
        <f>IF([1]!Table13[[#This Row],[Goal_assist]]="",1,0)</f>
        <v>#REF!</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t="e">
        <f>IF([1]!Table13[[#This Row],[Goal_assist]]="",1,0)</f>
        <v>#REF!</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t="e">
        <f>IF([1]!Table13[[#This Row],[Goal_assist]]="",1,0)</f>
        <v>#REF!</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t="e">
        <f>IF([1]!Table13[[#This Row],[Goal_assist]]="",1,0)</f>
        <v>#REF!</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t="e">
        <f>IF([1]!Table13[[#This Row],[Goal_assist]]="",1,0)</f>
        <v>#REF!</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t="e">
        <f>IF([1]!Table13[[#This Row],[Goal_assist]]="",1,0)</f>
        <v>#REF!</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t="e">
        <f>IF([1]!Table13[[#This Row],[Goal_assist]]="",1,0)</f>
        <v>#REF!</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t="e">
        <f>IF([1]!Table13[[#This Row],[Goal_assist]]="",1,0)</f>
        <v>#REF!</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t="e">
        <f>IF([1]!Table13[[#This Row],[Goal_assist]]="",1,0)</f>
        <v>#REF!</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t="e">
        <f>IF([1]!Table13[[#This Row],[Goal_assist]]="",1,0)</f>
        <v>#REF!</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t="e">
        <f>IF([1]!Table13[[#This Row],[Goal_assist]]="",1,0)</f>
        <v>#REF!</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t="e">
        <f>IF([1]!Table13[[#This Row],[Goal_assist]]="",1,0)</f>
        <v>#REF!</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t="e">
        <f>IF([1]!Table13[[#This Row],[Goal_assist]]="",1,0)</f>
        <v>#REF!</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t="e">
        <f>IF([1]!Table13[[#This Row],[Goal_assist]]="",1,0)</f>
        <v>#REF!</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t="e">
        <f>IF([1]!Table13[[#This Row],[Goal_assist]]="",1,0)</f>
        <v>#REF!</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t="e">
        <f>IF([1]!Table13[[#This Row],[Goal_assist]]="",1,0)</f>
        <v>#REF!</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t="e">
        <f>IF([1]!Table13[[#This Row],[Goal_assist]]="",1,0)</f>
        <v>#REF!</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t="e">
        <f>IF([1]!Table13[[#This Row],[Goal_assist]]="",1,0)</f>
        <v>#REF!</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t="e">
        <f>IF([1]!Table13[[#This Row],[Goal_assist]]="",1,0)</f>
        <v>#REF!</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t="e">
        <f>IF([1]!Table13[[#This Row],[Goal_assist]]="",1,0)</f>
        <v>#REF!</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t="e">
        <f>IF([1]!Table13[[#This Row],[Goal_assist]]="",1,0)</f>
        <v>#REF!</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t="e">
        <f>IF([1]!Table13[[#This Row],[Goal_assist]]="",1,0)</f>
        <v>#REF!</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t="e">
        <f>IF([1]!Table13[[#This Row],[Goal_assist]]="",1,0)</f>
        <v>#REF!</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t="e">
        <f>IF([1]!Table13[[#This Row],[Goal_assist]]="",1,0)</f>
        <v>#REF!</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t="e">
        <f>IF([1]!Table13[[#This Row],[Goal_assist]]="",1,0)</f>
        <v>#REF!</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t="e">
        <f>IF([1]!Table13[[#This Row],[Goal_assist]]="",1,0)</f>
        <v>#REF!</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t="e">
        <f>IF([1]!Table13[[#This Row],[Goal_assist]]="",1,0)</f>
        <v>#REF!</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t="e">
        <f>IF([1]!Table13[[#This Row],[Goal_assist]]="",1,0)</f>
        <v>#REF!</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t="e">
        <f>IF([1]!Table13[[#This Row],[Goal_assist]]="",1,0)</f>
        <v>#REF!</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t="e">
        <f>IF([1]!Table13[[#This Row],[Goal_assist]]="",1,0)</f>
        <v>#REF!</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t="e">
        <f>IF([1]!Table13[[#This Row],[Goal_assist]]="",1,0)</f>
        <v>#REF!</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t="e">
        <f>IF([1]!Table13[[#This Row],[Goal_assist]]="",1,0)</f>
        <v>#REF!</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t="e">
        <f>IF([1]!Table13[[#This Row],[Goal_assist]]="",1,0)</f>
        <v>#REF!</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t="e">
        <f>IF([1]!Table13[[#This Row],[Goal_assist]]="",1,0)</f>
        <v>#REF!</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t="e">
        <f>IF([1]!Table13[[#This Row],[Goal_assist]]="",1,0)</f>
        <v>#REF!</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t="e">
        <f>IF([1]!Table13[[#This Row],[Goal_assist]]="",1,0)</f>
        <v>#REF!</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t="e">
        <f>IF([1]!Table13[[#This Row],[Goal_assist]]="",1,0)</f>
        <v>#REF!</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t="e">
        <f>IF([1]!Table13[[#This Row],[Goal_assist]]="",1,0)</f>
        <v>#REF!</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t="e">
        <f>IF([1]!Table13[[#This Row],[Goal_assist]]="",1,0)</f>
        <v>#REF!</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t="e">
        <f>IF([1]!Table13[[#This Row],[Goal_assist]]="",1,0)</f>
        <v>#REF!</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t="e">
        <f>IF([1]!Table13[[#This Row],[Goal_assist]]="",1,0)</f>
        <v>#REF!</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t="e">
        <f>IF([1]!Table13[[#This Row],[Goal_assist]]="",1,0)</f>
        <v>#REF!</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t="e">
        <f>IF([1]!Table13[[#This Row],[Goal_assist]]="",1,0)</f>
        <v>#REF!</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t="e">
        <f>IF([1]!Table13[[#This Row],[Goal_assist]]="",1,0)</f>
        <v>#REF!</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t="e">
        <f>IF([1]!Table13[[#This Row],[Goal_assist]]="",1,0)</f>
        <v>#REF!</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t="e">
        <f>IF([1]!Table13[[#This Row],[Goal_assist]]="",1,0)</f>
        <v>#REF!</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t="e">
        <f>IF([1]!Table13[[#This Row],[Goal_assist]]="",1,0)</f>
        <v>#REF!</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t="e">
        <f>IF([1]!Table13[[#This Row],[Goal_assist]]="",1,0)</f>
        <v>#REF!</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t="e">
        <f>IF([1]!Table13[[#This Row],[Goal_assist]]="",1,0)</f>
        <v>#REF!</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t="e">
        <f>IF([1]!Table13[[#This Row],[Goal_assist]]="",1,0)</f>
        <v>#REF!</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t="e">
        <f>IF([1]!Table13[[#This Row],[Goal_assist]]="",1,0)</f>
        <v>#REF!</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t="e">
        <f>IF([1]!Table13[[#This Row],[Goal_assist]]="",1,0)</f>
        <v>#REF!</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t="e">
        <f>IF([1]!Table13[[#This Row],[Goal_assist]]="",1,0)</f>
        <v>#REF!</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t="e">
        <f>IF([1]!Table13[[#This Row],[Goal_assist]]="",1,0)</f>
        <v>#REF!</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t="e">
        <f>IF([1]!Table13[[#This Row],[Goal_assist]]="",1,0)</f>
        <v>#REF!</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t="e">
        <f>IF([1]!Table13[[#This Row],[Goal_assist]]="",1,0)</f>
        <v>#REF!</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t="e">
        <f>IF([1]!Table13[[#This Row],[Goal_assist]]="",1,0)</f>
        <v>#REF!</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t="e">
        <f>IF([1]!Table13[[#This Row],[Goal_assist]]="",1,0)</f>
        <v>#REF!</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t="e">
        <f>IF([1]!Table13[[#This Row],[Goal_assist]]="",1,0)</f>
        <v>#REF!</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t="e">
        <f>IF([1]!Table13[[#This Row],[Goal_assist]]="",1,0)</f>
        <v>#REF!</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t="e">
        <f>IF([1]!Table13[[#This Row],[Goal_assist]]="",1,0)</f>
        <v>#REF!</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t="e">
        <f>IF([1]!Table13[[#This Row],[Goal_assist]]="",1,0)</f>
        <v>#REF!</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t="e">
        <f>IF([1]!Table13[[#This Row],[Goal_assist]]="",1,0)</f>
        <v>#REF!</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t="e">
        <f>IF([1]!Table13[[#This Row],[Goal_assist]]="",1,0)</f>
        <v>#REF!</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t="e">
        <f>IF([1]!Table13[[#This Row],[Goal_assist]]="",1,0)</f>
        <v>#REF!</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t="e">
        <f>IF([1]!Table13[[#This Row],[Goal_assist]]="",1,0)</f>
        <v>#REF!</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t="e">
        <f>IF([1]!Table13[[#This Row],[Goal_assist]]="",1,0)</f>
        <v>#REF!</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t="e">
        <f>IF([1]!Table13[[#This Row],[Goal_assist]]="",1,0)</f>
        <v>#REF!</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t="e">
        <f>IF([1]!Table13[[#This Row],[Goal_assist]]="",1,0)</f>
        <v>#REF!</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t="e">
        <f>IF([1]!Table13[[#This Row],[Goal_assist]]="",1,0)</f>
        <v>#REF!</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t="e">
        <f>IF([1]!Table13[[#This Row],[Goal_assist]]="",1,0)</f>
        <v>#REF!</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t="e">
        <f>IF([1]!Table13[[#This Row],[Goal_assist]]="",1,0)</f>
        <v>#REF!</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t="e">
        <f>IF([1]!Table13[[#This Row],[Goal_assist]]="",1,0)</f>
        <v>#REF!</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t="e">
        <f>IF([1]!Table13[[#This Row],[Goal_assist]]="",1,0)</f>
        <v>#REF!</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t="e">
        <f>IF([1]!Table13[[#This Row],[Goal_assist]]="",1,0)</f>
        <v>#REF!</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t="e">
        <f>IF([1]!Table13[[#This Row],[Goal_assist]]="",1,0)</f>
        <v>#REF!</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t="e">
        <f>IF([1]!Table13[[#This Row],[Goal_assist]]="",1,0)</f>
        <v>#REF!</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t="e">
        <f>IF([1]!Table13[[#This Row],[Goal_assist]]="",1,0)</f>
        <v>#REF!</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t="e">
        <f>IF([1]!Table13[[#This Row],[Goal_assist]]="",1,0)</f>
        <v>#REF!</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t="e">
        <f>IF([1]!Table13[[#This Row],[Goal_assist]]="",1,0)</f>
        <v>#REF!</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t="e">
        <f>IF([1]!Table13[[#This Row],[Goal_assist]]="",1,0)</f>
        <v>#REF!</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t="e">
        <f>IF([1]!Table13[[#This Row],[Goal_assist]]="",1,0)</f>
        <v>#REF!</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t="e">
        <f>IF([1]!Table13[[#This Row],[Goal_assist]]="",1,0)</f>
        <v>#REF!</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t="e">
        <f>IF([1]!Table13[[#This Row],[Goal_assist]]="",1,0)</f>
        <v>#REF!</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t="e">
        <f>IF([1]!Table13[[#This Row],[Goal_assist]]="",1,0)</f>
        <v>#REF!</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t="e">
        <f>IF([1]!Table13[[#This Row],[Goal_assist]]="",1,0)</f>
        <v>#REF!</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t="e">
        <f>IF([1]!Table13[[#This Row],[Goal_assist]]="",1,0)</f>
        <v>#REF!</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t="e">
        <f>IF([1]!Table13[[#This Row],[Goal_assist]]="",1,0)</f>
        <v>#REF!</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t="e">
        <f>IF([1]!Table13[[#This Row],[Goal_assist]]="",1,0)</f>
        <v>#REF!</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t="e">
        <f>IF([1]!Table13[[#This Row],[Goal_assist]]="",1,0)</f>
        <v>#REF!</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t="e">
        <f>IF([1]!Table13[[#This Row],[Goal_assist]]="",1,0)</f>
        <v>#REF!</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t="e">
        <f>IF([1]!Table13[[#This Row],[Goal_assist]]="",1,0)</f>
        <v>#REF!</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t="e">
        <f>IF([1]!Table13[[#This Row],[Goal_assist]]="",1,0)</f>
        <v>#REF!</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t="e">
        <f>IF([1]!Table13[[#This Row],[Goal_assist]]="",1,0)</f>
        <v>#REF!</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t="e">
        <f>IF([1]!Table13[[#This Row],[Goal_assist]]="",1,0)</f>
        <v>#REF!</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t="e">
        <f>IF([1]!Table13[[#This Row],[Goal_assist]]="",1,0)</f>
        <v>#REF!</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t="e">
        <f>IF([1]!Table13[[#This Row],[Goal_assist]]="",1,0)</f>
        <v>#REF!</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t="e">
        <f>IF([1]!Table13[[#This Row],[Goal_assist]]="",1,0)</f>
        <v>#REF!</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t="e">
        <f>IF([1]!Table13[[#This Row],[Goal_assist]]="",1,0)</f>
        <v>#REF!</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t="e">
        <f>IF([1]!Table13[[#This Row],[Goal_assist]]="",1,0)</f>
        <v>#REF!</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t="e">
        <f>IF([1]!Table13[[#This Row],[Goal_assist]]="",1,0)</f>
        <v>#REF!</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t="e">
        <f>IF([1]!Table13[[#This Row],[Goal_assist]]="",1,0)</f>
        <v>#REF!</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t="e">
        <f>IF([1]!Table13[[#This Row],[Goal_assist]]="",1,0)</f>
        <v>#REF!</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t="e">
        <f>IF([1]!Table13[[#This Row],[Goal_assist]]="",1,0)</f>
        <v>#REF!</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t="e">
        <f>IF([1]!Table13[[#This Row],[Goal_assist]]="",1,0)</f>
        <v>#REF!</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t="e">
        <f>IF([1]!Table13[[#This Row],[Goal_assist]]="",1,0)</f>
        <v>#REF!</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t="e">
        <f>IF([1]!Table13[[#This Row],[Goal_assist]]="",1,0)</f>
        <v>#REF!</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t="e">
        <f>IF([1]!Table13[[#This Row],[Goal_assist]]="",1,0)</f>
        <v>#REF!</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t="e">
        <f>IF([1]!Table13[[#This Row],[Goal_assist]]="",1,0)</f>
        <v>#REF!</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t="e">
        <f>IF([1]!Table13[[#This Row],[Goal_assist]]="",1,0)</f>
        <v>#REF!</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t="e">
        <f>IF([1]!Table13[[#This Row],[Goal_assist]]="",1,0)</f>
        <v>#REF!</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t="e">
        <f>IF([1]!Table13[[#This Row],[Goal_assist]]="",1,0)</f>
        <v>#REF!</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t="e">
        <f>IF([1]!Table13[[#This Row],[Goal_assist]]="",1,0)</f>
        <v>#REF!</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t="e">
        <f>IF([1]!Table13[[#This Row],[Goal_assist]]="",1,0)</f>
        <v>#REF!</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t="e">
        <f>IF([1]!Table13[[#This Row],[Goal_assist]]="",1,0)</f>
        <v>#REF!</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t="e">
        <f>IF([1]!Table13[[#This Row],[Goal_assist]]="",1,0)</f>
        <v>#REF!</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t="e">
        <f>IF([1]!Table13[[#This Row],[Goal_assist]]="",1,0)</f>
        <v>#REF!</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t="e">
        <f>IF([1]!Table13[[#This Row],[Goal_assist]]="",1,0)</f>
        <v>#REF!</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t="e">
        <f>IF([1]!Table13[[#This Row],[Goal_assist]]="",1,0)</f>
        <v>#REF!</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t="e">
        <f>IF([1]!Table13[[#This Row],[Goal_assist]]="",1,0)</f>
        <v>#REF!</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t="e">
        <f>IF([1]!Table13[[#This Row],[Goal_assist]]="",1,0)</f>
        <v>#REF!</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t="e">
        <f>IF([1]!Table13[[#This Row],[Goal_assist]]="",1,0)</f>
        <v>#REF!</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t="e">
        <f>IF([1]!Table13[[#This Row],[Goal_assist]]="",1,0)</f>
        <v>#REF!</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t="e">
        <f>IF([1]!Table13[[#This Row],[Goal_assist]]="",1,0)</f>
        <v>#REF!</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t="e">
        <f>IF([1]!Table13[[#This Row],[Goal_assist]]="",1,0)</f>
        <v>#REF!</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t="e">
        <f>IF([1]!Table13[[#This Row],[Goal_assist]]="",1,0)</f>
        <v>#REF!</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t="e">
        <f>IF([1]!Table13[[#This Row],[Goal_assist]]="",1,0)</f>
        <v>#REF!</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t="e">
        <f>IF([1]!Table13[[#This Row],[Goal_assist]]="",1,0)</f>
        <v>#REF!</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t="e">
        <f>IF([1]!Table13[[#This Row],[Goal_assist]]="",1,0)</f>
        <v>#REF!</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t="e">
        <f>IF([1]!Table13[[#This Row],[Goal_assist]]="",1,0)</f>
        <v>#REF!</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t="e">
        <f>IF([1]!Table13[[#This Row],[Goal_assist]]="",1,0)</f>
        <v>#REF!</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t="e">
        <f>IF([1]!Table13[[#This Row],[Goal_assist]]="",1,0)</f>
        <v>#REF!</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t="e">
        <f>IF([1]!Table13[[#This Row],[Goal_assist]]="",1,0)</f>
        <v>#REF!</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t="e">
        <f>IF([1]!Table13[[#This Row],[Goal_assist]]="",1,0)</f>
        <v>#REF!</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t="e">
        <f>IF([1]!Table13[[#This Row],[Goal_assist]]="",1,0)</f>
        <v>#REF!</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t="e">
        <f>IF([1]!Table13[[#This Row],[Goal_assist]]="",1,0)</f>
        <v>#REF!</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t="e">
        <f>IF([1]!Table13[[#This Row],[Goal_assist]]="",1,0)</f>
        <v>#REF!</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t="e">
        <f>IF([1]!Table13[[#This Row],[Goal_assist]]="",1,0)</f>
        <v>#REF!</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t="e">
        <f>IF([1]!Table13[[#This Row],[Goal_assist]]="",1,0)</f>
        <v>#REF!</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t="e">
        <f>IF([1]!Table13[[#This Row],[Goal_assist]]="",1,0)</f>
        <v>#REF!</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t="e">
        <f>IF([1]!Table13[[#This Row],[Goal_assist]]="",1,0)</f>
        <v>#REF!</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t="e">
        <f>IF([1]!Table13[[#This Row],[Goal_assist]]="",1,0)</f>
        <v>#REF!</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t="e">
        <f>IF([1]!Table13[[#This Row],[Goal_assist]]="",1,0)</f>
        <v>#REF!</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t="e">
        <f>IF([1]!Table13[[#This Row],[Goal_assist]]="",1,0)</f>
        <v>#REF!</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t="e">
        <f>IF([1]!Table13[[#This Row],[Goal_assist]]="",1,0)</f>
        <v>#REF!</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t="e">
        <f>IF([1]!Table13[[#This Row],[Goal_assist]]="",1,0)</f>
        <v>#REF!</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t="e">
        <f>IF([1]!Table13[[#This Row],[Goal_assist]]="",1,0)</f>
        <v>#REF!</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t="e">
        <f>IF([1]!Table13[[#This Row],[Goal_assist]]="",1,0)</f>
        <v>#REF!</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t="e">
        <f>IF([1]!Table13[[#This Row],[Goal_assist]]="",1,0)</f>
        <v>#REF!</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t="e">
        <f>IF([1]!Table13[[#This Row],[Goal_assist]]="",1,0)</f>
        <v>#REF!</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t="e">
        <f>IF([1]!Table13[[#This Row],[Goal_assist]]="",1,0)</f>
        <v>#REF!</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t="e">
        <f>IF([1]!Table13[[#This Row],[Goal_assist]]="",1,0)</f>
        <v>#REF!</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t="e">
        <f>IF([1]!Table13[[#This Row],[Goal_assist]]="",1,0)</f>
        <v>#REF!</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t="e">
        <f>IF([1]!Table13[[#This Row],[Goal_assist]]="",1,0)</f>
        <v>#REF!</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t="e">
        <f>IF([1]!Table13[[#This Row],[Goal_assist]]="",1,0)</f>
        <v>#REF!</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t="e">
        <f>IF([1]!Table13[[#This Row],[Goal_assist]]="",1,0)</f>
        <v>#REF!</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t="e">
        <f>IF([1]!Table13[[#This Row],[Goal_assist]]="",1,0)</f>
        <v>#REF!</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t="e">
        <f>IF([1]!Table13[[#This Row],[Goal_assist]]="",1,0)</f>
        <v>#REF!</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t="e">
        <f>IF([1]!Table13[[#This Row],[Goal_assist]]="",1,0)</f>
        <v>#REF!</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t="e">
        <f>IF([1]!Table13[[#This Row],[Goal_assist]]="",1,0)</f>
        <v>#REF!</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t="e">
        <f>IF([1]!Table13[[#This Row],[Goal_assist]]="",1,0)</f>
        <v>#REF!</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t="e">
        <f>IF([1]!Table13[[#This Row],[Goal_assist]]="",1,0)</f>
        <v>#REF!</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t="e">
        <f>IF([1]!Table13[[#This Row],[Goal_assist]]="",1,0)</f>
        <v>#REF!</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t="e">
        <f>IF([1]!Table13[[#This Row],[Goal_assist]]="",1,0)</f>
        <v>#REF!</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t="e">
        <f>IF([1]!Table13[[#This Row],[Goal_assist]]="",1,0)</f>
        <v>#REF!</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t="e">
        <f>IF([1]!Table13[[#This Row],[Goal_assist]]="",1,0)</f>
        <v>#REF!</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t="e">
        <f>IF([1]!Table13[[#This Row],[Goal_assist]]="",1,0)</f>
        <v>#REF!</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t="e">
        <f>IF([1]!Table13[[#This Row],[Goal_assist]]="",1,0)</f>
        <v>#REF!</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t="e">
        <f>IF([1]!Table13[[#This Row],[Goal_assist]]="",1,0)</f>
        <v>#REF!</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t="e">
        <f>IF([1]!Table13[[#This Row],[Goal_assist]]="",1,0)</f>
        <v>#REF!</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t="e">
        <f>IF([1]!Table13[[#This Row],[Goal_assist]]="",1,0)</f>
        <v>#REF!</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t="e">
        <f>IF([1]!Table13[[#This Row],[Goal_assist]]="",1,0)</f>
        <v>#REF!</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t="e">
        <f>IF([1]!Table13[[#This Row],[Goal_assist]]="",1,0)</f>
        <v>#REF!</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t="e">
        <f>IF([1]!Table13[[#This Row],[Goal_assist]]="",1,0)</f>
        <v>#REF!</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t="e">
        <f>IF([1]!Table13[[#This Row],[Goal_assist]]="",1,0)</f>
        <v>#REF!</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t="e">
        <f>IF([1]!Table13[[#This Row],[Goal_assist]]="",1,0)</f>
        <v>#REF!</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t="e">
        <f>IF([1]!Table13[[#This Row],[Goal_assist]]="",1,0)</f>
        <v>#REF!</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t="e">
        <f>IF([1]!Table13[[#This Row],[Goal_assist]]="",1,0)</f>
        <v>#REF!</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t="e">
        <f>IF([1]!Table13[[#This Row],[Goal_assist]]="",1,0)</f>
        <v>#REF!</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t="e">
        <f>IF([1]!Table13[[#This Row],[Goal_assist]]="",1,0)</f>
        <v>#REF!</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t="e">
        <f>IF([1]!Table13[[#This Row],[Goal_assist]]="",1,0)</f>
        <v>#REF!</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t="e">
        <f>IF([1]!Table13[[#This Row],[Goal_assist]]="",1,0)</f>
        <v>#REF!</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t="e">
        <f>IF([1]!Table13[[#This Row],[Goal_assist]]="",1,0)</f>
        <v>#REF!</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t="e">
        <f>IF([1]!Table13[[#This Row],[Goal_assist]]="",1,0)</f>
        <v>#REF!</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t="e">
        <f>IF([1]!Table13[[#This Row],[Goal_assist]]="",1,0)</f>
        <v>#REF!</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t="e">
        <f>IF([1]!Table13[[#This Row],[Goal_assist]]="",1,0)</f>
        <v>#REF!</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t="e">
        <f>IF([1]!Table13[[#This Row],[Goal_assist]]="",1,0)</f>
        <v>#REF!</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t="e">
        <f>IF([1]!Table13[[#This Row],[Goal_assist]]="",1,0)</f>
        <v>#REF!</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t="e">
        <f>IF([1]!Table13[[#This Row],[Goal_assist]]="",1,0)</f>
        <v>#REF!</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t="e">
        <f>IF([1]!Table13[[#This Row],[Goal_assist]]="",1,0)</f>
        <v>#REF!</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t="e">
        <f>IF([1]!Table13[[#This Row],[Goal_assist]]="",1,0)</f>
        <v>#REF!</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t="e">
        <f>IF([1]!Table13[[#This Row],[Goal_assist]]="",1,0)</f>
        <v>#REF!</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t="e">
        <f>IF([1]!Table13[[#This Row],[Goal_assist]]="",1,0)</f>
        <v>#REF!</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t="e">
        <f>IF([1]!Table13[[#This Row],[Goal_assist]]="",1,0)</f>
        <v>#REF!</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t="e">
        <f>IF([1]!Table13[[#This Row],[Goal_assist]]="",1,0)</f>
        <v>#REF!</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t="e">
        <f>IF([1]!Table13[[#This Row],[Goal_assist]]="",1,0)</f>
        <v>#REF!</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t="e">
        <f>IF([1]!Table13[[#This Row],[Goal_assist]]="",1,0)</f>
        <v>#REF!</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t="e">
        <f>IF([1]!Table13[[#This Row],[Goal_assist]]="",1,0)</f>
        <v>#REF!</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t="e">
        <f>IF([1]!Table13[[#This Row],[Goal_assist]]="",1,0)</f>
        <v>#REF!</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t="e">
        <f>IF([1]!Table13[[#This Row],[Goal_assist]]="",1,0)</f>
        <v>#REF!</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t="e">
        <f>IF([1]!Table13[[#This Row],[Goal_assist]]="",1,0)</f>
        <v>#REF!</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t="e">
        <f>IF([1]!Table13[[#This Row],[Goal_assist]]="",1,0)</f>
        <v>#REF!</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t="e">
        <f>IF([1]!Table13[[#This Row],[Goal_assist]]="",1,0)</f>
        <v>#REF!</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t="e">
        <f>IF([1]!Table13[[#This Row],[Goal_assist]]="",1,0)</f>
        <v>#REF!</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t="e">
        <f>IF([1]!Table13[[#This Row],[Goal_assist]]="",1,0)</f>
        <v>#REF!</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t="e">
        <f>IF([1]!Table13[[#This Row],[Goal_assist]]="",1,0)</f>
        <v>#REF!</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t="e">
        <f>IF([1]!Table13[[#This Row],[Goal_assist]]="",1,0)</f>
        <v>#REF!</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t="e">
        <f>IF([1]!Table13[[#This Row],[Goal_assist]]="",1,0)</f>
        <v>#REF!</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t="e">
        <f>IF([1]!Table13[[#This Row],[Goal_assist]]="",1,0)</f>
        <v>#REF!</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t="e">
        <f>IF([1]!Table13[[#This Row],[Goal_assist]]="",1,0)</f>
        <v>#REF!</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t="e">
        <f>IF([1]!Table13[[#This Row],[Goal_assist]]="",1,0)</f>
        <v>#REF!</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t="e">
        <f>IF([1]!Table13[[#This Row],[Goal_assist]]="",1,0)</f>
        <v>#REF!</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t="e">
        <f>IF([1]!Table13[[#This Row],[Goal_assist]]="",1,0)</f>
        <v>#REF!</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t="e">
        <f>IF([1]!Table13[[#This Row],[Goal_assist]]="",1,0)</f>
        <v>#REF!</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t="e">
        <f>IF([1]!Table13[[#This Row],[Goal_assist]]="",1,0)</f>
        <v>#REF!</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t="e">
        <f>IF([1]!Table13[[#This Row],[Goal_assist]]="",1,0)</f>
        <v>#REF!</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t="e">
        <f>IF([1]!Table13[[#This Row],[Goal_assist]]="",1,0)</f>
        <v>#REF!</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t="e">
        <f>IF([1]!Table13[[#This Row],[Goal_assist]]="",1,0)</f>
        <v>#REF!</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t="e">
        <f>IF([1]!Table13[[#This Row],[Goal_assist]]="",1,0)</f>
        <v>#REF!</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t="e">
        <f>IF([1]!Table13[[#This Row],[Goal_assist]]="",1,0)</f>
        <v>#REF!</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t="e">
        <f>IF([1]!Table13[[#This Row],[Goal_assist]]="",1,0)</f>
        <v>#REF!</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t="e">
        <f>IF([1]!Table13[[#This Row],[Goal_assist]]="",1,0)</f>
        <v>#REF!</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t="e">
        <f>IF([1]!Table13[[#This Row],[Goal_assist]]="",1,0)</f>
        <v>#REF!</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t="e">
        <f>IF([1]!Table13[[#This Row],[Goal_assist]]="",1,0)</f>
        <v>#REF!</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t="e">
        <f>IF([1]!Table13[[#This Row],[Goal_assist]]="",1,0)</f>
        <v>#REF!</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t="e">
        <f>IF([1]!Table13[[#This Row],[Goal_assist]]="",1,0)</f>
        <v>#REF!</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t="e">
        <f>IF([1]!Table13[[#This Row],[Goal_assist]]="",1,0)</f>
        <v>#REF!</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t="e">
        <f>IF([1]!Table13[[#This Row],[Goal_assist]]="",1,0)</f>
        <v>#REF!</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t="e">
        <f>IF([1]!Table13[[#This Row],[Goal_assist]]="",1,0)</f>
        <v>#REF!</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t="e">
        <f>IF([1]!Table13[[#This Row],[Goal_assist]]="",1,0)</f>
        <v>#REF!</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t="e">
        <f>IF([1]!Table13[[#This Row],[Goal_assist]]="",1,0)</f>
        <v>#REF!</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t="e">
        <f>IF([1]!Table13[[#This Row],[Goal_assist]]="",1,0)</f>
        <v>#REF!</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t="e">
        <f>IF([1]!Table13[[#This Row],[Goal_assist]]="",1,0)</f>
        <v>#REF!</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t="e">
        <f>IF([1]!Table13[[#This Row],[Goal_assist]]="",1,0)</f>
        <v>#REF!</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t="e">
        <f>IF([1]!Table13[[#This Row],[Goal_assist]]="",1,0)</f>
        <v>#REF!</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t="e">
        <f>IF([1]!Table13[[#This Row],[Goal_assist]]="",1,0)</f>
        <v>#REF!</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t="e">
        <f>IF([1]!Table13[[#This Row],[Goal_assist]]="",1,0)</f>
        <v>#REF!</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t="e">
        <f>IF([1]!Table13[[#This Row],[Goal_assist]]="",1,0)</f>
        <v>#REF!</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t="e">
        <f>IF([1]!Table13[[#This Row],[Goal_assist]]="",1,0)</f>
        <v>#REF!</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t="e">
        <f>IF([1]!Table13[[#This Row],[Goal_assist]]="",1,0)</f>
        <v>#REF!</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t="e">
        <f>IF([1]!Table13[[#This Row],[Goal_assist]]="",1,0)</f>
        <v>#REF!</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t="e">
        <f>IF([1]!Table13[[#This Row],[Goal_assist]]="",1,0)</f>
        <v>#REF!</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t="e">
        <f>IF([1]!Table13[[#This Row],[Goal_assist]]="",1,0)</f>
        <v>#REF!</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t="e">
        <f>IF([1]!Table13[[#This Row],[Goal_assist]]="",1,0)</f>
        <v>#REF!</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t="e">
        <f>IF([1]!Table13[[#This Row],[Goal_assist]]="",1,0)</f>
        <v>#REF!</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t="e">
        <f>IF([1]!Table13[[#This Row],[Goal_assist]]="",1,0)</f>
        <v>#REF!</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t="e">
        <f>IF([1]!Table13[[#This Row],[Goal_assist]]="",1,0)</f>
        <v>#REF!</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t="e">
        <f>IF([1]!Table13[[#This Row],[Goal_assist]]="",1,0)</f>
        <v>#REF!</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t="e">
        <f>IF([1]!Table13[[#This Row],[Goal_assist]]="",1,0)</f>
        <v>#REF!</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t="e">
        <f>IF([1]!Table13[[#This Row],[Goal_assist]]="",1,0)</f>
        <v>#REF!</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t="e">
        <f>IF([1]!Table13[[#This Row],[Goal_assist]]="",1,0)</f>
        <v>#REF!</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t="e">
        <f>IF([1]!Table13[[#This Row],[Goal_assist]]="",1,0)</f>
        <v>#REF!</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t="e">
        <f>IF([1]!Table13[[#This Row],[Goal_assist]]="",1,0)</f>
        <v>#REF!</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t="e">
        <f>IF([1]!Table13[[#This Row],[Goal_assist]]="",1,0)</f>
        <v>#REF!</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t="e">
        <f>IF([1]!Table13[[#This Row],[Goal_assist]]="",1,0)</f>
        <v>#REF!</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t="e">
        <f>IF([1]!Table13[[#This Row],[Goal_assist]]="",1,0)</f>
        <v>#REF!</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t="e">
        <f>IF([1]!Table13[[#This Row],[Goal_assist]]="",1,0)</f>
        <v>#REF!</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t="e">
        <f>IF([1]!Table13[[#This Row],[Goal_assist]]="",1,0)</f>
        <v>#REF!</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t="e">
        <f>IF([1]!Table13[[#This Row],[Goal_assist]]="",1,0)</f>
        <v>#REF!</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t="e">
        <f>IF([1]!Table13[[#This Row],[Goal_assist]]="",1,0)</f>
        <v>#REF!</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t="e">
        <f>IF([1]!Table13[[#This Row],[Goal_assist]]="",1,0)</f>
        <v>#REF!</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t="e">
        <f>IF([1]!Table13[[#This Row],[Goal_assist]]="",1,0)</f>
        <v>#REF!</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t="e">
        <f>IF([1]!Table13[[#This Row],[Goal_assist]]="",1,0)</f>
        <v>#REF!</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t="e">
        <f>IF([1]!Table13[[#This Row],[Goal_assist]]="",1,0)</f>
        <v>#REF!</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t="e">
        <f>IF([1]!Table13[[#This Row],[Goal_assist]]="",1,0)</f>
        <v>#REF!</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t="e">
        <f>IF([1]!Table13[[#This Row],[Goal_assist]]="",1,0)</f>
        <v>#REF!</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t="e">
        <f>IF([1]!Table13[[#This Row],[Goal_assist]]="",1,0)</f>
        <v>#REF!</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t="e">
        <f>IF([1]!Table13[[#This Row],[Goal_assist]]="",1,0)</f>
        <v>#REF!</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t="e">
        <f>IF([1]!Table13[[#This Row],[Goal_assist]]="",1,0)</f>
        <v>#REF!</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t="e">
        <f>IF([1]!Table13[[#This Row],[Goal_assist]]="",1,0)</f>
        <v>#REF!</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t="e">
        <f>IF([1]!Table13[[#This Row],[Goal_assist]]="",1,0)</f>
        <v>#REF!</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t="e">
        <f>IF([1]!Table13[[#This Row],[Goal_assist]]="",1,0)</f>
        <v>#REF!</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t="e">
        <f>IF([1]!Table13[[#This Row],[Goal_assist]]="",1,0)</f>
        <v>#REF!</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t="e">
        <f>IF([1]!Table13[[#This Row],[Goal_assist]]="",1,0)</f>
        <v>#REF!</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t="e">
        <f>IF([1]!Table13[[#This Row],[Goal_assist]]="",1,0)</f>
        <v>#REF!</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t="e">
        <f>IF([1]!Table13[[#This Row],[Goal_assist]]="",1,0)</f>
        <v>#REF!</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t="e">
        <f>IF([1]!Table13[[#This Row],[Goal_assist]]="",1,0)</f>
        <v>#REF!</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t="e">
        <f>IF([1]!Table13[[#This Row],[Goal_assist]]="",1,0)</f>
        <v>#REF!</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t="e">
        <f>IF([1]!Table13[[#This Row],[Goal_assist]]="",1,0)</f>
        <v>#REF!</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t="e">
        <f>IF([1]!Table13[[#This Row],[Goal_assist]]="",1,0)</f>
        <v>#REF!</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t="e">
        <f>IF([1]!Table13[[#This Row],[Goal_assist]]="",1,0)</f>
        <v>#REF!</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t="e">
        <f>IF([1]!Table13[[#This Row],[Goal_assist]]="",1,0)</f>
        <v>#REF!</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t="e">
        <f>IF([1]!Table13[[#This Row],[Goal_assist]]="",1,0)</f>
        <v>#REF!</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t="e">
        <f>IF([1]!Table13[[#This Row],[Goal_assist]]="",1,0)</f>
        <v>#REF!</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t="e">
        <f>IF([1]!Table13[[#This Row],[Goal_assist]]="",1,0)</f>
        <v>#REF!</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t="e">
        <f>IF([1]!Table13[[#This Row],[Goal_assist]]="",1,0)</f>
        <v>#REF!</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t="e">
        <f>IF([1]!Table13[[#This Row],[Goal_assist]]="",1,0)</f>
        <v>#REF!</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t="e">
        <f>IF([1]!Table13[[#This Row],[Goal_assist]]="",1,0)</f>
        <v>#REF!</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t="e">
        <f>IF([1]!Table13[[#This Row],[Goal_assist]]="",1,0)</f>
        <v>#REF!</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t="e">
        <f>IF([1]!Table13[[#This Row],[Goal_assist]]="",1,0)</f>
        <v>#REF!</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t="e">
        <f>IF([1]!Table13[[#This Row],[Goal_assist]]="",1,0)</f>
        <v>#REF!</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t="e">
        <f>IF([1]!Table13[[#This Row],[Goal_assist]]="",1,0)</f>
        <v>#REF!</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t="e">
        <f>IF([1]!Table13[[#This Row],[Goal_assist]]="",1,0)</f>
        <v>#REF!</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t="e">
        <f>IF([1]!Table13[[#This Row],[Goal_assist]]="",1,0)</f>
        <v>#REF!</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t="e">
        <f>IF([1]!Table13[[#This Row],[Goal_assist]]="",1,0)</f>
        <v>#REF!</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t="e">
        <f>IF([1]!Table13[[#This Row],[Goal_assist]]="",1,0)</f>
        <v>#REF!</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t="e">
        <f>IF([1]!Table13[[#This Row],[Goal_assist]]="",1,0)</f>
        <v>#REF!</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t="e">
        <f>IF([1]!Table13[[#This Row],[Goal_assist]]="",1,0)</f>
        <v>#REF!</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t="e">
        <f>IF([1]!Table13[[#This Row],[Goal_assist]]="",1,0)</f>
        <v>#REF!</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t="e">
        <f>IF([1]!Table13[[#This Row],[Goal_assist]]="",1,0)</f>
        <v>#REF!</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t="e">
        <f>IF([1]!Table13[[#This Row],[Goal_assist]]="",1,0)</f>
        <v>#REF!</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t="e">
        <f>IF([1]!Table13[[#This Row],[Goal_assist]]="",1,0)</f>
        <v>#REF!</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t="e">
        <f>IF([1]!Table13[[#This Row],[Goal_assist]]="",1,0)</f>
        <v>#REF!</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t="e">
        <f>IF([1]!Table13[[#This Row],[Goal_assist]]="",1,0)</f>
        <v>#REF!</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t="e">
        <f>IF([1]!Table13[[#This Row],[Goal_assist]]="",1,0)</f>
        <v>#REF!</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t="e">
        <f>IF([1]!Table13[[#This Row],[Goal_assist]]="",1,0)</f>
        <v>#REF!</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t="e">
        <f>IF([1]!Table13[[#This Row],[Goal_assist]]="",1,0)</f>
        <v>#REF!</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t="e">
        <f>IF([1]!Table13[[#This Row],[Goal_assist]]="",1,0)</f>
        <v>#REF!</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t="e">
        <f>IF([1]!Table13[[#This Row],[Goal_assist]]="",1,0)</f>
        <v>#REF!</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t="e">
        <f>IF([1]!Table13[[#This Row],[Goal_assist]]="",1,0)</f>
        <v>#REF!</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t="e">
        <f>IF([1]!Table13[[#This Row],[Goal_assist]]="",1,0)</f>
        <v>#REF!</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t="e">
        <f>IF([1]!Table13[[#This Row],[Goal_assist]]="",1,0)</f>
        <v>#REF!</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t="e">
        <f>IF([1]!Table13[[#This Row],[Goal_assist]]="",1,0)</f>
        <v>#REF!</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t="e">
        <f>IF([1]!Table13[[#This Row],[Goal_assist]]="",1,0)</f>
        <v>#REF!</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t="e">
        <f>IF([1]!Table13[[#This Row],[Goal_assist]]="",1,0)</f>
        <v>#REF!</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t="e">
        <f>IF([1]!Table13[[#This Row],[Goal_assist]]="",1,0)</f>
        <v>#REF!</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t="e">
        <f>IF([1]!Table13[[#This Row],[Goal_assist]]="",1,0)</f>
        <v>#REF!</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t="e">
        <f>IF([1]!Table13[[#This Row],[Goal_assist]]="",1,0)</f>
        <v>#REF!</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t="e">
        <f>IF([1]!Table13[[#This Row],[Goal_assist]]="",1,0)</f>
        <v>#REF!</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t="e">
        <f>IF([1]!Table13[[#This Row],[Goal_assist]]="",1,0)</f>
        <v>#REF!</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t="e">
        <f>IF([1]!Table13[[#This Row],[Goal_assist]]="",1,0)</f>
        <v>#REF!</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t="e">
        <f>IF([1]!Table13[[#This Row],[Goal_assist]]="",1,0)</f>
        <v>#REF!</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t="e">
        <f>IF([1]!Table13[[#This Row],[Goal_assist]]="",1,0)</f>
        <v>#REF!</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t="e">
        <f>IF([1]!Table13[[#This Row],[Goal_assist]]="",1,0)</f>
        <v>#REF!</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t="e">
        <f>IF([1]!Table13[[#This Row],[Goal_assist]]="",1,0)</f>
        <v>#REF!</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t="e">
        <f>IF([1]!Table13[[#This Row],[Goal_assist]]="",1,0)</f>
        <v>#REF!</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t="e">
        <f>IF([1]!Table13[[#This Row],[Goal_assist]]="",1,0)</f>
        <v>#REF!</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t="e">
        <f>IF([1]!Table13[[#This Row],[Goal_assist]]="",1,0)</f>
        <v>#REF!</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t="e">
        <f>IF([1]!Table13[[#This Row],[Goal_assist]]="",1,0)</f>
        <v>#REF!</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t="e">
        <f>IF([1]!Table13[[#This Row],[Goal_assist]]="",1,0)</f>
        <v>#REF!</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t="e">
        <f>IF([1]!Table13[[#This Row],[Goal_assist]]="",1,0)</f>
        <v>#REF!</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t="e">
        <f>IF([1]!Table13[[#This Row],[Goal_assist]]="",1,0)</f>
        <v>#REF!</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t="e">
        <f>IF([1]!Table13[[#This Row],[Goal_assist]]="",1,0)</f>
        <v>#REF!</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t="e">
        <f>IF([1]!Table13[[#This Row],[Goal_assist]]="",1,0)</f>
        <v>#REF!</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t="e">
        <f>IF([1]!Table13[[#This Row],[Goal_assist]]="",1,0)</f>
        <v>#REF!</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t="e">
        <f>IF([1]!Table13[[#This Row],[Goal_assist]]="",1,0)</f>
        <v>#REF!</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t="e">
        <f>IF([1]!Table13[[#This Row],[Goal_assist]]="",1,0)</f>
        <v>#REF!</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t="e">
        <f>IF([1]!Table13[[#This Row],[Goal_assist]]="",1,0)</f>
        <v>#REF!</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t="e">
        <f>IF([1]!Table13[[#This Row],[Goal_assist]]="",1,0)</f>
        <v>#REF!</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t="e">
        <f>IF([1]!Table13[[#This Row],[Goal_assist]]="",1,0)</f>
        <v>#REF!</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t="e">
        <f>IF([1]!Table13[[#This Row],[Goal_assist]]="",1,0)</f>
        <v>#REF!</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t="e">
        <f>IF([1]!Table13[[#This Row],[Goal_assist]]="",1,0)</f>
        <v>#REF!</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t="e">
        <f>IF([1]!Table13[[#This Row],[Goal_assist]]="",1,0)</f>
        <v>#REF!</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t="e">
        <f>IF([1]!Table13[[#This Row],[Goal_assist]]="",1,0)</f>
        <v>#REF!</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t="e">
        <f>IF([1]!Table13[[#This Row],[Goal_assist]]="",1,0)</f>
        <v>#REF!</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t="e">
        <f>IF([1]!Table13[[#This Row],[Goal_assist]]="",1,0)</f>
        <v>#REF!</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t="e">
        <f>IF([1]!Table13[[#This Row],[Goal_assist]]="",1,0)</f>
        <v>#REF!</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t="e">
        <f>IF([1]!Table13[[#This Row],[Goal_assist]]="",1,0)</f>
        <v>#REF!</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t="e">
        <f>IF([1]!Table13[[#This Row],[Goal_assist]]="",1,0)</f>
        <v>#REF!</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t="e">
        <f>IF([1]!Table13[[#This Row],[Goal_assist]]="",1,0)</f>
        <v>#REF!</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t="e">
        <f>IF([1]!Table13[[#This Row],[Goal_assist]]="",1,0)</f>
        <v>#REF!</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t="e">
        <f>IF([1]!Table13[[#This Row],[Goal_assist]]="",1,0)</f>
        <v>#REF!</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t="e">
        <f>IF([1]!Table13[[#This Row],[Goal_assist]]="",1,0)</f>
        <v>#REF!</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t="e">
        <f>IF([1]!Table13[[#This Row],[Goal_assist]]="",1,0)</f>
        <v>#REF!</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t="e">
        <f>IF([1]!Table13[[#This Row],[Goal_assist]]="",1,0)</f>
        <v>#REF!</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t="e">
        <f>IF([1]!Table13[[#This Row],[Goal_assist]]="",1,0)</f>
        <v>#REF!</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t="e">
        <f>IF([1]!Table13[[#This Row],[Goal_assist]]="",1,0)</f>
        <v>#REF!</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t="e">
        <f>IF([1]!Table13[[#This Row],[Goal_assist]]="",1,0)</f>
        <v>#REF!</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t="e">
        <f>IF([1]!Table13[[#This Row],[Goal_assist]]="",1,0)</f>
        <v>#REF!</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t="e">
        <f>IF([1]!Table13[[#This Row],[Goal_assist]]="",1,0)</f>
        <v>#REF!</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t="e">
        <f>IF([1]!Table13[[#This Row],[Goal_assist]]="",1,0)</f>
        <v>#REF!</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t="e">
        <f>IF([1]!Table13[[#This Row],[Goal_assist]]="",1,0)</f>
        <v>#REF!</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t="e">
        <f>IF([1]!Table13[[#This Row],[Goal_assist]]="",1,0)</f>
        <v>#REF!</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t="e">
        <f>IF([1]!Table13[[#This Row],[Goal_assist]]="",1,0)</f>
        <v>#REF!</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t="e">
        <f>IF([1]!Table13[[#This Row],[Goal_assist]]="",1,0)</f>
        <v>#REF!</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t="e">
        <f>IF([1]!Table13[[#This Row],[Goal_assist]]="",1,0)</f>
        <v>#REF!</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t="e">
        <f>IF([1]!Table13[[#This Row],[Goal_assist]]="",1,0)</f>
        <v>#REF!</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t="e">
        <f>IF([1]!Table13[[#This Row],[Goal_assist]]="",1,0)</f>
        <v>#REF!</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t="e">
        <f>IF([1]!Table13[[#This Row],[Goal_assist]]="",1,0)</f>
        <v>#REF!</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t="e">
        <f>IF([1]!Table13[[#This Row],[Goal_assist]]="",1,0)</f>
        <v>#REF!</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t="e">
        <f>IF([1]!Table13[[#This Row],[Goal_assist]]="",1,0)</f>
        <v>#REF!</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t="e">
        <f>IF([1]!Table13[[#This Row],[Goal_assist]]="",1,0)</f>
        <v>#REF!</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t="e">
        <f>IF([1]!Table13[[#This Row],[Goal_assist]]="",1,0)</f>
        <v>#REF!</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t="e">
        <f>IF([1]!Table13[[#This Row],[Goal_assist]]="",1,0)</f>
        <v>#REF!</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t="e">
        <f>IF([1]!Table13[[#This Row],[Goal_assist]]="",1,0)</f>
        <v>#REF!</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t="e">
        <f>IF([1]!Table13[[#This Row],[Goal_assist]]="",1,0)</f>
        <v>#REF!</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t="e">
        <f>IF([1]!Table13[[#This Row],[Goal_assist]]="",1,0)</f>
        <v>#REF!</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t="e">
        <f>IF([1]!Table13[[#This Row],[Goal_assist]]="",1,0)</f>
        <v>#REF!</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t="e">
        <f>IF([1]!Table13[[#This Row],[Goal_assist]]="",1,0)</f>
        <v>#REF!</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t="e">
        <f>IF([1]!Table13[[#This Row],[Goal_assist]]="",1,0)</f>
        <v>#REF!</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t="e">
        <f>IF([1]!Table13[[#This Row],[Goal_assist]]="",1,0)</f>
        <v>#REF!</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t="e">
        <f>IF([1]!Table13[[#This Row],[Goal_assist]]="",1,0)</f>
        <v>#REF!</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t="e">
        <f>IF([1]!Table13[[#This Row],[Goal_assist]]="",1,0)</f>
        <v>#REF!</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t="e">
        <f>IF([1]!Table13[[#This Row],[Goal_assist]]="",1,0)</f>
        <v>#REF!</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t="e">
        <f>IF([1]!Table13[[#This Row],[Goal_assist]]="",1,0)</f>
        <v>#REF!</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t="e">
        <f>IF([1]!Table13[[#This Row],[Goal_assist]]="",1,0)</f>
        <v>#REF!</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t="e">
        <f>IF([1]!Table13[[#This Row],[Goal_assist]]="",1,0)</f>
        <v>#REF!</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t="e">
        <f>IF([1]!Table13[[#This Row],[Goal_assist]]="",1,0)</f>
        <v>#REF!</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t="e">
        <f>IF([1]!Table13[[#This Row],[Goal_assist]]="",1,0)</f>
        <v>#REF!</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t="e">
        <f>IF([1]!Table13[[#This Row],[Goal_assist]]="",1,0)</f>
        <v>#REF!</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t="e">
        <f>IF([1]!Table13[[#This Row],[Goal_assist]]="",1,0)</f>
        <v>#REF!</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t="e">
        <f>IF([1]!Table13[[#This Row],[Goal_assist]]="",1,0)</f>
        <v>#REF!</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t="e">
        <f>IF([1]!Table13[[#This Row],[Goal_assist]]="",1,0)</f>
        <v>#REF!</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t="e">
        <f>IF([1]!Table13[[#This Row],[Goal_assist]]="",1,0)</f>
        <v>#REF!</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t="e">
        <f>IF([1]!Table13[[#This Row],[Goal_assist]]="",1,0)</f>
        <v>#REF!</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t="e">
        <f>IF([1]!Table13[[#This Row],[Goal_assist]]="",1,0)</f>
        <v>#REF!</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t="e">
        <f>IF([1]!Table13[[#This Row],[Goal_assist]]="",1,0)</f>
        <v>#REF!</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t="e">
        <f>IF([1]!Table13[[#This Row],[Goal_assist]]="",1,0)</f>
        <v>#REF!</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t="e">
        <f>IF([1]!Table13[[#This Row],[Goal_assist]]="",1,0)</f>
        <v>#REF!</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t="e">
        <f>IF([1]!Table13[[#This Row],[Goal_assist]]="",1,0)</f>
        <v>#REF!</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t="e">
        <f>IF([1]!Table13[[#This Row],[Goal_assist]]="",1,0)</f>
        <v>#REF!</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t="e">
        <f>IF([1]!Table13[[#This Row],[Goal_assist]]="",1,0)</f>
        <v>#REF!</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t="e">
        <f>IF([1]!Table13[[#This Row],[Goal_assist]]="",1,0)</f>
        <v>#REF!</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t="e">
        <f>IF([1]!Table13[[#This Row],[Goal_assist]]="",1,0)</f>
        <v>#REF!</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t="e">
        <f>IF([1]!Table13[[#This Row],[Goal_assist]]="",1,0)</f>
        <v>#REF!</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t="e">
        <f>IF([1]!Table13[[#This Row],[Goal_assist]]="",1,0)</f>
        <v>#REF!</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t="e">
        <f>IF([1]!Table13[[#This Row],[Goal_assist]]="",1,0)</f>
        <v>#REF!</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t="e">
        <f>IF([1]!Table13[[#This Row],[Goal_assist]]="",1,0)</f>
        <v>#REF!</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t="e">
        <f>IF([1]!Table13[[#This Row],[Goal_assist]]="",1,0)</f>
        <v>#REF!</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t="e">
        <f>IF([1]!Table13[[#This Row],[Goal_assist]]="",1,0)</f>
        <v>#REF!</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t="e">
        <f>IF([1]!Table13[[#This Row],[Goal_assist]]="",1,0)</f>
        <v>#REF!</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t="e">
        <f>IF([1]!Table13[[#This Row],[Goal_assist]]="",1,0)</f>
        <v>#REF!</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t="e">
        <f>IF([1]!Table13[[#This Row],[Goal_assist]]="",1,0)</f>
        <v>#REF!</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t="e">
        <f>IF([1]!Table13[[#This Row],[Goal_assist]]="",1,0)</f>
        <v>#REF!</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t="e">
        <f>IF([1]!Table13[[#This Row],[Goal_assist]]="",1,0)</f>
        <v>#REF!</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t="e">
        <f>IF([1]!Table13[[#This Row],[Goal_assist]]="",1,0)</f>
        <v>#REF!</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t="e">
        <f>IF([1]!Table13[[#This Row],[Goal_assist]]="",1,0)</f>
        <v>#REF!</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t="e">
        <f>IF([1]!Table13[[#This Row],[Goal_assist]]="",1,0)</f>
        <v>#REF!</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t="e">
        <f>IF([1]!Table13[[#This Row],[Goal_assist]]="",1,0)</f>
        <v>#REF!</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t="e">
        <f>IF([1]!Table13[[#This Row],[Goal_assist]]="",1,0)</f>
        <v>#REF!</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t="e">
        <f>IF([1]!Table13[[#This Row],[Goal_assist]]="",1,0)</f>
        <v>#REF!</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t="e">
        <f>IF([1]!Table13[[#This Row],[Goal_assist]]="",1,0)</f>
        <v>#REF!</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t="e">
        <f>IF([1]!Table13[[#This Row],[Goal_assist]]="",1,0)</f>
        <v>#REF!</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t="e">
        <f>IF([1]!Table13[[#This Row],[Goal_assist]]="",1,0)</f>
        <v>#REF!</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t="e">
        <f>IF([1]!Table13[[#This Row],[Goal_assist]]="",1,0)</f>
        <v>#REF!</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t="e">
        <f>IF([1]!Table13[[#This Row],[Goal_assist]]="",1,0)</f>
        <v>#REF!</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t="e">
        <f>IF([1]!Table13[[#This Row],[Goal_assist]]="",1,0)</f>
        <v>#REF!</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t="e">
        <f>IF([1]!Table13[[#This Row],[Goal_assist]]="",1,0)</f>
        <v>#REF!</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t="e">
        <f>IF([1]!Table13[[#This Row],[Goal_assist]]="",1,0)</f>
        <v>#REF!</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t="e">
        <f>IF([1]!Table13[[#This Row],[Goal_assist]]="",1,0)</f>
        <v>#REF!</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t="e">
        <f>IF([1]!Table13[[#This Row],[Goal_assist]]="",1,0)</f>
        <v>#REF!</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t="e">
        <f>IF([1]!Table13[[#This Row],[Goal_assist]]="",1,0)</f>
        <v>#REF!</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t="e">
        <f>IF([1]!Table13[[#This Row],[Goal_assist]]="",1,0)</f>
        <v>#REF!</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t="e">
        <f>IF([1]!Table13[[#This Row],[Goal_assist]]="",1,0)</f>
        <v>#REF!</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t="e">
        <f>IF([1]!Table13[[#This Row],[Goal_assist]]="",1,0)</f>
        <v>#REF!</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t="e">
        <f>IF([1]!Table13[[#This Row],[Goal_assist]]="",1,0)</f>
        <v>#REF!</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t="e">
        <f>IF([1]!Table13[[#This Row],[Goal_assist]]="",1,0)</f>
        <v>#REF!</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t="e">
        <f>IF([1]!Table13[[#This Row],[Goal_assist]]="",1,0)</f>
        <v>#REF!</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t="e">
        <f>IF([1]!Table13[[#This Row],[Goal_assist]]="",1,0)</f>
        <v>#REF!</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t="e">
        <f>IF([1]!Table13[[#This Row],[Goal_assist]]="",1,0)</f>
        <v>#REF!</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t="e">
        <f>IF([1]!Table13[[#This Row],[Goal_assist]]="",1,0)</f>
        <v>#REF!</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t="e">
        <f>IF([1]!Table13[[#This Row],[Goal_assist]]="",1,0)</f>
        <v>#REF!</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t="e">
        <f>IF([1]!Table13[[#This Row],[Goal_assist]]="",1,0)</f>
        <v>#REF!</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t="e">
        <f>IF([1]!Table13[[#This Row],[Goal_assist]]="",1,0)</f>
        <v>#REF!</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t="e">
        <f>IF([1]!Table13[[#This Row],[Goal_assist]]="",1,0)</f>
        <v>#REF!</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t="e">
        <f>IF([1]!Table13[[#This Row],[Goal_assist]]="",1,0)</f>
        <v>#REF!</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t="e">
        <f>IF([1]!Table13[[#This Row],[Goal_assist]]="",1,0)</f>
        <v>#REF!</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t="e">
        <f>IF([1]!Table13[[#This Row],[Goal_assist]]="",1,0)</f>
        <v>#REF!</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t="e">
        <f>IF([1]!Table13[[#This Row],[Goal_assist]]="",1,0)</f>
        <v>#REF!</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t="e">
        <f>IF([1]!Table13[[#This Row],[Goal_assist]]="",1,0)</f>
        <v>#REF!</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t="e">
        <f>IF([1]!Table13[[#This Row],[Goal_assist]]="",1,0)</f>
        <v>#REF!</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t="e">
        <f>IF([1]!Table13[[#This Row],[Goal_assist]]="",1,0)</f>
        <v>#REF!</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t="e">
        <f>IF([1]!Table13[[#This Row],[Goal_assist]]="",1,0)</f>
        <v>#REF!</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t="e">
        <f>IF([1]!Table13[[#This Row],[Goal_assist]]="",1,0)</f>
        <v>#REF!</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t="e">
        <f>IF([1]!Table13[[#This Row],[Goal_assist]]="",1,0)</f>
        <v>#REF!</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t="e">
        <f>IF([1]!Table13[[#This Row],[Goal_assist]]="",1,0)</f>
        <v>#REF!</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t="e">
        <f>IF([1]!Table13[[#This Row],[Goal_assist]]="",1,0)</f>
        <v>#REF!</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t="e">
        <f>IF([1]!Table13[[#This Row],[Goal_assist]]="",1,0)</f>
        <v>#REF!</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t="e">
        <f>IF([1]!Table13[[#This Row],[Goal_assist]]="",1,0)</f>
        <v>#REF!</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t="e">
        <f>IF([1]!Table13[[#This Row],[Goal_assist]]="",1,0)</f>
        <v>#REF!</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t="e">
        <f>IF([1]!Table13[[#This Row],[Goal_assist]]="",1,0)</f>
        <v>#REF!</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t="e">
        <f>IF([1]!Table13[[#This Row],[Goal_assist]]="",1,0)</f>
        <v>#REF!</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t="e">
        <f>IF([1]!Table13[[#This Row],[Goal_assist]]="",1,0)</f>
        <v>#REF!</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t="e">
        <f>IF([1]!Table13[[#This Row],[Goal_assist]]="",1,0)</f>
        <v>#REF!</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t="e">
        <f>IF([1]!Table13[[#This Row],[Goal_assist]]="",1,0)</f>
        <v>#REF!</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t="e">
        <f>IF([1]!Table13[[#This Row],[Goal_assist]]="",1,0)</f>
        <v>#REF!</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t="e">
        <f>IF([1]!Table13[[#This Row],[Goal_assist]]="",1,0)</f>
        <v>#REF!</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t="e">
        <f>IF([1]!Table13[[#This Row],[Goal_assist]]="",1,0)</f>
        <v>#REF!</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t="e">
        <f>IF([1]!Table13[[#This Row],[Goal_assist]]="",1,0)</f>
        <v>#REF!</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t="e">
        <f>IF([1]!Table13[[#This Row],[Goal_assist]]="",1,0)</f>
        <v>#REF!</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t="e">
        <f>IF([1]!Table13[[#This Row],[Goal_assist]]="",1,0)</f>
        <v>#REF!</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t="e">
        <f>IF([1]!Table13[[#This Row],[Goal_assist]]="",1,0)</f>
        <v>#REF!</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t="e">
        <f>IF([1]!Table13[[#This Row],[Goal_assist]]="",1,0)</f>
        <v>#REF!</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t="e">
        <f>IF([1]!Table13[[#This Row],[Goal_assist]]="",1,0)</f>
        <v>#REF!</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t="e">
        <f>IF([1]!Table13[[#This Row],[Goal_assist]]="",1,0)</f>
        <v>#REF!</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t="e">
        <f>IF([1]!Table13[[#This Row],[Goal_assist]]="",1,0)</f>
        <v>#REF!</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t="e">
        <f>IF([1]!Table13[[#This Row],[Goal_assist]]="",1,0)</f>
        <v>#REF!</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t="e">
        <f>IF([1]!Table13[[#This Row],[Goal_assist]]="",1,0)</f>
        <v>#REF!</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t="e">
        <f>IF([1]!Table13[[#This Row],[Goal_assist]]="",1,0)</f>
        <v>#REF!</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t="e">
        <f>IF([1]!Table13[[#This Row],[Goal_assist]]="",1,0)</f>
        <v>#REF!</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t="e">
        <f>IF([1]!Table13[[#This Row],[Goal_assist]]="",1,0)</f>
        <v>#REF!</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t="e">
        <f>IF([1]!Table13[[#This Row],[Goal_assist]]="",1,0)</f>
        <v>#REF!</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t="e">
        <f>IF([1]!Table13[[#This Row],[Goal_assist]]="",1,0)</f>
        <v>#REF!</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t="e">
        <f>IF([1]!Table13[[#This Row],[Goal_assist]]="",1,0)</f>
        <v>#REF!</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t="e">
        <f>IF([1]!Table13[[#This Row],[Goal_assist]]="",1,0)</f>
        <v>#REF!</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t="e">
        <f>IF([1]!Table13[[#This Row],[Goal_assist]]="",1,0)</f>
        <v>#REF!</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t="e">
        <f>IF([1]!Table13[[#This Row],[Goal_assist]]="",1,0)</f>
        <v>#REF!</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t="e">
        <f>IF([1]!Table13[[#This Row],[Goal_assist]]="",1,0)</f>
        <v>#REF!</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t="e">
        <f>IF([1]!Table13[[#This Row],[Goal_assist]]="",1,0)</f>
        <v>#REF!</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t="e">
        <f>IF([1]!Table13[[#This Row],[Goal_assist]]="",1,0)</f>
        <v>#REF!</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t="e">
        <f>IF([1]!Table13[[#This Row],[Goal_assist]]="",1,0)</f>
        <v>#REF!</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t="e">
        <f>IF([1]!Table13[[#This Row],[Goal_assist]]="",1,0)</f>
        <v>#REF!</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t="e">
        <f>IF([1]!Table13[[#This Row],[Goal_assist]]="",1,0)</f>
        <v>#REF!</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t="e">
        <f>IF([1]!Table13[[#This Row],[Goal_assist]]="",1,0)</f>
        <v>#REF!</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t="e">
        <f>IF([1]!Table13[[#This Row],[Goal_assist]]="",1,0)</f>
        <v>#REF!</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t="e">
        <f>IF([1]!Table13[[#This Row],[Goal_assist]]="",1,0)</f>
        <v>#REF!</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t="e">
        <f>IF([1]!Table13[[#This Row],[Goal_assist]]="",1,0)</f>
        <v>#REF!</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t="e">
        <f>IF([1]!Table13[[#This Row],[Goal_assist]]="",1,0)</f>
        <v>#REF!</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t="e">
        <f>IF([1]!Table13[[#This Row],[Goal_assist]]="",1,0)</f>
        <v>#REF!</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t="e">
        <f>IF([1]!Table13[[#This Row],[Goal_assist]]="",1,0)</f>
        <v>#REF!</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t="e">
        <f>IF([1]!Table13[[#This Row],[Goal_assist]]="",1,0)</f>
        <v>#REF!</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t="e">
        <f>IF([1]!Table13[[#This Row],[Goal_assist]]="",1,0)</f>
        <v>#REF!</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t="e">
        <f>IF([1]!Table13[[#This Row],[Goal_assist]]="",1,0)</f>
        <v>#REF!</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t="e">
        <f>IF([1]!Table13[[#This Row],[Goal_assist]]="",1,0)</f>
        <v>#REF!</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t="e">
        <f>IF([1]!Table13[[#This Row],[Goal_assist]]="",1,0)</f>
        <v>#REF!</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t="e">
        <f>IF([1]!Table13[[#This Row],[Goal_assist]]="",1,0)</f>
        <v>#REF!</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t="e">
        <f>IF([1]!Table13[[#This Row],[Goal_assist]]="",1,0)</f>
        <v>#REF!</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t="e">
        <f>IF([1]!Table13[[#This Row],[Goal_assist]]="",1,0)</f>
        <v>#REF!</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t="e">
        <f>IF([1]!Table13[[#This Row],[Goal_assist]]="",1,0)</f>
        <v>#REF!</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t="e">
        <f>IF([1]!Table13[[#This Row],[Goal_assist]]="",1,0)</f>
        <v>#REF!</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t="e">
        <f>IF([1]!Table13[[#This Row],[Goal_assist]]="",1,0)</f>
        <v>#REF!</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t="e">
        <f>IF([1]!Table13[[#This Row],[Goal_assist]]="",1,0)</f>
        <v>#REF!</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t="e">
        <f>IF([1]!Table13[[#This Row],[Goal_assist]]="",1,0)</f>
        <v>#REF!</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t="e">
        <f>IF([1]!Table13[[#This Row],[Goal_assist]]="",1,0)</f>
        <v>#REF!</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t="e">
        <f>IF([1]!Table13[[#This Row],[Goal_assist]]="",1,0)</f>
        <v>#REF!</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t="e">
        <f>IF([1]!Table13[[#This Row],[Goal_assist]]="",1,0)</f>
        <v>#REF!</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t="e">
        <f>IF([1]!Table13[[#This Row],[Goal_assist]]="",1,0)</f>
        <v>#REF!</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t="e">
        <f>IF([1]!Table13[[#This Row],[Goal_assist]]="",1,0)</f>
        <v>#REF!</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t="e">
        <f>IF([1]!Table13[[#This Row],[Goal_assist]]="",1,0)</f>
        <v>#REF!</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t="e">
        <f>IF([1]!Table13[[#This Row],[Goal_assist]]="",1,0)</f>
        <v>#REF!</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t="e">
        <f>IF([1]!Table13[[#This Row],[Goal_assist]]="",1,0)</f>
        <v>#REF!</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t="e">
        <f>IF([1]!Table13[[#This Row],[Goal_assist]]="",1,0)</f>
        <v>#REF!</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t="e">
        <f>IF([1]!Table13[[#This Row],[Goal_assist]]="",1,0)</f>
        <v>#REF!</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t="e">
        <f>IF([1]!Table13[[#This Row],[Goal_assist]]="",1,0)</f>
        <v>#REF!</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t="e">
        <f>IF([1]!Table13[[#This Row],[Goal_assist]]="",1,0)</f>
        <v>#REF!</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t="e">
        <f>IF([1]!Table13[[#This Row],[Goal_assist]]="",1,0)</f>
        <v>#REF!</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t="e">
        <f>IF([1]!Table13[[#This Row],[Goal_assist]]="",1,0)</f>
        <v>#REF!</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t="e">
        <f>IF([1]!Table13[[#This Row],[Goal_assist]]="",1,0)</f>
        <v>#REF!</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t="e">
        <f>IF([1]!Table13[[#This Row],[Goal_assist]]="",1,0)</f>
        <v>#REF!</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t="e">
        <f>IF([1]!Table13[[#This Row],[Goal_assist]]="",1,0)</f>
        <v>#REF!</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t="e">
        <f>IF([1]!Table13[[#This Row],[Goal_assist]]="",1,0)</f>
        <v>#REF!</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t="e">
        <f>IF([1]!Table13[[#This Row],[Goal_assist]]="",1,0)</f>
        <v>#REF!</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t="e">
        <f>IF([1]!Table13[[#This Row],[Goal_assist]]="",1,0)</f>
        <v>#REF!</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t="e">
        <f>IF([1]!Table13[[#This Row],[Goal_assist]]="",1,0)</f>
        <v>#REF!</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t="e">
        <f>IF([1]!Table13[[#This Row],[Goal_assist]]="",1,0)</f>
        <v>#REF!</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t="e">
        <f>IF([1]!Table13[[#This Row],[Goal_assist]]="",1,0)</f>
        <v>#REF!</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t="e">
        <f>IF([1]!Table13[[#This Row],[Goal_assist]]="",1,0)</f>
        <v>#REF!</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t="e">
        <f>IF([1]!Table13[[#This Row],[Goal_assist]]="",1,0)</f>
        <v>#REF!</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t="e">
        <f>IF([1]!Table13[[#This Row],[Goal_assist]]="",1,0)</f>
        <v>#REF!</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t="e">
        <f>IF([1]!Table13[[#This Row],[Goal_assist]]="",1,0)</f>
        <v>#REF!</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t="e">
        <f>IF([1]!Table13[[#This Row],[Goal_assist]]="",1,0)</f>
        <v>#REF!</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t="e">
        <f>IF([1]!Table13[[#This Row],[Goal_assist]]="",1,0)</f>
        <v>#REF!</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t="e">
        <f>IF([1]!Table13[[#This Row],[Goal_assist]]="",1,0)</f>
        <v>#REF!</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t="e">
        <f>IF([1]!Table13[[#This Row],[Goal_assist]]="",1,0)</f>
        <v>#REF!</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t="e">
        <f>IF([1]!Table13[[#This Row],[Goal_assist]]="",1,0)</f>
        <v>#REF!</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t="e">
        <f>IF([1]!Table13[[#This Row],[Goal_assist]]="",1,0)</f>
        <v>#REF!</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t="e">
        <f>IF([1]!Table13[[#This Row],[Goal_assist]]="",1,0)</f>
        <v>#REF!</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t="e">
        <f>IF([1]!Table13[[#This Row],[Goal_assist]]="",1,0)</f>
        <v>#REF!</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t="e">
        <f>IF([1]!Table13[[#This Row],[Goal_assist]]="",1,0)</f>
        <v>#REF!</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t="e">
        <f>IF([1]!Table13[[#This Row],[Goal_assist]]="",1,0)</f>
        <v>#REF!</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t="e">
        <f>IF([1]!Table13[[#This Row],[Goal_assist]]="",1,0)</f>
        <v>#REF!</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t="e">
        <f>IF([1]!Table13[[#This Row],[Goal_assist]]="",1,0)</f>
        <v>#REF!</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t="e">
        <f>IF([1]!Table13[[#This Row],[Goal_assist]]="",1,0)</f>
        <v>#REF!</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t="e">
        <f>IF([1]!Table13[[#This Row],[Goal_assist]]="",1,0)</f>
        <v>#REF!</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t="e">
        <f>IF([1]!Table13[[#This Row],[Goal_assist]]="",1,0)</f>
        <v>#REF!</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t="e">
        <f>IF([1]!Table13[[#This Row],[Goal_assist]]="",1,0)</f>
        <v>#REF!</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t="e">
        <f>IF([1]!Table13[[#This Row],[Goal_assist]]="",1,0)</f>
        <v>#REF!</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t="e">
        <f>IF([1]!Table13[[#This Row],[Goal_assist]]="",1,0)</f>
        <v>#REF!</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t="e">
        <f>IF([1]!Table13[[#This Row],[Goal_assist]]="",1,0)</f>
        <v>#REF!</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t="e">
        <f>IF([1]!Table13[[#This Row],[Goal_assist]]="",1,0)</f>
        <v>#REF!</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t="e">
        <f>IF([1]!Table13[[#This Row],[Goal_assist]]="",1,0)</f>
        <v>#REF!</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t="e">
        <f>IF([1]!Table13[[#This Row],[Goal_assist]]="",1,0)</f>
        <v>#REF!</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t="e">
        <f>IF([1]!Table13[[#This Row],[Goal_assist]]="",1,0)</f>
        <v>#REF!</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t="e">
        <f>IF([1]!Table13[[#This Row],[Goal_assist]]="",1,0)</f>
        <v>#REF!</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t="e">
        <f>IF([1]!Table13[[#This Row],[Goal_assist]]="",1,0)</f>
        <v>#REF!</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t="e">
        <f>IF([1]!Table13[[#This Row],[Goal_assist]]="",1,0)</f>
        <v>#REF!</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t="e">
        <f>IF([1]!Table13[[#This Row],[Goal_assist]]="",1,0)</f>
        <v>#REF!</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t="e">
        <f>IF([1]!Table13[[#This Row],[Goal_assist]]="",1,0)</f>
        <v>#REF!</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t="e">
        <f>IF([1]!Table13[[#This Row],[Goal_assist]]="",1,0)</f>
        <v>#REF!</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t="e">
        <f>IF([1]!Table13[[#This Row],[Goal_assist]]="",1,0)</f>
        <v>#REF!</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t="e">
        <f>IF([1]!Table13[[#This Row],[Goal_assist]]="",1,0)</f>
        <v>#REF!</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t="e">
        <f>IF([1]!Table13[[#This Row],[Goal_assist]]="",1,0)</f>
        <v>#REF!</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t="e">
        <f>IF([1]!Table13[[#This Row],[Goal_assist]]="",1,0)</f>
        <v>#REF!</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t="e">
        <f>IF([1]!Table13[[#This Row],[Goal_assist]]="",1,0)</f>
        <v>#REF!</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t="e">
        <f>IF([1]!Table13[[#This Row],[Goal_assist]]="",1,0)</f>
        <v>#REF!</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t="e">
        <f>IF([1]!Table13[[#This Row],[Goal_assist]]="",1,0)</f>
        <v>#REF!</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t="e">
        <f>IF([1]!Table13[[#This Row],[Goal_assist]]="",1,0)</f>
        <v>#REF!</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t="e">
        <f>IF([1]!Table13[[#This Row],[Goal_assist]]="",1,0)</f>
        <v>#REF!</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t="e">
        <f>IF([1]!Table13[[#This Row],[Goal_assist]]="",1,0)</f>
        <v>#REF!</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t="e">
        <f>IF([1]!Table13[[#This Row],[Goal_assist]]="",1,0)</f>
        <v>#REF!</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t="e">
        <f>IF([1]!Table13[[#This Row],[Goal_assist]]="",1,0)</f>
        <v>#REF!</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t="e">
        <f>IF([1]!Table13[[#This Row],[Goal_assist]]="",1,0)</f>
        <v>#REF!</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t="e">
        <f>IF([1]!Table13[[#This Row],[Goal_assist]]="",1,0)</f>
        <v>#REF!</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t="e">
        <f>IF([1]!Table13[[#This Row],[Goal_assist]]="",1,0)</f>
        <v>#REF!</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t="e">
        <f>IF([1]!Table13[[#This Row],[Goal_assist]]="",1,0)</f>
        <v>#REF!</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t="e">
        <f>IF([1]!Table13[[#This Row],[Goal_assist]]="",1,0)</f>
        <v>#REF!</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t="e">
        <f>IF([1]!Table13[[#This Row],[Goal_assist]]="",1,0)</f>
        <v>#REF!</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t="e">
        <f>IF([1]!Table13[[#This Row],[Goal_assist]]="",1,0)</f>
        <v>#REF!</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t="e">
        <f>IF([1]!Table13[[#This Row],[Goal_assist]]="",1,0)</f>
        <v>#REF!</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t="e">
        <f>IF([1]!Table13[[#This Row],[Goal_assist]]="",1,0)</f>
        <v>#REF!</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t="e">
        <f>IF([1]!Table13[[#This Row],[Goal_assist]]="",1,0)</f>
        <v>#REF!</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t="e">
        <f>IF([1]!Table13[[#This Row],[Goal_assist]]="",1,0)</f>
        <v>#REF!</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t="e">
        <f>IF([1]!Table13[[#This Row],[Goal_assist]]="",1,0)</f>
        <v>#REF!</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t="e">
        <f>IF([1]!Table13[[#This Row],[Goal_assist]]="",1,0)</f>
        <v>#REF!</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t="e">
        <f>IF([1]!Table13[[#This Row],[Goal_assist]]="",1,0)</f>
        <v>#REF!</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t="e">
        <f>IF([1]!Table13[[#This Row],[Goal_assist]]="",1,0)</f>
        <v>#REF!</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t="e">
        <f>IF([1]!Table13[[#This Row],[Goal_assist]]="",1,0)</f>
        <v>#REF!</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t="e">
        <f>IF([1]!Table13[[#This Row],[Goal_assist]]="",1,0)</f>
        <v>#REF!</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t="e">
        <f>IF([1]!Table13[[#This Row],[Goal_assist]]="",1,0)</f>
        <v>#REF!</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t="e">
        <f>IF([1]!Table13[[#This Row],[Goal_assist]]="",1,0)</f>
        <v>#REF!</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t="e">
        <f>IF([1]!Table13[[#This Row],[Goal_assist]]="",1,0)</f>
        <v>#REF!</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t="e">
        <f>IF([1]!Table13[[#This Row],[Goal_assist]]="",1,0)</f>
        <v>#REF!</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t="e">
        <f>IF([1]!Table13[[#This Row],[Goal_assist]]="",1,0)</f>
        <v>#REF!</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t="e">
        <f>IF([1]!Table13[[#This Row],[Goal_assist]]="",1,0)</f>
        <v>#REF!</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t="e">
        <f>IF([1]!Table13[[#This Row],[Goal_assist]]="",1,0)</f>
        <v>#REF!</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t="e">
        <f>IF([1]!Table13[[#This Row],[Goal_assist]]="",1,0)</f>
        <v>#REF!</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t="e">
        <f>IF([1]!Table13[[#This Row],[Goal_assist]]="",1,0)</f>
        <v>#REF!</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t="e">
        <f>IF([1]!Table13[[#This Row],[Goal_assist]]="",1,0)</f>
        <v>#REF!</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t="e">
        <f>IF([1]!Table13[[#This Row],[Goal_assist]]="",1,0)</f>
        <v>#REF!</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t="e">
        <f>IF([1]!Table13[[#This Row],[Goal_assist]]="",1,0)</f>
        <v>#REF!</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t="e">
        <f>IF([1]!Table13[[#This Row],[Goal_assist]]="",1,0)</f>
        <v>#REF!</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t="e">
        <f>IF([1]!Table13[[#This Row],[Goal_assist]]="",1,0)</f>
        <v>#REF!</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t="e">
        <f>IF([1]!Table13[[#This Row],[Goal_assist]]="",1,0)</f>
        <v>#REF!</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t="e">
        <f>IF([1]!Table13[[#This Row],[Goal_assist]]="",1,0)</f>
        <v>#REF!</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t="e">
        <f>IF([1]!Table13[[#This Row],[Goal_assist]]="",1,0)</f>
        <v>#REF!</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t="e">
        <f>IF([1]!Table13[[#This Row],[Goal_assist]]="",1,0)</f>
        <v>#REF!</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t="e">
        <f>IF([1]!Table13[[#This Row],[Goal_assist]]="",1,0)</f>
        <v>#REF!</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t="e">
        <f>IF([1]!Table13[[#This Row],[Goal_assist]]="",1,0)</f>
        <v>#REF!</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t="e">
        <f>IF([1]!Table13[[#This Row],[Goal_assist]]="",1,0)</f>
        <v>#REF!</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t="e">
        <f>IF([1]!Table13[[#This Row],[Goal_assist]]="",1,0)</f>
        <v>#REF!</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t="e">
        <f>IF([1]!Table13[[#This Row],[Goal_assist]]="",1,0)</f>
        <v>#REF!</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t="e">
        <f>IF([1]!Table13[[#This Row],[Goal_assist]]="",1,0)</f>
        <v>#REF!</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t="e">
        <f>IF([1]!Table13[[#This Row],[Goal_assist]]="",1,0)</f>
        <v>#REF!</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t="e">
        <f>IF([1]!Table13[[#This Row],[Goal_assist]]="",1,0)</f>
        <v>#REF!</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t="e">
        <f>IF([1]!Table13[[#This Row],[Goal_assist]]="",1,0)</f>
        <v>#REF!</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t="e">
        <f>IF([1]!Table13[[#This Row],[Goal_assist]]="",1,0)</f>
        <v>#REF!</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t="e">
        <f>IF([1]!Table13[[#This Row],[Goal_assist]]="",1,0)</f>
        <v>#REF!</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t="e">
        <f>IF([1]!Table13[[#This Row],[Goal_assist]]="",1,0)</f>
        <v>#REF!</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t="e">
        <f>IF([1]!Table13[[#This Row],[Goal_assist]]="",1,0)</f>
        <v>#REF!</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t="e">
        <f>IF([1]!Table13[[#This Row],[Goal_assist]]="",1,0)</f>
        <v>#REF!</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t="e">
        <f>IF([1]!Table13[[#This Row],[Goal_assist]]="",1,0)</f>
        <v>#REF!</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t="e">
        <f>IF([1]!Table13[[#This Row],[Goal_assist]]="",1,0)</f>
        <v>#REF!</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t="e">
        <f>IF([1]!Table13[[#This Row],[Goal_assist]]="",1,0)</f>
        <v>#REF!</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t="e">
        <f>IF([1]!Table13[[#This Row],[Goal_assist]]="",1,0)</f>
        <v>#REF!</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t="e">
        <f>IF([1]!Table13[[#This Row],[Goal_assist]]="",1,0)</f>
        <v>#REF!</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t="e">
        <f>IF([1]!Table13[[#This Row],[Goal_assist]]="",1,0)</f>
        <v>#REF!</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t="e">
        <f>IF([1]!Table13[[#This Row],[Goal_assist]]="",1,0)</f>
        <v>#REF!</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t="e">
        <f>IF([1]!Table13[[#This Row],[Goal_assist]]="",1,0)</f>
        <v>#REF!</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t="e">
        <f>IF([1]!Table13[[#This Row],[Goal_assist]]="",1,0)</f>
        <v>#REF!</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t="e">
        <f>IF([1]!Table13[[#This Row],[Goal_assist]]="",1,0)</f>
        <v>#REF!</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t="e">
        <f>IF([1]!Table13[[#This Row],[Goal_assist]]="",1,0)</f>
        <v>#REF!</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t="e">
        <f>IF([1]!Table13[[#This Row],[Goal_assist]]="",1,0)</f>
        <v>#REF!</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t="e">
        <f>IF([1]!Table13[[#This Row],[Goal_assist]]="",1,0)</f>
        <v>#REF!</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t="e">
        <f>IF([1]!Table13[[#This Row],[Goal_assist]]="",1,0)</f>
        <v>#REF!</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t="e">
        <f>IF([1]!Table13[[#This Row],[Goal_assist]]="",1,0)</f>
        <v>#REF!</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t="e">
        <f>IF([1]!Table13[[#This Row],[Goal_assist]]="",1,0)</f>
        <v>#REF!</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t="e">
        <f>IF([1]!Table13[[#This Row],[Goal_assist]]="",1,0)</f>
        <v>#REF!</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t="e">
        <f>IF([1]!Table13[[#This Row],[Goal_assist]]="",1,0)</f>
        <v>#REF!</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t="e">
        <f>IF([1]!Table13[[#This Row],[Goal_assist]]="",1,0)</f>
        <v>#REF!</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t="e">
        <f>IF([1]!Table13[[#This Row],[Goal_assist]]="",1,0)</f>
        <v>#REF!</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t="e">
        <f>IF([1]!Table13[[#This Row],[Goal_assist]]="",1,0)</f>
        <v>#REF!</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t="e">
        <f>IF([1]!Table13[[#This Row],[Goal_assist]]="",1,0)</f>
        <v>#REF!</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t="e">
        <f>IF([1]!Table13[[#This Row],[Goal_assist]]="",1,0)</f>
        <v>#REF!</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t="e">
        <f>IF([1]!Table13[[#This Row],[Goal_assist]]="",1,0)</f>
        <v>#REF!</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t="e">
        <f>IF([1]!Table13[[#This Row],[Goal_assist]]="",1,0)</f>
        <v>#REF!</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t="e">
        <f>IF([1]!Table13[[#This Row],[Goal_assist]]="",1,0)</f>
        <v>#REF!</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t="e">
        <f>IF([1]!Table13[[#This Row],[Goal_assist]]="",1,0)</f>
        <v>#REF!</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t="e">
        <f>IF([1]!Table13[[#This Row],[Goal_assist]]="",1,0)</f>
        <v>#REF!</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t="e">
        <f>IF([1]!Table13[[#This Row],[Goal_assist]]="",1,0)</f>
        <v>#REF!</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t="e">
        <f>IF([1]!Table13[[#This Row],[Goal_assist]]="",1,0)</f>
        <v>#REF!</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t="e">
        <f>IF([1]!Table13[[#This Row],[Goal_assist]]="",1,0)</f>
        <v>#REF!</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t="e">
        <f>IF([1]!Table13[[#This Row],[Goal_assist]]="",1,0)</f>
        <v>#REF!</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t="e">
        <f>IF([1]!Table13[[#This Row],[Goal_assist]]="",1,0)</f>
        <v>#REF!</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t="e">
        <f>IF([1]!Table13[[#This Row],[Goal_assist]]="",1,0)</f>
        <v>#REF!</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t="e">
        <f>IF([1]!Table13[[#This Row],[Goal_assist]]="",1,0)</f>
        <v>#REF!</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t="e">
        <f>IF([1]!Table13[[#This Row],[Goal_assist]]="",1,0)</f>
        <v>#REF!</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t="e">
        <f>IF([1]!Table13[[#This Row],[Goal_assist]]="",1,0)</f>
        <v>#REF!</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t="e">
        <f>IF([1]!Table13[[#This Row],[Goal_assist]]="",1,0)</f>
        <v>#REF!</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t="e">
        <f>IF([1]!Table13[[#This Row],[Goal_assist]]="",1,0)</f>
        <v>#REF!</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t="e">
        <f>IF([1]!Table13[[#This Row],[Goal_assist]]="",1,0)</f>
        <v>#REF!</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t="e">
        <f>IF([1]!Table13[[#This Row],[Goal_assist]]="",1,0)</f>
        <v>#REF!</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t="e">
        <f>IF([1]!Table13[[#This Row],[Goal_assist]]="",1,0)</f>
        <v>#REF!</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t="e">
        <f>IF([1]!Table13[[#This Row],[Goal_assist]]="",1,0)</f>
        <v>#REF!</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t="e">
        <f>IF([1]!Table13[[#This Row],[Goal_assist]]="",1,0)</f>
        <v>#REF!</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t="e">
        <f>IF([1]!Table13[[#This Row],[Goal_assist]]="",1,0)</f>
        <v>#REF!</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t="e">
        <f>IF([1]!Table13[[#This Row],[Goal_assist]]="",1,0)</f>
        <v>#REF!</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t="e">
        <f>IF([1]!Table13[[#This Row],[Goal_assist]]="",1,0)</f>
        <v>#REF!</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t="e">
        <f>IF([1]!Table13[[#This Row],[Goal_assist]]="",1,0)</f>
        <v>#REF!</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t="e">
        <f>IF([1]!Table13[[#This Row],[Goal_assist]]="",1,0)</f>
        <v>#REF!</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t="e">
        <f>IF([1]!Table13[[#This Row],[Goal_assist]]="",1,0)</f>
        <v>#REF!</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t="e">
        <f>IF([1]!Table13[[#This Row],[Goal_assist]]="",1,0)</f>
        <v>#REF!</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t="e">
        <f>IF([1]!Table13[[#This Row],[Goal_assist]]="",1,0)</f>
        <v>#REF!</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t="e">
        <f>IF([1]!Table13[[#This Row],[Goal_assist]]="",1,0)</f>
        <v>#REF!</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t="e">
        <f>IF([1]!Table13[[#This Row],[Goal_assist]]="",1,0)</f>
        <v>#REF!</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t="e">
        <f>IF([1]!Table13[[#This Row],[Goal_assist]]="",1,0)</f>
        <v>#REF!</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t="e">
        <f>IF([1]!Table13[[#This Row],[Goal_assist]]="",1,0)</f>
        <v>#REF!</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t="e">
        <f>IF([1]!Table13[[#This Row],[Goal_assist]]="",1,0)</f>
        <v>#REF!</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t="e">
        <f>IF([1]!Table13[[#This Row],[Goal_assist]]="",1,0)</f>
        <v>#REF!</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t="e">
        <f>IF([1]!Table13[[#This Row],[Goal_assist]]="",1,0)</f>
        <v>#REF!</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t="e">
        <f>IF([1]!Table13[[#This Row],[Goal_assist]]="",1,0)</f>
        <v>#REF!</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t="e">
        <f>IF([1]!Table13[[#This Row],[Goal_assist]]="",1,0)</f>
        <v>#REF!</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t="e">
        <f>IF([1]!Table13[[#This Row],[Goal_assist]]="",1,0)</f>
        <v>#REF!</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t="e">
        <f>IF([1]!Table13[[#This Row],[Goal_assist]]="",1,0)</f>
        <v>#REF!</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t="e">
        <f>IF([1]!Table13[[#This Row],[Goal_assist]]="",1,0)</f>
        <v>#REF!</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t="e">
        <f>IF([1]!Table13[[#This Row],[Goal_assist]]="",1,0)</f>
        <v>#REF!</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t="e">
        <f>IF([1]!Table13[[#This Row],[Goal_assist]]="",1,0)</f>
        <v>#REF!</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t="e">
        <f>IF([1]!Table13[[#This Row],[Goal_assist]]="",1,0)</f>
        <v>#REF!</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t="e">
        <f>IF([1]!Table13[[#This Row],[Goal_assist]]="",1,0)</f>
        <v>#REF!</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t="e">
        <f>IF([1]!Table13[[#This Row],[Goal_assist]]="",1,0)</f>
        <v>#REF!</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t="e">
        <f>IF([1]!Table13[[#This Row],[Goal_assist]]="",1,0)</f>
        <v>#REF!</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t="e">
        <f>IF([1]!Table13[[#This Row],[Goal_assist]]="",1,0)</f>
        <v>#REF!</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t="e">
        <f>IF([1]!Table13[[#This Row],[Goal_assist]]="",1,0)</f>
        <v>#REF!</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t="e">
        <f>IF([1]!Table13[[#This Row],[Goal_assist]]="",1,0)</f>
        <v>#REF!</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t="e">
        <f>IF([1]!Table13[[#This Row],[Goal_assist]]="",1,0)</f>
        <v>#REF!</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t="e">
        <f>IF([1]!Table13[[#This Row],[Goal_assist]]="",1,0)</f>
        <v>#REF!</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t="e">
        <f>IF([1]!Table13[[#This Row],[Goal_assist]]="",1,0)</f>
        <v>#REF!</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t="e">
        <f>IF([1]!Table13[[#This Row],[Goal_assist]]="",1,0)</f>
        <v>#REF!</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t="e">
        <f>IF([1]!Table13[[#This Row],[Goal_assist]]="",1,0)</f>
        <v>#REF!</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t="e">
        <f>IF([1]!Table13[[#This Row],[Goal_assist]]="",1,0)</f>
        <v>#REF!</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t="e">
        <f>IF([1]!Table13[[#This Row],[Goal_assist]]="",1,0)</f>
        <v>#REF!</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t="e">
        <f>IF([1]!Table13[[#This Row],[Goal_assist]]="",1,0)</f>
        <v>#REF!</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t="e">
        <f>IF([1]!Table13[[#This Row],[Goal_assist]]="",1,0)</f>
        <v>#REF!</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t="e">
        <f>IF([1]!Table13[[#This Row],[Goal_assist]]="",1,0)</f>
        <v>#REF!</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t="e">
        <f>IF([1]!Table13[[#This Row],[Goal_assist]]="",1,0)</f>
        <v>#REF!</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t="e">
        <f>IF([1]!Table13[[#This Row],[Goal_assist]]="",1,0)</f>
        <v>#REF!</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t="e">
        <f>IF([1]!Table13[[#This Row],[Goal_assist]]="",1,0)</f>
        <v>#REF!</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t="e">
        <f>IF([1]!Table13[[#This Row],[Goal_assist]]="",1,0)</f>
        <v>#REF!</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t="e">
        <f>IF([1]!Table13[[#This Row],[Goal_assist]]="",1,0)</f>
        <v>#REF!</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t="e">
        <f>IF([1]!Table13[[#This Row],[Goal_assist]]="",1,0)</f>
        <v>#REF!</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t="e">
        <f>IF([1]!Table13[[#This Row],[Goal_assist]]="",1,0)</f>
        <v>#REF!</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t="e">
        <f>IF([1]!Table13[[#This Row],[Goal_assist]]="",1,0)</f>
        <v>#REF!</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t="e">
        <f>IF([1]!Table13[[#This Row],[Goal_assist]]="",1,0)</f>
        <v>#REF!</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t="e">
        <f>IF([1]!Table13[[#This Row],[Goal_assist]]="",1,0)</f>
        <v>#REF!</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t="e">
        <f>IF([1]!Table13[[#This Row],[Goal_assist]]="",1,0)</f>
        <v>#REF!</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t="e">
        <f>IF([1]!Table13[[#This Row],[Goal_assist]]="",1,0)</f>
        <v>#REF!</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t="e">
        <f>IF([1]!Table13[[#This Row],[Goal_assist]]="",1,0)</f>
        <v>#REF!</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t="e">
        <f>IF([1]!Table13[[#This Row],[Goal_assist]]="",1,0)</f>
        <v>#REF!</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t="e">
        <f>IF([1]!Table13[[#This Row],[Goal_assist]]="",1,0)</f>
        <v>#REF!</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t="e">
        <f>IF([1]!Table13[[#This Row],[Goal_assist]]="",1,0)</f>
        <v>#REF!</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t="e">
        <f>IF([1]!Table13[[#This Row],[Goal_assist]]="",1,0)</f>
        <v>#REF!</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t="e">
        <f>IF([1]!Table13[[#This Row],[Goal_assist]]="",1,0)</f>
        <v>#REF!</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t="e">
        <f>IF([1]!Table13[[#This Row],[Goal_assist]]="",1,0)</f>
        <v>#REF!</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t="e">
        <f>IF([1]!Table13[[#This Row],[Goal_assist]]="",1,0)</f>
        <v>#REF!</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t="e">
        <f>IF([1]!Table13[[#This Row],[Goal_assist]]="",1,0)</f>
        <v>#REF!</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t="e">
        <f>IF([1]!Table13[[#This Row],[Goal_assist]]="",1,0)</f>
        <v>#REF!</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t="e">
        <f>IF([1]!Table13[[#This Row],[Goal_assist]]="",1,0)</f>
        <v>#REF!</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t="e">
        <f>IF([1]!Table13[[#This Row],[Goal_assist]]="",1,0)</f>
        <v>#REF!</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t="e">
        <f>IF([1]!Table13[[#This Row],[Goal_assist]]="",1,0)</f>
        <v>#REF!</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t="e">
        <f>IF([1]!Table13[[#This Row],[Goal_assist]]="",1,0)</f>
        <v>#REF!</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t="e">
        <f>IF([1]!Table13[[#This Row],[Goal_assist]]="",1,0)</f>
        <v>#REF!</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t="e">
        <f>IF([1]!Table13[[#This Row],[Goal_assist]]="",1,0)</f>
        <v>#REF!</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t="e">
        <f>IF([1]!Table13[[#This Row],[Goal_assist]]="",1,0)</f>
        <v>#REF!</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t="e">
        <f>IF([1]!Table13[[#This Row],[Goal_assist]]="",1,0)</f>
        <v>#REF!</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t="e">
        <f>IF([1]!Table13[[#This Row],[Goal_assist]]="",1,0)</f>
        <v>#REF!</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t="e">
        <f>IF([1]!Table13[[#This Row],[Goal_assist]]="",1,0)</f>
        <v>#REF!</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t="e">
        <f>IF([1]!Table13[[#This Row],[Goal_assist]]="",1,0)</f>
        <v>#REF!</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t="e">
        <f>IF([1]!Table13[[#This Row],[Goal_assist]]="",1,0)</f>
        <v>#REF!</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t="e">
        <f>IF([1]!Table13[[#This Row],[Goal_assist]]="",1,0)</f>
        <v>#REF!</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t="e">
        <f>IF([1]!Table13[[#This Row],[Goal_assist]]="",1,0)</f>
        <v>#REF!</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t="e">
        <f>IF([1]!Table13[[#This Row],[Goal_assist]]="",1,0)</f>
        <v>#REF!</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t="e">
        <f>IF([1]!Table13[[#This Row],[Goal_assist]]="",1,0)</f>
        <v>#REF!</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t="e">
        <f>IF([1]!Table13[[#This Row],[Goal_assist]]="",1,0)</f>
        <v>#REF!</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t="e">
        <f>IF([1]!Table13[[#This Row],[Goal_assist]]="",1,0)</f>
        <v>#REF!</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t="e">
        <f>IF([1]!Table13[[#This Row],[Goal_assist]]="",1,0)</f>
        <v>#REF!</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t="e">
        <f>IF([1]!Table13[[#This Row],[Goal_assist]]="",1,0)</f>
        <v>#REF!</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t="e">
        <f>IF([1]!Table13[[#This Row],[Goal_assist]]="",1,0)</f>
        <v>#REF!</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t="e">
        <f>IF([1]!Table13[[#This Row],[Goal_assist]]="",1,0)</f>
        <v>#REF!</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t="e">
        <f>IF([1]!Table13[[#This Row],[Goal_assist]]="",1,0)</f>
        <v>#REF!</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t="e">
        <f>IF([1]!Table13[[#This Row],[Goal_assist]]="",1,0)</f>
        <v>#REF!</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t="e">
        <f>IF([1]!Table13[[#This Row],[Goal_assist]]="",1,0)</f>
        <v>#REF!</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t="e">
        <f>IF([1]!Table13[[#This Row],[Goal_assist]]="",1,0)</f>
        <v>#REF!</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t="e">
        <f>IF([1]!Table13[[#This Row],[Goal_assist]]="",1,0)</f>
        <v>#REF!</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t="e">
        <f>IF([1]!Table13[[#This Row],[Goal_assist]]="",1,0)</f>
        <v>#REF!</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t="e">
        <f>IF([1]!Table13[[#This Row],[Goal_assist]]="",1,0)</f>
        <v>#REF!</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t="e">
        <f>IF([1]!Table13[[#This Row],[Goal_assist]]="",1,0)</f>
        <v>#REF!</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t="e">
        <f>IF([1]!Table13[[#This Row],[Goal_assist]]="",1,0)</f>
        <v>#REF!</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t="e">
        <f>IF([1]!Table13[[#This Row],[Goal_assist]]="",1,0)</f>
        <v>#REF!</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t="e">
        <f>IF([1]!Table13[[#This Row],[Goal_assist]]="",1,0)</f>
        <v>#REF!</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t="e">
        <f>IF([1]!Table13[[#This Row],[Goal_assist]]="",1,0)</f>
        <v>#REF!</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t="e">
        <f>IF([1]!Table13[[#This Row],[Goal_assist]]="",1,0)</f>
        <v>#REF!</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t="e">
        <f>IF([1]!Table13[[#This Row],[Goal_assist]]="",1,0)</f>
        <v>#REF!</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t="e">
        <f>IF([1]!Table13[[#This Row],[Goal_assist]]="",1,0)</f>
        <v>#REF!</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t="e">
        <f>IF([1]!Table13[[#This Row],[Goal_assist]]="",1,0)</f>
        <v>#REF!</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t="e">
        <f>IF([1]!Table13[[#This Row],[Goal_assist]]="",1,0)</f>
        <v>#REF!</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t="e">
        <f>IF([1]!Table13[[#This Row],[Goal_assist]]="",1,0)</f>
        <v>#REF!</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t="e">
        <f>IF([1]!Table13[[#This Row],[Goal_assist]]="",1,0)</f>
        <v>#REF!</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t="e">
        <f>IF([1]!Table13[[#This Row],[Goal_assist]]="",1,0)</f>
        <v>#REF!</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t="e">
        <f>IF([1]!Table13[[#This Row],[Goal_assist]]="",1,0)</f>
        <v>#REF!</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t="e">
        <f>IF([1]!Table13[[#This Row],[Goal_assist]]="",1,0)</f>
        <v>#REF!</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t="e">
        <f>IF([1]!Table13[[#This Row],[Goal_assist]]="",1,0)</f>
        <v>#REF!</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t="e">
        <f>IF([1]!Table13[[#This Row],[Goal_assist]]="",1,0)</f>
        <v>#REF!</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t="e">
        <f>IF([1]!Table13[[#This Row],[Goal_assist]]="",1,0)</f>
        <v>#REF!</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t="e">
        <f>IF([1]!Table13[[#This Row],[Goal_assist]]="",1,0)</f>
        <v>#REF!</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t="e">
        <f>IF([1]!Table13[[#This Row],[Goal_assist]]="",1,0)</f>
        <v>#REF!</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t="e">
        <f>IF([1]!Table13[[#This Row],[Goal_assist]]="",1,0)</f>
        <v>#REF!</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t="e">
        <f>IF([1]!Table13[[#This Row],[Goal_assist]]="",1,0)</f>
        <v>#REF!</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t="e">
        <f>IF([1]!Table13[[#This Row],[Goal_assist]]="",1,0)</f>
        <v>#REF!</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t="e">
        <f>IF([1]!Table13[[#This Row],[Goal_assist]]="",1,0)</f>
        <v>#REF!</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t="e">
        <f>IF([1]!Table13[[#This Row],[Goal_assist]]="",1,0)</f>
        <v>#REF!</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t="e">
        <f>IF([1]!Table13[[#This Row],[Goal_assist]]="",1,0)</f>
        <v>#REF!</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t="e">
        <f>IF([1]!Table13[[#This Row],[Goal_assist]]="",1,0)</f>
        <v>#REF!</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t="e">
        <f>IF([1]!Table13[[#This Row],[Goal_assist]]="",1,0)</f>
        <v>#REF!</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t="e">
        <f>IF([1]!Table13[[#This Row],[Goal_assist]]="",1,0)</f>
        <v>#REF!</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t="e">
        <f>IF([1]!Table13[[#This Row],[Goal_assist]]="",1,0)</f>
        <v>#REF!</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t="e">
        <f>IF([1]!Table13[[#This Row],[Goal_assist]]="",1,0)</f>
        <v>#REF!</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t="e">
        <f>IF([1]!Table13[[#This Row],[Goal_assist]]="",1,0)</f>
        <v>#REF!</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t="e">
        <f>IF([1]!Table13[[#This Row],[Goal_assist]]="",1,0)</f>
        <v>#REF!</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t="e">
        <f>IF([1]!Table13[[#This Row],[Goal_assist]]="",1,0)</f>
        <v>#REF!</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t="e">
        <f>IF([1]!Table13[[#This Row],[Goal_assist]]="",1,0)</f>
        <v>#REF!</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t="e">
        <f>IF([1]!Table13[[#This Row],[Goal_assist]]="",1,0)</f>
        <v>#REF!</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t="e">
        <f>IF([1]!Table13[[#This Row],[Goal_assist]]="",1,0)</f>
        <v>#REF!</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t="e">
        <f>IF([1]!Table13[[#This Row],[Goal_assist]]="",1,0)</f>
        <v>#REF!</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t="e">
        <f>IF([1]!Table13[[#This Row],[Goal_assist]]="",1,0)</f>
        <v>#REF!</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t="e">
        <f>IF([1]!Table13[[#This Row],[Goal_assist]]="",1,0)</f>
        <v>#REF!</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t="e">
        <f>IF([1]!Table13[[#This Row],[Goal_assist]]="",1,0)</f>
        <v>#REF!</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t="e">
        <f>IF([1]!Table13[[#This Row],[Goal_assist]]="",1,0)</f>
        <v>#REF!</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t="e">
        <f>IF([1]!Table13[[#This Row],[Goal_assist]]="",1,0)</f>
        <v>#REF!</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t="e">
        <f>IF([1]!Table13[[#This Row],[Goal_assist]]="",1,0)</f>
        <v>#REF!</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t="e">
        <f>IF([1]!Table13[[#This Row],[Goal_assist]]="",1,0)</f>
        <v>#REF!</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t="e">
        <f>IF([1]!Table13[[#This Row],[Goal_assist]]="",1,0)</f>
        <v>#REF!</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t="e">
        <f>IF([1]!Table13[[#This Row],[Goal_assist]]="",1,0)</f>
        <v>#REF!</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t="e">
        <f>IF([1]!Table13[[#This Row],[Goal_assist]]="",1,0)</f>
        <v>#REF!</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t="e">
        <f>IF([1]!Table13[[#This Row],[Goal_assist]]="",1,0)</f>
        <v>#REF!</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t="e">
        <f>IF([1]!Table13[[#This Row],[Goal_assist]]="",1,0)</f>
        <v>#REF!</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t="e">
        <f>IF([1]!Table13[[#This Row],[Goal_assist]]="",1,0)</f>
        <v>#REF!</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t="e">
        <f>IF([1]!Table13[[#This Row],[Goal_assist]]="",1,0)</f>
        <v>#REF!</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t="e">
        <f>IF([1]!Table13[[#This Row],[Goal_assist]]="",1,0)</f>
        <v>#REF!</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t="e">
        <f>IF([1]!Table13[[#This Row],[Goal_assist]]="",1,0)</f>
        <v>#REF!</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t="e">
        <f>IF([1]!Table13[[#This Row],[Goal_assist]]="",1,0)</f>
        <v>#REF!</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t="e">
        <f>IF([1]!Table13[[#This Row],[Goal_assist]]="",1,0)</f>
        <v>#REF!</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t="e">
        <f>IF([1]!Table13[[#This Row],[Goal_assist]]="",1,0)</f>
        <v>#REF!</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t="e">
        <f>IF([1]!Table13[[#This Row],[Goal_assist]]="",1,0)</f>
        <v>#REF!</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t="e">
        <f>IF([1]!Table13[[#This Row],[Goal_assist]]="",1,0)</f>
        <v>#REF!</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t="e">
        <f>IF([1]!Table13[[#This Row],[Goal_assist]]="",1,0)</f>
        <v>#REF!</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t="e">
        <f>IF([1]!Table13[[#This Row],[Goal_assist]]="",1,0)</f>
        <v>#REF!</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t="e">
        <f>IF([1]!Table13[[#This Row],[Goal_assist]]="",1,0)</f>
        <v>#REF!</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t="e">
        <f>IF([1]!Table13[[#This Row],[Goal_assist]]="",1,0)</f>
        <v>#REF!</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t="e">
        <f>IF([1]!Table13[[#This Row],[Goal_assist]]="",1,0)</f>
        <v>#REF!</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t="e">
        <f>IF([1]!Table13[[#This Row],[Goal_assist]]="",1,0)</f>
        <v>#REF!</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t="e">
        <f>IF([1]!Table13[[#This Row],[Goal_assist]]="",1,0)</f>
        <v>#REF!</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t="e">
        <f>IF([1]!Table13[[#This Row],[Goal_assist]]="",1,0)</f>
        <v>#REF!</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t="e">
        <f>IF([1]!Table13[[#This Row],[Goal_assist]]="",1,0)</f>
        <v>#REF!</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t="e">
        <f>IF([1]!Table13[[#This Row],[Goal_assist]]="",1,0)</f>
        <v>#REF!</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t="e">
        <f>IF([1]!Table13[[#This Row],[Goal_assist]]="",1,0)</f>
        <v>#REF!</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t="e">
        <f>IF([1]!Table13[[#This Row],[Goal_assist]]="",1,0)</f>
        <v>#REF!</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t="e">
        <f>IF([1]!Table13[[#This Row],[Goal_assist]]="",1,0)</f>
        <v>#REF!</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t="e">
        <f>IF([1]!Table13[[#This Row],[Goal_assist]]="",1,0)</f>
        <v>#REF!</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t="e">
        <f>IF([1]!Table13[[#This Row],[Goal_assist]]="",1,0)</f>
        <v>#REF!</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t="e">
        <f>IF([1]!Table13[[#This Row],[Goal_assist]]="",1,0)</f>
        <v>#REF!</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t="e">
        <f>IF([1]!Table13[[#This Row],[Goal_assist]]="",1,0)</f>
        <v>#REF!</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t="e">
        <f>IF([1]!Table13[[#This Row],[Goal_assist]]="",1,0)</f>
        <v>#REF!</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t="e">
        <f>IF([1]!Table13[[#This Row],[Goal_assist]]="",1,0)</f>
        <v>#REF!</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t="e">
        <f>IF([1]!Table13[[#This Row],[Goal_assist]]="",1,0)</f>
        <v>#REF!</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t="e">
        <f>IF([1]!Table13[[#This Row],[Goal_assist]]="",1,0)</f>
        <v>#REF!</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t="e">
        <f>IF([1]!Table13[[#This Row],[Goal_assist]]="",1,0)</f>
        <v>#REF!</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t="e">
        <f>IF([1]!Table13[[#This Row],[Goal_assist]]="",1,0)</f>
        <v>#REF!</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t="e">
        <f>IF([1]!Table13[[#This Row],[Goal_assist]]="",1,0)</f>
        <v>#REF!</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t="e">
        <f>IF([1]!Table13[[#This Row],[Goal_assist]]="",1,0)</f>
        <v>#REF!</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t="e">
        <f>IF([1]!Table13[[#This Row],[Goal_assist]]="",1,0)</f>
        <v>#REF!</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t="e">
        <f>IF([1]!Table13[[#This Row],[Goal_assist]]="",1,0)</f>
        <v>#REF!</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t="e">
        <f>IF([1]!Table13[[#This Row],[Goal_assist]]="",1,0)</f>
        <v>#REF!</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t="e">
        <f>IF([1]!Table13[[#This Row],[Goal_assist]]="",1,0)</f>
        <v>#REF!</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t="e">
        <f>IF([1]!Table13[[#This Row],[Goal_assist]]="",1,0)</f>
        <v>#REF!</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t="e">
        <f>IF([1]!Table13[[#This Row],[Goal_assist]]="",1,0)</f>
        <v>#REF!</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t="e">
        <f>IF([1]!Table13[[#This Row],[Goal_assist]]="",1,0)</f>
        <v>#REF!</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t="e">
        <f>IF([1]!Table13[[#This Row],[Goal_assist]]="",1,0)</f>
        <v>#REF!</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t="e">
        <f>IF([1]!Table13[[#This Row],[Goal_assist]]="",1,0)</f>
        <v>#REF!</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t="e">
        <f>IF([1]!Table13[[#This Row],[Goal_assist]]="",1,0)</f>
        <v>#REF!</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t="e">
        <f>IF([1]!Table13[[#This Row],[Goal_assist]]="",1,0)</f>
        <v>#REF!</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t="e">
        <f>IF([1]!Table13[[#This Row],[Goal_assist]]="",1,0)</f>
        <v>#REF!</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t="e">
        <f>IF([1]!Table13[[#This Row],[Goal_assist]]="",1,0)</f>
        <v>#REF!</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t="e">
        <f>IF([1]!Table13[[#This Row],[Goal_assist]]="",1,0)</f>
        <v>#REF!</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t="e">
        <f>IF([1]!Table13[[#This Row],[Goal_assist]]="",1,0)</f>
        <v>#REF!</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t="e">
        <f>IF([1]!Table13[[#This Row],[Goal_assist]]="",1,0)</f>
        <v>#REF!</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t="e">
        <f>IF([1]!Table13[[#This Row],[Goal_assist]]="",1,0)</f>
        <v>#REF!</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t="e">
        <f>IF([1]!Table13[[#This Row],[Goal_assist]]="",1,0)</f>
        <v>#REF!</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t="e">
        <f>IF([1]!Table13[[#This Row],[Goal_assist]]="",1,0)</f>
        <v>#REF!</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t="e">
        <f>IF([1]!Table13[[#This Row],[Goal_assist]]="",1,0)</f>
        <v>#REF!</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t="e">
        <f>IF([1]!Table13[[#This Row],[Goal_assist]]="",1,0)</f>
        <v>#REF!</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t="e">
        <f>IF([1]!Table13[[#This Row],[Goal_assist]]="",1,0)</f>
        <v>#REF!</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t="e">
        <f>IF([1]!Table13[[#This Row],[Goal_assist]]="",1,0)</f>
        <v>#REF!</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t="e">
        <f>IF([1]!Table13[[#This Row],[Goal_assist]]="",1,0)</f>
        <v>#REF!</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t="e">
        <f>IF([1]!Table13[[#This Row],[Goal_assist]]="",1,0)</f>
        <v>#REF!</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t="e">
        <f>IF([1]!Table13[[#This Row],[Goal_assist]]="",1,0)</f>
        <v>#REF!</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t="e">
        <f>IF([1]!Table13[[#This Row],[Goal_assist]]="",1,0)</f>
        <v>#REF!</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t="e">
        <f>IF([1]!Table13[[#This Row],[Goal_assist]]="",1,0)</f>
        <v>#REF!</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t="e">
        <f>IF([1]!Table13[[#This Row],[Goal_assist]]="",1,0)</f>
        <v>#REF!</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t="e">
        <f>IF([1]!Table13[[#This Row],[Goal_assist]]="",1,0)</f>
        <v>#REF!</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t="e">
        <f>IF([1]!Table13[[#This Row],[Goal_assist]]="",1,0)</f>
        <v>#REF!</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t="e">
        <f>IF([1]!Table13[[#This Row],[Goal_assist]]="",1,0)</f>
        <v>#REF!</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t="e">
        <f>IF([1]!Table13[[#This Row],[Goal_assist]]="",1,0)</f>
        <v>#REF!</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t="e">
        <f>IF([1]!Table13[[#This Row],[Goal_assist]]="",1,0)</f>
        <v>#REF!</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t="e">
        <f>IF([1]!Table13[[#This Row],[Goal_assist]]="",1,0)</f>
        <v>#REF!</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t="e">
        <f>IF([1]!Table13[[#This Row],[Goal_assist]]="",1,0)</f>
        <v>#REF!</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t="e">
        <f>IF([1]!Table13[[#This Row],[Goal_assist]]="",1,0)</f>
        <v>#REF!</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t="e">
        <f>IF([1]!Table13[[#This Row],[Goal_assist]]="",1,0)</f>
        <v>#REF!</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t="e">
        <f>IF([1]!Table13[[#This Row],[Goal_assist]]="",1,0)</f>
        <v>#REF!</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t="e">
        <f>IF([1]!Table13[[#This Row],[Goal_assist]]="",1,0)</f>
        <v>#REF!</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t="e">
        <f>IF([1]!Table13[[#This Row],[Goal_assist]]="",1,0)</f>
        <v>#REF!</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t="e">
        <f>IF([1]!Table13[[#This Row],[Goal_assist]]="",1,0)</f>
        <v>#REF!</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t="e">
        <f>IF([1]!Table13[[#This Row],[Goal_assist]]="",1,0)</f>
        <v>#REF!</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t="e">
        <f>IF([1]!Table13[[#This Row],[Goal_assist]]="",1,0)</f>
        <v>#REF!</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t="e">
        <f>IF([1]!Table13[[#This Row],[Goal_assist]]="",1,0)</f>
        <v>#REF!</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t="e">
        <f>IF([1]!Table13[[#This Row],[Goal_assist]]="",1,0)</f>
        <v>#REF!</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t="e">
        <f>IF([1]!Table13[[#This Row],[Goal_assist]]="",1,0)</f>
        <v>#REF!</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t="e">
        <f>IF([1]!Table13[[#This Row],[Goal_assist]]="",1,0)</f>
        <v>#REF!</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t="e">
        <f>IF([1]!Table13[[#This Row],[Goal_assist]]="",1,0)</f>
        <v>#REF!</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t="e">
        <f>IF([1]!Table13[[#This Row],[Goal_assist]]="",1,0)</f>
        <v>#REF!</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t="e">
        <f>IF([1]!Table13[[#This Row],[Goal_assist]]="",1,0)</f>
        <v>#REF!</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t="e">
        <f>IF([1]!Table13[[#This Row],[Goal_assist]]="",1,0)</f>
        <v>#REF!</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t="e">
        <f>IF([1]!Table13[[#This Row],[Goal_assist]]="",1,0)</f>
        <v>#REF!</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t="e">
        <f>IF([1]!Table13[[#This Row],[Goal_assist]]="",1,0)</f>
        <v>#REF!</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t="e">
        <f>IF([1]!Table13[[#This Row],[Goal_assist]]="",1,0)</f>
        <v>#REF!</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t="e">
        <f>IF([1]!Table13[[#This Row],[Goal_assist]]="",1,0)</f>
        <v>#REF!</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t="e">
        <f>IF([1]!Table13[[#This Row],[Goal_assist]]="",1,0)</f>
        <v>#REF!</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t="e">
        <f>IF([1]!Table13[[#This Row],[Goal_assist]]="",1,0)</f>
        <v>#REF!</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t="e">
        <f>IF([1]!Table13[[#This Row],[Goal_assist]]="",1,0)</f>
        <v>#REF!</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t="e">
        <f>IF([1]!Table13[[#This Row],[Goal_assist]]="",1,0)</f>
        <v>#REF!</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t="e">
        <f>IF([1]!Table13[[#This Row],[Goal_assist]]="",1,0)</f>
        <v>#REF!</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t="e">
        <f>IF([1]!Table13[[#This Row],[Goal_assist]]="",1,0)</f>
        <v>#REF!</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t="e">
        <f>IF([1]!Table13[[#This Row],[Goal_assist]]="",1,0)</f>
        <v>#REF!</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t="e">
        <f>IF([1]!Table13[[#This Row],[Goal_assist]]="",1,0)</f>
        <v>#REF!</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t="e">
        <f>IF([1]!Table13[[#This Row],[Goal_assist]]="",1,0)</f>
        <v>#REF!</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t="e">
        <f>IF([1]!Table13[[#This Row],[Goal_assist]]="",1,0)</f>
        <v>#REF!</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t="e">
        <f>IF([1]!Table13[[#This Row],[Goal_assist]]="",1,0)</f>
        <v>#REF!</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t="e">
        <f>IF([1]!Table13[[#This Row],[Goal_assist]]="",1,0)</f>
        <v>#REF!</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t="e">
        <f>IF([1]!Table13[[#This Row],[Goal_assist]]="",1,0)</f>
        <v>#REF!</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t="e">
        <f>IF([1]!Table13[[#This Row],[Goal_assist]]="",1,0)</f>
        <v>#REF!</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t="e">
        <f>IF([1]!Table13[[#This Row],[Goal_assist]]="",1,0)</f>
        <v>#REF!</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t="e">
        <f>IF([1]!Table13[[#This Row],[Goal_assist]]="",1,0)</f>
        <v>#REF!</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t="e">
        <f>IF([1]!Table13[[#This Row],[Goal_assist]]="",1,0)</f>
        <v>#REF!</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t="e">
        <f>IF([1]!Table13[[#This Row],[Goal_assist]]="",1,0)</f>
        <v>#REF!</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t="e">
        <f>IF([1]!Table13[[#This Row],[Goal_assist]]="",1,0)</f>
        <v>#REF!</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t="e">
        <f>IF([1]!Table13[[#This Row],[Goal_assist]]="",1,0)</f>
        <v>#REF!</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t="e">
        <f>IF([1]!Table13[[#This Row],[Goal_assist]]="",1,0)</f>
        <v>#REF!</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t="e">
        <f>IF([1]!Table13[[#This Row],[Goal_assist]]="",1,0)</f>
        <v>#REF!</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t="e">
        <f>IF([1]!Table13[[#This Row],[Goal_assist]]="",1,0)</f>
        <v>#REF!</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t="e">
        <f>IF([1]!Table13[[#This Row],[Goal_assist]]="",1,0)</f>
        <v>#REF!</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t="e">
        <f>IF([1]!Table13[[#This Row],[Goal_assist]]="",1,0)</f>
        <v>#REF!</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t="e">
        <f>IF([1]!Table13[[#This Row],[Goal_assist]]="",1,0)</f>
        <v>#REF!</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t="e">
        <f>IF([1]!Table13[[#This Row],[Goal_assist]]="",1,0)</f>
        <v>#REF!</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t="e">
        <f>IF([1]!Table13[[#This Row],[Goal_assist]]="",1,0)</f>
        <v>#REF!</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t="e">
        <f>IF([1]!Table13[[#This Row],[Goal_assist]]="",1,0)</f>
        <v>#REF!</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t="e">
        <f>IF([1]!Table13[[#This Row],[Goal_assist]]="",1,0)</f>
        <v>#REF!</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t="e">
        <f>IF([1]!Table13[[#This Row],[Goal_assist]]="",1,0)</f>
        <v>#REF!</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t="e">
        <f>IF([1]!Table13[[#This Row],[Goal_assist]]="",1,0)</f>
        <v>#REF!</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t="e">
        <f>IF([1]!Table13[[#This Row],[Goal_assist]]="",1,0)</f>
        <v>#REF!</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t="e">
        <f>IF([1]!Table13[[#This Row],[Goal_assist]]="",1,0)</f>
        <v>#REF!</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t="e">
        <f>IF([1]!Table13[[#This Row],[Goal_assist]]="",1,0)</f>
        <v>#REF!</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t="e">
        <f>IF([1]!Table13[[#This Row],[Goal_assist]]="",1,0)</f>
        <v>#REF!</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t="e">
        <f>IF([1]!Table13[[#This Row],[Goal_assist]]="",1,0)</f>
        <v>#REF!</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t="e">
        <f>IF([1]!Table13[[#This Row],[Goal_assist]]="",1,0)</f>
        <v>#REF!</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t="e">
        <f>IF([1]!Table13[[#This Row],[Goal_assist]]="",1,0)</f>
        <v>#REF!</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t="e">
        <f>IF([1]!Table13[[#This Row],[Goal_assist]]="",1,0)</f>
        <v>#REF!</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t="e">
        <f>IF([1]!Table13[[#This Row],[Goal_assist]]="",1,0)</f>
        <v>#REF!</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t="e">
        <f>IF([1]!Table13[[#This Row],[Goal_assist]]="",1,0)</f>
        <v>#REF!</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t="e">
        <f>IF([1]!Table13[[#This Row],[Goal_assist]]="",1,0)</f>
        <v>#REF!</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t="e">
        <f>IF([1]!Table13[[#This Row],[Goal_assist]]="",1,0)</f>
        <v>#REF!</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t="e">
        <f>IF([1]!Table13[[#This Row],[Goal_assist]]="",1,0)</f>
        <v>#REF!</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t="e">
        <f>IF([1]!Table13[[#This Row],[Goal_assist]]="",1,0)</f>
        <v>#REF!</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t="e">
        <f>IF([1]!Table13[[#This Row],[Goal_assist]]="",1,0)</f>
        <v>#REF!</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t="e">
        <f>IF([1]!Table13[[#This Row],[Goal_assist]]="",1,0)</f>
        <v>#REF!</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t="e">
        <f>IF([1]!Table13[[#This Row],[Goal_assist]]="",1,0)</f>
        <v>#REF!</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t="e">
        <f>IF([1]!Table13[[#This Row],[Goal_assist]]="",1,0)</f>
        <v>#REF!</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t="e">
        <f>IF([1]!Table13[[#This Row],[Goal_assist]]="",1,0)</f>
        <v>#REF!</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t="e">
        <f>IF([1]!Table13[[#This Row],[Goal_assist]]="",1,0)</f>
        <v>#REF!</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t="e">
        <f>IF([1]!Table13[[#This Row],[Goal_assist]]="",1,0)</f>
        <v>#REF!</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t="e">
        <f>IF([1]!Table13[[#This Row],[Goal_assist]]="",1,0)</f>
        <v>#REF!</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t="e">
        <f>IF([1]!Table13[[#This Row],[Goal_assist]]="",1,0)</f>
        <v>#REF!</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t="e">
        <f>IF([1]!Table13[[#This Row],[Goal_assist]]="",1,0)</f>
        <v>#REF!</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t="e">
        <f>IF([1]!Table13[[#This Row],[Goal_assist]]="",1,0)</f>
        <v>#REF!</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t="e">
        <f>IF([1]!Table13[[#This Row],[Goal_assist]]="",1,0)</f>
        <v>#REF!</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t="e">
        <f>IF([1]!Table13[[#This Row],[Goal_assist]]="",1,0)</f>
        <v>#REF!</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t="e">
        <f>IF([1]!Table13[[#This Row],[Goal_assist]]="",1,0)</f>
        <v>#REF!</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t="e">
        <f>IF([1]!Table13[[#This Row],[Goal_assist]]="",1,0)</f>
        <v>#REF!</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t="e">
        <f>IF([1]!Table13[[#This Row],[Goal_assist]]="",1,0)</f>
        <v>#REF!</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t="e">
        <f>IF([1]!Table13[[#This Row],[Goal_assist]]="",1,0)</f>
        <v>#REF!</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t="e">
        <f>IF([1]!Table13[[#This Row],[Goal_assist]]="",1,0)</f>
        <v>#REF!</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t="e">
        <f>IF([1]!Table13[[#This Row],[Goal_assist]]="",1,0)</f>
        <v>#REF!</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t="e">
        <f>IF([1]!Table13[[#This Row],[Goal_assist]]="",1,0)</f>
        <v>#REF!</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t="e">
        <f>IF([1]!Table13[[#This Row],[Goal_assist]]="",1,0)</f>
        <v>#REF!</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t="e">
        <f>IF([1]!Table13[[#This Row],[Goal_assist]]="",1,0)</f>
        <v>#REF!</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t="e">
        <f>IF([1]!Table13[[#This Row],[Goal_assist]]="",1,0)</f>
        <v>#REF!</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t="e">
        <f>IF([1]!Table13[[#This Row],[Goal_assist]]="",1,0)</f>
        <v>#REF!</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t="e">
        <f>IF([1]!Table13[[#This Row],[Goal_assist]]="",1,0)</f>
        <v>#REF!</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t="e">
        <f>IF([1]!Table13[[#This Row],[Goal_assist]]="",1,0)</f>
        <v>#REF!</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t="e">
        <f>IF([1]!Table13[[#This Row],[Goal_assist]]="",1,0)</f>
        <v>#REF!</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t="e">
        <f>IF([1]!Table13[[#This Row],[Goal_assist]]="",1,0)</f>
        <v>#REF!</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t="e">
        <f>IF([1]!Table13[[#This Row],[Goal_assist]]="",1,0)</f>
        <v>#REF!</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t="e">
        <f>IF([1]!Table13[[#This Row],[Goal_assist]]="",1,0)</f>
        <v>#REF!</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t="e">
        <f>IF([1]!Table13[[#This Row],[Goal_assist]]="",1,0)</f>
        <v>#REF!</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t="e">
        <f>IF([1]!Table13[[#This Row],[Goal_assist]]="",1,0)</f>
        <v>#REF!</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t="e">
        <f>IF([1]!Table13[[#This Row],[Goal_assist]]="",1,0)</f>
        <v>#REF!</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t="e">
        <f>IF([1]!Table13[[#This Row],[Goal_assist]]="",1,0)</f>
        <v>#REF!</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t="e">
        <f>IF([1]!Table13[[#This Row],[Goal_assist]]="",1,0)</f>
        <v>#REF!</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t="e">
        <f>IF([1]!Table13[[#This Row],[Goal_assist]]="",1,0)</f>
        <v>#REF!</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t="e">
        <f>IF([1]!Table13[[#This Row],[Goal_assist]]="",1,0)</f>
        <v>#REF!</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t="e">
        <f>IF([1]!Table13[[#This Row],[Goal_assist]]="",1,0)</f>
        <v>#REF!</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t="e">
        <f>IF([1]!Table13[[#This Row],[Goal_assist]]="",1,0)</f>
        <v>#REF!</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t="e">
        <f>IF([1]!Table13[[#This Row],[Goal_assist]]="",1,0)</f>
        <v>#REF!</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t="e">
        <f>IF([1]!Table13[[#This Row],[Goal_assist]]="",1,0)</f>
        <v>#REF!</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t="e">
        <f>IF([1]!Table13[[#This Row],[Goal_assist]]="",1,0)</f>
        <v>#REF!</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t="e">
        <f>IF([1]!Table13[[#This Row],[Goal_assist]]="",1,0)</f>
        <v>#REF!</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t="e">
        <f>IF([1]!Table13[[#This Row],[Goal_assist]]="",1,0)</f>
        <v>#REF!</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t="e">
        <f>IF([1]!Table13[[#This Row],[Goal_assist]]="",1,0)</f>
        <v>#REF!</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t="e">
        <f>IF([1]!Table13[[#This Row],[Goal_assist]]="",1,0)</f>
        <v>#REF!</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t="e">
        <f>IF([1]!Table13[[#This Row],[Goal_assist]]="",1,0)</f>
        <v>#REF!</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t="e">
        <f>IF([1]!Table13[[#This Row],[Goal_assist]]="",1,0)</f>
        <v>#REF!</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t="e">
        <f>IF([1]!Table13[[#This Row],[Goal_assist]]="",1,0)</f>
        <v>#REF!</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t="e">
        <f>IF([1]!Table13[[#This Row],[Goal_assist]]="",1,0)</f>
        <v>#REF!</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t="e">
        <f>IF([1]!Table13[[#This Row],[Goal_assist]]="",1,0)</f>
        <v>#REF!</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t="e">
        <f>IF([1]!Table13[[#This Row],[Goal_assist]]="",1,0)</f>
        <v>#REF!</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t="e">
        <f>IF([1]!Table13[[#This Row],[Goal_assist]]="",1,0)</f>
        <v>#REF!</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t="e">
        <f>IF([1]!Table13[[#This Row],[Goal_assist]]="",1,0)</f>
        <v>#REF!</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t="e">
        <f>IF([1]!Table13[[#This Row],[Goal_assist]]="",1,0)</f>
        <v>#REF!</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t="e">
        <f>IF([1]!Table13[[#This Row],[Goal_assist]]="",1,0)</f>
        <v>#REF!</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t="e">
        <f>IF([1]!Table13[[#This Row],[Goal_assist]]="",1,0)</f>
        <v>#REF!</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t="e">
        <f>IF([1]!Table13[[#This Row],[Goal_assist]]="",1,0)</f>
        <v>#REF!</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t="e">
        <f>IF([1]!Table13[[#This Row],[Goal_assist]]="",1,0)</f>
        <v>#REF!</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t="e">
        <f>IF([1]!Table13[[#This Row],[Goal_assist]]="",1,0)</f>
        <v>#REF!</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t="e">
        <f>IF([1]!Table13[[#This Row],[Goal_assist]]="",1,0)</f>
        <v>#REF!</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t="e">
        <f>IF([1]!Table13[[#This Row],[Goal_assist]]="",1,0)</f>
        <v>#REF!</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t="e">
        <f>IF([1]!Table13[[#This Row],[Goal_assist]]="",1,0)</f>
        <v>#REF!</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t="e">
        <f>IF([1]!Table13[[#This Row],[Goal_assist]]="",1,0)</f>
        <v>#REF!</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t="e">
        <f>IF([1]!Table13[[#This Row],[Goal_assist]]="",1,0)</f>
        <v>#REF!</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t="e">
        <f>IF([1]!Table13[[#This Row],[Goal_assist]]="",1,0)</f>
        <v>#REF!</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t="e">
        <f>IF([1]!Table13[[#This Row],[Goal_assist]]="",1,0)</f>
        <v>#REF!</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t="e">
        <f>IF([1]!Table13[[#This Row],[Goal_assist]]="",1,0)</f>
        <v>#REF!</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t="e">
        <f>IF([1]!Table13[[#This Row],[Goal_assist]]="",1,0)</f>
        <v>#REF!</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t="e">
        <f>IF([1]!Table13[[#This Row],[Goal_assist]]="",1,0)</f>
        <v>#REF!</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t="e">
        <f>IF([1]!Table13[[#This Row],[Goal_assist]]="",1,0)</f>
        <v>#REF!</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t="e">
        <f>IF([1]!Table13[[#This Row],[Goal_assist]]="",1,0)</f>
        <v>#REF!</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t="e">
        <f>IF([1]!Table13[[#This Row],[Goal_assist]]="",1,0)</f>
        <v>#REF!</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t="e">
        <f>IF([1]!Table13[[#This Row],[Goal_assist]]="",1,0)</f>
        <v>#REF!</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t="e">
        <f>IF([1]!Table13[[#This Row],[Goal_assist]]="",1,0)</f>
        <v>#REF!</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t="e">
        <f>IF([1]!Table13[[#This Row],[Goal_assist]]="",1,0)</f>
        <v>#REF!</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t="e">
        <f>IF([1]!Table13[[#This Row],[Goal_assist]]="",1,0)</f>
        <v>#REF!</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t="e">
        <f>IF([1]!Table13[[#This Row],[Goal_assist]]="",1,0)</f>
        <v>#REF!</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t="e">
        <f>IF([1]!Table13[[#This Row],[Goal_assist]]="",1,0)</f>
        <v>#REF!</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t="e">
        <f>IF([1]!Table13[[#This Row],[Goal_assist]]="",1,0)</f>
        <v>#REF!</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t="e">
        <f>IF([1]!Table13[[#This Row],[Goal_assist]]="",1,0)</f>
        <v>#REF!</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t="e">
        <f>IF([1]!Table13[[#This Row],[Goal_assist]]="",1,0)</f>
        <v>#REF!</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t="e">
        <f>IF([1]!Table13[[#This Row],[Goal_assist]]="",1,0)</f>
        <v>#REF!</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t="e">
        <f>IF([1]!Table13[[#This Row],[Goal_assist]]="",1,0)</f>
        <v>#REF!</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t="e">
        <f>IF([1]!Table13[[#This Row],[Goal_assist]]="",1,0)</f>
        <v>#REF!</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t="e">
        <f>IF([1]!Table13[[#This Row],[Goal_assist]]="",1,0)</f>
        <v>#REF!</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t="e">
        <f>IF([1]!Table13[[#This Row],[Goal_assist]]="",1,0)</f>
        <v>#REF!</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t="e">
        <f>IF([1]!Table13[[#This Row],[Goal_assist]]="",1,0)</f>
        <v>#REF!</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t="e">
        <f>IF([1]!Table13[[#This Row],[Goal_assist]]="",1,0)</f>
        <v>#REF!</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t="e">
        <f>IF([1]!Table13[[#This Row],[Goal_assist]]="",1,0)</f>
        <v>#REF!</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t="e">
        <f>IF([1]!Table13[[#This Row],[Goal_assist]]="",1,0)</f>
        <v>#REF!</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t="e">
        <f>IF([1]!Table13[[#This Row],[Goal_assist]]="",1,0)</f>
        <v>#REF!</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t="e">
        <f>IF([1]!Table13[[#This Row],[Goal_assist]]="",1,0)</f>
        <v>#REF!</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t="e">
        <f>IF([1]!Table13[[#This Row],[Goal_assist]]="",1,0)</f>
        <v>#REF!</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t="e">
        <f>IF([1]!Table13[[#This Row],[Goal_assist]]="",1,0)</f>
        <v>#REF!</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t="e">
        <f>IF([1]!Table13[[#This Row],[Goal_assist]]="",1,0)</f>
        <v>#REF!</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t="e">
        <f>IF([1]!Table13[[#This Row],[Goal_assist]]="",1,0)</f>
        <v>#REF!</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t="e">
        <f>IF([1]!Table13[[#This Row],[Goal_assist]]="",1,0)</f>
        <v>#REF!</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t="e">
        <f>IF([1]!Table13[[#This Row],[Goal_assist]]="",1,0)</f>
        <v>#REF!</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t="e">
        <f>IF([1]!Table13[[#This Row],[Goal_assist]]="",1,0)</f>
        <v>#REF!</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t="e">
        <f>IF([1]!Table13[[#This Row],[Goal_assist]]="",1,0)</f>
        <v>#REF!</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t="e">
        <f>IF([1]!Table13[[#This Row],[Goal_assist]]="",1,0)</f>
        <v>#REF!</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t="e">
        <f>IF([1]!Table13[[#This Row],[Goal_assist]]="",1,0)</f>
        <v>#REF!</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t="e">
        <f>IF([1]!Table13[[#This Row],[Goal_assist]]="",1,0)</f>
        <v>#REF!</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t="e">
        <f>IF([1]!Table13[[#This Row],[Goal_assist]]="",1,0)</f>
        <v>#REF!</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t="e">
        <f>IF([1]!Table13[[#This Row],[Goal_assist]]="",1,0)</f>
        <v>#REF!</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t="e">
        <f>IF([1]!Table13[[#This Row],[Goal_assist]]="",1,0)</f>
        <v>#REF!</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t="e">
        <f>IF([1]!Table13[[#This Row],[Goal_assist]]="",1,0)</f>
        <v>#REF!</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t="e">
        <f>IF([1]!Table13[[#This Row],[Goal_assist]]="",1,0)</f>
        <v>#REF!</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t="e">
        <f>IF([1]!Table13[[#This Row],[Goal_assist]]="",1,0)</f>
        <v>#REF!</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t="e">
        <f>IF([1]!Table13[[#This Row],[Goal_assist]]="",1,0)</f>
        <v>#REF!</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t="e">
        <f>IF([1]!Table13[[#This Row],[Goal_assist]]="",1,0)</f>
        <v>#REF!</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t="e">
        <f>IF([1]!Table13[[#This Row],[Goal_assist]]="",1,0)</f>
        <v>#REF!</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t="e">
        <f>IF([1]!Table13[[#This Row],[Goal_assist]]="",1,0)</f>
        <v>#REF!</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t="e">
        <f>IF([1]!Table13[[#This Row],[Goal_assist]]="",1,0)</f>
        <v>#REF!</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t="e">
        <f>IF([1]!Table13[[#This Row],[Goal_assist]]="",1,0)</f>
        <v>#REF!</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t="e">
        <f>IF([1]!Table13[[#This Row],[Goal_assist]]="",1,0)</f>
        <v>#REF!</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t="e">
        <f>IF([1]!Table13[[#This Row],[Goal_assist]]="",1,0)</f>
        <v>#REF!</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t="e">
        <f>IF([1]!Table13[[#This Row],[Goal_assist]]="",1,0)</f>
        <v>#REF!</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t="e">
        <f>IF([1]!Table13[[#This Row],[Goal_assist]]="",1,0)</f>
        <v>#REF!</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t="e">
        <f>IF([1]!Table13[[#This Row],[Goal_assist]]="",1,0)</f>
        <v>#REF!</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t="e">
        <f>IF([1]!Table13[[#This Row],[Goal_assist]]="",1,0)</f>
        <v>#REF!</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t="e">
        <f>IF([1]!Table13[[#This Row],[Goal_assist]]="",1,0)</f>
        <v>#REF!</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t="e">
        <f>IF([1]!Table13[[#This Row],[Goal_assist]]="",1,0)</f>
        <v>#REF!</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t="e">
        <f>IF([1]!Table13[[#This Row],[Goal_assist]]="",1,0)</f>
        <v>#REF!</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t="e">
        <f>IF([1]!Table13[[#This Row],[Goal_assist]]="",1,0)</f>
        <v>#REF!</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t="e">
        <f>IF([1]!Table13[[#This Row],[Goal_assist]]="",1,0)</f>
        <v>#REF!</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t="e">
        <f>IF([1]!Table13[[#This Row],[Goal_assist]]="",1,0)</f>
        <v>#REF!</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t="e">
        <f>IF([1]!Table13[[#This Row],[Goal_assist]]="",1,0)</f>
        <v>#REF!</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t="e">
        <f>IF([1]!Table13[[#This Row],[Goal_assist]]="",1,0)</f>
        <v>#REF!</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t="e">
        <f>IF([1]!Table13[[#This Row],[Goal_assist]]="",1,0)</f>
        <v>#REF!</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t="e">
        <f>IF([1]!Table13[[#This Row],[Goal_assist]]="",1,0)</f>
        <v>#REF!</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t="e">
        <f>IF([1]!Table13[[#This Row],[Goal_assist]]="",1,0)</f>
        <v>#REF!</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t="e">
        <f>IF([1]!Table13[[#This Row],[Goal_assist]]="",1,0)</f>
        <v>#REF!</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t="e">
        <f>IF([1]!Table13[[#This Row],[Goal_assist]]="",1,0)</f>
        <v>#REF!</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t="e">
        <f>IF([1]!Table13[[#This Row],[Goal_assist]]="",1,0)</f>
        <v>#REF!</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t="e">
        <f>IF([1]!Table13[[#This Row],[Goal_assist]]="",1,0)</f>
        <v>#REF!</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t="e">
        <f>IF([1]!Table13[[#This Row],[Goal_assist]]="",1,0)</f>
        <v>#REF!</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t="e">
        <f>IF([1]!Table13[[#This Row],[Goal_assist]]="",1,0)</f>
        <v>#REF!</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t="e">
        <f>IF([1]!Table13[[#This Row],[Goal_assist]]="",1,0)</f>
        <v>#REF!</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t="e">
        <f>IF([1]!Table13[[#This Row],[Goal_assist]]="",1,0)</f>
        <v>#REF!</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t="e">
        <f>IF([1]!Table13[[#This Row],[Goal_assist]]="",1,0)</f>
        <v>#REF!</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t="e">
        <f>IF([1]!Table13[[#This Row],[Goal_assist]]="",1,0)</f>
        <v>#REF!</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t="e">
        <f>IF([1]!Table13[[#This Row],[Goal_assist]]="",1,0)</f>
        <v>#REF!</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t="e">
        <f>IF([1]!Table13[[#This Row],[Goal_assist]]="",1,0)</f>
        <v>#REF!</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t="e">
        <f>IF([1]!Table13[[#This Row],[Goal_assist]]="",1,0)</f>
        <v>#REF!</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t="e">
        <f>IF([1]!Table13[[#This Row],[Goal_assist]]="",1,0)</f>
        <v>#REF!</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t="e">
        <f>IF([1]!Table13[[#This Row],[Goal_assist]]="",1,0)</f>
        <v>#REF!</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t="e">
        <f>IF([1]!Table13[[#This Row],[Goal_assist]]="",1,0)</f>
        <v>#REF!</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t="e">
        <f>IF([1]!Table13[[#This Row],[Goal_assist]]="",1,0)</f>
        <v>#REF!</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t="e">
        <f>IF([1]!Table13[[#This Row],[Goal_assist]]="",1,0)</f>
        <v>#REF!</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t="e">
        <f>IF([1]!Table13[[#This Row],[Goal_assist]]="",1,0)</f>
        <v>#REF!</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t="e">
        <f>IF([1]!Table13[[#This Row],[Goal_assist]]="",1,0)</f>
        <v>#REF!</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t="e">
        <f>IF([1]!Table13[[#This Row],[Goal_assist]]="",1,0)</f>
        <v>#REF!</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t="e">
        <f>IF([1]!Table13[[#This Row],[Goal_assist]]="",1,0)</f>
        <v>#REF!</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t="e">
        <f>IF([1]!Table13[[#This Row],[Goal_assist]]="",1,0)</f>
        <v>#REF!</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t="e">
        <f>IF([1]!Table13[[#This Row],[Goal_assist]]="",1,0)</f>
        <v>#REF!</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t="e">
        <f>IF([1]!Table13[[#This Row],[Goal_assist]]="",1,0)</f>
        <v>#REF!</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t="e">
        <f>IF([1]!Table13[[#This Row],[Goal_assist]]="",1,0)</f>
        <v>#REF!</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t="e">
        <f>IF([1]!Table13[[#This Row],[Goal_assist]]="",1,0)</f>
        <v>#REF!</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t="e">
        <f>IF([1]!Table13[[#This Row],[Goal_assist]]="",1,0)</f>
        <v>#REF!</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t="e">
        <f>IF([1]!Table13[[#This Row],[Goal_assist]]="",1,0)</f>
        <v>#REF!</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t="e">
        <f>IF([1]!Table13[[#This Row],[Goal_assist]]="",1,0)</f>
        <v>#REF!</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t="e">
        <f>IF([1]!Table13[[#This Row],[Goal_assist]]="",1,0)</f>
        <v>#REF!</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t="e">
        <f>IF([1]!Table13[[#This Row],[Goal_assist]]="",1,0)</f>
        <v>#REF!</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t="e">
        <f>IF([1]!Table13[[#This Row],[Goal_assist]]="",1,0)</f>
        <v>#REF!</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t="e">
        <f>IF([1]!Table13[[#This Row],[Goal_assist]]="",1,0)</f>
        <v>#REF!</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t="e">
        <f>IF([1]!Table13[[#This Row],[Goal_assist]]="",1,0)</f>
        <v>#REF!</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t="e">
        <f>IF([1]!Table13[[#This Row],[Goal_assist]]="",1,0)</f>
        <v>#REF!</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t="e">
        <f>IF([1]!Table13[[#This Row],[Goal_assist]]="",1,0)</f>
        <v>#REF!</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t="e">
        <f>IF([1]!Table13[[#This Row],[Goal_assist]]="",1,0)</f>
        <v>#REF!</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t="e">
        <f>IF([1]!Table13[[#This Row],[Goal_assist]]="",1,0)</f>
        <v>#REF!</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t="e">
        <f>IF([1]!Table13[[#This Row],[Goal_assist]]="",1,0)</f>
        <v>#REF!</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t="e">
        <f>IF([1]!Table13[[#This Row],[Goal_assist]]="",1,0)</f>
        <v>#REF!</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t="e">
        <f>IF([1]!Table13[[#This Row],[Goal_assist]]="",1,0)</f>
        <v>#REF!</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t="e">
        <f>IF([1]!Table13[[#This Row],[Goal_assist]]="",1,0)</f>
        <v>#REF!</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t="e">
        <f>IF([1]!Table13[[#This Row],[Goal_assist]]="",1,0)</f>
        <v>#REF!</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t="e">
        <f>IF([1]!Table13[[#This Row],[Goal_assist]]="",1,0)</f>
        <v>#REF!</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t="e">
        <f>IF([1]!Table13[[#This Row],[Goal_assist]]="",1,0)</f>
        <v>#REF!</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t="e">
        <f>IF([1]!Table13[[#This Row],[Goal_assist]]="",1,0)</f>
        <v>#REF!</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t="e">
        <f>IF([1]!Table13[[#This Row],[Goal_assist]]="",1,0)</f>
        <v>#REF!</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t="e">
        <f>IF([1]!Table13[[#This Row],[Goal_assist]]="",1,0)</f>
        <v>#REF!</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t="e">
        <f>IF([1]!Table13[[#This Row],[Goal_assist]]="",1,0)</f>
        <v>#REF!</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t="e">
        <f>IF([1]!Table13[[#This Row],[Goal_assist]]="",1,0)</f>
        <v>#REF!</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t="e">
        <f>IF([1]!Table13[[#This Row],[Goal_assist]]="",1,0)</f>
        <v>#REF!</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t="e">
        <f>IF([1]!Table13[[#This Row],[Goal_assist]]="",1,0)</f>
        <v>#REF!</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t="e">
        <f>IF([1]!Table13[[#This Row],[Goal_assist]]="",1,0)</f>
        <v>#REF!</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t="e">
        <f>IF([1]!Table13[[#This Row],[Goal_assist]]="",1,0)</f>
        <v>#REF!</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t="e">
        <f>IF([1]!Table13[[#This Row],[Goal_assist]]="",1,0)</f>
        <v>#REF!</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t="e">
        <f>IF([1]!Table13[[#This Row],[Goal_assist]]="",1,0)</f>
        <v>#REF!</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t="e">
        <f>IF([1]!Table13[[#This Row],[Goal_assist]]="",1,0)</f>
        <v>#REF!</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t="e">
        <f>IF([1]!Table13[[#This Row],[Goal_assist]]="",1,0)</f>
        <v>#REF!</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t="e">
        <f>IF([1]!Table13[[#This Row],[Goal_assist]]="",1,0)</f>
        <v>#REF!</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t="e">
        <f>IF([1]!Table13[[#This Row],[Goal_assist]]="",1,0)</f>
        <v>#REF!</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t="e">
        <f>IF([1]!Table13[[#This Row],[Goal_assist]]="",1,0)</f>
        <v>#REF!</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t="e">
        <f>IF([1]!Table13[[#This Row],[Goal_assist]]="",1,0)</f>
        <v>#REF!</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t="e">
        <f>IF([1]!Table13[[#This Row],[Goal_assist]]="",1,0)</f>
        <v>#REF!</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t="e">
        <f>IF([1]!Table13[[#This Row],[Goal_assist]]="",1,0)</f>
        <v>#REF!</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t="e">
        <f>IF([1]!Table13[[#This Row],[Goal_assist]]="",1,0)</f>
        <v>#REF!</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t="e">
        <f>IF([1]!Table13[[#This Row],[Goal_assist]]="",1,0)</f>
        <v>#REF!</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t="e">
        <f>IF([1]!Table13[[#This Row],[Goal_assist]]="",1,0)</f>
        <v>#REF!</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t="e">
        <f>IF([1]!Table13[[#This Row],[Goal_assist]]="",1,0)</f>
        <v>#REF!</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t="e">
        <f>IF([1]!Table13[[#This Row],[Goal_assist]]="",1,0)</f>
        <v>#REF!</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t="e">
        <f>IF([1]!Table13[[#This Row],[Goal_assist]]="",1,0)</f>
        <v>#REF!</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t="e">
        <f>IF([1]!Table13[[#This Row],[Goal_assist]]="",1,0)</f>
        <v>#REF!</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t="e">
        <f>IF([1]!Table13[[#This Row],[Goal_assist]]="",1,0)</f>
        <v>#REF!</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t="e">
        <f>IF([1]!Table13[[#This Row],[Goal_assist]]="",1,0)</f>
        <v>#REF!</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t="e">
        <f>IF([1]!Table13[[#This Row],[Goal_assist]]="",1,0)</f>
        <v>#REF!</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t="e">
        <f>IF([1]!Table13[[#This Row],[Goal_assist]]="",1,0)</f>
        <v>#REF!</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t="e">
        <f>IF([1]!Table13[[#This Row],[Goal_assist]]="",1,0)</f>
        <v>#REF!</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t="e">
        <f>IF([1]!Table13[[#This Row],[Goal_assist]]="",1,0)</f>
        <v>#REF!</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t="e">
        <f>IF([1]!Table13[[#This Row],[Goal_assist]]="",1,0)</f>
        <v>#REF!</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t="e">
        <f>IF([1]!Table13[[#This Row],[Goal_assist]]="",1,0)</f>
        <v>#REF!</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t="e">
        <f>IF([1]!Table13[[#This Row],[Goal_assist]]="",1,0)</f>
        <v>#REF!</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t="e">
        <f>IF([1]!Table13[[#This Row],[Goal_assist]]="",1,0)</f>
        <v>#REF!</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t="e">
        <f>IF([1]!Table13[[#This Row],[Goal_assist]]="",1,0)</f>
        <v>#REF!</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t="e">
        <f>IF([1]!Table13[[#This Row],[Goal_assist]]="",1,0)</f>
        <v>#REF!</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t="e">
        <f>IF([1]!Table13[[#This Row],[Goal_assist]]="",1,0)</f>
        <v>#REF!</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t="e">
        <f>IF([1]!Table13[[#This Row],[Goal_assist]]="",1,0)</f>
        <v>#REF!</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t="e">
        <f>IF([1]!Table13[[#This Row],[Goal_assist]]="",1,0)</f>
        <v>#REF!</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t="e">
        <f>IF([1]!Table13[[#This Row],[Goal_assist]]="",1,0)</f>
        <v>#REF!</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t="e">
        <f>IF([1]!Table13[[#This Row],[Goal_assist]]="",1,0)</f>
        <v>#REF!</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t="e">
        <f>IF([1]!Table13[[#This Row],[Goal_assist]]="",1,0)</f>
        <v>#REF!</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t="e">
        <f>IF([1]!Table13[[#This Row],[Goal_assist]]="",1,0)</f>
        <v>#REF!</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t="e">
        <f>IF([1]!Table13[[#This Row],[Goal_assist]]="",1,0)</f>
        <v>#REF!</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t="e">
        <f>IF([1]!Table13[[#This Row],[Goal_assist]]="",1,0)</f>
        <v>#REF!</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t="e">
        <f>IF([1]!Table13[[#This Row],[Goal_assist]]="",1,0)</f>
        <v>#REF!</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t="e">
        <f>IF([1]!Table13[[#This Row],[Goal_assist]]="",1,0)</f>
        <v>#REF!</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t="e">
        <f>IF([1]!Table13[[#This Row],[Goal_assist]]="",1,0)</f>
        <v>#REF!</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t="e">
        <f>IF([1]!Table13[[#This Row],[Goal_assist]]="",1,0)</f>
        <v>#REF!</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t="e">
        <f>IF([1]!Table13[[#This Row],[Goal_assist]]="",1,0)</f>
        <v>#REF!</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t="e">
        <f>IF([1]!Table13[[#This Row],[Goal_assist]]="",1,0)</f>
        <v>#REF!</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t="e">
        <f>IF([1]!Table13[[#This Row],[Goal_assist]]="",1,0)</f>
        <v>#REF!</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t="e">
        <f>IF([1]!Table13[[#This Row],[Goal_assist]]="",1,0)</f>
        <v>#REF!</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t="e">
        <f>IF([1]!Table13[[#This Row],[Goal_assist]]="",1,0)</f>
        <v>#REF!</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t="e">
        <f>IF([1]!Table13[[#This Row],[Goal_assist]]="",1,0)</f>
        <v>#REF!</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t="e">
        <f>IF([1]!Table13[[#This Row],[Goal_assist]]="",1,0)</f>
        <v>#REF!</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t="e">
        <f>IF([1]!Table13[[#This Row],[Goal_assist]]="",1,0)</f>
        <v>#REF!</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t="e">
        <f>IF([1]!Table13[[#This Row],[Goal_assist]]="",1,0)</f>
        <v>#REF!</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t="e">
        <f>IF([1]!Table13[[#This Row],[Goal_assist]]="",1,0)</f>
        <v>#REF!</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t="e">
        <f>IF([1]!Table13[[#This Row],[Goal_assist]]="",1,0)</f>
        <v>#REF!</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t="e">
        <f>IF([1]!Table13[[#This Row],[Goal_assist]]="",1,0)</f>
        <v>#REF!</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t="e">
        <f>IF([1]!Table13[[#This Row],[Goal_assist]]="",1,0)</f>
        <v>#REF!</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t="e">
        <f>IF([1]!Table13[[#This Row],[Goal_assist]]="",1,0)</f>
        <v>#REF!</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t="e">
        <f>IF([1]!Table13[[#This Row],[Goal_assist]]="",1,0)</f>
        <v>#REF!</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t="e">
        <f>IF([1]!Table13[[#This Row],[Goal_assist]]="",1,0)</f>
        <v>#REF!</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t="e">
        <f>IF([1]!Table13[[#This Row],[Goal_assist]]="",1,0)</f>
        <v>#REF!</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t="e">
        <f>IF([1]!Table13[[#This Row],[Goal_assist]]="",1,0)</f>
        <v>#REF!</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t="e">
        <f>IF([1]!Table13[[#This Row],[Goal_assist]]="",1,0)</f>
        <v>#REF!</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t="e">
        <f>IF([1]!Table13[[#This Row],[Goal_assist]]="",1,0)</f>
        <v>#REF!</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t="e">
        <f>IF([1]!Table13[[#This Row],[Goal_assist]]="",1,0)</f>
        <v>#REF!</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t="e">
        <f>IF([1]!Table13[[#This Row],[Goal_assist]]="",1,0)</f>
        <v>#REF!</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t="e">
        <f>IF([1]!Table13[[#This Row],[Goal_assist]]="",1,0)</f>
        <v>#REF!</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t="e">
        <f>IF([1]!Table13[[#This Row],[Goal_assist]]="",1,0)</f>
        <v>#REF!</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t="e">
        <f>IF([1]!Table13[[#This Row],[Goal_assist]]="",1,0)</f>
        <v>#REF!</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t="e">
        <f>IF([1]!Table13[[#This Row],[Goal_assist]]="",1,0)</f>
        <v>#REF!</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t="e">
        <f>IF([1]!Table13[[#This Row],[Goal_assist]]="",1,0)</f>
        <v>#REF!</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t="e">
        <f>IF([1]!Table13[[#This Row],[Goal_assist]]="",1,0)</f>
        <v>#REF!</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t="e">
        <f>IF([1]!Table13[[#This Row],[Goal_assist]]="",1,0)</f>
        <v>#REF!</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t="e">
        <f>IF([1]!Table13[[#This Row],[Goal_assist]]="",1,0)</f>
        <v>#REF!</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t="e">
        <f>IF([1]!Table13[[#This Row],[Goal_assist]]="",1,0)</f>
        <v>#REF!</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t="e">
        <f>IF([1]!Table13[[#This Row],[Goal_assist]]="",1,0)</f>
        <v>#REF!</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t="e">
        <f>IF([1]!Table13[[#This Row],[Goal_assist]]="",1,0)</f>
        <v>#REF!</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t="e">
        <f>IF([1]!Table13[[#This Row],[Goal_assist]]="",1,0)</f>
        <v>#REF!</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t="e">
        <f>IF([1]!Table13[[#This Row],[Goal_assist]]="",1,0)</f>
        <v>#REF!</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t="e">
        <f>IF([1]!Table13[[#This Row],[Goal_assist]]="",1,0)</f>
        <v>#REF!</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t="e">
        <f>IF([1]!Table13[[#This Row],[Goal_assist]]="",1,0)</f>
        <v>#REF!</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t="e">
        <f>IF([1]!Table13[[#This Row],[Goal_assist]]="",1,0)</f>
        <v>#REF!</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t="e">
        <f>IF([1]!Table13[[#This Row],[Goal_assist]]="",1,0)</f>
        <v>#REF!</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t="e">
        <f>IF([1]!Table13[[#This Row],[Goal_assist]]="",1,0)</f>
        <v>#REF!</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t="e">
        <f>IF([1]!Table13[[#This Row],[Goal_assist]]="",1,0)</f>
        <v>#REF!</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t="e">
        <f>IF([1]!Table13[[#This Row],[Goal_assist]]="",1,0)</f>
        <v>#REF!</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t="e">
        <f>IF([1]!Table13[[#This Row],[Goal_assist]]="",1,0)</f>
        <v>#REF!</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t="e">
        <f>IF([1]!Table13[[#This Row],[Goal_assist]]="",1,0)</f>
        <v>#REF!</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t="e">
        <f>IF([1]!Table13[[#This Row],[Goal_assist]]="",1,0)</f>
        <v>#REF!</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t="e">
        <f>IF([1]!Table13[[#This Row],[Goal_assist]]="",1,0)</f>
        <v>#REF!</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t="e">
        <f>IF([1]!Table13[[#This Row],[Goal_assist]]="",1,0)</f>
        <v>#REF!</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t="e">
        <f>IF([1]!Table13[[#This Row],[Goal_assist]]="",1,0)</f>
        <v>#REF!</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t="e">
        <f>IF([1]!Table13[[#This Row],[Goal_assist]]="",1,0)</f>
        <v>#REF!</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t="e">
        <f>IF([1]!Table13[[#This Row],[Goal_assist]]="",1,0)</f>
        <v>#REF!</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t="e">
        <f>IF([1]!Table13[[#This Row],[Goal_assist]]="",1,0)</f>
        <v>#REF!</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t="e">
        <f>IF([1]!Table13[[#This Row],[Goal_assist]]="",1,0)</f>
        <v>#REF!</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t="e">
        <f>IF([1]!Table13[[#This Row],[Goal_assist]]="",1,0)</f>
        <v>#REF!</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t="e">
        <f>IF([1]!Table13[[#This Row],[Goal_assist]]="",1,0)</f>
        <v>#REF!</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t="e">
        <f>IF([1]!Table13[[#This Row],[Goal_assist]]="",1,0)</f>
        <v>#REF!</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t="e">
        <f>IF([1]!Table13[[#This Row],[Goal_assist]]="",1,0)</f>
        <v>#REF!</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t="e">
        <f>IF([1]!Table13[[#This Row],[Goal_assist]]="",1,0)</f>
        <v>#REF!</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t="e">
        <f>IF([1]!Table13[[#This Row],[Goal_assist]]="",1,0)</f>
        <v>#REF!</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t="e">
        <f>IF([1]!Table13[[#This Row],[Goal_assist]]="",1,0)</f>
        <v>#REF!</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t="e">
        <f>IF([1]!Table13[[#This Row],[Goal_assist]]="",1,0)</f>
        <v>#REF!</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t="e">
        <f>IF([1]!Table13[[#This Row],[Goal_assist]]="",1,0)</f>
        <v>#REF!</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t="e">
        <f>IF([1]!Table13[[#This Row],[Goal_assist]]="",1,0)</f>
        <v>#REF!</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t="e">
        <f>IF([1]!Table13[[#This Row],[Goal_assist]]="",1,0)</f>
        <v>#REF!</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t="e">
        <f>IF([1]!Table13[[#This Row],[Goal_assist]]="",1,0)</f>
        <v>#REF!</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t="e">
        <f>IF([1]!Table13[[#This Row],[Goal_assist]]="",1,0)</f>
        <v>#REF!</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t="e">
        <f>IF([1]!Table13[[#This Row],[Goal_assist]]="",1,0)</f>
        <v>#REF!</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t="e">
        <f>IF([1]!Table13[[#This Row],[Goal_assist]]="",1,0)</f>
        <v>#REF!</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t="e">
        <f>IF([1]!Table13[[#This Row],[Goal_assist]]="",1,0)</f>
        <v>#REF!</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t="e">
        <f>IF([1]!Table13[[#This Row],[Goal_assist]]="",1,0)</f>
        <v>#REF!</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t="e">
        <f>IF([1]!Table13[[#This Row],[Goal_assist]]="",1,0)</f>
        <v>#REF!</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t="e">
        <f>IF([1]!Table13[[#This Row],[Goal_assist]]="",1,0)</f>
        <v>#REF!</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t="e">
        <f>IF([1]!Table13[[#This Row],[Goal_assist]]="",1,0)</f>
        <v>#REF!</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t="e">
        <f>IF([1]!Table13[[#This Row],[Goal_assist]]="",1,0)</f>
        <v>#REF!</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t="e">
        <f>IF([1]!Table13[[#This Row],[Goal_assist]]="",1,0)</f>
        <v>#REF!</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t="e">
        <f>IF([1]!Table13[[#This Row],[Goal_assist]]="",1,0)</f>
        <v>#REF!</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t="e">
        <f>IF([1]!Table13[[#This Row],[Goal_assist]]="",1,0)</f>
        <v>#REF!</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t="e">
        <f>IF([1]!Table13[[#This Row],[Goal_assist]]="",1,0)</f>
        <v>#REF!</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t="e">
        <f>IF([1]!Table13[[#This Row],[Goal_assist]]="",1,0)</f>
        <v>#REF!</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t="e">
        <f>IF([1]!Table13[[#This Row],[Goal_assist]]="",1,0)</f>
        <v>#REF!</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t="e">
        <f>IF([1]!Table13[[#This Row],[Goal_assist]]="",1,0)</f>
        <v>#REF!</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t="e">
        <f>IF([1]!Table13[[#This Row],[Goal_assist]]="",1,0)</f>
        <v>#REF!</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t="e">
        <f>IF([1]!Table13[[#This Row],[Goal_assist]]="",1,0)</f>
        <v>#REF!</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t="e">
        <f>IF([1]!Table13[[#This Row],[Goal_assist]]="",1,0)</f>
        <v>#REF!</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t="e">
        <f>IF([1]!Table13[[#This Row],[Goal_assist]]="",1,0)</f>
        <v>#REF!</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t="e">
        <f>IF([1]!Table13[[#This Row],[Goal_assist]]="",1,0)</f>
        <v>#REF!</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t="e">
        <f>IF([1]!Table13[[#This Row],[Goal_assist]]="",1,0)</f>
        <v>#REF!</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t="e">
        <f>IF([1]!Table13[[#This Row],[Goal_assist]]="",1,0)</f>
        <v>#REF!</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t="e">
        <f>IF([1]!Table13[[#This Row],[Goal_assist]]="",1,0)</f>
        <v>#REF!</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t="e">
        <f>IF([1]!Table13[[#This Row],[Goal_assist]]="",1,0)</f>
        <v>#REF!</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t="e">
        <f>IF([1]!Table13[[#This Row],[Goal_assist]]="",1,0)</f>
        <v>#REF!</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t="e">
        <f>IF([1]!Table13[[#This Row],[Goal_assist]]="",1,0)</f>
        <v>#REF!</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t="e">
        <f>IF([1]!Table13[[#This Row],[Goal_assist]]="",1,0)</f>
        <v>#REF!</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t="e">
        <f>IF([1]!Table13[[#This Row],[Goal_assist]]="",1,0)</f>
        <v>#REF!</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t="e">
        <f>IF([1]!Table13[[#This Row],[Goal_assist]]="",1,0)</f>
        <v>#REF!</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t="e">
        <f>IF([1]!Table13[[#This Row],[Goal_assist]]="",1,0)</f>
        <v>#REF!</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t="e">
        <f>IF([1]!Table13[[#This Row],[Goal_assist]]="",1,0)</f>
        <v>#REF!</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t="e">
        <f>IF([1]!Table13[[#This Row],[Goal_assist]]="",1,0)</f>
        <v>#REF!</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t="e">
        <f>IF([1]!Table13[[#This Row],[Goal_assist]]="",1,0)</f>
        <v>#REF!</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t="e">
        <f>IF([1]!Table13[[#This Row],[Goal_assist]]="",1,0)</f>
        <v>#REF!</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t="e">
        <f>IF([1]!Table13[[#This Row],[Goal_assist]]="",1,0)</f>
        <v>#REF!</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t="e">
        <f>IF([1]!Table13[[#This Row],[Goal_assist]]="",1,0)</f>
        <v>#REF!</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t="e">
        <f>IF([1]!Table13[[#This Row],[Goal_assist]]="",1,0)</f>
        <v>#REF!</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t="e">
        <f>IF([1]!Table13[[#This Row],[Goal_assist]]="",1,0)</f>
        <v>#REF!</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t="e">
        <f>IF([1]!Table13[[#This Row],[Goal_assist]]="",1,0)</f>
        <v>#REF!</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t="e">
        <f>IF([1]!Table13[[#This Row],[Goal_assist]]="",1,0)</f>
        <v>#REF!</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t="e">
        <f>IF([1]!Table13[[#This Row],[Goal_assist]]="",1,0)</f>
        <v>#REF!</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t="e">
        <f>IF([1]!Table13[[#This Row],[Goal_assist]]="",1,0)</f>
        <v>#REF!</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t="e">
        <f>IF([1]!Table13[[#This Row],[Goal_assist]]="",1,0)</f>
        <v>#REF!</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t="e">
        <f>IF([1]!Table13[[#This Row],[Goal_assist]]="",1,0)</f>
        <v>#REF!</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t="e">
        <f>IF([1]!Table13[[#This Row],[Goal_assist]]="",1,0)</f>
        <v>#REF!</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t="e">
        <f>IF([1]!Table13[[#This Row],[Goal_assist]]="",1,0)</f>
        <v>#REF!</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t="e">
        <f>IF([1]!Table13[[#This Row],[Goal_assist]]="",1,0)</f>
        <v>#REF!</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t="e">
        <f>IF([1]!Table13[[#This Row],[Goal_assist]]="",1,0)</f>
        <v>#REF!</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t="e">
        <f>IF([1]!Table13[[#This Row],[Goal_assist]]="",1,0)</f>
        <v>#REF!</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t="e">
        <f>IF([1]!Table13[[#This Row],[Goal_assist]]="",1,0)</f>
        <v>#REF!</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t="e">
        <f>IF([1]!Table13[[#This Row],[Goal_assist]]="",1,0)</f>
        <v>#REF!</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t="e">
        <f>IF([1]!Table13[[#This Row],[Goal_assist]]="",1,0)</f>
        <v>#REF!</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t="e">
        <f>IF([1]!Table13[[#This Row],[Goal_assist]]="",1,0)</f>
        <v>#REF!</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t="e">
        <f>IF([1]!Table13[[#This Row],[Goal_assist]]="",1,0)</f>
        <v>#REF!</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t="e">
        <f>IF([1]!Table13[[#This Row],[Goal_assist]]="",1,0)</f>
        <v>#REF!</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t="e">
        <f>IF([1]!Table13[[#This Row],[Goal_assist]]="",1,0)</f>
        <v>#REF!</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t="e">
        <f>IF([1]!Table13[[#This Row],[Goal_assist]]="",1,0)</f>
        <v>#REF!</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t="e">
        <f>IF([1]!Table13[[#This Row],[Goal_assist]]="",1,0)</f>
        <v>#REF!</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t="e">
        <f>IF([1]!Table13[[#This Row],[Goal_assist]]="",1,0)</f>
        <v>#REF!</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t="e">
        <f>IF([1]!Table13[[#This Row],[Goal_assist]]="",1,0)</f>
        <v>#REF!</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t="e">
        <f>IF([1]!Table13[[#This Row],[Goal_assist]]="",1,0)</f>
        <v>#REF!</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t="e">
        <f>IF([1]!Table13[[#This Row],[Goal_assist]]="",1,0)</f>
        <v>#REF!</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t="e">
        <f>IF([1]!Table13[[#This Row],[Goal_assist]]="",1,0)</f>
        <v>#REF!</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t="e">
        <f>IF([1]!Table13[[#This Row],[Goal_assist]]="",1,0)</f>
        <v>#REF!</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t="e">
        <f>IF([1]!Table13[[#This Row],[Goal_assist]]="",1,0)</f>
        <v>#REF!</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t="e">
        <f>IF([1]!Table13[[#This Row],[Goal_assist]]="",1,0)</f>
        <v>#REF!</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t="e">
        <f>IF([1]!Table13[[#This Row],[Goal_assist]]="",1,0)</f>
        <v>#REF!</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t="e">
        <f>IF([1]!Table13[[#This Row],[Goal_assist]]="",1,0)</f>
        <v>#REF!</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t="e">
        <f>IF([1]!Table13[[#This Row],[Goal_assist]]="",1,0)</f>
        <v>#REF!</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t="e">
        <f>IF([1]!Table13[[#This Row],[Goal_assist]]="",1,0)</f>
        <v>#REF!</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t="e">
        <f>IF([1]!Table13[[#This Row],[Goal_assist]]="",1,0)</f>
        <v>#REF!</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t="e">
        <f>IF([1]!Table13[[#This Row],[Goal_assist]]="",1,0)</f>
        <v>#REF!</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t="e">
        <f>IF([1]!Table13[[#This Row],[Goal_assist]]="",1,0)</f>
        <v>#REF!</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t="e">
        <f>IF([1]!Table13[[#This Row],[Goal_assist]]="",1,0)</f>
        <v>#REF!</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t="e">
        <f>IF([1]!Table13[[#This Row],[Goal_assist]]="",1,0)</f>
        <v>#REF!</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t="e">
        <f>IF([1]!Table13[[#This Row],[Goal_assist]]="",1,0)</f>
        <v>#REF!</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t="e">
        <f>IF([1]!Table13[[#This Row],[Goal_assist]]="",1,0)</f>
        <v>#REF!</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t="e">
        <f>IF([1]!Table13[[#This Row],[Goal_assist]]="",1,0)</f>
        <v>#REF!</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t="e">
        <f>IF([1]!Table13[[#This Row],[Goal_assist]]="",1,0)</f>
        <v>#REF!</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t="e">
        <f>IF([1]!Table13[[#This Row],[Goal_assist]]="",1,0)</f>
        <v>#REF!</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t="e">
        <f>IF([1]!Table13[[#This Row],[Goal_assist]]="",1,0)</f>
        <v>#REF!</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t="e">
        <f>IF([1]!Table13[[#This Row],[Goal_assist]]="",1,0)</f>
        <v>#REF!</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t="e">
        <f>IF([1]!Table13[[#This Row],[Goal_assist]]="",1,0)</f>
        <v>#REF!</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t="e">
        <f>IF([1]!Table13[[#This Row],[Goal_assist]]="",1,0)</f>
        <v>#REF!</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t="e">
        <f>IF([1]!Table13[[#This Row],[Goal_assist]]="",1,0)</f>
        <v>#REF!</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t="e">
        <f>IF([1]!Table13[[#This Row],[Goal_assist]]="",1,0)</f>
        <v>#REF!</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t="e">
        <f>IF([1]!Table13[[#This Row],[Goal_assist]]="",1,0)</f>
        <v>#REF!</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t="e">
        <f>IF([1]!Table13[[#This Row],[Goal_assist]]="",1,0)</f>
        <v>#REF!</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t="e">
        <f>IF([1]!Table13[[#This Row],[Goal_assist]]="",1,0)</f>
        <v>#REF!</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t="e">
        <f>IF([1]!Table13[[#This Row],[Goal_assist]]="",1,0)</f>
        <v>#REF!</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t="e">
        <f>IF([1]!Table13[[#This Row],[Goal_assist]]="",1,0)</f>
        <v>#REF!</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t="e">
        <f>IF([1]!Table13[[#This Row],[Goal_assist]]="",1,0)</f>
        <v>#REF!</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t="e">
        <f>IF([1]!Table13[[#This Row],[Goal_assist]]="",1,0)</f>
        <v>#REF!</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t="e">
        <f>IF([1]!Table13[[#This Row],[Goal_assist]]="",1,0)</f>
        <v>#REF!</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t="e">
        <f>IF([1]!Table13[[#This Row],[Goal_assist]]="",1,0)</f>
        <v>#REF!</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t="e">
        <f>IF([1]!Table13[[#This Row],[Goal_assist]]="",1,0)</f>
        <v>#REF!</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t="e">
        <f>IF([1]!Table13[[#This Row],[Goal_assist]]="",1,0)</f>
        <v>#REF!</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t="e">
        <f>IF([1]!Table13[[#This Row],[Goal_assist]]="",1,0)</f>
        <v>#REF!</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t="e">
        <f>IF([1]!Table13[[#This Row],[Goal_assist]]="",1,0)</f>
        <v>#REF!</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t="e">
        <f>IF([1]!Table13[[#This Row],[Goal_assist]]="",1,0)</f>
        <v>#REF!</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t="e">
        <f>IF([1]!Table13[[#This Row],[Goal_assist]]="",1,0)</f>
        <v>#REF!</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t="e">
        <f>IF([1]!Table13[[#This Row],[Goal_assist]]="",1,0)</f>
        <v>#REF!</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t="e">
        <f>IF([1]!Table13[[#This Row],[Goal_assist]]="",1,0)</f>
        <v>#REF!</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t="e">
        <f>IF([1]!Table13[[#This Row],[Goal_assist]]="",1,0)</f>
        <v>#REF!</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t="e">
        <f>IF([1]!Table13[[#This Row],[Goal_assist]]="",1,0)</f>
        <v>#REF!</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t="e">
        <f>IF([1]!Table13[[#This Row],[Goal_assist]]="",1,0)</f>
        <v>#REF!</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t="e">
        <f>IF([1]!Table13[[#This Row],[Goal_assist]]="",1,0)</f>
        <v>#REF!</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t="e">
        <f>IF([1]!Table13[[#This Row],[Goal_assist]]="",1,0)</f>
        <v>#REF!</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t="e">
        <f>IF([1]!Table13[[#This Row],[Goal_assist]]="",1,0)</f>
        <v>#REF!</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t="e">
        <f>IF([1]!Table13[[#This Row],[Goal_assist]]="",1,0)</f>
        <v>#REF!</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t="e">
        <f>IF([1]!Table13[[#This Row],[Goal_assist]]="",1,0)</f>
        <v>#REF!</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t="e">
        <f>IF([1]!Table13[[#This Row],[Goal_assist]]="",1,0)</f>
        <v>#REF!</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t="e">
        <f>IF([1]!Table13[[#This Row],[Goal_assist]]="",1,0)</f>
        <v>#REF!</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t="e">
        <f>IF([1]!Table13[[#This Row],[Goal_assist]]="",1,0)</f>
        <v>#REF!</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t="e">
        <f>IF([1]!Table13[[#This Row],[Goal_assist]]="",1,0)</f>
        <v>#REF!</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t="e">
        <f>IF([1]!Table13[[#This Row],[Goal_assist]]="",1,0)</f>
        <v>#REF!</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t="e">
        <f>IF([1]!Table13[[#This Row],[Goal_assist]]="",1,0)</f>
        <v>#REF!</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t="e">
        <f>IF([1]!Table13[[#This Row],[Goal_assist]]="",1,0)</f>
        <v>#REF!</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t="e">
        <f>IF([1]!Table13[[#This Row],[Goal_assist]]="",1,0)</f>
        <v>#REF!</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t="e">
        <f>IF([1]!Table13[[#This Row],[Goal_assist]]="",1,0)</f>
        <v>#REF!</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t="e">
        <f>IF([1]!Table13[[#This Row],[Goal_assist]]="",1,0)</f>
        <v>#REF!</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t="e">
        <f>IF([1]!Table13[[#This Row],[Goal_assist]]="",1,0)</f>
        <v>#REF!</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t="e">
        <f>IF([1]!Table13[[#This Row],[Goal_assist]]="",1,0)</f>
        <v>#REF!</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t="e">
        <f>IF([1]!Table13[[#This Row],[Goal_assist]]="",1,0)</f>
        <v>#REF!</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t="e">
        <f>IF([1]!Table13[[#This Row],[Goal_assist]]="",1,0)</f>
        <v>#REF!</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t="e">
        <f>IF([1]!Table13[[#This Row],[Goal_assist]]="",1,0)</f>
        <v>#REF!</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t="e">
        <f>IF([1]!Table13[[#This Row],[Goal_assist]]="",1,0)</f>
        <v>#REF!</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t="e">
        <f>IF([1]!Table13[[#This Row],[Goal_assist]]="",1,0)</f>
        <v>#REF!</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t="e">
        <f>IF([1]!Table13[[#This Row],[Goal_assist]]="",1,0)</f>
        <v>#REF!</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t="e">
        <f>IF([1]!Table13[[#This Row],[Goal_assist]]="",1,0)</f>
        <v>#REF!</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t="e">
        <f>IF([1]!Table13[[#This Row],[Goal_assist]]="",1,0)</f>
        <v>#REF!</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t="e">
        <f>IF([1]!Table13[[#This Row],[Goal_assist]]="",1,0)</f>
        <v>#REF!</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t="e">
        <f>IF([1]!Table13[[#This Row],[Goal_assist]]="",1,0)</f>
        <v>#REF!</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t="e">
        <f>IF([1]!Table13[[#This Row],[Goal_assist]]="",1,0)</f>
        <v>#REF!</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t="e">
        <f>IF([1]!Table13[[#This Row],[Goal_assist]]="",1,0)</f>
        <v>#REF!</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A21" sqref="A19:XFD21"/>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v>246</v>
      </c>
      <c r="C4">
        <v>464</v>
      </c>
    </row>
    <row r="5" spans="1:3" x14ac:dyDescent="0.35">
      <c r="A5" s="11" t="s">
        <v>64</v>
      </c>
      <c r="B5">
        <v>214</v>
      </c>
      <c r="C5">
        <v>489</v>
      </c>
    </row>
    <row r="6" spans="1:3" x14ac:dyDescent="0.35">
      <c r="A6" s="11" t="s">
        <v>454</v>
      </c>
      <c r="B6">
        <v>460</v>
      </c>
      <c r="C6">
        <v>953</v>
      </c>
    </row>
    <row r="19" spans="4:4" ht="23.4" hidden="1" x14ac:dyDescent="0.45">
      <c r="D19" s="13" t="s">
        <v>484</v>
      </c>
    </row>
    <row r="20" spans="4:4" ht="21" hidden="1" x14ac:dyDescent="0.4">
      <c r="D20" s="14" t="s">
        <v>485</v>
      </c>
    </row>
    <row r="21" spans="4:4" ht="21" hidden="1" x14ac:dyDescent="0.4">
      <c r="D21" s="14" t="s">
        <v>486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F8" zoomScale="93" workbookViewId="0">
      <selection activeCell="F26" sqref="A24:XFD26"/>
    </sheetView>
  </sheetViews>
  <sheetFormatPr defaultRowHeight="18" x14ac:dyDescent="0.35"/>
  <cols>
    <col min="1" max="1" width="14.414062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1" t="s">
        <v>64</v>
      </c>
      <c r="C6">
        <v>672</v>
      </c>
      <c r="F6">
        <v>31</v>
      </c>
      <c r="I6">
        <v>703</v>
      </c>
    </row>
    <row r="7" spans="1:9" x14ac:dyDescent="0.35">
      <c r="A7" s="11" t="s">
        <v>454</v>
      </c>
      <c r="B7">
        <v>9</v>
      </c>
      <c r="C7">
        <v>672</v>
      </c>
      <c r="D7">
        <v>101</v>
      </c>
      <c r="E7">
        <v>145</v>
      </c>
      <c r="F7">
        <v>31</v>
      </c>
      <c r="G7">
        <v>450</v>
      </c>
      <c r="H7">
        <v>5</v>
      </c>
      <c r="I7">
        <v>1413</v>
      </c>
    </row>
    <row r="24" spans="6:6" ht="23.4" hidden="1" x14ac:dyDescent="0.45">
      <c r="F24" s="13" t="s">
        <v>484</v>
      </c>
    </row>
    <row r="25" spans="6:6" ht="21" hidden="1" x14ac:dyDescent="0.4">
      <c r="F25" s="14" t="s">
        <v>487</v>
      </c>
    </row>
    <row r="26" spans="6:6" ht="21" hidden="1" x14ac:dyDescent="0.4">
      <c r="F26" s="14" t="s">
        <v>488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7" workbookViewId="0">
      <selection activeCell="A23" sqref="A22:XFD23"/>
    </sheetView>
  </sheetViews>
  <sheetFormatPr defaultRowHeight="18" x14ac:dyDescent="0.35"/>
  <cols>
    <col min="1" max="1" width="14.4140625" bestFit="1" customWidth="1"/>
    <col min="2" max="2" width="13.9140625" bestFit="1" customWidth="1"/>
    <col min="3" max="3" width="3.75" bestFit="1" customWidth="1"/>
    <col min="4" max="4" width="4" bestFit="1" customWidth="1"/>
    <col min="5" max="5" width="10"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v>264</v>
      </c>
      <c r="C5">
        <v>51</v>
      </c>
      <c r="D5">
        <v>395</v>
      </c>
      <c r="E5">
        <v>710</v>
      </c>
    </row>
    <row r="6" spans="1:5" x14ac:dyDescent="0.35">
      <c r="A6" s="11" t="s">
        <v>64</v>
      </c>
      <c r="B6">
        <v>254</v>
      </c>
      <c r="C6">
        <v>55</v>
      </c>
      <c r="D6">
        <v>394</v>
      </c>
      <c r="E6">
        <v>703</v>
      </c>
    </row>
    <row r="7" spans="1:5" x14ac:dyDescent="0.35">
      <c r="A7" s="11" t="s">
        <v>454</v>
      </c>
      <c r="B7">
        <v>518</v>
      </c>
      <c r="C7">
        <v>106</v>
      </c>
      <c r="D7">
        <v>789</v>
      </c>
      <c r="E7">
        <v>1413</v>
      </c>
    </row>
    <row r="22" spans="2:2" ht="23.4" hidden="1" x14ac:dyDescent="0.45">
      <c r="B22" s="13" t="s">
        <v>484</v>
      </c>
    </row>
    <row r="23" spans="2:2" hidden="1" x14ac:dyDescent="0.35">
      <c r="B23" t="s">
        <v>489</v>
      </c>
    </row>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topLeftCell="A13" workbookViewId="0">
      <selection activeCell="B28" sqref="A28:XFD31"/>
    </sheetView>
  </sheetViews>
  <sheetFormatPr defaultRowHeight="18" x14ac:dyDescent="0.35"/>
  <cols>
    <col min="1" max="1" width="16.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2" t="s">
        <v>457</v>
      </c>
      <c r="B6">
        <v>7</v>
      </c>
      <c r="D6">
        <v>33</v>
      </c>
      <c r="E6">
        <v>44</v>
      </c>
      <c r="G6">
        <v>179</v>
      </c>
      <c r="H6">
        <v>1</v>
      </c>
      <c r="I6">
        <v>264</v>
      </c>
    </row>
    <row r="7" spans="1:9" x14ac:dyDescent="0.35">
      <c r="A7" s="12" t="s">
        <v>458</v>
      </c>
      <c r="B7">
        <v>1</v>
      </c>
      <c r="D7">
        <v>16</v>
      </c>
      <c r="E7">
        <v>7</v>
      </c>
      <c r="G7">
        <v>27</v>
      </c>
      <c r="I7">
        <v>51</v>
      </c>
    </row>
    <row r="8" spans="1:9" x14ac:dyDescent="0.35">
      <c r="A8" s="12" t="s">
        <v>459</v>
      </c>
      <c r="B8">
        <v>1</v>
      </c>
      <c r="D8">
        <v>52</v>
      </c>
      <c r="E8">
        <v>94</v>
      </c>
      <c r="G8">
        <v>244</v>
      </c>
      <c r="H8">
        <v>4</v>
      </c>
      <c r="I8">
        <v>395</v>
      </c>
    </row>
    <row r="9" spans="1:9" x14ac:dyDescent="0.35">
      <c r="A9" s="11" t="s">
        <v>64</v>
      </c>
      <c r="C9">
        <v>672</v>
      </c>
      <c r="F9">
        <v>31</v>
      </c>
      <c r="I9">
        <v>703</v>
      </c>
    </row>
    <row r="10" spans="1:9" x14ac:dyDescent="0.35">
      <c r="A10" s="12" t="s">
        <v>457</v>
      </c>
      <c r="C10">
        <v>241</v>
      </c>
      <c r="F10">
        <v>13</v>
      </c>
      <c r="I10">
        <v>254</v>
      </c>
    </row>
    <row r="11" spans="1:9" x14ac:dyDescent="0.35">
      <c r="A11" s="12" t="s">
        <v>458</v>
      </c>
      <c r="C11">
        <v>53</v>
      </c>
      <c r="F11">
        <v>2</v>
      </c>
      <c r="I11">
        <v>55</v>
      </c>
    </row>
    <row r="12" spans="1:9" x14ac:dyDescent="0.35">
      <c r="A12" s="12" t="s">
        <v>459</v>
      </c>
      <c r="C12">
        <v>378</v>
      </c>
      <c r="F12">
        <v>16</v>
      </c>
      <c r="I12">
        <v>394</v>
      </c>
    </row>
    <row r="13" spans="1:9" x14ac:dyDescent="0.35">
      <c r="A13" s="11" t="s">
        <v>454</v>
      </c>
      <c r="B13">
        <v>9</v>
      </c>
      <c r="C13">
        <v>672</v>
      </c>
      <c r="D13">
        <v>101</v>
      </c>
      <c r="E13">
        <v>145</v>
      </c>
      <c r="F13">
        <v>31</v>
      </c>
      <c r="G13">
        <v>450</v>
      </c>
      <c r="H13">
        <v>5</v>
      </c>
      <c r="I13">
        <v>1413</v>
      </c>
    </row>
    <row r="28" spans="3:3" ht="23.4" hidden="1" x14ac:dyDescent="0.45">
      <c r="C28" s="13" t="s">
        <v>484</v>
      </c>
    </row>
    <row r="29" spans="3:3" ht="21" hidden="1" x14ac:dyDescent="0.4">
      <c r="C29" s="14" t="s">
        <v>490</v>
      </c>
    </row>
    <row r="30" spans="3:3" ht="21" hidden="1" x14ac:dyDescent="0.4">
      <c r="C30" s="14" t="s">
        <v>491</v>
      </c>
    </row>
    <row r="31" spans="3:3" ht="21" hidden="1" x14ac:dyDescent="0.4">
      <c r="C31" s="14" t="s">
        <v>492</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zoomScale="76" workbookViewId="0">
      <selection activeCell="P1" sqref="P1:P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v>5</v>
      </c>
      <c r="D5">
        <v>5</v>
      </c>
    </row>
    <row r="6" spans="1:16" x14ac:dyDescent="0.35">
      <c r="A6" s="11" t="s">
        <v>461</v>
      </c>
      <c r="B6">
        <v>1</v>
      </c>
      <c r="D6">
        <v>1</v>
      </c>
    </row>
    <row r="7" spans="1:16" x14ac:dyDescent="0.35">
      <c r="A7" s="11" t="s">
        <v>462</v>
      </c>
      <c r="B7">
        <v>6</v>
      </c>
      <c r="D7">
        <v>6</v>
      </c>
    </row>
    <row r="8" spans="1:16" x14ac:dyDescent="0.35">
      <c r="A8" s="11" t="s">
        <v>463</v>
      </c>
      <c r="B8">
        <v>13</v>
      </c>
      <c r="C8">
        <v>3</v>
      </c>
      <c r="D8">
        <v>16</v>
      </c>
    </row>
    <row r="9" spans="1:16" ht="23.4" x14ac:dyDescent="0.45">
      <c r="A9" s="11" t="s">
        <v>464</v>
      </c>
      <c r="B9">
        <v>19</v>
      </c>
      <c r="C9">
        <v>10</v>
      </c>
      <c r="D9">
        <v>29</v>
      </c>
      <c r="P9" s="13" t="s">
        <v>484</v>
      </c>
    </row>
    <row r="10" spans="1:16" ht="21" x14ac:dyDescent="0.4">
      <c r="A10" s="11" t="s">
        <v>465</v>
      </c>
      <c r="B10">
        <v>29</v>
      </c>
      <c r="C10">
        <v>25</v>
      </c>
      <c r="D10">
        <v>54</v>
      </c>
      <c r="P10" s="14" t="s">
        <v>493</v>
      </c>
    </row>
    <row r="11" spans="1:16" ht="21" x14ac:dyDescent="0.4">
      <c r="A11" s="11" t="s">
        <v>466</v>
      </c>
      <c r="B11">
        <v>34</v>
      </c>
      <c r="C11">
        <v>20</v>
      </c>
      <c r="D11">
        <v>54</v>
      </c>
      <c r="P11" s="14" t="s">
        <v>494</v>
      </c>
    </row>
    <row r="12" spans="1:16" x14ac:dyDescent="0.35">
      <c r="A12" s="11" t="s">
        <v>467</v>
      </c>
      <c r="B12">
        <v>29</v>
      </c>
      <c r="C12">
        <v>38</v>
      </c>
      <c r="D12">
        <v>67</v>
      </c>
    </row>
    <row r="13" spans="1:16" x14ac:dyDescent="0.35">
      <c r="A13" s="11" t="s">
        <v>468</v>
      </c>
      <c r="B13">
        <v>45</v>
      </c>
      <c r="C13">
        <v>58</v>
      </c>
      <c r="D13">
        <v>103</v>
      </c>
    </row>
    <row r="14" spans="1:16" x14ac:dyDescent="0.35">
      <c r="A14" s="11" t="s">
        <v>469</v>
      </c>
      <c r="B14">
        <v>53</v>
      </c>
      <c r="C14">
        <v>55</v>
      </c>
      <c r="D14">
        <v>108</v>
      </c>
    </row>
    <row r="15" spans="1:16" x14ac:dyDescent="0.35">
      <c r="A15" s="11" t="s">
        <v>470</v>
      </c>
      <c r="B15">
        <v>58</v>
      </c>
      <c r="C15">
        <v>79</v>
      </c>
      <c r="D15">
        <v>137</v>
      </c>
    </row>
    <row r="16" spans="1:16" x14ac:dyDescent="0.35">
      <c r="A16" s="11" t="s">
        <v>471</v>
      </c>
      <c r="B16">
        <v>59</v>
      </c>
      <c r="C16">
        <v>39</v>
      </c>
      <c r="D16">
        <v>98</v>
      </c>
    </row>
    <row r="17" spans="1:4" x14ac:dyDescent="0.35">
      <c r="A17" s="11" t="s">
        <v>472</v>
      </c>
      <c r="B17">
        <v>56</v>
      </c>
      <c r="C17">
        <v>50</v>
      </c>
      <c r="D17">
        <v>106</v>
      </c>
    </row>
    <row r="18" spans="1:4" x14ac:dyDescent="0.35">
      <c r="A18" s="11" t="s">
        <v>473</v>
      </c>
      <c r="B18">
        <v>54</v>
      </c>
      <c r="C18">
        <v>48</v>
      </c>
      <c r="D18">
        <v>102</v>
      </c>
    </row>
    <row r="19" spans="1:4" x14ac:dyDescent="0.35">
      <c r="A19" s="11" t="s">
        <v>474</v>
      </c>
      <c r="B19">
        <v>42</v>
      </c>
      <c r="C19">
        <v>51</v>
      </c>
      <c r="D19">
        <v>93</v>
      </c>
    </row>
    <row r="20" spans="1:4" x14ac:dyDescent="0.35">
      <c r="A20" s="11" t="s">
        <v>475</v>
      </c>
      <c r="B20">
        <v>42</v>
      </c>
      <c r="C20">
        <v>50</v>
      </c>
      <c r="D20">
        <v>92</v>
      </c>
    </row>
    <row r="21" spans="1:4" x14ac:dyDescent="0.35">
      <c r="A21" s="11" t="s">
        <v>476</v>
      </c>
      <c r="B21">
        <v>43</v>
      </c>
      <c r="C21">
        <v>47</v>
      </c>
      <c r="D21">
        <v>90</v>
      </c>
    </row>
    <row r="22" spans="1:4" x14ac:dyDescent="0.35">
      <c r="A22" s="11" t="s">
        <v>477</v>
      </c>
      <c r="B22">
        <v>25</v>
      </c>
      <c r="C22">
        <v>45</v>
      </c>
      <c r="D22">
        <v>70</v>
      </c>
    </row>
    <row r="23" spans="1:4" x14ac:dyDescent="0.35">
      <c r="A23" s="11" t="s">
        <v>478</v>
      </c>
      <c r="B23">
        <v>41</v>
      </c>
      <c r="C23">
        <v>26</v>
      </c>
      <c r="D23">
        <v>67</v>
      </c>
    </row>
    <row r="24" spans="1:4" x14ac:dyDescent="0.35">
      <c r="A24" s="11" t="s">
        <v>479</v>
      </c>
      <c r="B24">
        <v>34</v>
      </c>
      <c r="C24">
        <v>34</v>
      </c>
      <c r="D24">
        <v>68</v>
      </c>
    </row>
    <row r="25" spans="1:4" x14ac:dyDescent="0.35">
      <c r="A25" s="11" t="s">
        <v>480</v>
      </c>
      <c r="B25">
        <v>13</v>
      </c>
      <c r="C25">
        <v>20</v>
      </c>
      <c r="D25">
        <v>33</v>
      </c>
    </row>
    <row r="26" spans="1:4" x14ac:dyDescent="0.35">
      <c r="A26" s="11" t="s">
        <v>481</v>
      </c>
      <c r="B26">
        <v>9</v>
      </c>
      <c r="C26">
        <v>5</v>
      </c>
      <c r="D26">
        <v>14</v>
      </c>
    </row>
    <row r="27" spans="1:4" x14ac:dyDescent="0.35">
      <c r="A27" s="11" t="s">
        <v>454</v>
      </c>
      <c r="B27">
        <v>710</v>
      </c>
      <c r="C27">
        <v>703</v>
      </c>
      <c r="D27">
        <v>1413</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zoomScale="53" workbookViewId="0">
      <selection activeCell="F20" sqref="A20:XFD24"/>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0" spans="1:7" ht="23.4" hidden="1" x14ac:dyDescent="0.45">
      <c r="G20" s="13" t="s">
        <v>484</v>
      </c>
    </row>
    <row r="21" spans="1:7" ht="21" hidden="1" x14ac:dyDescent="0.4">
      <c r="G21" s="14" t="s">
        <v>499</v>
      </c>
    </row>
    <row r="22" spans="1:7" ht="21" hidden="1" x14ac:dyDescent="0.4">
      <c r="G22" s="14" t="s">
        <v>501</v>
      </c>
    </row>
    <row r="23" spans="1:7" ht="21" hidden="1" x14ac:dyDescent="0.4">
      <c r="G23" s="14" t="s">
        <v>500</v>
      </c>
    </row>
    <row r="24" spans="1:7" ht="21" hidden="1" x14ac:dyDescent="0.4">
      <c r="G24" s="14" t="s">
        <v>502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1" spans="1:7" ht="23.4" x14ac:dyDescent="0.45">
      <c r="G21" s="13" t="s">
        <v>484</v>
      </c>
    </row>
    <row r="22" spans="1:7" ht="21" x14ac:dyDescent="0.4">
      <c r="G22" s="14" t="s">
        <v>495</v>
      </c>
    </row>
    <row r="23" spans="1:7" ht="21" x14ac:dyDescent="0.4">
      <c r="G23" s="14" t="s">
        <v>496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4" x14ac:dyDescent="0.35">
      <c r="A17" s="11" t="s">
        <v>454</v>
      </c>
      <c r="B17">
        <v>710</v>
      </c>
      <c r="C17">
        <v>703</v>
      </c>
      <c r="D17">
        <v>1413</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Q1" zoomScale="72" workbookViewId="0">
      <selection activeCell="AC1" sqref="AC1:AC1048576"/>
    </sheetView>
  </sheetViews>
  <sheetFormatPr defaultRowHeight="18" x14ac:dyDescent="0.35"/>
  <cols>
    <col min="1" max="1" width="13.5" bestFit="1" customWidth="1"/>
    <col min="2" max="2" width="15.9140625" bestFit="1" customWidth="1"/>
    <col min="3" max="3" width="11" bestFit="1" customWidth="1"/>
    <col min="4" max="4" width="10.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v>1</v>
      </c>
      <c r="D5">
        <v>1</v>
      </c>
    </row>
    <row r="6" spans="1:29" x14ac:dyDescent="0.35">
      <c r="A6" s="11">
        <v>2</v>
      </c>
      <c r="B6">
        <v>6</v>
      </c>
      <c r="D6">
        <v>6</v>
      </c>
    </row>
    <row r="7" spans="1:29" x14ac:dyDescent="0.35">
      <c r="A7" s="11">
        <v>3</v>
      </c>
      <c r="B7">
        <v>8</v>
      </c>
      <c r="C7">
        <v>4</v>
      </c>
      <c r="D7">
        <v>12</v>
      </c>
    </row>
    <row r="8" spans="1:29" x14ac:dyDescent="0.35">
      <c r="A8" s="11">
        <v>4</v>
      </c>
      <c r="B8">
        <v>4</v>
      </c>
      <c r="C8">
        <v>4</v>
      </c>
      <c r="D8">
        <v>8</v>
      </c>
    </row>
    <row r="9" spans="1:29" x14ac:dyDescent="0.35">
      <c r="A9" s="11">
        <v>5</v>
      </c>
      <c r="B9">
        <v>3</v>
      </c>
      <c r="C9">
        <v>8</v>
      </c>
      <c r="D9">
        <v>11</v>
      </c>
    </row>
    <row r="10" spans="1:29" ht="31.2" x14ac:dyDescent="0.6">
      <c r="A10" s="11">
        <v>6</v>
      </c>
      <c r="B10">
        <v>7</v>
      </c>
      <c r="C10">
        <v>2</v>
      </c>
      <c r="D10">
        <v>9</v>
      </c>
      <c r="AC10" s="15" t="s">
        <v>484</v>
      </c>
    </row>
    <row r="11" spans="1:29" ht="25.8" x14ac:dyDescent="0.5">
      <c r="A11" s="11">
        <v>7</v>
      </c>
      <c r="B11">
        <v>2</v>
      </c>
      <c r="C11">
        <v>3</v>
      </c>
      <c r="D11">
        <v>5</v>
      </c>
      <c r="AC11" s="16" t="s">
        <v>497</v>
      </c>
    </row>
    <row r="12" spans="1:29" ht="25.8" x14ac:dyDescent="0.5">
      <c r="A12" s="11">
        <v>8</v>
      </c>
      <c r="B12">
        <v>5</v>
      </c>
      <c r="C12">
        <v>5</v>
      </c>
      <c r="D12">
        <v>10</v>
      </c>
      <c r="AC12" s="16" t="s">
        <v>498</v>
      </c>
    </row>
    <row r="13" spans="1:29" x14ac:dyDescent="0.35">
      <c r="A13" s="11">
        <v>9</v>
      </c>
      <c r="B13">
        <v>5</v>
      </c>
      <c r="C13">
        <v>4</v>
      </c>
      <c r="D13">
        <v>9</v>
      </c>
    </row>
    <row r="14" spans="1:29" x14ac:dyDescent="0.35">
      <c r="A14" s="11">
        <v>10</v>
      </c>
      <c r="B14">
        <v>10</v>
      </c>
      <c r="C14">
        <v>3</v>
      </c>
      <c r="D14">
        <v>13</v>
      </c>
    </row>
    <row r="15" spans="1:29" x14ac:dyDescent="0.35">
      <c r="A15" s="11">
        <v>11</v>
      </c>
      <c r="B15">
        <v>6</v>
      </c>
      <c r="C15">
        <v>8</v>
      </c>
      <c r="D15">
        <v>14</v>
      </c>
    </row>
    <row r="16" spans="1:29" x14ac:dyDescent="0.35">
      <c r="A16" s="11">
        <v>12</v>
      </c>
      <c r="B16">
        <v>9</v>
      </c>
      <c r="C16">
        <v>7</v>
      </c>
      <c r="D16">
        <v>16</v>
      </c>
    </row>
    <row r="17" spans="1:4" x14ac:dyDescent="0.35">
      <c r="A17" s="11">
        <v>13</v>
      </c>
      <c r="B17">
        <v>10</v>
      </c>
      <c r="C17">
        <v>8</v>
      </c>
      <c r="D17">
        <v>18</v>
      </c>
    </row>
    <row r="18" spans="1:4" x14ac:dyDescent="0.35">
      <c r="A18" s="11">
        <v>14</v>
      </c>
      <c r="B18">
        <v>9</v>
      </c>
      <c r="C18">
        <v>2</v>
      </c>
      <c r="D18">
        <v>11</v>
      </c>
    </row>
    <row r="19" spans="1:4" x14ac:dyDescent="0.35">
      <c r="A19" s="11">
        <v>15</v>
      </c>
      <c r="B19">
        <v>4</v>
      </c>
      <c r="C19">
        <v>9</v>
      </c>
      <c r="D19">
        <v>13</v>
      </c>
    </row>
    <row r="20" spans="1:4" x14ac:dyDescent="0.35">
      <c r="A20" s="11">
        <v>16</v>
      </c>
      <c r="B20">
        <v>4</v>
      </c>
      <c r="C20">
        <v>10</v>
      </c>
      <c r="D20">
        <v>14</v>
      </c>
    </row>
    <row r="21" spans="1:4" x14ac:dyDescent="0.35">
      <c r="A21" s="11">
        <v>17</v>
      </c>
      <c r="B21">
        <v>5</v>
      </c>
      <c r="C21">
        <v>6</v>
      </c>
      <c r="D21">
        <v>11</v>
      </c>
    </row>
    <row r="22" spans="1:4" x14ac:dyDescent="0.35">
      <c r="A22" s="11">
        <v>18</v>
      </c>
      <c r="B22">
        <v>7</v>
      </c>
      <c r="C22">
        <v>9</v>
      </c>
      <c r="D22">
        <v>16</v>
      </c>
    </row>
    <row r="23" spans="1:4" x14ac:dyDescent="0.35">
      <c r="A23" s="11">
        <v>19</v>
      </c>
      <c r="B23">
        <v>6</v>
      </c>
      <c r="C23">
        <v>5</v>
      </c>
      <c r="D23">
        <v>11</v>
      </c>
    </row>
    <row r="24" spans="1:4" x14ac:dyDescent="0.35">
      <c r="A24" s="11">
        <v>20</v>
      </c>
      <c r="B24">
        <v>6</v>
      </c>
      <c r="C24">
        <v>8</v>
      </c>
      <c r="D24">
        <v>14</v>
      </c>
    </row>
    <row r="25" spans="1:4" x14ac:dyDescent="0.35">
      <c r="A25" s="11">
        <v>21</v>
      </c>
      <c r="B25">
        <v>5</v>
      </c>
      <c r="C25">
        <v>9</v>
      </c>
      <c r="D25">
        <v>14</v>
      </c>
    </row>
    <row r="26" spans="1:4" x14ac:dyDescent="0.35">
      <c r="A26" s="11">
        <v>22</v>
      </c>
      <c r="B26">
        <v>8</v>
      </c>
      <c r="C26">
        <v>7</v>
      </c>
      <c r="D26">
        <v>15</v>
      </c>
    </row>
    <row r="27" spans="1:4" x14ac:dyDescent="0.35">
      <c r="A27" s="11">
        <v>23</v>
      </c>
      <c r="B27">
        <v>15</v>
      </c>
      <c r="C27">
        <v>10</v>
      </c>
      <c r="D27">
        <v>25</v>
      </c>
    </row>
    <row r="28" spans="1:4" x14ac:dyDescent="0.35">
      <c r="A28" s="11">
        <v>24</v>
      </c>
      <c r="B28">
        <v>7</v>
      </c>
      <c r="C28">
        <v>6</v>
      </c>
      <c r="D28">
        <v>13</v>
      </c>
    </row>
    <row r="29" spans="1:4" x14ac:dyDescent="0.35">
      <c r="A29" s="11">
        <v>25</v>
      </c>
      <c r="B29">
        <v>11</v>
      </c>
      <c r="C29">
        <v>10</v>
      </c>
      <c r="D29">
        <v>21</v>
      </c>
    </row>
    <row r="30" spans="1:4" x14ac:dyDescent="0.35">
      <c r="A30" s="11">
        <v>26</v>
      </c>
      <c r="B30">
        <v>12</v>
      </c>
      <c r="C30">
        <v>8</v>
      </c>
      <c r="D30">
        <v>20</v>
      </c>
    </row>
    <row r="31" spans="1:4" x14ac:dyDescent="0.35">
      <c r="A31" s="11">
        <v>27</v>
      </c>
      <c r="B31">
        <v>7</v>
      </c>
      <c r="C31">
        <v>7</v>
      </c>
      <c r="D31">
        <v>14</v>
      </c>
    </row>
    <row r="32" spans="1:4" x14ac:dyDescent="0.35">
      <c r="A32" s="11">
        <v>28</v>
      </c>
      <c r="B32">
        <v>6</v>
      </c>
      <c r="C32">
        <v>9</v>
      </c>
      <c r="D32">
        <v>15</v>
      </c>
    </row>
    <row r="33" spans="1:4" x14ac:dyDescent="0.35">
      <c r="A33" s="11">
        <v>29</v>
      </c>
      <c r="B33">
        <v>5</v>
      </c>
      <c r="C33">
        <v>4</v>
      </c>
      <c r="D33">
        <v>9</v>
      </c>
    </row>
    <row r="34" spans="1:4" x14ac:dyDescent="0.35">
      <c r="A34" s="11">
        <v>30</v>
      </c>
      <c r="B34">
        <v>8</v>
      </c>
      <c r="C34">
        <v>8</v>
      </c>
      <c r="D34">
        <v>16</v>
      </c>
    </row>
    <row r="35" spans="1:4" x14ac:dyDescent="0.35">
      <c r="A35" s="11">
        <v>31</v>
      </c>
      <c r="B35">
        <v>5</v>
      </c>
      <c r="C35">
        <v>10</v>
      </c>
      <c r="D35">
        <v>15</v>
      </c>
    </row>
    <row r="36" spans="1:4" x14ac:dyDescent="0.35">
      <c r="A36" s="11">
        <v>32</v>
      </c>
      <c r="B36">
        <v>8</v>
      </c>
      <c r="C36">
        <v>5</v>
      </c>
      <c r="D36">
        <v>13</v>
      </c>
    </row>
    <row r="37" spans="1:4" x14ac:dyDescent="0.35">
      <c r="A37" s="11">
        <v>33</v>
      </c>
      <c r="B37">
        <v>3</v>
      </c>
      <c r="C37">
        <v>9</v>
      </c>
      <c r="D37">
        <v>12</v>
      </c>
    </row>
    <row r="38" spans="1:4" x14ac:dyDescent="0.35">
      <c r="A38" s="11">
        <v>34</v>
      </c>
      <c r="B38">
        <v>9</v>
      </c>
      <c r="C38">
        <v>5</v>
      </c>
      <c r="D38">
        <v>14</v>
      </c>
    </row>
    <row r="39" spans="1:4" x14ac:dyDescent="0.35">
      <c r="A39" s="11">
        <v>35</v>
      </c>
      <c r="B39">
        <v>10</v>
      </c>
      <c r="C39">
        <v>5</v>
      </c>
      <c r="D39">
        <v>15</v>
      </c>
    </row>
    <row r="40" spans="1:4" x14ac:dyDescent="0.35">
      <c r="A40" s="11">
        <v>36</v>
      </c>
      <c r="B40">
        <v>5</v>
      </c>
      <c r="C40">
        <v>8</v>
      </c>
      <c r="D40">
        <v>13</v>
      </c>
    </row>
    <row r="41" spans="1:4" x14ac:dyDescent="0.35">
      <c r="A41" s="11">
        <v>37</v>
      </c>
      <c r="B41">
        <v>5</v>
      </c>
      <c r="C41">
        <v>8</v>
      </c>
      <c r="D41">
        <v>13</v>
      </c>
    </row>
    <row r="42" spans="1:4" x14ac:dyDescent="0.35">
      <c r="A42" s="11">
        <v>38</v>
      </c>
      <c r="B42">
        <v>10</v>
      </c>
      <c r="C42">
        <v>11</v>
      </c>
      <c r="D42">
        <v>21</v>
      </c>
    </row>
    <row r="43" spans="1:4" x14ac:dyDescent="0.35">
      <c r="A43" s="11">
        <v>39</v>
      </c>
      <c r="B43">
        <v>8</v>
      </c>
      <c r="C43">
        <v>8</v>
      </c>
      <c r="D43">
        <v>16</v>
      </c>
    </row>
    <row r="44" spans="1:4" x14ac:dyDescent="0.35">
      <c r="A44" s="11">
        <v>40</v>
      </c>
      <c r="B44">
        <v>4</v>
      </c>
      <c r="C44">
        <v>5</v>
      </c>
      <c r="D44">
        <v>9</v>
      </c>
    </row>
    <row r="45" spans="1:4" x14ac:dyDescent="0.35">
      <c r="A45" s="11">
        <v>41</v>
      </c>
      <c r="B45">
        <v>6</v>
      </c>
      <c r="C45">
        <v>7</v>
      </c>
      <c r="D45">
        <v>13</v>
      </c>
    </row>
    <row r="46" spans="1:4" x14ac:dyDescent="0.35">
      <c r="A46" s="11">
        <v>42</v>
      </c>
      <c r="B46">
        <v>4</v>
      </c>
      <c r="C46">
        <v>11</v>
      </c>
      <c r="D46">
        <v>15</v>
      </c>
    </row>
    <row r="47" spans="1:4" x14ac:dyDescent="0.35">
      <c r="A47" s="11">
        <v>43</v>
      </c>
      <c r="B47">
        <v>8</v>
      </c>
      <c r="C47">
        <v>10</v>
      </c>
      <c r="D47">
        <v>18</v>
      </c>
    </row>
    <row r="48" spans="1:4" x14ac:dyDescent="0.35">
      <c r="A48" s="11">
        <v>44</v>
      </c>
      <c r="B48">
        <v>9</v>
      </c>
      <c r="C48">
        <v>7</v>
      </c>
      <c r="D48">
        <v>16</v>
      </c>
    </row>
    <row r="49" spans="1:4" x14ac:dyDescent="0.35">
      <c r="A49" s="11">
        <v>45</v>
      </c>
      <c r="B49">
        <v>15</v>
      </c>
      <c r="C49">
        <v>12</v>
      </c>
      <c r="D49">
        <v>27</v>
      </c>
    </row>
    <row r="50" spans="1:4" x14ac:dyDescent="0.35">
      <c r="A50" s="11">
        <v>46</v>
      </c>
      <c r="B50">
        <v>2</v>
      </c>
      <c r="C50">
        <v>2</v>
      </c>
      <c r="D50">
        <v>4</v>
      </c>
    </row>
    <row r="51" spans="1:4" x14ac:dyDescent="0.35">
      <c r="A51" s="11">
        <v>47</v>
      </c>
      <c r="B51">
        <v>5</v>
      </c>
      <c r="C51">
        <v>3</v>
      </c>
      <c r="D51">
        <v>8</v>
      </c>
    </row>
    <row r="52" spans="1:4" x14ac:dyDescent="0.35">
      <c r="A52" s="11">
        <v>48</v>
      </c>
      <c r="B52">
        <v>6</v>
      </c>
      <c r="C52">
        <v>3</v>
      </c>
      <c r="D52">
        <v>9</v>
      </c>
    </row>
    <row r="53" spans="1:4" x14ac:dyDescent="0.35">
      <c r="A53" s="11">
        <v>49</v>
      </c>
      <c r="B53">
        <v>11</v>
      </c>
      <c r="C53">
        <v>5</v>
      </c>
      <c r="D53">
        <v>16</v>
      </c>
    </row>
    <row r="54" spans="1:4" x14ac:dyDescent="0.35">
      <c r="A54" s="11">
        <v>50</v>
      </c>
      <c r="B54">
        <v>9</v>
      </c>
      <c r="C54">
        <v>8</v>
      </c>
      <c r="D54">
        <v>17</v>
      </c>
    </row>
    <row r="55" spans="1:4" x14ac:dyDescent="0.35">
      <c r="A55" s="11">
        <v>51</v>
      </c>
      <c r="B55">
        <v>8</v>
      </c>
      <c r="C55">
        <v>10</v>
      </c>
      <c r="D55">
        <v>18</v>
      </c>
    </row>
    <row r="56" spans="1:4" x14ac:dyDescent="0.35">
      <c r="A56" s="11">
        <v>52</v>
      </c>
      <c r="B56">
        <v>8</v>
      </c>
      <c r="C56">
        <v>4</v>
      </c>
      <c r="D56">
        <v>12</v>
      </c>
    </row>
    <row r="57" spans="1:4" x14ac:dyDescent="0.35">
      <c r="A57" s="11">
        <v>53</v>
      </c>
      <c r="B57">
        <v>8</v>
      </c>
      <c r="C57">
        <v>4</v>
      </c>
      <c r="D57">
        <v>12</v>
      </c>
    </row>
    <row r="58" spans="1:4" x14ac:dyDescent="0.35">
      <c r="A58" s="11">
        <v>54</v>
      </c>
      <c r="B58">
        <v>7</v>
      </c>
      <c r="C58">
        <v>5</v>
      </c>
      <c r="D58">
        <v>12</v>
      </c>
    </row>
    <row r="59" spans="1:4" x14ac:dyDescent="0.35">
      <c r="A59" s="11">
        <v>55</v>
      </c>
      <c r="B59">
        <v>8</v>
      </c>
      <c r="C59">
        <v>14</v>
      </c>
      <c r="D59">
        <v>22</v>
      </c>
    </row>
    <row r="60" spans="1:4" x14ac:dyDescent="0.35">
      <c r="A60" s="11">
        <v>56</v>
      </c>
      <c r="B60">
        <v>4</v>
      </c>
      <c r="C60">
        <v>8</v>
      </c>
      <c r="D60">
        <v>12</v>
      </c>
    </row>
    <row r="61" spans="1:4" x14ac:dyDescent="0.35">
      <c r="A61" s="11">
        <v>57</v>
      </c>
      <c r="B61">
        <v>9</v>
      </c>
      <c r="C61">
        <v>5</v>
      </c>
      <c r="D61">
        <v>14</v>
      </c>
    </row>
    <row r="62" spans="1:4" x14ac:dyDescent="0.35">
      <c r="A62" s="11">
        <v>58</v>
      </c>
      <c r="B62">
        <v>9</v>
      </c>
      <c r="C62">
        <v>11</v>
      </c>
      <c r="D62">
        <v>20</v>
      </c>
    </row>
    <row r="63" spans="1:4" x14ac:dyDescent="0.35">
      <c r="A63" s="11">
        <v>59</v>
      </c>
      <c r="B63">
        <v>10</v>
      </c>
      <c r="C63">
        <v>10</v>
      </c>
      <c r="D63">
        <v>20</v>
      </c>
    </row>
    <row r="64" spans="1:4" x14ac:dyDescent="0.35">
      <c r="A64" s="11">
        <v>60</v>
      </c>
      <c r="B64">
        <v>6</v>
      </c>
      <c r="C64">
        <v>9</v>
      </c>
      <c r="D64">
        <v>15</v>
      </c>
    </row>
    <row r="65" spans="1:4" x14ac:dyDescent="0.35">
      <c r="A65" s="11">
        <v>61</v>
      </c>
      <c r="B65">
        <v>9</v>
      </c>
      <c r="C65">
        <v>9</v>
      </c>
      <c r="D65">
        <v>18</v>
      </c>
    </row>
    <row r="66" spans="1:4" x14ac:dyDescent="0.35">
      <c r="A66" s="11">
        <v>62</v>
      </c>
      <c r="B66">
        <v>10</v>
      </c>
      <c r="C66">
        <v>6</v>
      </c>
      <c r="D66">
        <v>16</v>
      </c>
    </row>
    <row r="67" spans="1:4" x14ac:dyDescent="0.35">
      <c r="A67" s="11">
        <v>63</v>
      </c>
      <c r="B67">
        <v>4</v>
      </c>
      <c r="C67">
        <v>11</v>
      </c>
      <c r="D67">
        <v>15</v>
      </c>
    </row>
    <row r="68" spans="1:4" x14ac:dyDescent="0.35">
      <c r="A68" s="11">
        <v>64</v>
      </c>
      <c r="B68">
        <v>11</v>
      </c>
      <c r="C68">
        <v>9</v>
      </c>
      <c r="D68">
        <v>20</v>
      </c>
    </row>
    <row r="69" spans="1:4" x14ac:dyDescent="0.35">
      <c r="A69" s="11">
        <v>65</v>
      </c>
      <c r="B69">
        <v>10</v>
      </c>
      <c r="C69">
        <v>8</v>
      </c>
      <c r="D69">
        <v>18</v>
      </c>
    </row>
    <row r="70" spans="1:4" x14ac:dyDescent="0.35">
      <c r="A70" s="11">
        <v>66</v>
      </c>
      <c r="B70">
        <v>3</v>
      </c>
      <c r="C70">
        <v>4</v>
      </c>
      <c r="D70">
        <v>7</v>
      </c>
    </row>
    <row r="71" spans="1:4" x14ac:dyDescent="0.35">
      <c r="A71" s="11">
        <v>67</v>
      </c>
      <c r="B71">
        <v>8</v>
      </c>
      <c r="C71">
        <v>8</v>
      </c>
      <c r="D71">
        <v>16</v>
      </c>
    </row>
    <row r="72" spans="1:4" x14ac:dyDescent="0.35">
      <c r="A72" s="11">
        <v>68</v>
      </c>
      <c r="B72">
        <v>10</v>
      </c>
      <c r="C72">
        <v>7</v>
      </c>
      <c r="D72">
        <v>17</v>
      </c>
    </row>
    <row r="73" spans="1:4" x14ac:dyDescent="0.35">
      <c r="A73" s="11">
        <v>69</v>
      </c>
      <c r="B73">
        <v>9</v>
      </c>
      <c r="C73">
        <v>9</v>
      </c>
      <c r="D73">
        <v>18</v>
      </c>
    </row>
    <row r="74" spans="1:4" x14ac:dyDescent="0.35">
      <c r="A74" s="11">
        <v>70</v>
      </c>
      <c r="B74">
        <v>14</v>
      </c>
      <c r="C74">
        <v>5</v>
      </c>
      <c r="D74">
        <v>19</v>
      </c>
    </row>
    <row r="75" spans="1:4" x14ac:dyDescent="0.35">
      <c r="A75" s="11">
        <v>71</v>
      </c>
      <c r="B75">
        <v>6</v>
      </c>
      <c r="C75">
        <v>5</v>
      </c>
      <c r="D75">
        <v>11</v>
      </c>
    </row>
    <row r="76" spans="1:4" x14ac:dyDescent="0.35">
      <c r="A76" s="11">
        <v>72</v>
      </c>
      <c r="B76">
        <v>2</v>
      </c>
      <c r="C76">
        <v>8</v>
      </c>
      <c r="D76">
        <v>10</v>
      </c>
    </row>
    <row r="77" spans="1:4" x14ac:dyDescent="0.35">
      <c r="A77" s="11">
        <v>73</v>
      </c>
      <c r="B77">
        <v>7</v>
      </c>
      <c r="C77">
        <v>10</v>
      </c>
      <c r="D77">
        <v>17</v>
      </c>
    </row>
    <row r="78" spans="1:4" x14ac:dyDescent="0.35">
      <c r="A78" s="11">
        <v>74</v>
      </c>
      <c r="B78">
        <v>6</v>
      </c>
      <c r="C78">
        <v>10</v>
      </c>
      <c r="D78">
        <v>16</v>
      </c>
    </row>
    <row r="79" spans="1:4" x14ac:dyDescent="0.35">
      <c r="A79" s="11">
        <v>75</v>
      </c>
      <c r="B79">
        <v>4</v>
      </c>
      <c r="C79">
        <v>12</v>
      </c>
      <c r="D79">
        <v>16</v>
      </c>
    </row>
    <row r="80" spans="1:4" x14ac:dyDescent="0.35">
      <c r="A80" s="11">
        <v>76</v>
      </c>
      <c r="B80">
        <v>14</v>
      </c>
      <c r="C80">
        <v>8</v>
      </c>
      <c r="D80">
        <v>22</v>
      </c>
    </row>
    <row r="81" spans="1:4" x14ac:dyDescent="0.35">
      <c r="A81" s="11">
        <v>77</v>
      </c>
      <c r="B81">
        <v>5</v>
      </c>
      <c r="C81">
        <v>9</v>
      </c>
      <c r="D81">
        <v>14</v>
      </c>
    </row>
    <row r="82" spans="1:4" x14ac:dyDescent="0.35">
      <c r="A82" s="11">
        <v>78</v>
      </c>
      <c r="B82">
        <v>11</v>
      </c>
      <c r="C82">
        <v>13</v>
      </c>
      <c r="D82">
        <v>24</v>
      </c>
    </row>
    <row r="83" spans="1:4" x14ac:dyDescent="0.35">
      <c r="A83" s="11">
        <v>79</v>
      </c>
      <c r="B83">
        <v>8</v>
      </c>
      <c r="C83">
        <v>7</v>
      </c>
      <c r="D83">
        <v>15</v>
      </c>
    </row>
    <row r="84" spans="1:4" x14ac:dyDescent="0.35">
      <c r="A84" s="11">
        <v>80</v>
      </c>
      <c r="B84">
        <v>8</v>
      </c>
      <c r="C84">
        <v>12</v>
      </c>
      <c r="D84">
        <v>20</v>
      </c>
    </row>
    <row r="85" spans="1:4" x14ac:dyDescent="0.35">
      <c r="A85" s="11">
        <v>81</v>
      </c>
      <c r="B85">
        <v>12</v>
      </c>
      <c r="C85">
        <v>5</v>
      </c>
      <c r="D85">
        <v>17</v>
      </c>
    </row>
    <row r="86" spans="1:4" x14ac:dyDescent="0.35">
      <c r="A86" s="11">
        <v>82</v>
      </c>
      <c r="B86">
        <v>12</v>
      </c>
      <c r="C86">
        <v>11</v>
      </c>
      <c r="D86">
        <v>23</v>
      </c>
    </row>
    <row r="87" spans="1:4" x14ac:dyDescent="0.35">
      <c r="A87" s="11">
        <v>83</v>
      </c>
      <c r="B87">
        <v>5</v>
      </c>
      <c r="C87">
        <v>7</v>
      </c>
      <c r="D87">
        <v>12</v>
      </c>
    </row>
    <row r="88" spans="1:4" x14ac:dyDescent="0.35">
      <c r="A88" s="11">
        <v>84</v>
      </c>
      <c r="B88">
        <v>8</v>
      </c>
      <c r="C88">
        <v>6</v>
      </c>
      <c r="D88">
        <v>14</v>
      </c>
    </row>
    <row r="89" spans="1:4" x14ac:dyDescent="0.35">
      <c r="A89" s="11">
        <v>85</v>
      </c>
      <c r="B89">
        <v>3</v>
      </c>
      <c r="C89">
        <v>10</v>
      </c>
      <c r="D89">
        <v>13</v>
      </c>
    </row>
    <row r="90" spans="1:4" x14ac:dyDescent="0.35">
      <c r="A90" s="11">
        <v>86</v>
      </c>
      <c r="B90">
        <v>7</v>
      </c>
      <c r="C90">
        <v>13</v>
      </c>
      <c r="D90">
        <v>20</v>
      </c>
    </row>
    <row r="91" spans="1:4" x14ac:dyDescent="0.35">
      <c r="A91" s="11">
        <v>87</v>
      </c>
      <c r="B91">
        <v>8</v>
      </c>
      <c r="C91">
        <v>13</v>
      </c>
      <c r="D91">
        <v>21</v>
      </c>
    </row>
    <row r="92" spans="1:4" x14ac:dyDescent="0.35">
      <c r="A92" s="11">
        <v>88</v>
      </c>
      <c r="B92">
        <v>9</v>
      </c>
      <c r="C92">
        <v>8</v>
      </c>
      <c r="D92">
        <v>17</v>
      </c>
    </row>
    <row r="93" spans="1:4" x14ac:dyDescent="0.35">
      <c r="A93" s="11">
        <v>89</v>
      </c>
      <c r="B93">
        <v>15</v>
      </c>
      <c r="C93">
        <v>9</v>
      </c>
      <c r="D93">
        <v>24</v>
      </c>
    </row>
    <row r="94" spans="1:4" x14ac:dyDescent="0.35">
      <c r="A94" s="11">
        <v>90</v>
      </c>
      <c r="B94">
        <v>17</v>
      </c>
      <c r="C94">
        <v>12</v>
      </c>
      <c r="D94">
        <v>29</v>
      </c>
    </row>
    <row r="95" spans="1:4" x14ac:dyDescent="0.35">
      <c r="A95" s="11">
        <v>97</v>
      </c>
      <c r="B95">
        <v>1</v>
      </c>
      <c r="D95">
        <v>1</v>
      </c>
    </row>
    <row r="96" spans="1:4" x14ac:dyDescent="0.35">
      <c r="A96" s="11">
        <v>103</v>
      </c>
      <c r="B96">
        <v>1</v>
      </c>
      <c r="D96">
        <v>1</v>
      </c>
    </row>
    <row r="97" spans="1:4" x14ac:dyDescent="0.35">
      <c r="A97" s="11">
        <v>104</v>
      </c>
      <c r="B97">
        <v>1</v>
      </c>
      <c r="D97">
        <v>1</v>
      </c>
    </row>
    <row r="98" spans="1:4" x14ac:dyDescent="0.35">
      <c r="A98" s="11">
        <v>105</v>
      </c>
      <c r="B98">
        <v>1</v>
      </c>
      <c r="D98">
        <v>1</v>
      </c>
    </row>
    <row r="99" spans="1:4" x14ac:dyDescent="0.35">
      <c r="A99" s="11">
        <v>109</v>
      </c>
      <c r="B99">
        <v>1</v>
      </c>
      <c r="D99">
        <v>1</v>
      </c>
    </row>
    <row r="100" spans="1:4" x14ac:dyDescent="0.35">
      <c r="A100" s="11">
        <v>110</v>
      </c>
      <c r="C100">
        <v>1</v>
      </c>
      <c r="D100">
        <v>1</v>
      </c>
    </row>
    <row r="101" spans="1:4" x14ac:dyDescent="0.35">
      <c r="A101" s="11">
        <v>120</v>
      </c>
      <c r="B101">
        <v>1</v>
      </c>
      <c r="D101">
        <v>1</v>
      </c>
    </row>
    <row r="102" spans="1:4" x14ac:dyDescent="0.35">
      <c r="A102" s="11" t="s">
        <v>58</v>
      </c>
      <c r="B102">
        <v>5</v>
      </c>
      <c r="C102">
        <v>3</v>
      </c>
      <c r="D102">
        <v>8</v>
      </c>
    </row>
    <row r="103" spans="1:4" x14ac:dyDescent="0.35">
      <c r="A103" s="11" t="s">
        <v>228</v>
      </c>
      <c r="B103">
        <v>1</v>
      </c>
      <c r="C103">
        <v>2</v>
      </c>
      <c r="D103">
        <v>3</v>
      </c>
    </row>
    <row r="104" spans="1:4" x14ac:dyDescent="0.35">
      <c r="A104" s="11" t="s">
        <v>374</v>
      </c>
      <c r="C104">
        <v>1</v>
      </c>
      <c r="D104">
        <v>1</v>
      </c>
    </row>
    <row r="105" spans="1:4" x14ac:dyDescent="0.35">
      <c r="A105" s="11" t="s">
        <v>367</v>
      </c>
      <c r="B105">
        <v>1</v>
      </c>
      <c r="D105">
        <v>1</v>
      </c>
    </row>
    <row r="106" spans="1:4" x14ac:dyDescent="0.35">
      <c r="A106" s="11" t="s">
        <v>69</v>
      </c>
      <c r="B106">
        <v>7</v>
      </c>
      <c r="C106">
        <v>10</v>
      </c>
      <c r="D106">
        <v>17</v>
      </c>
    </row>
    <row r="107" spans="1:4" x14ac:dyDescent="0.35">
      <c r="A107" s="11" t="s">
        <v>141</v>
      </c>
      <c r="B107">
        <v>5</v>
      </c>
      <c r="C107">
        <v>10</v>
      </c>
      <c r="D107">
        <v>15</v>
      </c>
    </row>
    <row r="108" spans="1:4" x14ac:dyDescent="0.35">
      <c r="A108" s="11" t="s">
        <v>136</v>
      </c>
      <c r="B108">
        <v>3</v>
      </c>
      <c r="C108">
        <v>3</v>
      </c>
      <c r="D108">
        <v>6</v>
      </c>
    </row>
    <row r="109" spans="1:4" x14ac:dyDescent="0.35">
      <c r="A109" s="11" t="s">
        <v>239</v>
      </c>
      <c r="B109">
        <v>2</v>
      </c>
      <c r="C109">
        <v>3</v>
      </c>
      <c r="D109">
        <v>5</v>
      </c>
    </row>
    <row r="110" spans="1:4" x14ac:dyDescent="0.35">
      <c r="A110" s="11" t="s">
        <v>21</v>
      </c>
      <c r="B110">
        <v>2</v>
      </c>
      <c r="C110">
        <v>1</v>
      </c>
      <c r="D110">
        <v>3</v>
      </c>
    </row>
    <row r="111" spans="1:4" x14ac:dyDescent="0.35">
      <c r="A111" s="11" t="s">
        <v>259</v>
      </c>
      <c r="B111">
        <v>2</v>
      </c>
      <c r="D111">
        <v>2</v>
      </c>
    </row>
    <row r="112" spans="1:4" x14ac:dyDescent="0.35">
      <c r="A112" s="11" t="s">
        <v>318</v>
      </c>
      <c r="B112">
        <v>1</v>
      </c>
      <c r="D112">
        <v>1</v>
      </c>
    </row>
    <row r="113" spans="1:4" x14ac:dyDescent="0.35">
      <c r="A113" s="11" t="s">
        <v>454</v>
      </c>
      <c r="B113">
        <v>710</v>
      </c>
      <c r="C113">
        <v>703</v>
      </c>
      <c r="D113">
        <v>1413</v>
      </c>
    </row>
  </sheetData>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D1" zoomScale="76" workbookViewId="0">
      <selection activeCell="Q1" sqref="Q1:Q1048576"/>
    </sheetView>
  </sheetViews>
  <sheetFormatPr defaultRowHeight="18" x14ac:dyDescent="0.35"/>
  <cols>
    <col min="1" max="1" width="29.9140625" bestFit="1" customWidth="1"/>
    <col min="2" max="2" width="15.1640625" bestFit="1" customWidth="1"/>
    <col min="3" max="3" width="10.75" bestFit="1" customWidth="1"/>
    <col min="4" max="4" width="10.3320312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105</v>
      </c>
      <c r="B5">
        <v>27</v>
      </c>
      <c r="C5">
        <v>38</v>
      </c>
      <c r="D5">
        <v>65</v>
      </c>
    </row>
    <row r="6" spans="1:17" x14ac:dyDescent="0.35">
      <c r="A6" s="11" t="s">
        <v>119</v>
      </c>
      <c r="B6">
        <v>25</v>
      </c>
      <c r="C6">
        <v>32</v>
      </c>
      <c r="D6">
        <v>57</v>
      </c>
    </row>
    <row r="7" spans="1:17" x14ac:dyDescent="0.35">
      <c r="A7" s="11" t="s">
        <v>117</v>
      </c>
      <c r="B7">
        <v>23</v>
      </c>
      <c r="C7">
        <v>21</v>
      </c>
      <c r="D7">
        <v>44</v>
      </c>
    </row>
    <row r="8" spans="1:17" ht="23.4" x14ac:dyDescent="0.45">
      <c r="A8" s="11" t="s">
        <v>98</v>
      </c>
      <c r="B8">
        <v>20</v>
      </c>
      <c r="C8">
        <v>14</v>
      </c>
      <c r="D8">
        <v>34</v>
      </c>
      <c r="Q8" s="13" t="s">
        <v>484</v>
      </c>
    </row>
    <row r="9" spans="1:17" ht="21" x14ac:dyDescent="0.4">
      <c r="A9" s="11" t="s">
        <v>66</v>
      </c>
      <c r="B9">
        <v>20</v>
      </c>
      <c r="D9">
        <v>20</v>
      </c>
      <c r="Q9" s="14" t="s">
        <v>503</v>
      </c>
    </row>
    <row r="10" spans="1:17" ht="21" x14ac:dyDescent="0.4">
      <c r="A10" s="11" t="s">
        <v>157</v>
      </c>
      <c r="B10">
        <v>17</v>
      </c>
      <c r="C10">
        <v>13</v>
      </c>
      <c r="D10">
        <v>30</v>
      </c>
      <c r="Q10" s="14" t="s">
        <v>504</v>
      </c>
    </row>
    <row r="11" spans="1:17" ht="21" x14ac:dyDescent="0.4">
      <c r="A11" s="11" t="s">
        <v>86</v>
      </c>
      <c r="B11">
        <v>17</v>
      </c>
      <c r="C11">
        <v>29</v>
      </c>
      <c r="D11">
        <v>46</v>
      </c>
      <c r="Q11" s="14" t="s">
        <v>505</v>
      </c>
    </row>
    <row r="12" spans="1:17" x14ac:dyDescent="0.35">
      <c r="A12" s="11" t="s">
        <v>121</v>
      </c>
      <c r="B12">
        <v>15</v>
      </c>
      <c r="C12">
        <v>25</v>
      </c>
      <c r="D12">
        <v>40</v>
      </c>
    </row>
    <row r="13" spans="1:17" x14ac:dyDescent="0.35">
      <c r="A13" s="11" t="s">
        <v>217</v>
      </c>
      <c r="B13">
        <v>15</v>
      </c>
      <c r="C13">
        <v>18</v>
      </c>
      <c r="D13">
        <v>33</v>
      </c>
    </row>
    <row r="14" spans="1:17" x14ac:dyDescent="0.35">
      <c r="A14" s="11" t="s">
        <v>148</v>
      </c>
      <c r="B14">
        <v>15</v>
      </c>
      <c r="C14">
        <v>31</v>
      </c>
      <c r="D14">
        <v>46</v>
      </c>
    </row>
    <row r="15" spans="1:17" x14ac:dyDescent="0.35">
      <c r="A15" s="11" t="s">
        <v>180</v>
      </c>
      <c r="B15">
        <v>15</v>
      </c>
      <c r="C15">
        <v>16</v>
      </c>
      <c r="D15">
        <v>31</v>
      </c>
    </row>
    <row r="16" spans="1:17" x14ac:dyDescent="0.35">
      <c r="A16" s="11" t="s">
        <v>127</v>
      </c>
      <c r="B16">
        <v>14</v>
      </c>
      <c r="C16">
        <v>24</v>
      </c>
      <c r="D16">
        <v>38</v>
      </c>
    </row>
    <row r="17" spans="1:4" x14ac:dyDescent="0.35">
      <c r="A17" s="11" t="s">
        <v>42</v>
      </c>
      <c r="B17">
        <v>14</v>
      </c>
      <c r="C17">
        <v>2</v>
      </c>
      <c r="D17">
        <v>16</v>
      </c>
    </row>
    <row r="18" spans="1:4" x14ac:dyDescent="0.35">
      <c r="A18" s="11" t="s">
        <v>175</v>
      </c>
      <c r="B18">
        <v>13</v>
      </c>
      <c r="D18">
        <v>13</v>
      </c>
    </row>
    <row r="19" spans="1:4" x14ac:dyDescent="0.35">
      <c r="A19" s="11" t="s">
        <v>100</v>
      </c>
      <c r="B19">
        <v>12</v>
      </c>
      <c r="C19">
        <v>25</v>
      </c>
      <c r="D19">
        <v>37</v>
      </c>
    </row>
    <row r="20" spans="1:4" x14ac:dyDescent="0.35">
      <c r="A20" s="11" t="s">
        <v>225</v>
      </c>
      <c r="B20">
        <v>12</v>
      </c>
      <c r="C20">
        <v>18</v>
      </c>
      <c r="D20">
        <v>30</v>
      </c>
    </row>
    <row r="21" spans="1:4" x14ac:dyDescent="0.35">
      <c r="A21" s="11" t="s">
        <v>233</v>
      </c>
      <c r="B21">
        <v>12</v>
      </c>
      <c r="C21">
        <v>15</v>
      </c>
      <c r="D21">
        <v>27</v>
      </c>
    </row>
    <row r="22" spans="1:4" x14ac:dyDescent="0.35">
      <c r="A22" s="11" t="s">
        <v>116</v>
      </c>
      <c r="B22">
        <v>10</v>
      </c>
      <c r="C22">
        <v>2</v>
      </c>
      <c r="D22">
        <v>12</v>
      </c>
    </row>
    <row r="23" spans="1:4" x14ac:dyDescent="0.35">
      <c r="A23" s="11" t="s">
        <v>260</v>
      </c>
      <c r="B23">
        <v>10</v>
      </c>
      <c r="C23">
        <v>3</v>
      </c>
      <c r="D23">
        <v>13</v>
      </c>
    </row>
    <row r="24" spans="1:4" x14ac:dyDescent="0.35">
      <c r="A24" s="11" t="s">
        <v>214</v>
      </c>
      <c r="B24">
        <v>9</v>
      </c>
      <c r="C24">
        <v>6</v>
      </c>
      <c r="D24">
        <v>15</v>
      </c>
    </row>
    <row r="25" spans="1:4" x14ac:dyDescent="0.35">
      <c r="A25" s="11" t="s">
        <v>54</v>
      </c>
      <c r="B25">
        <v>9</v>
      </c>
      <c r="C25">
        <v>9</v>
      </c>
      <c r="D25">
        <v>18</v>
      </c>
    </row>
    <row r="26" spans="1:4" x14ac:dyDescent="0.35">
      <c r="A26" s="11" t="s">
        <v>168</v>
      </c>
      <c r="B26">
        <v>9</v>
      </c>
      <c r="C26">
        <v>4</v>
      </c>
      <c r="D26">
        <v>13</v>
      </c>
    </row>
    <row r="27" spans="1:4" x14ac:dyDescent="0.35">
      <c r="A27" s="11" t="s">
        <v>45</v>
      </c>
      <c r="B27">
        <v>9</v>
      </c>
      <c r="D27">
        <v>9</v>
      </c>
    </row>
    <row r="28" spans="1:4" x14ac:dyDescent="0.35">
      <c r="A28" s="11" t="s">
        <v>361</v>
      </c>
      <c r="B28">
        <v>8</v>
      </c>
      <c r="D28">
        <v>8</v>
      </c>
    </row>
    <row r="29" spans="1:4" x14ac:dyDescent="0.35">
      <c r="A29" s="11" t="s">
        <v>63</v>
      </c>
      <c r="B29">
        <v>8</v>
      </c>
      <c r="D29">
        <v>8</v>
      </c>
    </row>
    <row r="30" spans="1:4" x14ac:dyDescent="0.35">
      <c r="A30" s="11" t="s">
        <v>327</v>
      </c>
      <c r="B30">
        <v>7</v>
      </c>
      <c r="D30">
        <v>7</v>
      </c>
    </row>
    <row r="31" spans="1:4" x14ac:dyDescent="0.35">
      <c r="A31" s="11" t="s">
        <v>60</v>
      </c>
      <c r="B31">
        <v>7</v>
      </c>
      <c r="D31">
        <v>7</v>
      </c>
    </row>
    <row r="32" spans="1:4" x14ac:dyDescent="0.35">
      <c r="A32" s="11" t="s">
        <v>96</v>
      </c>
      <c r="B32">
        <v>7</v>
      </c>
      <c r="D32">
        <v>7</v>
      </c>
    </row>
    <row r="33" spans="1:4" x14ac:dyDescent="0.35">
      <c r="A33" s="11" t="s">
        <v>93</v>
      </c>
      <c r="B33">
        <v>7</v>
      </c>
      <c r="C33">
        <v>14</v>
      </c>
      <c r="D33">
        <v>21</v>
      </c>
    </row>
    <row r="34" spans="1:4" x14ac:dyDescent="0.35">
      <c r="A34" s="11" t="s">
        <v>270</v>
      </c>
      <c r="B34">
        <v>7</v>
      </c>
      <c r="C34">
        <v>20</v>
      </c>
      <c r="D34">
        <v>27</v>
      </c>
    </row>
    <row r="35" spans="1:4" x14ac:dyDescent="0.35">
      <c r="A35" s="11" t="s">
        <v>258</v>
      </c>
      <c r="B35">
        <v>7</v>
      </c>
      <c r="C35">
        <v>7</v>
      </c>
      <c r="D35">
        <v>14</v>
      </c>
    </row>
    <row r="36" spans="1:4" x14ac:dyDescent="0.35">
      <c r="A36" s="11" t="s">
        <v>187</v>
      </c>
      <c r="B36">
        <v>7</v>
      </c>
      <c r="D36">
        <v>7</v>
      </c>
    </row>
    <row r="37" spans="1:4" x14ac:dyDescent="0.35">
      <c r="A37" s="11" t="s">
        <v>264</v>
      </c>
      <c r="B37">
        <v>7</v>
      </c>
      <c r="D37">
        <v>7</v>
      </c>
    </row>
    <row r="38" spans="1:4" x14ac:dyDescent="0.35">
      <c r="A38" s="11" t="s">
        <v>89</v>
      </c>
      <c r="B38">
        <v>7</v>
      </c>
      <c r="C38">
        <v>16</v>
      </c>
      <c r="D38">
        <v>23</v>
      </c>
    </row>
    <row r="39" spans="1:4" x14ac:dyDescent="0.35">
      <c r="A39" s="11" t="s">
        <v>246</v>
      </c>
      <c r="B39">
        <v>7</v>
      </c>
      <c r="C39">
        <v>1</v>
      </c>
      <c r="D39">
        <v>8</v>
      </c>
    </row>
    <row r="40" spans="1:4" x14ac:dyDescent="0.35">
      <c r="A40" s="11" t="s">
        <v>151</v>
      </c>
      <c r="B40">
        <v>6</v>
      </c>
      <c r="C40">
        <v>6</v>
      </c>
      <c r="D40">
        <v>12</v>
      </c>
    </row>
    <row r="41" spans="1:4" x14ac:dyDescent="0.35">
      <c r="A41" s="11" t="s">
        <v>84</v>
      </c>
      <c r="B41">
        <v>6</v>
      </c>
      <c r="D41">
        <v>6</v>
      </c>
    </row>
    <row r="42" spans="1:4" x14ac:dyDescent="0.35">
      <c r="A42" s="11" t="s">
        <v>337</v>
      </c>
      <c r="B42">
        <v>6</v>
      </c>
      <c r="D42">
        <v>6</v>
      </c>
    </row>
    <row r="43" spans="1:4" x14ac:dyDescent="0.35">
      <c r="A43" s="11" t="s">
        <v>241</v>
      </c>
      <c r="B43">
        <v>6</v>
      </c>
      <c r="C43">
        <v>3</v>
      </c>
      <c r="D43">
        <v>9</v>
      </c>
    </row>
    <row r="44" spans="1:4" x14ac:dyDescent="0.35">
      <c r="A44" s="11" t="s">
        <v>118</v>
      </c>
      <c r="B44">
        <v>6</v>
      </c>
      <c r="C44">
        <v>8</v>
      </c>
      <c r="D44">
        <v>14</v>
      </c>
    </row>
    <row r="45" spans="1:4" x14ac:dyDescent="0.35">
      <c r="A45" s="11" t="s">
        <v>95</v>
      </c>
      <c r="B45">
        <v>6</v>
      </c>
      <c r="C45">
        <v>26</v>
      </c>
      <c r="D45">
        <v>32</v>
      </c>
    </row>
    <row r="46" spans="1:4" x14ac:dyDescent="0.35">
      <c r="A46" s="11" t="s">
        <v>322</v>
      </c>
      <c r="B46">
        <v>6</v>
      </c>
      <c r="D46">
        <v>6</v>
      </c>
    </row>
    <row r="47" spans="1:4" x14ac:dyDescent="0.35">
      <c r="A47" s="11" t="s">
        <v>140</v>
      </c>
      <c r="B47">
        <v>6</v>
      </c>
      <c r="D47">
        <v>6</v>
      </c>
    </row>
    <row r="48" spans="1:4" x14ac:dyDescent="0.35">
      <c r="A48" s="11" t="s">
        <v>253</v>
      </c>
      <c r="B48">
        <v>6</v>
      </c>
      <c r="D48">
        <v>6</v>
      </c>
    </row>
    <row r="49" spans="1:4" x14ac:dyDescent="0.35">
      <c r="A49" s="11" t="s">
        <v>125</v>
      </c>
      <c r="B49">
        <v>6</v>
      </c>
      <c r="C49">
        <v>6</v>
      </c>
      <c r="D49">
        <v>12</v>
      </c>
    </row>
    <row r="50" spans="1:4" x14ac:dyDescent="0.35">
      <c r="A50" s="11" t="s">
        <v>344</v>
      </c>
      <c r="B50">
        <v>6</v>
      </c>
      <c r="D50">
        <v>6</v>
      </c>
    </row>
    <row r="51" spans="1:4" x14ac:dyDescent="0.35">
      <c r="A51" s="11" t="s">
        <v>37</v>
      </c>
      <c r="B51">
        <v>6</v>
      </c>
      <c r="D51">
        <v>6</v>
      </c>
    </row>
    <row r="52" spans="1:4" x14ac:dyDescent="0.35">
      <c r="A52" s="11" t="s">
        <v>56</v>
      </c>
      <c r="B52">
        <v>6</v>
      </c>
      <c r="D52">
        <v>6</v>
      </c>
    </row>
    <row r="53" spans="1:4" x14ac:dyDescent="0.35">
      <c r="A53" s="11" t="s">
        <v>78</v>
      </c>
      <c r="B53">
        <v>6</v>
      </c>
      <c r="C53">
        <v>12</v>
      </c>
      <c r="D53">
        <v>18</v>
      </c>
    </row>
    <row r="54" spans="1:4" x14ac:dyDescent="0.35">
      <c r="A54" s="11" t="s">
        <v>283</v>
      </c>
      <c r="B54">
        <v>6</v>
      </c>
      <c r="D54">
        <v>6</v>
      </c>
    </row>
    <row r="55" spans="1:4" x14ac:dyDescent="0.35">
      <c r="A55" s="11" t="s">
        <v>74</v>
      </c>
      <c r="B55">
        <v>5</v>
      </c>
      <c r="D55">
        <v>5</v>
      </c>
    </row>
    <row r="56" spans="1:4" x14ac:dyDescent="0.35">
      <c r="A56" s="11" t="s">
        <v>88</v>
      </c>
      <c r="B56">
        <v>5</v>
      </c>
      <c r="C56">
        <v>13</v>
      </c>
      <c r="D56">
        <v>18</v>
      </c>
    </row>
    <row r="57" spans="1:4" x14ac:dyDescent="0.35">
      <c r="A57" s="11" t="s">
        <v>339</v>
      </c>
      <c r="B57">
        <v>5</v>
      </c>
      <c r="D57">
        <v>5</v>
      </c>
    </row>
    <row r="58" spans="1:4" x14ac:dyDescent="0.35">
      <c r="A58" s="11" t="s">
        <v>152</v>
      </c>
      <c r="B58">
        <v>5</v>
      </c>
      <c r="C58">
        <v>3</v>
      </c>
      <c r="D58">
        <v>8</v>
      </c>
    </row>
    <row r="59" spans="1:4" x14ac:dyDescent="0.35">
      <c r="A59" s="11" t="s">
        <v>329</v>
      </c>
      <c r="B59">
        <v>5</v>
      </c>
      <c r="D59">
        <v>5</v>
      </c>
    </row>
    <row r="60" spans="1:4" x14ac:dyDescent="0.35">
      <c r="A60" s="11" t="s">
        <v>41</v>
      </c>
      <c r="B60">
        <v>5</v>
      </c>
      <c r="C60">
        <v>7</v>
      </c>
      <c r="D60">
        <v>12</v>
      </c>
    </row>
    <row r="61" spans="1:4" x14ac:dyDescent="0.35">
      <c r="A61" s="11" t="s">
        <v>343</v>
      </c>
      <c r="B61">
        <v>5</v>
      </c>
      <c r="D61">
        <v>5</v>
      </c>
    </row>
    <row r="62" spans="1:4" x14ac:dyDescent="0.35">
      <c r="A62" s="11" t="s">
        <v>101</v>
      </c>
      <c r="B62">
        <v>4</v>
      </c>
      <c r="D62">
        <v>4</v>
      </c>
    </row>
    <row r="63" spans="1:4" x14ac:dyDescent="0.35">
      <c r="A63" s="11" t="s">
        <v>430</v>
      </c>
      <c r="B63">
        <v>4</v>
      </c>
      <c r="D63">
        <v>4</v>
      </c>
    </row>
    <row r="64" spans="1:4" x14ac:dyDescent="0.35">
      <c r="A64" s="11" t="s">
        <v>348</v>
      </c>
      <c r="B64">
        <v>4</v>
      </c>
      <c r="D64">
        <v>4</v>
      </c>
    </row>
    <row r="65" spans="1:4" x14ac:dyDescent="0.35">
      <c r="A65" s="11" t="s">
        <v>181</v>
      </c>
      <c r="B65">
        <v>4</v>
      </c>
      <c r="C65">
        <v>1</v>
      </c>
      <c r="D65">
        <v>5</v>
      </c>
    </row>
    <row r="66" spans="1:4" x14ac:dyDescent="0.35">
      <c r="A66" s="11" t="s">
        <v>138</v>
      </c>
      <c r="B66">
        <v>4</v>
      </c>
      <c r="D66">
        <v>4</v>
      </c>
    </row>
    <row r="67" spans="1:4" x14ac:dyDescent="0.35">
      <c r="A67" s="11" t="s">
        <v>130</v>
      </c>
      <c r="B67">
        <v>4</v>
      </c>
      <c r="C67">
        <v>3</v>
      </c>
      <c r="D67">
        <v>7</v>
      </c>
    </row>
    <row r="68" spans="1:4" x14ac:dyDescent="0.35">
      <c r="A68" s="11" t="s">
        <v>394</v>
      </c>
      <c r="B68">
        <v>4</v>
      </c>
      <c r="D68">
        <v>4</v>
      </c>
    </row>
    <row r="69" spans="1:4" x14ac:dyDescent="0.35">
      <c r="A69" s="11" t="s">
        <v>82</v>
      </c>
      <c r="B69">
        <v>4</v>
      </c>
      <c r="D69">
        <v>4</v>
      </c>
    </row>
    <row r="70" spans="1:4" x14ac:dyDescent="0.35">
      <c r="A70" s="11" t="s">
        <v>352</v>
      </c>
      <c r="B70">
        <v>4</v>
      </c>
      <c r="C70">
        <v>1</v>
      </c>
      <c r="D70">
        <v>5</v>
      </c>
    </row>
    <row r="71" spans="1:4" x14ac:dyDescent="0.35">
      <c r="A71" s="11" t="s">
        <v>178</v>
      </c>
      <c r="B71">
        <v>4</v>
      </c>
      <c r="D71">
        <v>4</v>
      </c>
    </row>
    <row r="72" spans="1:4" x14ac:dyDescent="0.35">
      <c r="A72" s="11" t="s">
        <v>336</v>
      </c>
      <c r="B72">
        <v>4</v>
      </c>
      <c r="D72">
        <v>4</v>
      </c>
    </row>
    <row r="73" spans="1:4" x14ac:dyDescent="0.35">
      <c r="A73" s="11" t="s">
        <v>315</v>
      </c>
      <c r="B73">
        <v>4</v>
      </c>
      <c r="C73">
        <v>4</v>
      </c>
      <c r="D73">
        <v>8</v>
      </c>
    </row>
    <row r="74" spans="1:4" x14ac:dyDescent="0.35">
      <c r="A74" s="11" t="s">
        <v>290</v>
      </c>
      <c r="B74">
        <v>3</v>
      </c>
      <c r="D74">
        <v>3</v>
      </c>
    </row>
    <row r="75" spans="1:4" x14ac:dyDescent="0.35">
      <c r="A75" s="11" t="s">
        <v>371</v>
      </c>
      <c r="B75">
        <v>3</v>
      </c>
      <c r="D75">
        <v>3</v>
      </c>
    </row>
    <row r="76" spans="1:4" x14ac:dyDescent="0.35">
      <c r="A76" s="11" t="s">
        <v>434</v>
      </c>
      <c r="B76">
        <v>3</v>
      </c>
      <c r="D76">
        <v>3</v>
      </c>
    </row>
    <row r="77" spans="1:4" x14ac:dyDescent="0.35">
      <c r="A77" s="11" t="s">
        <v>335</v>
      </c>
      <c r="B77">
        <v>3</v>
      </c>
      <c r="D77">
        <v>3</v>
      </c>
    </row>
    <row r="78" spans="1:4" x14ac:dyDescent="0.35">
      <c r="A78" s="11" t="s">
        <v>134</v>
      </c>
      <c r="B78">
        <v>3</v>
      </c>
      <c r="D78">
        <v>3</v>
      </c>
    </row>
    <row r="79" spans="1:4" x14ac:dyDescent="0.35">
      <c r="A79" s="11" t="s">
        <v>354</v>
      </c>
      <c r="B79">
        <v>3</v>
      </c>
      <c r="D79">
        <v>3</v>
      </c>
    </row>
    <row r="80" spans="1:4" x14ac:dyDescent="0.35">
      <c r="A80" s="11" t="s">
        <v>238</v>
      </c>
      <c r="B80">
        <v>3</v>
      </c>
      <c r="D80">
        <v>3</v>
      </c>
    </row>
    <row r="81" spans="1:4" x14ac:dyDescent="0.35">
      <c r="A81" s="11" t="s">
        <v>299</v>
      </c>
      <c r="B81">
        <v>3</v>
      </c>
      <c r="D81">
        <v>3</v>
      </c>
    </row>
    <row r="82" spans="1:4" x14ac:dyDescent="0.35">
      <c r="A82" s="11" t="s">
        <v>333</v>
      </c>
      <c r="B82">
        <v>3</v>
      </c>
      <c r="D82">
        <v>3</v>
      </c>
    </row>
    <row r="83" spans="1:4" x14ac:dyDescent="0.35">
      <c r="A83" s="11" t="s">
        <v>145</v>
      </c>
      <c r="B83">
        <v>3</v>
      </c>
      <c r="C83">
        <v>2</v>
      </c>
      <c r="D83">
        <v>5</v>
      </c>
    </row>
    <row r="84" spans="1:4" x14ac:dyDescent="0.35">
      <c r="A84" s="11" t="s">
        <v>17</v>
      </c>
      <c r="B84">
        <v>3</v>
      </c>
      <c r="C84">
        <v>1</v>
      </c>
      <c r="D84">
        <v>4</v>
      </c>
    </row>
    <row r="85" spans="1:4" x14ac:dyDescent="0.35">
      <c r="A85" s="11" t="s">
        <v>36</v>
      </c>
      <c r="B85">
        <v>3</v>
      </c>
      <c r="C85">
        <v>4</v>
      </c>
      <c r="D85">
        <v>7</v>
      </c>
    </row>
    <row r="86" spans="1:4" x14ac:dyDescent="0.35">
      <c r="A86" s="11" t="s">
        <v>284</v>
      </c>
      <c r="B86">
        <v>3</v>
      </c>
      <c r="C86">
        <v>4</v>
      </c>
      <c r="D86">
        <v>7</v>
      </c>
    </row>
    <row r="87" spans="1:4" x14ac:dyDescent="0.35">
      <c r="A87" s="11" t="s">
        <v>206</v>
      </c>
      <c r="B87">
        <v>3</v>
      </c>
      <c r="C87">
        <v>3</v>
      </c>
      <c r="D87">
        <v>6</v>
      </c>
    </row>
    <row r="88" spans="1:4" x14ac:dyDescent="0.35">
      <c r="A88" s="11" t="s">
        <v>197</v>
      </c>
      <c r="B88">
        <v>3</v>
      </c>
      <c r="C88">
        <v>8</v>
      </c>
      <c r="D88">
        <v>11</v>
      </c>
    </row>
    <row r="89" spans="1:4" x14ac:dyDescent="0.35">
      <c r="A89" s="11" t="s">
        <v>252</v>
      </c>
      <c r="B89">
        <v>3</v>
      </c>
      <c r="C89">
        <v>6</v>
      </c>
      <c r="D89">
        <v>9</v>
      </c>
    </row>
    <row r="90" spans="1:4" x14ac:dyDescent="0.35">
      <c r="A90" s="11" t="s">
        <v>330</v>
      </c>
      <c r="B90">
        <v>2</v>
      </c>
      <c r="D90">
        <v>2</v>
      </c>
    </row>
    <row r="91" spans="1:4" x14ac:dyDescent="0.35">
      <c r="A91" s="11" t="s">
        <v>49</v>
      </c>
      <c r="B91">
        <v>2</v>
      </c>
      <c r="D91">
        <v>2</v>
      </c>
    </row>
    <row r="92" spans="1:4" x14ac:dyDescent="0.35">
      <c r="A92" s="11" t="s">
        <v>111</v>
      </c>
      <c r="B92">
        <v>2</v>
      </c>
      <c r="D92">
        <v>2</v>
      </c>
    </row>
    <row r="93" spans="1:4" x14ac:dyDescent="0.35">
      <c r="A93" s="11" t="s">
        <v>158</v>
      </c>
      <c r="B93">
        <v>2</v>
      </c>
      <c r="D93">
        <v>2</v>
      </c>
    </row>
    <row r="94" spans="1:4" x14ac:dyDescent="0.35">
      <c r="A94" s="11" t="s">
        <v>160</v>
      </c>
      <c r="B94">
        <v>2</v>
      </c>
      <c r="D94">
        <v>2</v>
      </c>
    </row>
    <row r="95" spans="1:4" x14ac:dyDescent="0.35">
      <c r="A95" s="11" t="s">
        <v>418</v>
      </c>
      <c r="B95">
        <v>2</v>
      </c>
      <c r="D95">
        <v>2</v>
      </c>
    </row>
    <row r="96" spans="1:4" x14ac:dyDescent="0.35">
      <c r="A96" s="11" t="s">
        <v>325</v>
      </c>
      <c r="B96">
        <v>2</v>
      </c>
      <c r="D96">
        <v>2</v>
      </c>
    </row>
    <row r="97" spans="1:4" x14ac:dyDescent="0.35">
      <c r="A97" s="11" t="s">
        <v>269</v>
      </c>
      <c r="B97">
        <v>2</v>
      </c>
      <c r="D97">
        <v>2</v>
      </c>
    </row>
    <row r="98" spans="1:4" x14ac:dyDescent="0.35">
      <c r="A98" s="11" t="s">
        <v>209</v>
      </c>
      <c r="B98">
        <v>2</v>
      </c>
      <c r="C98">
        <v>2</v>
      </c>
      <c r="D98">
        <v>4</v>
      </c>
    </row>
    <row r="99" spans="1:4" x14ac:dyDescent="0.35">
      <c r="A99" s="11" t="s">
        <v>177</v>
      </c>
      <c r="B99">
        <v>2</v>
      </c>
      <c r="D99">
        <v>2</v>
      </c>
    </row>
    <row r="100" spans="1:4" x14ac:dyDescent="0.35">
      <c r="A100" s="11" t="s">
        <v>236</v>
      </c>
      <c r="B100">
        <v>2</v>
      </c>
      <c r="C100">
        <v>7</v>
      </c>
      <c r="D100">
        <v>9</v>
      </c>
    </row>
    <row r="101" spans="1:4" x14ac:dyDescent="0.35">
      <c r="A101" s="11" t="s">
        <v>18</v>
      </c>
      <c r="B101">
        <v>2</v>
      </c>
      <c r="D101">
        <v>2</v>
      </c>
    </row>
    <row r="102" spans="1:4" x14ac:dyDescent="0.35">
      <c r="A102" s="11" t="s">
        <v>43</v>
      </c>
      <c r="B102">
        <v>2</v>
      </c>
      <c r="D102">
        <v>2</v>
      </c>
    </row>
    <row r="103" spans="1:4" x14ac:dyDescent="0.35">
      <c r="A103" s="11" t="s">
        <v>377</v>
      </c>
      <c r="B103">
        <v>2</v>
      </c>
      <c r="D103">
        <v>2</v>
      </c>
    </row>
    <row r="104" spans="1:4" x14ac:dyDescent="0.35">
      <c r="A104" s="11" t="s">
        <v>356</v>
      </c>
      <c r="B104">
        <v>2</v>
      </c>
      <c r="D104">
        <v>2</v>
      </c>
    </row>
    <row r="105" spans="1:4" x14ac:dyDescent="0.35">
      <c r="A105" s="11" t="s">
        <v>149</v>
      </c>
      <c r="B105">
        <v>2</v>
      </c>
      <c r="C105">
        <v>3</v>
      </c>
      <c r="D105">
        <v>5</v>
      </c>
    </row>
    <row r="106" spans="1:4" x14ac:dyDescent="0.35">
      <c r="A106" s="11" t="s">
        <v>154</v>
      </c>
      <c r="B106">
        <v>2</v>
      </c>
      <c r="C106">
        <v>2</v>
      </c>
      <c r="D106">
        <v>4</v>
      </c>
    </row>
    <row r="107" spans="1:4" x14ac:dyDescent="0.35">
      <c r="A107" s="11" t="s">
        <v>427</v>
      </c>
      <c r="B107">
        <v>1</v>
      </c>
      <c r="D107">
        <v>1</v>
      </c>
    </row>
    <row r="108" spans="1:4" x14ac:dyDescent="0.35">
      <c r="A108" s="11" t="s">
        <v>97</v>
      </c>
      <c r="B108">
        <v>1</v>
      </c>
      <c r="D108">
        <v>1</v>
      </c>
    </row>
    <row r="109" spans="1:4" x14ac:dyDescent="0.35">
      <c r="A109" s="11" t="s">
        <v>365</v>
      </c>
      <c r="B109">
        <v>1</v>
      </c>
      <c r="D109">
        <v>1</v>
      </c>
    </row>
    <row r="110" spans="1:4" x14ac:dyDescent="0.35">
      <c r="A110" s="11" t="s">
        <v>211</v>
      </c>
      <c r="B110">
        <v>1</v>
      </c>
      <c r="D110">
        <v>1</v>
      </c>
    </row>
    <row r="111" spans="1:4" x14ac:dyDescent="0.35">
      <c r="A111" s="11" t="s">
        <v>370</v>
      </c>
      <c r="B111">
        <v>1</v>
      </c>
      <c r="C111">
        <v>1</v>
      </c>
      <c r="D111">
        <v>2</v>
      </c>
    </row>
    <row r="112" spans="1:4" x14ac:dyDescent="0.35">
      <c r="A112" s="11" t="s">
        <v>216</v>
      </c>
      <c r="B112">
        <v>1</v>
      </c>
      <c r="D112">
        <v>1</v>
      </c>
    </row>
    <row r="113" spans="1:4" x14ac:dyDescent="0.35">
      <c r="A113" s="11" t="s">
        <v>167</v>
      </c>
      <c r="B113">
        <v>1</v>
      </c>
      <c r="D113">
        <v>1</v>
      </c>
    </row>
    <row r="114" spans="1:4" x14ac:dyDescent="0.35">
      <c r="A114" s="11" t="s">
        <v>30</v>
      </c>
      <c r="B114">
        <v>1</v>
      </c>
      <c r="D114">
        <v>1</v>
      </c>
    </row>
    <row r="115" spans="1:4" x14ac:dyDescent="0.35">
      <c r="A115" s="11" t="s">
        <v>51</v>
      </c>
      <c r="B115">
        <v>1</v>
      </c>
      <c r="D115">
        <v>1</v>
      </c>
    </row>
    <row r="116" spans="1:4" x14ac:dyDescent="0.35">
      <c r="A116" s="11" t="s">
        <v>47</v>
      </c>
      <c r="B116">
        <v>1</v>
      </c>
      <c r="D116">
        <v>1</v>
      </c>
    </row>
    <row r="117" spans="1:4" x14ac:dyDescent="0.35">
      <c r="A117" s="11" t="s">
        <v>313</v>
      </c>
      <c r="B117">
        <v>1</v>
      </c>
      <c r="D117">
        <v>1</v>
      </c>
    </row>
    <row r="118" spans="1:4" x14ac:dyDescent="0.35">
      <c r="A118" s="11" t="s">
        <v>406</v>
      </c>
      <c r="B118">
        <v>1</v>
      </c>
      <c r="D118">
        <v>1</v>
      </c>
    </row>
    <row r="119" spans="1:4" x14ac:dyDescent="0.35">
      <c r="A119" s="11" t="s">
        <v>139</v>
      </c>
      <c r="B119">
        <v>1</v>
      </c>
      <c r="D119">
        <v>1</v>
      </c>
    </row>
    <row r="120" spans="1:4" x14ac:dyDescent="0.35">
      <c r="A120" s="11" t="s">
        <v>73</v>
      </c>
      <c r="B120">
        <v>1</v>
      </c>
      <c r="D120">
        <v>1</v>
      </c>
    </row>
    <row r="121" spans="1:4" x14ac:dyDescent="0.35">
      <c r="A121" s="11" t="s">
        <v>314</v>
      </c>
      <c r="B121">
        <v>1</v>
      </c>
      <c r="D121">
        <v>1</v>
      </c>
    </row>
    <row r="122" spans="1:4" x14ac:dyDescent="0.35">
      <c r="A122" s="11" t="s">
        <v>395</v>
      </c>
      <c r="B122">
        <v>1</v>
      </c>
      <c r="D122">
        <v>1</v>
      </c>
    </row>
    <row r="123" spans="1:4" x14ac:dyDescent="0.35">
      <c r="A123" s="11" t="s">
        <v>384</v>
      </c>
      <c r="B123">
        <v>1</v>
      </c>
      <c r="D123">
        <v>1</v>
      </c>
    </row>
    <row r="124" spans="1:4" x14ac:dyDescent="0.35">
      <c r="A124" s="11" t="s">
        <v>397</v>
      </c>
      <c r="B124">
        <v>1</v>
      </c>
      <c r="D124">
        <v>1</v>
      </c>
    </row>
    <row r="125" spans="1:4" x14ac:dyDescent="0.35">
      <c r="A125" s="11" t="s">
        <v>25</v>
      </c>
      <c r="B125">
        <v>1</v>
      </c>
      <c r="D125">
        <v>1</v>
      </c>
    </row>
    <row r="126" spans="1:4" x14ac:dyDescent="0.35">
      <c r="A126" s="11" t="s">
        <v>437</v>
      </c>
      <c r="B126">
        <v>1</v>
      </c>
      <c r="D126">
        <v>1</v>
      </c>
    </row>
    <row r="127" spans="1:4" x14ac:dyDescent="0.35">
      <c r="A127" s="11" t="s">
        <v>169</v>
      </c>
      <c r="B127">
        <v>1</v>
      </c>
      <c r="C127">
        <v>1</v>
      </c>
      <c r="D127">
        <v>2</v>
      </c>
    </row>
    <row r="128" spans="1:4" x14ac:dyDescent="0.35">
      <c r="A128" s="11" t="s">
        <v>34</v>
      </c>
      <c r="B128">
        <v>1</v>
      </c>
      <c r="D128">
        <v>1</v>
      </c>
    </row>
    <row r="129" spans="1:4" x14ac:dyDescent="0.35">
      <c r="A129" s="11" t="s">
        <v>248</v>
      </c>
      <c r="B129">
        <v>1</v>
      </c>
      <c r="C129">
        <v>6</v>
      </c>
      <c r="D129">
        <v>7</v>
      </c>
    </row>
    <row r="130" spans="1:4" x14ac:dyDescent="0.35">
      <c r="A130" s="11" t="s">
        <v>195</v>
      </c>
      <c r="B130">
        <v>1</v>
      </c>
      <c r="C130">
        <v>5</v>
      </c>
      <c r="D130">
        <v>6</v>
      </c>
    </row>
    <row r="131" spans="1:4" x14ac:dyDescent="0.35">
      <c r="A131" s="11" t="s">
        <v>164</v>
      </c>
      <c r="B131">
        <v>1</v>
      </c>
      <c r="D131">
        <v>1</v>
      </c>
    </row>
    <row r="132" spans="1:4" x14ac:dyDescent="0.35">
      <c r="A132" s="11" t="s">
        <v>231</v>
      </c>
      <c r="B132">
        <v>1</v>
      </c>
      <c r="D132">
        <v>1</v>
      </c>
    </row>
    <row r="133" spans="1:4" x14ac:dyDescent="0.35">
      <c r="A133" s="11" t="s">
        <v>298</v>
      </c>
      <c r="B133">
        <v>1</v>
      </c>
      <c r="D133">
        <v>1</v>
      </c>
    </row>
    <row r="134" spans="1:4" x14ac:dyDescent="0.35">
      <c r="A134" s="11" t="s">
        <v>416</v>
      </c>
      <c r="C134">
        <v>3</v>
      </c>
      <c r="D134">
        <v>3</v>
      </c>
    </row>
    <row r="135" spans="1:4" x14ac:dyDescent="0.35">
      <c r="A135" s="11" t="s">
        <v>226</v>
      </c>
      <c r="C135">
        <v>2</v>
      </c>
      <c r="D135">
        <v>2</v>
      </c>
    </row>
    <row r="136" spans="1:4" x14ac:dyDescent="0.35">
      <c r="A136" s="11" t="s">
        <v>428</v>
      </c>
      <c r="C136">
        <v>1</v>
      </c>
      <c r="D136">
        <v>1</v>
      </c>
    </row>
    <row r="137" spans="1:4" x14ac:dyDescent="0.35">
      <c r="A137" s="11" t="s">
        <v>112</v>
      </c>
      <c r="C137">
        <v>26</v>
      </c>
      <c r="D137">
        <v>26</v>
      </c>
    </row>
    <row r="138" spans="1:4" x14ac:dyDescent="0.35">
      <c r="A138" s="11" t="s">
        <v>396</v>
      </c>
      <c r="C138">
        <v>3</v>
      </c>
      <c r="D138">
        <v>3</v>
      </c>
    </row>
    <row r="139" spans="1:4" x14ac:dyDescent="0.35">
      <c r="A139" s="11" t="s">
        <v>421</v>
      </c>
      <c r="C139">
        <v>1</v>
      </c>
      <c r="D139">
        <v>1</v>
      </c>
    </row>
    <row r="140" spans="1:4" x14ac:dyDescent="0.35">
      <c r="A140" s="11" t="s">
        <v>376</v>
      </c>
      <c r="C140">
        <v>1</v>
      </c>
      <c r="D140">
        <v>1</v>
      </c>
    </row>
    <row r="141" spans="1:4" x14ac:dyDescent="0.35">
      <c r="A141" s="11" t="s">
        <v>191</v>
      </c>
      <c r="C141">
        <v>1</v>
      </c>
      <c r="D141">
        <v>1</v>
      </c>
    </row>
    <row r="142" spans="1:4" x14ac:dyDescent="0.35">
      <c r="A142" s="11" t="s">
        <v>115</v>
      </c>
      <c r="C142">
        <v>20</v>
      </c>
      <c r="D142">
        <v>20</v>
      </c>
    </row>
    <row r="143" spans="1:4" x14ac:dyDescent="0.35">
      <c r="A143" s="11" t="s">
        <v>67</v>
      </c>
      <c r="C143">
        <v>1</v>
      </c>
      <c r="D143">
        <v>1</v>
      </c>
    </row>
    <row r="144" spans="1:4" x14ac:dyDescent="0.35">
      <c r="A144" s="11" t="s">
        <v>103</v>
      </c>
      <c r="C144">
        <v>1</v>
      </c>
      <c r="D144">
        <v>1</v>
      </c>
    </row>
    <row r="145" spans="1:4" x14ac:dyDescent="0.35">
      <c r="A145" s="11" t="s">
        <v>297</v>
      </c>
      <c r="C145">
        <v>1</v>
      </c>
      <c r="D145">
        <v>1</v>
      </c>
    </row>
    <row r="146" spans="1:4" x14ac:dyDescent="0.35">
      <c r="A146" s="11" t="s">
        <v>131</v>
      </c>
      <c r="C146">
        <v>13</v>
      </c>
      <c r="D146">
        <v>13</v>
      </c>
    </row>
    <row r="147" spans="1:4" x14ac:dyDescent="0.35">
      <c r="A147" s="11" t="s">
        <v>113</v>
      </c>
      <c r="C147">
        <v>3</v>
      </c>
      <c r="D147">
        <v>3</v>
      </c>
    </row>
    <row r="148" spans="1:4" x14ac:dyDescent="0.35">
      <c r="A148" s="11" t="s">
        <v>190</v>
      </c>
      <c r="C148">
        <v>1</v>
      </c>
      <c r="D148">
        <v>1</v>
      </c>
    </row>
    <row r="149" spans="1:4" x14ac:dyDescent="0.35">
      <c r="A149" s="11" t="s">
        <v>232</v>
      </c>
      <c r="C149">
        <v>2</v>
      </c>
      <c r="D149">
        <v>2</v>
      </c>
    </row>
    <row r="150" spans="1:4" x14ac:dyDescent="0.35">
      <c r="A150" s="11" t="s">
        <v>388</v>
      </c>
      <c r="C150">
        <v>2</v>
      </c>
      <c r="D150">
        <v>2</v>
      </c>
    </row>
    <row r="151" spans="1:4" x14ac:dyDescent="0.35">
      <c r="A151" s="11" t="s">
        <v>185</v>
      </c>
      <c r="C151">
        <v>1</v>
      </c>
      <c r="D151">
        <v>1</v>
      </c>
    </row>
    <row r="152" spans="1:4" x14ac:dyDescent="0.35">
      <c r="A152" s="11" t="s">
        <v>212</v>
      </c>
      <c r="C152">
        <v>1</v>
      </c>
      <c r="D152">
        <v>1</v>
      </c>
    </row>
    <row r="153" spans="1:4" x14ac:dyDescent="0.35">
      <c r="A153" s="11" t="s">
        <v>320</v>
      </c>
      <c r="C153">
        <v>4</v>
      </c>
      <c r="D153">
        <v>4</v>
      </c>
    </row>
    <row r="154" spans="1:4" x14ac:dyDescent="0.35">
      <c r="A154" s="11" t="s">
        <v>402</v>
      </c>
      <c r="C154">
        <v>1</v>
      </c>
      <c r="D154">
        <v>1</v>
      </c>
    </row>
    <row r="155" spans="1:4" x14ac:dyDescent="0.35">
      <c r="A155" s="11" t="s">
        <v>227</v>
      </c>
      <c r="C155">
        <v>3</v>
      </c>
      <c r="D155">
        <v>3</v>
      </c>
    </row>
    <row r="156" spans="1:4" x14ac:dyDescent="0.35">
      <c r="A156" s="11" t="s">
        <v>77</v>
      </c>
      <c r="C156">
        <v>4</v>
      </c>
      <c r="D156">
        <v>4</v>
      </c>
    </row>
    <row r="157" spans="1:4" x14ac:dyDescent="0.35">
      <c r="A157" s="11" t="s">
        <v>407</v>
      </c>
      <c r="C157">
        <v>2</v>
      </c>
      <c r="D157">
        <v>2</v>
      </c>
    </row>
    <row r="158" spans="1:4" x14ac:dyDescent="0.35">
      <c r="A158" s="11" t="s">
        <v>159</v>
      </c>
      <c r="C158">
        <v>1</v>
      </c>
      <c r="D158">
        <v>1</v>
      </c>
    </row>
    <row r="159" spans="1:4" x14ac:dyDescent="0.35">
      <c r="A159" s="11" t="s">
        <v>423</v>
      </c>
      <c r="C159">
        <v>1</v>
      </c>
      <c r="D159">
        <v>1</v>
      </c>
    </row>
    <row r="160" spans="1:4" x14ac:dyDescent="0.35">
      <c r="A160" s="11" t="s">
        <v>144</v>
      </c>
      <c r="C160">
        <v>8</v>
      </c>
      <c r="D160">
        <v>8</v>
      </c>
    </row>
    <row r="161" spans="1:4" x14ac:dyDescent="0.35">
      <c r="A161" s="11" t="s">
        <v>357</v>
      </c>
      <c r="C161">
        <v>1</v>
      </c>
      <c r="D161">
        <v>1</v>
      </c>
    </row>
    <row r="162" spans="1:4" x14ac:dyDescent="0.35">
      <c r="A162" s="11" t="s">
        <v>391</v>
      </c>
      <c r="C162">
        <v>4</v>
      </c>
      <c r="D162">
        <v>4</v>
      </c>
    </row>
    <row r="163" spans="1:4" x14ac:dyDescent="0.35">
      <c r="A163" s="11" t="s">
        <v>420</v>
      </c>
      <c r="C163">
        <v>1</v>
      </c>
      <c r="D163">
        <v>1</v>
      </c>
    </row>
    <row r="164" spans="1:4" x14ac:dyDescent="0.35">
      <c r="A164" s="11" t="s">
        <v>422</v>
      </c>
      <c r="C164">
        <v>1</v>
      </c>
      <c r="D164">
        <v>1</v>
      </c>
    </row>
    <row r="165" spans="1:4" x14ac:dyDescent="0.35">
      <c r="A165" s="11" t="s">
        <v>286</v>
      </c>
      <c r="C165">
        <v>1</v>
      </c>
      <c r="D165">
        <v>1</v>
      </c>
    </row>
    <row r="166" spans="1:4" x14ac:dyDescent="0.35">
      <c r="A166" s="11" t="s">
        <v>133</v>
      </c>
      <c r="C166">
        <v>1</v>
      </c>
      <c r="D166">
        <v>1</v>
      </c>
    </row>
    <row r="167" spans="1:4" x14ac:dyDescent="0.35">
      <c r="A167" s="11" t="s">
        <v>294</v>
      </c>
      <c r="C167">
        <v>11</v>
      </c>
      <c r="D167">
        <v>11</v>
      </c>
    </row>
    <row r="168" spans="1:4" x14ac:dyDescent="0.35">
      <c r="A168" s="11" t="s">
        <v>128</v>
      </c>
      <c r="C168">
        <v>3</v>
      </c>
      <c r="D168">
        <v>3</v>
      </c>
    </row>
    <row r="169" spans="1:4" x14ac:dyDescent="0.35">
      <c r="A169" s="11" t="s">
        <v>245</v>
      </c>
      <c r="C169">
        <v>4</v>
      </c>
      <c r="D169">
        <v>4</v>
      </c>
    </row>
    <row r="170" spans="1:4" x14ac:dyDescent="0.35">
      <c r="A170" s="11" t="s">
        <v>405</v>
      </c>
      <c r="C170">
        <v>1</v>
      </c>
      <c r="D170">
        <v>1</v>
      </c>
    </row>
    <row r="171" spans="1:4" x14ac:dyDescent="0.35">
      <c r="A171" s="11" t="s">
        <v>165</v>
      </c>
      <c r="C171">
        <v>2</v>
      </c>
      <c r="D171">
        <v>2</v>
      </c>
    </row>
    <row r="172" spans="1:4" x14ac:dyDescent="0.35">
      <c r="A172" s="11" t="s">
        <v>412</v>
      </c>
      <c r="C172">
        <v>4</v>
      </c>
      <c r="D172">
        <v>4</v>
      </c>
    </row>
    <row r="173" spans="1:4" x14ac:dyDescent="0.35">
      <c r="A173" s="11" t="s">
        <v>419</v>
      </c>
      <c r="C173">
        <v>1</v>
      </c>
      <c r="D173">
        <v>1</v>
      </c>
    </row>
    <row r="174" spans="1:4" x14ac:dyDescent="0.35">
      <c r="A174" s="11" t="s">
        <v>393</v>
      </c>
      <c r="C174">
        <v>2</v>
      </c>
      <c r="D174">
        <v>2</v>
      </c>
    </row>
    <row r="175" spans="1:4" x14ac:dyDescent="0.35">
      <c r="A175" s="11" t="s">
        <v>310</v>
      </c>
      <c r="C175">
        <v>1</v>
      </c>
      <c r="D175">
        <v>1</v>
      </c>
    </row>
    <row r="176" spans="1:4" x14ac:dyDescent="0.35">
      <c r="A176" s="11" t="s">
        <v>324</v>
      </c>
      <c r="C176">
        <v>4</v>
      </c>
      <c r="D176">
        <v>4</v>
      </c>
    </row>
    <row r="177" spans="1:4" x14ac:dyDescent="0.35">
      <c r="A177" s="11" t="s">
        <v>123</v>
      </c>
      <c r="C177">
        <v>2</v>
      </c>
      <c r="D177">
        <v>2</v>
      </c>
    </row>
    <row r="178" spans="1:4" x14ac:dyDescent="0.35">
      <c r="A178" s="11" t="s">
        <v>454</v>
      </c>
      <c r="B178">
        <v>710</v>
      </c>
      <c r="C178">
        <v>703</v>
      </c>
      <c r="D178">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workbookViewId="0">
      <selection activeCell="A18" sqref="A18:XFD20"/>
    </sheetView>
  </sheetViews>
  <sheetFormatPr defaultRowHeight="18" x14ac:dyDescent="0.35"/>
  <cols>
    <col min="1" max="1" width="14.4140625" bestFit="1" customWidth="1"/>
    <col min="2" max="2" width="13.9140625" bestFit="1" customWidth="1"/>
    <col min="3" max="3" width="4" bestFit="1" customWidth="1"/>
    <col min="4" max="4" width="3.75" bestFit="1" customWidth="1"/>
    <col min="5" max="5" width="3.08203125" bestFit="1" customWidth="1"/>
    <col min="6" max="8" width="3.75" bestFit="1" customWidth="1"/>
    <col min="9" max="9" width="4" bestFit="1" customWidth="1"/>
    <col min="10" max="10" width="2.75" bestFit="1" customWidth="1"/>
    <col min="11" max="11" width="3" bestFit="1" customWidth="1"/>
    <col min="12" max="12" width="10"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v>1</v>
      </c>
      <c r="D5">
        <v>217</v>
      </c>
      <c r="E5">
        <v>3</v>
      </c>
      <c r="F5">
        <v>359</v>
      </c>
      <c r="G5">
        <v>5</v>
      </c>
      <c r="H5">
        <v>125</v>
      </c>
      <c r="L5">
        <v>710</v>
      </c>
    </row>
    <row r="6" spans="1:12" x14ac:dyDescent="0.35">
      <c r="A6" s="11" t="s">
        <v>64</v>
      </c>
      <c r="B6">
        <v>8</v>
      </c>
      <c r="C6">
        <v>7</v>
      </c>
      <c r="D6">
        <v>276</v>
      </c>
      <c r="E6">
        <v>40</v>
      </c>
      <c r="F6">
        <v>1</v>
      </c>
      <c r="H6">
        <v>221</v>
      </c>
      <c r="I6">
        <v>95</v>
      </c>
      <c r="J6">
        <v>23</v>
      </c>
      <c r="K6">
        <v>32</v>
      </c>
      <c r="L6">
        <v>703</v>
      </c>
    </row>
    <row r="7" spans="1:12" x14ac:dyDescent="0.35">
      <c r="A7" s="11" t="s">
        <v>454</v>
      </c>
      <c r="B7">
        <v>9</v>
      </c>
      <c r="C7">
        <v>7</v>
      </c>
      <c r="D7">
        <v>493</v>
      </c>
      <c r="E7">
        <v>43</v>
      </c>
      <c r="F7">
        <v>360</v>
      </c>
      <c r="G7">
        <v>5</v>
      </c>
      <c r="H7">
        <v>346</v>
      </c>
      <c r="I7">
        <v>95</v>
      </c>
      <c r="J7">
        <v>23</v>
      </c>
      <c r="K7">
        <v>32</v>
      </c>
      <c r="L7">
        <v>1413</v>
      </c>
    </row>
    <row r="18" spans="14:14" ht="23.4" hidden="1" x14ac:dyDescent="0.45">
      <c r="N18" s="13" t="s">
        <v>484</v>
      </c>
    </row>
    <row r="19" spans="14:14" ht="21" hidden="1" x14ac:dyDescent="0.4">
      <c r="N19" s="14" t="s">
        <v>507</v>
      </c>
    </row>
    <row r="20" spans="14:14" ht="21" hidden="1" x14ac:dyDescent="0.4">
      <c r="N20" s="14" t="s">
        <v>506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3:F35"/>
  <sheetViews>
    <sheetView zoomScale="52" workbookViewId="0">
      <selection activeCell="A32" sqref="A32:XFD35"/>
    </sheetView>
  </sheetViews>
  <sheetFormatPr defaultRowHeight="18" x14ac:dyDescent="0.35"/>
  <cols>
    <col min="1" max="1" width="28.332031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415</v>
      </c>
      <c r="C5">
        <v>1</v>
      </c>
      <c r="D5">
        <v>1</v>
      </c>
    </row>
    <row r="6" spans="1:4" x14ac:dyDescent="0.35">
      <c r="A6" s="11" t="s">
        <v>91</v>
      </c>
      <c r="B6">
        <v>22</v>
      </c>
      <c r="C6">
        <v>56</v>
      </c>
      <c r="D6">
        <v>78</v>
      </c>
    </row>
    <row r="7" spans="1:4" x14ac:dyDescent="0.35">
      <c r="A7" s="11" t="s">
        <v>80</v>
      </c>
      <c r="B7">
        <v>4</v>
      </c>
      <c r="D7">
        <v>4</v>
      </c>
    </row>
    <row r="8" spans="1:4" x14ac:dyDescent="0.35">
      <c r="A8" s="11" t="s">
        <v>417</v>
      </c>
      <c r="B8">
        <v>2</v>
      </c>
      <c r="D8">
        <v>2</v>
      </c>
    </row>
    <row r="9" spans="1:4" x14ac:dyDescent="0.35">
      <c r="A9" s="11" t="s">
        <v>40</v>
      </c>
      <c r="B9">
        <v>13</v>
      </c>
      <c r="D9">
        <v>13</v>
      </c>
    </row>
    <row r="10" spans="1:4" x14ac:dyDescent="0.35">
      <c r="A10" s="11" t="s">
        <v>163</v>
      </c>
      <c r="B10">
        <v>7</v>
      </c>
      <c r="C10">
        <v>5</v>
      </c>
      <c r="D10">
        <v>12</v>
      </c>
    </row>
    <row r="11" spans="1:4" x14ac:dyDescent="0.35">
      <c r="A11" s="11" t="s">
        <v>362</v>
      </c>
      <c r="B11">
        <v>4</v>
      </c>
      <c r="D11">
        <v>4</v>
      </c>
    </row>
    <row r="12" spans="1:4" x14ac:dyDescent="0.35">
      <c r="A12" s="11" t="s">
        <v>65</v>
      </c>
      <c r="B12">
        <v>311</v>
      </c>
      <c r="C12">
        <v>474</v>
      </c>
      <c r="D12">
        <v>785</v>
      </c>
    </row>
    <row r="13" spans="1:4" x14ac:dyDescent="0.35">
      <c r="A13" s="11" t="s">
        <v>15</v>
      </c>
      <c r="B13">
        <v>3</v>
      </c>
      <c r="D13">
        <v>3</v>
      </c>
    </row>
    <row r="14" spans="1:4" x14ac:dyDescent="0.35">
      <c r="A14" s="11" t="s">
        <v>390</v>
      </c>
      <c r="C14">
        <v>20</v>
      </c>
      <c r="D14">
        <v>20</v>
      </c>
    </row>
    <row r="15" spans="1:4" x14ac:dyDescent="0.35">
      <c r="A15" s="11" t="s">
        <v>35</v>
      </c>
      <c r="B15">
        <v>103</v>
      </c>
      <c r="D15">
        <v>103</v>
      </c>
    </row>
    <row r="16" spans="1:4" x14ac:dyDescent="0.35">
      <c r="A16" s="11" t="s">
        <v>425</v>
      </c>
      <c r="B16">
        <v>9</v>
      </c>
      <c r="D16">
        <v>9</v>
      </c>
    </row>
    <row r="17" spans="1:6" x14ac:dyDescent="0.35">
      <c r="A17" s="11" t="s">
        <v>321</v>
      </c>
      <c r="B17">
        <v>81</v>
      </c>
      <c r="D17">
        <v>81</v>
      </c>
    </row>
    <row r="18" spans="1:6" x14ac:dyDescent="0.35">
      <c r="A18" s="11" t="s">
        <v>172</v>
      </c>
      <c r="B18">
        <v>4</v>
      </c>
      <c r="C18">
        <v>14</v>
      </c>
      <c r="D18">
        <v>18</v>
      </c>
    </row>
    <row r="19" spans="1:6" x14ac:dyDescent="0.35">
      <c r="A19" s="11" t="s">
        <v>341</v>
      </c>
      <c r="B19">
        <v>2</v>
      </c>
      <c r="D19">
        <v>2</v>
      </c>
    </row>
    <row r="20" spans="1:6" x14ac:dyDescent="0.35">
      <c r="A20" s="11" t="s">
        <v>28</v>
      </c>
      <c r="B20">
        <v>2</v>
      </c>
      <c r="D20">
        <v>2</v>
      </c>
    </row>
    <row r="21" spans="1:6" x14ac:dyDescent="0.35">
      <c r="A21" s="11" t="s">
        <v>411</v>
      </c>
      <c r="C21">
        <v>1</v>
      </c>
      <c r="D21">
        <v>1</v>
      </c>
    </row>
    <row r="22" spans="1:6" x14ac:dyDescent="0.35">
      <c r="A22" s="11" t="s">
        <v>410</v>
      </c>
      <c r="C22">
        <v>1</v>
      </c>
      <c r="D22">
        <v>1</v>
      </c>
    </row>
    <row r="23" spans="1:6" x14ac:dyDescent="0.35">
      <c r="A23" s="11" t="s">
        <v>75</v>
      </c>
      <c r="B23">
        <v>140</v>
      </c>
      <c r="C23">
        <v>128</v>
      </c>
      <c r="D23">
        <v>268</v>
      </c>
    </row>
    <row r="24" spans="1:6" x14ac:dyDescent="0.35">
      <c r="A24" s="11" t="s">
        <v>71</v>
      </c>
      <c r="B24">
        <v>1</v>
      </c>
      <c r="D24">
        <v>1</v>
      </c>
    </row>
    <row r="25" spans="1:6" x14ac:dyDescent="0.35">
      <c r="A25" s="11" t="s">
        <v>223</v>
      </c>
      <c r="B25">
        <v>2</v>
      </c>
      <c r="C25">
        <v>3</v>
      </c>
      <c r="D25">
        <v>5</v>
      </c>
    </row>
    <row r="26" spans="1:6" x14ac:dyDescent="0.35">
      <c r="A26" s="11" t="s">
        <v>454</v>
      </c>
      <c r="B26">
        <v>710</v>
      </c>
      <c r="C26">
        <v>703</v>
      </c>
      <c r="D26">
        <v>1413</v>
      </c>
    </row>
    <row r="32" spans="1:6" ht="23.4" hidden="1" x14ac:dyDescent="0.45">
      <c r="F32" s="13" t="s">
        <v>484</v>
      </c>
    </row>
    <row r="33" spans="6:6" ht="21" hidden="1" x14ac:dyDescent="0.4">
      <c r="F33" s="14" t="s">
        <v>508</v>
      </c>
    </row>
    <row r="34" spans="6:6" ht="21" hidden="1" x14ac:dyDescent="0.4">
      <c r="F34" s="14" t="s">
        <v>510</v>
      </c>
    </row>
    <row r="35" spans="6:6" ht="21" hidden="1" x14ac:dyDescent="0.4">
      <c r="F35" s="14" t="s">
        <v>509</v>
      </c>
    </row>
  </sheetData>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topLeftCell="C1" zoomScale="71" workbookViewId="0">
      <selection activeCell="U1" sqref="U1:U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21" max="21" width="8.6640625" hidden="1" customWidth="1"/>
  </cols>
  <sheetData>
    <row r="3" spans="1:21" x14ac:dyDescent="0.35">
      <c r="A3" s="10" t="s">
        <v>455</v>
      </c>
      <c r="B3" s="10" t="s">
        <v>456</v>
      </c>
    </row>
    <row r="4" spans="1:21" x14ac:dyDescent="0.35">
      <c r="A4" s="10" t="s">
        <v>453</v>
      </c>
      <c r="B4" t="s">
        <v>14</v>
      </c>
      <c r="C4" t="s">
        <v>64</v>
      </c>
      <c r="D4" t="s">
        <v>454</v>
      </c>
    </row>
    <row r="5" spans="1:21" x14ac:dyDescent="0.35">
      <c r="A5" s="11">
        <v>1</v>
      </c>
      <c r="B5">
        <v>6</v>
      </c>
      <c r="C5">
        <v>21</v>
      </c>
      <c r="D5">
        <v>27</v>
      </c>
    </row>
    <row r="6" spans="1:21" x14ac:dyDescent="0.35">
      <c r="A6" s="11">
        <v>2</v>
      </c>
      <c r="B6">
        <v>7</v>
      </c>
      <c r="C6">
        <v>11</v>
      </c>
      <c r="D6">
        <v>18</v>
      </c>
    </row>
    <row r="7" spans="1:21" x14ac:dyDescent="0.35">
      <c r="A7" s="11">
        <v>3</v>
      </c>
      <c r="B7">
        <v>14</v>
      </c>
      <c r="C7">
        <v>16</v>
      </c>
      <c r="D7">
        <v>30</v>
      </c>
    </row>
    <row r="8" spans="1:21" x14ac:dyDescent="0.35">
      <c r="A8" s="11">
        <v>4</v>
      </c>
      <c r="B8">
        <v>11</v>
      </c>
      <c r="C8">
        <v>15</v>
      </c>
      <c r="D8">
        <v>26</v>
      </c>
    </row>
    <row r="9" spans="1:21" x14ac:dyDescent="0.35">
      <c r="A9" s="11">
        <v>5</v>
      </c>
      <c r="B9">
        <v>9</v>
      </c>
      <c r="C9">
        <v>8</v>
      </c>
      <c r="D9">
        <v>17</v>
      </c>
    </row>
    <row r="10" spans="1:21" ht="23.4" x14ac:dyDescent="0.45">
      <c r="A10" s="11">
        <v>6</v>
      </c>
      <c r="B10">
        <v>18</v>
      </c>
      <c r="C10">
        <v>10</v>
      </c>
      <c r="D10">
        <v>28</v>
      </c>
      <c r="U10" s="13" t="s">
        <v>484</v>
      </c>
    </row>
    <row r="11" spans="1:21" ht="21" x14ac:dyDescent="0.4">
      <c r="A11" s="11">
        <v>7</v>
      </c>
      <c r="B11">
        <v>8</v>
      </c>
      <c r="C11">
        <v>7</v>
      </c>
      <c r="D11">
        <v>15</v>
      </c>
      <c r="U11" s="14" t="s">
        <v>511</v>
      </c>
    </row>
    <row r="12" spans="1:21" ht="21" x14ac:dyDescent="0.4">
      <c r="A12" s="11">
        <v>8</v>
      </c>
      <c r="B12">
        <v>18</v>
      </c>
      <c r="C12">
        <v>13</v>
      </c>
      <c r="D12">
        <v>31</v>
      </c>
      <c r="U12" s="14" t="s">
        <v>512</v>
      </c>
    </row>
    <row r="13" spans="1:21" ht="21" x14ac:dyDescent="0.4">
      <c r="A13" s="11">
        <v>9</v>
      </c>
      <c r="B13">
        <v>13</v>
      </c>
      <c r="C13">
        <v>13</v>
      </c>
      <c r="D13">
        <v>26</v>
      </c>
      <c r="U13" s="14" t="s">
        <v>513</v>
      </c>
    </row>
    <row r="14" spans="1:21" x14ac:dyDescent="0.35">
      <c r="A14" s="11">
        <v>10</v>
      </c>
      <c r="B14">
        <v>13</v>
      </c>
      <c r="C14">
        <v>3</v>
      </c>
      <c r="D14">
        <v>16</v>
      </c>
    </row>
    <row r="15" spans="1:21" x14ac:dyDescent="0.35">
      <c r="A15" s="11">
        <v>11</v>
      </c>
      <c r="B15">
        <v>12</v>
      </c>
      <c r="C15">
        <v>12</v>
      </c>
      <c r="D15">
        <v>24</v>
      </c>
    </row>
    <row r="16" spans="1:21" x14ac:dyDescent="0.35">
      <c r="A16" s="11">
        <v>12</v>
      </c>
      <c r="B16">
        <v>15</v>
      </c>
      <c r="C16">
        <v>13</v>
      </c>
      <c r="D16">
        <v>28</v>
      </c>
    </row>
    <row r="17" spans="1:4" x14ac:dyDescent="0.35">
      <c r="A17" s="11">
        <v>13</v>
      </c>
      <c r="B17">
        <v>16</v>
      </c>
      <c r="C17">
        <v>16</v>
      </c>
      <c r="D17">
        <v>32</v>
      </c>
    </row>
    <row r="18" spans="1:4" x14ac:dyDescent="0.35">
      <c r="A18" s="11">
        <v>14</v>
      </c>
      <c r="B18">
        <v>14</v>
      </c>
      <c r="C18">
        <v>10</v>
      </c>
      <c r="D18">
        <v>24</v>
      </c>
    </row>
    <row r="19" spans="1:4" x14ac:dyDescent="0.35">
      <c r="A19" s="11">
        <v>15</v>
      </c>
      <c r="B19">
        <v>14</v>
      </c>
      <c r="C19">
        <v>14</v>
      </c>
      <c r="D19">
        <v>28</v>
      </c>
    </row>
    <row r="20" spans="1:4" x14ac:dyDescent="0.35">
      <c r="A20" s="11">
        <v>16</v>
      </c>
      <c r="B20">
        <v>14</v>
      </c>
      <c r="C20">
        <v>13</v>
      </c>
      <c r="D20">
        <v>27</v>
      </c>
    </row>
    <row r="21" spans="1:4" x14ac:dyDescent="0.35">
      <c r="A21" s="11">
        <v>17</v>
      </c>
      <c r="B21">
        <v>13</v>
      </c>
      <c r="C21">
        <v>9</v>
      </c>
      <c r="D21">
        <v>22</v>
      </c>
    </row>
    <row r="22" spans="1:4" x14ac:dyDescent="0.35">
      <c r="A22" s="11">
        <v>18</v>
      </c>
      <c r="B22">
        <v>19</v>
      </c>
      <c r="C22">
        <v>12</v>
      </c>
      <c r="D22">
        <v>31</v>
      </c>
    </row>
    <row r="23" spans="1:4" x14ac:dyDescent="0.35">
      <c r="A23" s="11">
        <v>19</v>
      </c>
      <c r="B23">
        <v>10</v>
      </c>
      <c r="C23">
        <v>15</v>
      </c>
      <c r="D23">
        <v>25</v>
      </c>
    </row>
    <row r="24" spans="1:4" x14ac:dyDescent="0.35">
      <c r="A24" s="11">
        <v>20</v>
      </c>
      <c r="B24">
        <v>17</v>
      </c>
      <c r="C24">
        <v>15</v>
      </c>
      <c r="D24">
        <v>32</v>
      </c>
    </row>
    <row r="25" spans="1:4" x14ac:dyDescent="0.35">
      <c r="A25" s="11">
        <v>21</v>
      </c>
      <c r="B25">
        <v>15</v>
      </c>
      <c r="C25">
        <v>18</v>
      </c>
      <c r="D25">
        <v>33</v>
      </c>
    </row>
    <row r="26" spans="1:4" x14ac:dyDescent="0.35">
      <c r="A26" s="11">
        <v>22</v>
      </c>
      <c r="B26">
        <v>15</v>
      </c>
      <c r="C26">
        <v>13</v>
      </c>
      <c r="D26">
        <v>28</v>
      </c>
    </row>
    <row r="27" spans="1:4" x14ac:dyDescent="0.35">
      <c r="A27" s="11">
        <v>23</v>
      </c>
      <c r="B27">
        <v>18</v>
      </c>
      <c r="C27">
        <v>11</v>
      </c>
      <c r="D27">
        <v>29</v>
      </c>
    </row>
    <row r="28" spans="1:4" x14ac:dyDescent="0.35">
      <c r="A28" s="11">
        <v>24</v>
      </c>
      <c r="B28">
        <v>13</v>
      </c>
      <c r="C28">
        <v>16</v>
      </c>
      <c r="D28">
        <v>29</v>
      </c>
    </row>
    <row r="29" spans="1:4" x14ac:dyDescent="0.35">
      <c r="A29" s="11">
        <v>25</v>
      </c>
      <c r="B29">
        <v>15</v>
      </c>
      <c r="C29">
        <v>21</v>
      </c>
      <c r="D29">
        <v>36</v>
      </c>
    </row>
    <row r="30" spans="1:4" x14ac:dyDescent="0.35">
      <c r="A30" s="11">
        <v>26</v>
      </c>
      <c r="B30">
        <v>10</v>
      </c>
      <c r="C30">
        <v>18</v>
      </c>
      <c r="D30">
        <v>28</v>
      </c>
    </row>
    <row r="31" spans="1:4" x14ac:dyDescent="0.35">
      <c r="A31" s="11">
        <v>27</v>
      </c>
      <c r="B31">
        <v>15</v>
      </c>
      <c r="C31">
        <v>17</v>
      </c>
      <c r="D31">
        <v>32</v>
      </c>
    </row>
    <row r="32" spans="1:4" x14ac:dyDescent="0.35">
      <c r="A32" s="11">
        <v>28</v>
      </c>
      <c r="B32">
        <v>14</v>
      </c>
      <c r="C32">
        <v>18</v>
      </c>
      <c r="D32">
        <v>32</v>
      </c>
    </row>
    <row r="33" spans="1:4" x14ac:dyDescent="0.35">
      <c r="A33" s="11">
        <v>29</v>
      </c>
      <c r="B33">
        <v>20</v>
      </c>
      <c r="C33">
        <v>12</v>
      </c>
      <c r="D33">
        <v>32</v>
      </c>
    </row>
    <row r="34" spans="1:4" x14ac:dyDescent="0.35">
      <c r="A34" s="11">
        <v>30</v>
      </c>
      <c r="B34">
        <v>11</v>
      </c>
      <c r="C34">
        <v>9</v>
      </c>
      <c r="D34">
        <v>20</v>
      </c>
    </row>
    <row r="35" spans="1:4" x14ac:dyDescent="0.35">
      <c r="A35" s="11">
        <v>31</v>
      </c>
      <c r="B35">
        <v>13</v>
      </c>
      <c r="C35">
        <v>13</v>
      </c>
      <c r="D35">
        <v>26</v>
      </c>
    </row>
    <row r="36" spans="1:4" x14ac:dyDescent="0.35">
      <c r="A36" s="11">
        <v>32</v>
      </c>
      <c r="B36">
        <v>8</v>
      </c>
      <c r="C36">
        <v>8</v>
      </c>
      <c r="D36">
        <v>16</v>
      </c>
    </row>
    <row r="37" spans="1:4" x14ac:dyDescent="0.35">
      <c r="A37" s="11">
        <v>33</v>
      </c>
      <c r="B37">
        <v>10</v>
      </c>
      <c r="C37">
        <v>10</v>
      </c>
      <c r="D37">
        <v>20</v>
      </c>
    </row>
    <row r="38" spans="1:4" x14ac:dyDescent="0.35">
      <c r="A38" s="11">
        <v>34</v>
      </c>
      <c r="B38">
        <v>12</v>
      </c>
      <c r="C38">
        <v>17</v>
      </c>
      <c r="D38">
        <v>29</v>
      </c>
    </row>
    <row r="39" spans="1:4" x14ac:dyDescent="0.35">
      <c r="A39" s="11">
        <v>35</v>
      </c>
      <c r="B39">
        <v>15</v>
      </c>
      <c r="C39">
        <v>13</v>
      </c>
      <c r="D39">
        <v>28</v>
      </c>
    </row>
    <row r="40" spans="1:4" x14ac:dyDescent="0.35">
      <c r="A40" s="11">
        <v>36</v>
      </c>
      <c r="B40">
        <v>13</v>
      </c>
      <c r="C40">
        <v>9</v>
      </c>
      <c r="D40">
        <v>22</v>
      </c>
    </row>
    <row r="41" spans="1:4" x14ac:dyDescent="0.35">
      <c r="A41" s="11">
        <v>37</v>
      </c>
      <c r="B41">
        <v>16</v>
      </c>
      <c r="C41">
        <v>13</v>
      </c>
      <c r="D41">
        <v>29</v>
      </c>
    </row>
    <row r="42" spans="1:4" x14ac:dyDescent="0.35">
      <c r="A42" s="11">
        <v>38</v>
      </c>
      <c r="B42">
        <v>13</v>
      </c>
      <c r="C42">
        <v>12</v>
      </c>
      <c r="D42">
        <v>25</v>
      </c>
    </row>
    <row r="43" spans="1:4" x14ac:dyDescent="0.35">
      <c r="A43" s="11" t="s">
        <v>72</v>
      </c>
      <c r="B43">
        <v>1</v>
      </c>
      <c r="D43">
        <v>1</v>
      </c>
    </row>
    <row r="44" spans="1:4" x14ac:dyDescent="0.35">
      <c r="A44" s="11" t="s">
        <v>210</v>
      </c>
      <c r="B44">
        <v>2</v>
      </c>
      <c r="C44">
        <v>1</v>
      </c>
      <c r="D44">
        <v>3</v>
      </c>
    </row>
    <row r="45" spans="1:4" x14ac:dyDescent="0.35">
      <c r="A45" s="11" t="s">
        <v>184</v>
      </c>
      <c r="C45">
        <v>1</v>
      </c>
      <c r="D45">
        <v>1</v>
      </c>
    </row>
    <row r="46" spans="1:4" x14ac:dyDescent="0.35">
      <c r="A46" s="11" t="s">
        <v>114</v>
      </c>
      <c r="B46">
        <v>1</v>
      </c>
      <c r="D46">
        <v>1</v>
      </c>
    </row>
    <row r="47" spans="1:4" x14ac:dyDescent="0.35">
      <c r="A47" s="11" t="s">
        <v>33</v>
      </c>
      <c r="B47">
        <v>4</v>
      </c>
      <c r="C47">
        <v>1</v>
      </c>
      <c r="D47">
        <v>5</v>
      </c>
    </row>
    <row r="48" spans="1:4" x14ac:dyDescent="0.35">
      <c r="A48" s="11" t="s">
        <v>46</v>
      </c>
      <c r="B48">
        <v>20</v>
      </c>
      <c r="C48">
        <v>33</v>
      </c>
      <c r="D48">
        <v>53</v>
      </c>
    </row>
    <row r="49" spans="1:4" x14ac:dyDescent="0.35">
      <c r="A49" s="11" t="s">
        <v>29</v>
      </c>
      <c r="B49">
        <v>3</v>
      </c>
      <c r="D49">
        <v>3</v>
      </c>
    </row>
    <row r="50" spans="1:4" x14ac:dyDescent="0.35">
      <c r="A50" s="11" t="s">
        <v>76</v>
      </c>
      <c r="B50">
        <v>75</v>
      </c>
      <c r="C50">
        <v>80</v>
      </c>
      <c r="D50">
        <v>155</v>
      </c>
    </row>
    <row r="51" spans="1:4" x14ac:dyDescent="0.35">
      <c r="A51" s="11" t="s">
        <v>143</v>
      </c>
      <c r="B51">
        <v>34</v>
      </c>
      <c r="C51">
        <v>45</v>
      </c>
      <c r="D51">
        <v>79</v>
      </c>
    </row>
    <row r="52" spans="1:4" x14ac:dyDescent="0.35">
      <c r="A52" s="11" t="s">
        <v>92</v>
      </c>
      <c r="B52">
        <v>31</v>
      </c>
      <c r="C52">
        <v>23</v>
      </c>
      <c r="D52">
        <v>54</v>
      </c>
    </row>
    <row r="53" spans="1:4" x14ac:dyDescent="0.35">
      <c r="A53" s="11" t="s">
        <v>81</v>
      </c>
      <c r="B53">
        <v>1</v>
      </c>
      <c r="C53">
        <v>6</v>
      </c>
      <c r="D53">
        <v>7</v>
      </c>
    </row>
    <row r="54" spans="1:4" x14ac:dyDescent="0.35">
      <c r="A54" s="11" t="s">
        <v>62</v>
      </c>
      <c r="B54">
        <v>26</v>
      </c>
      <c r="C54">
        <v>19</v>
      </c>
      <c r="D54">
        <v>45</v>
      </c>
    </row>
    <row r="55" spans="1:4" x14ac:dyDescent="0.35">
      <c r="A55" s="11" t="s">
        <v>57</v>
      </c>
      <c r="B55">
        <v>2</v>
      </c>
      <c r="D55">
        <v>2</v>
      </c>
    </row>
    <row r="56" spans="1:4" x14ac:dyDescent="0.35">
      <c r="A56" s="11" t="s">
        <v>50</v>
      </c>
      <c r="B56">
        <v>3</v>
      </c>
      <c r="D56">
        <v>3</v>
      </c>
    </row>
    <row r="57" spans="1:4" x14ac:dyDescent="0.35">
      <c r="A57" s="11" t="s">
        <v>454</v>
      </c>
      <c r="B57">
        <v>710</v>
      </c>
      <c r="C57">
        <v>703</v>
      </c>
      <c r="D57">
        <v>1413</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958C0-852E-4F29-BFEF-6E69E513DCBC}">
  <dimension ref="A1"/>
  <sheetViews>
    <sheetView tabSelected="1" zoomScale="64" zoomScaleNormal="64" workbookViewId="0">
      <selection sqref="A1:XFD1048576"/>
    </sheetView>
  </sheetViews>
  <sheetFormatPr defaultRowHeight="18" x14ac:dyDescent="0.35"/>
  <cols>
    <col min="1" max="16384" width="8.6640625" style="18"/>
  </cols>
  <sheetData/>
  <mergeCells count="1">
    <mergeCell ref="A1:XFD104857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30" zoomScaleNormal="100" workbookViewId="0">
      <selection activeCell="AN25" sqref="AN25"/>
    </sheetView>
  </sheetViews>
  <sheetFormatPr defaultRowHeight="18" x14ac:dyDescent="0.35"/>
  <cols>
    <col min="1" max="16384" width="8.6640625" style="17"/>
  </cols>
  <sheetData>
    <row r="4" spans="2:41" x14ac:dyDescent="0.35">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row>
    <row r="5" spans="2:41" x14ac:dyDescent="0.35">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row>
    <row r="6" spans="2:41" x14ac:dyDescent="0.35">
      <c r="B6" s="19"/>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row>
    <row r="7" spans="2:41" x14ac:dyDescent="0.35">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row>
    <row r="8" spans="2:41" x14ac:dyDescent="0.35">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row>
    <row r="11" spans="2:41" x14ac:dyDescent="0.35">
      <c r="AJ11" s="19"/>
      <c r="AK11" s="19"/>
      <c r="AL11" s="19"/>
      <c r="AM11" s="19"/>
    </row>
    <row r="12" spans="2:41" x14ac:dyDescent="0.35">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row>
    <row r="13" spans="2:41" x14ac:dyDescent="0.35">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row>
    <row r="14" spans="2:41" x14ac:dyDescent="0.35">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row>
    <row r="15" spans="2:41" x14ac:dyDescent="0.35">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row>
    <row r="16" spans="2:41" x14ac:dyDescent="0.35">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row>
    <row r="17" spans="4:39" x14ac:dyDescent="0.35">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row>
    <row r="18" spans="4:39" x14ac:dyDescent="0.35">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row>
    <row r="19" spans="4:39" x14ac:dyDescent="0.35">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row>
    <row r="20" spans="4:39" x14ac:dyDescent="0.35">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row>
    <row r="21" spans="4:39" x14ac:dyDescent="0.35">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row>
    <row r="22" spans="4:39" x14ac:dyDescent="0.35">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row>
    <row r="23" spans="4:39" x14ac:dyDescent="0.35">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row>
    <row r="24" spans="4:39" x14ac:dyDescent="0.35">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row>
    <row r="25" spans="4:39" x14ac:dyDescent="0.35">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row>
    <row r="26" spans="4:39" x14ac:dyDescent="0.35">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row>
    <row r="27" spans="4:39" x14ac:dyDescent="0.35">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row>
    <row r="28" spans="4:39" x14ac:dyDescent="0.35">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row>
    <row r="29" spans="4:39" x14ac:dyDescent="0.35">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row>
    <row r="30" spans="4:39" x14ac:dyDescent="0.35">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row>
    <row r="31" spans="4:39" x14ac:dyDescent="0.35">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row>
    <row r="32" spans="4:39" x14ac:dyDescent="0.35">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row>
    <row r="33" spans="4:39" x14ac:dyDescent="0.35">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row>
    <row r="34" spans="4:39" x14ac:dyDescent="0.35">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row>
    <row r="35" spans="4:39" x14ac:dyDescent="0.35">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row>
    <row r="36" spans="4:39" x14ac:dyDescent="0.35">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row>
    <row r="37" spans="4:39" x14ac:dyDescent="0.35">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row>
    <row r="38" spans="4:39" x14ac:dyDescent="0.35">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row>
    <row r="39" spans="4:39" x14ac:dyDescent="0.35">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row>
    <row r="40" spans="4:39" x14ac:dyDescent="0.35">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row>
    <row r="41" spans="4:39" x14ac:dyDescent="0.35">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row>
    <row r="42" spans="4:39" x14ac:dyDescent="0.35">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row>
    <row r="43" spans="4:39" x14ac:dyDescent="0.35">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row>
    <row r="44" spans="4:39" x14ac:dyDescent="0.35">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row>
    <row r="45" spans="4:39" x14ac:dyDescent="0.35">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row>
    <row r="46" spans="4:39" x14ac:dyDescent="0.35">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row>
    <row r="47" spans="4:39" x14ac:dyDescent="0.35">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row>
    <row r="48" spans="4:39" x14ac:dyDescent="0.35">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row>
    <row r="49" spans="4:39" x14ac:dyDescent="0.35">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row>
    <row r="50" spans="4:39" x14ac:dyDescent="0.35">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row>
    <row r="51" spans="4:39" x14ac:dyDescent="0.35">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row>
    <row r="52" spans="4:39" x14ac:dyDescent="0.35">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row>
    <row r="53" spans="4:39" x14ac:dyDescent="0.35">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row>
    <row r="54" spans="4:39" x14ac:dyDescent="0.35">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row>
    <row r="55" spans="4:39" x14ac:dyDescent="0.35">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row>
    <row r="56" spans="4:39" x14ac:dyDescent="0.35">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row>
    <row r="57" spans="4:39" x14ac:dyDescent="0.35">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row>
    <row r="58" spans="4:39" x14ac:dyDescent="0.35">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row>
    <row r="59" spans="4:39" x14ac:dyDescent="0.35">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row>
    <row r="60" spans="4:39" x14ac:dyDescent="0.35">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row>
    <row r="61" spans="4:39" x14ac:dyDescent="0.35">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row>
    <row r="62" spans="4:39" x14ac:dyDescent="0.35">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row>
    <row r="63" spans="4:39" x14ac:dyDescent="0.35">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row>
    <row r="64" spans="4:39" x14ac:dyDescent="0.35">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row>
    <row r="65" spans="4:39" x14ac:dyDescent="0.35">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row>
    <row r="66" spans="4:39" x14ac:dyDescent="0.35">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row>
    <row r="67" spans="4:39" x14ac:dyDescent="0.35">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row>
    <row r="68" spans="4:39" x14ac:dyDescent="0.35">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row>
    <row r="69" spans="4:39" x14ac:dyDescent="0.35">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row>
    <row r="70" spans="4:39" x14ac:dyDescent="0.35">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row>
    <row r="71" spans="4:39" x14ac:dyDescent="0.35">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row>
    <row r="72" spans="4:39" x14ac:dyDescent="0.35">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row>
    <row r="73" spans="4:39" x14ac:dyDescent="0.35">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row>
    <row r="74" spans="4:39" x14ac:dyDescent="0.35">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row>
    <row r="75" spans="4:39" x14ac:dyDescent="0.35">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row>
    <row r="76" spans="4:39" x14ac:dyDescent="0.35">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row>
    <row r="77" spans="4:39" x14ac:dyDescent="0.35">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row>
    <row r="78" spans="4:39" x14ac:dyDescent="0.35">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row>
    <row r="79" spans="4:39" x14ac:dyDescent="0.35">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row>
    <row r="80" spans="4:39" x14ac:dyDescent="0.35">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row>
    <row r="81" spans="4:39" x14ac:dyDescent="0.35">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row>
    <row r="82" spans="4:39" x14ac:dyDescent="0.35">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row>
    <row r="83" spans="4:39" x14ac:dyDescent="0.35">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show dashboard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2024-03-30T06:40:04Z</dcterms:modified>
</cp:coreProperties>
</file>
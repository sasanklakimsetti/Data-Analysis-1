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2.xml" ContentType="application/vnd.openxmlformats-officedocument.spreadsheetml.pivotTable+xml"/>
  <Override PartName="/xl/drawings/drawing13.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3.xml" ContentType="application/vnd.openxmlformats-officedocument.spreadsheetml.pivotTable+xml"/>
  <Override PartName="/xl/drawings/drawing14.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14.xml" ContentType="application/vnd.openxmlformats-officedocument.spreadsheetml.pivotTable+xml"/>
  <Override PartName="/xl/drawings/drawing15.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15.xml" ContentType="application/vnd.openxmlformats-officedocument.spreadsheetml.pivotTable+xml"/>
  <Override PartName="/xl/drawings/drawing16.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7.xml" ContentType="application/vnd.openxmlformats-officedocument.drawing+xml"/>
  <Override PartName="/xl/slicers/slicer1.xml" ContentType="application/vnd.ms-excel.slicer+xml"/>
  <Override PartName="/xl/timelines/timeline1.xml" ContentType="application/vnd.ms-excel.timelin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C:\lpu\4th sem\INT217\Project\Project Final\"/>
    </mc:Choice>
  </mc:AlternateContent>
  <xr:revisionPtr revIDLastSave="0" documentId="13_ncr:1_{2F09B8E1-7FA9-40BC-B0D9-1CE4A3B794B5}" xr6:coauthVersionLast="47" xr6:coauthVersionMax="47" xr10:uidLastSave="{00000000-0000-0000-0000-000000000000}"/>
  <bookViews>
    <workbookView xWindow="-108" yWindow="-108" windowWidth="23256" windowHeight="13176" xr2:uid="{B53041CF-8E6F-46B1-A155-7B6D3A83D363}"/>
  </bookViews>
  <sheets>
    <sheet name="Home" sheetId="24" r:id="rId1"/>
    <sheet name="original dataset" sheetId="1" r:id="rId2"/>
    <sheet name="clean check" sheetId="2" r:id="rId3"/>
    <sheet name="cleaned data" sheetId="3" r:id="rId4"/>
    <sheet name="cleaned data miss check" sheetId="4" r:id="rId5"/>
    <sheet name="data prep for analysis" sheetId="5" r:id="rId6"/>
    <sheet name="Performance Evaluation" sheetId="6" r:id="rId7"/>
    <sheet name="Performance Evaluation(Club)" sheetId="7" r:id="rId8"/>
    <sheet name="Impact Analysis" sheetId="8" r:id="rId9"/>
    <sheet name="Impact analysis club" sheetId="10" r:id="rId10"/>
    <sheet name="Consistency Measurement yr" sheetId="11" r:id="rId11"/>
    <sheet name="Scoring Technique Analysis" sheetId="12" r:id="rId12"/>
    <sheet name="Scoring Technique Analysis(cr7)" sheetId="13" state="hidden" r:id="rId13"/>
    <sheet name="Scoring Technique(lm10)" sheetId="14" state="hidden" r:id="rId14"/>
    <sheet name="Time Analysis" sheetId="15" r:id="rId15"/>
    <sheet name="Opponent Analysis" sheetId="16" r:id="rId16"/>
    <sheet name="Opponent Analysis(cr7)" sheetId="17" state="hidden" r:id="rId17"/>
    <sheet name="Opponent Analysis(lm10)" sheetId="18" state="hidden" r:id="rId18"/>
    <sheet name="Playing Position Analysis" sheetId="19" r:id="rId19"/>
    <sheet name="performance evaluation league" sheetId="20" r:id="rId20"/>
    <sheet name="Performance Evaluation matchday" sheetId="21" r:id="rId21"/>
    <sheet name="dashboard" sheetId="22" r:id="rId22"/>
  </sheets>
  <externalReferences>
    <externalReference r:id="rId23"/>
  </externalReferences>
  <definedNames>
    <definedName name="NativeTimeline_Date">#N/A</definedName>
    <definedName name="Slicer_Club">#N/A</definedName>
    <definedName name="Slicer_Competition">#N/A</definedName>
    <definedName name="Slicer_Goal_assist">#N/A</definedName>
    <definedName name="Slicer_Matchday">#N/A</definedName>
    <definedName name="Slicer_Minute">#N/A</definedName>
    <definedName name="Slicer_Opponent">#N/A</definedName>
    <definedName name="Slicer_Player">#N/A</definedName>
    <definedName name="Slicer_Playing_Position">#N/A</definedName>
    <definedName name="Slicer_Type">#N/A</definedName>
    <definedName name="Slicer_Win_Lose">#N/A</definedName>
  </definedNames>
  <calcPr calcId="191029"/>
  <pivotCaches>
    <pivotCache cacheId="0"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35"/>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4" l="1"/>
  <c r="B2" i="4"/>
  <c r="C2" i="4"/>
  <c r="D2" i="4"/>
  <c r="E2" i="4"/>
  <c r="F2" i="4"/>
  <c r="G2" i="4"/>
  <c r="H2" i="4"/>
  <c r="I2" i="4"/>
  <c r="J2" i="4"/>
  <c r="K2" i="4"/>
  <c r="L2" i="4"/>
  <c r="M2" i="4"/>
  <c r="N2" i="4"/>
  <c r="A3" i="2"/>
  <c r="B3" i="2"/>
  <c r="C3" i="2"/>
  <c r="D3" i="2"/>
  <c r="E3" i="2"/>
  <c r="F3" i="2"/>
  <c r="G3" i="2"/>
  <c r="H3" i="2"/>
  <c r="I3" i="2"/>
  <c r="J3" i="2"/>
  <c r="K3" i="2"/>
  <c r="L3" i="2"/>
  <c r="M3" i="2"/>
  <c r="N3" i="2"/>
  <c r="R1414" i="5"/>
  <c r="L1414" i="5"/>
  <c r="R1413" i="5"/>
  <c r="L1413" i="5"/>
  <c r="R1412" i="5"/>
  <c r="L1412" i="5"/>
  <c r="R1411" i="5"/>
  <c r="L1411" i="5"/>
  <c r="R1410" i="5"/>
  <c r="L1410" i="5"/>
  <c r="R1409" i="5"/>
  <c r="L1409" i="5"/>
  <c r="R1408" i="5"/>
  <c r="L1408" i="5"/>
  <c r="R1407" i="5"/>
  <c r="L1407" i="5"/>
  <c r="R1406" i="5"/>
  <c r="L1406" i="5"/>
  <c r="R1405" i="5"/>
  <c r="L1405" i="5"/>
  <c r="R1404" i="5"/>
  <c r="L1404" i="5"/>
  <c r="R1403" i="5"/>
  <c r="L1403" i="5"/>
  <c r="R1402" i="5"/>
  <c r="L1402" i="5"/>
  <c r="R1401" i="5"/>
  <c r="L1401" i="5"/>
  <c r="R1400" i="5"/>
  <c r="L1400" i="5"/>
  <c r="R1399" i="5"/>
  <c r="L1399" i="5"/>
  <c r="R1398" i="5"/>
  <c r="L1398" i="5"/>
  <c r="R1397" i="5"/>
  <c r="L1397" i="5"/>
  <c r="R1396" i="5"/>
  <c r="L1396" i="5"/>
  <c r="R1395" i="5"/>
  <c r="M1395" i="5"/>
  <c r="L1395" i="5"/>
  <c r="R1394" i="5"/>
  <c r="L1394" i="5"/>
  <c r="R1393" i="5"/>
  <c r="L1393" i="5"/>
  <c r="R1392" i="5"/>
  <c r="L1392" i="5"/>
  <c r="R1391" i="5"/>
  <c r="L1391" i="5"/>
  <c r="R1390" i="5"/>
  <c r="L1390" i="5"/>
  <c r="R1389" i="5"/>
  <c r="L1389" i="5"/>
  <c r="R1388" i="5"/>
  <c r="L1388" i="5"/>
  <c r="R1387" i="5"/>
  <c r="L1387" i="5"/>
  <c r="R1386" i="5"/>
  <c r="L1386" i="5"/>
  <c r="R1385" i="5"/>
  <c r="L1385" i="5"/>
  <c r="R1384" i="5"/>
  <c r="L1384" i="5"/>
  <c r="R1383" i="5"/>
  <c r="L1383" i="5"/>
  <c r="R1382" i="5"/>
  <c r="L1382" i="5"/>
  <c r="R1381" i="5"/>
  <c r="L1381" i="5"/>
  <c r="R1380" i="5"/>
  <c r="L1380" i="5"/>
  <c r="R1379" i="5"/>
  <c r="L1379" i="5"/>
  <c r="R1378" i="5"/>
  <c r="L1378" i="5"/>
  <c r="R1377" i="5"/>
  <c r="L1377" i="5"/>
  <c r="R1376" i="5"/>
  <c r="L1376" i="5"/>
  <c r="R1375" i="5"/>
  <c r="L1375" i="5"/>
  <c r="R1374" i="5"/>
  <c r="L1374" i="5"/>
  <c r="R1373" i="5"/>
  <c r="L1373" i="5"/>
  <c r="R1372" i="5"/>
  <c r="L1372" i="5"/>
  <c r="R1371" i="5"/>
  <c r="L1371" i="5"/>
  <c r="R1370" i="5"/>
  <c r="L1370" i="5"/>
  <c r="R1369" i="5"/>
  <c r="L1369" i="5"/>
  <c r="R1368" i="5"/>
  <c r="L1368" i="5"/>
  <c r="R1367" i="5"/>
  <c r="L1367" i="5"/>
  <c r="R1366" i="5"/>
  <c r="L1366" i="5"/>
  <c r="R1365" i="5"/>
  <c r="L1365" i="5"/>
  <c r="R1364" i="5"/>
  <c r="L1364" i="5"/>
  <c r="R1363" i="5"/>
  <c r="L1363" i="5"/>
  <c r="R1362" i="5"/>
  <c r="L1362" i="5"/>
  <c r="R1361" i="5"/>
  <c r="L1361" i="5"/>
  <c r="R1360" i="5"/>
  <c r="L1360" i="5"/>
  <c r="R1359" i="5"/>
  <c r="L1359" i="5"/>
  <c r="R1358" i="5"/>
  <c r="L1358" i="5"/>
  <c r="R1357" i="5"/>
  <c r="L1357" i="5"/>
  <c r="R1356" i="5"/>
  <c r="L1356" i="5"/>
  <c r="R1355" i="5"/>
  <c r="L1355" i="5"/>
  <c r="R1354" i="5"/>
  <c r="L1354" i="5"/>
  <c r="R1353" i="5"/>
  <c r="L1353" i="5"/>
  <c r="R1352" i="5"/>
  <c r="L1352" i="5"/>
  <c r="R1351" i="5"/>
  <c r="L1351" i="5"/>
  <c r="R1350" i="5"/>
  <c r="L1350" i="5"/>
  <c r="R1349" i="5"/>
  <c r="L1349" i="5"/>
  <c r="R1348" i="5"/>
  <c r="L1348" i="5"/>
  <c r="R1347" i="5"/>
  <c r="L1347" i="5"/>
  <c r="R1346" i="5"/>
  <c r="L1346" i="5"/>
  <c r="R1345" i="5"/>
  <c r="L1345" i="5"/>
  <c r="R1344" i="5"/>
  <c r="L1344" i="5"/>
  <c r="R1343" i="5"/>
  <c r="L1343" i="5"/>
  <c r="R1342" i="5"/>
  <c r="L1342" i="5"/>
  <c r="R1341" i="5"/>
  <c r="L1341" i="5"/>
  <c r="R1340" i="5"/>
  <c r="L1340" i="5"/>
  <c r="R1339" i="5"/>
  <c r="L1339" i="5"/>
  <c r="R1338" i="5"/>
  <c r="L1338" i="5"/>
  <c r="R1337" i="5"/>
  <c r="L1337" i="5"/>
  <c r="R1336" i="5"/>
  <c r="L1336" i="5"/>
  <c r="R1335" i="5"/>
  <c r="L1335" i="5"/>
  <c r="R1334" i="5"/>
  <c r="L1334" i="5"/>
  <c r="R1333" i="5"/>
  <c r="L1333" i="5"/>
  <c r="R1332" i="5"/>
  <c r="L1332" i="5"/>
  <c r="R1331" i="5"/>
  <c r="L1331" i="5"/>
  <c r="R1330" i="5"/>
  <c r="L1330" i="5"/>
  <c r="R1329" i="5"/>
  <c r="L1329" i="5"/>
  <c r="R1328" i="5"/>
  <c r="L1328" i="5"/>
  <c r="R1327" i="5"/>
  <c r="L1327" i="5"/>
  <c r="R1326" i="5"/>
  <c r="L1326" i="5"/>
  <c r="R1325" i="5"/>
  <c r="L1325" i="5"/>
  <c r="R1324" i="5"/>
  <c r="L1324" i="5"/>
  <c r="R1323" i="5"/>
  <c r="L1323" i="5"/>
  <c r="R1322" i="5"/>
  <c r="L1322" i="5"/>
  <c r="R1321" i="5"/>
  <c r="L1321" i="5"/>
  <c r="R1320" i="5"/>
  <c r="L1320" i="5"/>
  <c r="R1319" i="5"/>
  <c r="L1319" i="5"/>
  <c r="R1318" i="5"/>
  <c r="L1318" i="5"/>
  <c r="R1317" i="5"/>
  <c r="L1317" i="5"/>
  <c r="R1316" i="5"/>
  <c r="L1316" i="5"/>
  <c r="R1315" i="5"/>
  <c r="L1315" i="5"/>
  <c r="R1314" i="5"/>
  <c r="L1314" i="5"/>
  <c r="R1313" i="5"/>
  <c r="L1313" i="5"/>
  <c r="R1312" i="5"/>
  <c r="L1312" i="5"/>
  <c r="R1311" i="5"/>
  <c r="L1311" i="5"/>
  <c r="R1310" i="5"/>
  <c r="L1310" i="5"/>
  <c r="R1309" i="5"/>
  <c r="L1309" i="5"/>
  <c r="R1308" i="5"/>
  <c r="L1308" i="5"/>
  <c r="R1307" i="5"/>
  <c r="L1307" i="5"/>
  <c r="R1306" i="5"/>
  <c r="L1306" i="5"/>
  <c r="R1305" i="5"/>
  <c r="L1305" i="5"/>
  <c r="R1304" i="5"/>
  <c r="L1304" i="5"/>
  <c r="R1303" i="5"/>
  <c r="L1303" i="5"/>
  <c r="R1302" i="5"/>
  <c r="L1302" i="5"/>
  <c r="R1301" i="5"/>
  <c r="L1301" i="5"/>
  <c r="R1300" i="5"/>
  <c r="L1300" i="5"/>
  <c r="R1299" i="5"/>
  <c r="L1299" i="5"/>
  <c r="R1298" i="5"/>
  <c r="L1298" i="5"/>
  <c r="R1297" i="5"/>
  <c r="L1297" i="5"/>
  <c r="R1296" i="5"/>
  <c r="L1296" i="5"/>
  <c r="R1295" i="5"/>
  <c r="L1295" i="5"/>
  <c r="R1294" i="5"/>
  <c r="L1294" i="5"/>
  <c r="R1293" i="5"/>
  <c r="L1293" i="5"/>
  <c r="R1292" i="5"/>
  <c r="L1292" i="5"/>
  <c r="R1291" i="5"/>
  <c r="L1291" i="5"/>
  <c r="R1290" i="5"/>
  <c r="L1290" i="5"/>
  <c r="R1289" i="5"/>
  <c r="L1289" i="5"/>
  <c r="R1288" i="5"/>
  <c r="L1288" i="5"/>
  <c r="R1287" i="5"/>
  <c r="L1287" i="5"/>
  <c r="R1286" i="5"/>
  <c r="L1286" i="5"/>
  <c r="R1285" i="5"/>
  <c r="L1285" i="5"/>
  <c r="R1284" i="5"/>
  <c r="L1284" i="5"/>
  <c r="R1283" i="5"/>
  <c r="L1283" i="5"/>
  <c r="R1282" i="5"/>
  <c r="L1282" i="5"/>
  <c r="R1281" i="5"/>
  <c r="L1281" i="5"/>
  <c r="R1280" i="5"/>
  <c r="L1280" i="5"/>
  <c r="R1279" i="5"/>
  <c r="L1279" i="5"/>
  <c r="R1278" i="5"/>
  <c r="L1278" i="5"/>
  <c r="R1277" i="5"/>
  <c r="L1277" i="5"/>
  <c r="R1276" i="5"/>
  <c r="L1276" i="5"/>
  <c r="R1275" i="5"/>
  <c r="L1275" i="5"/>
  <c r="R1274" i="5"/>
  <c r="L1274" i="5"/>
  <c r="R1273" i="5"/>
  <c r="L1273" i="5"/>
  <c r="R1272" i="5"/>
  <c r="L1272" i="5"/>
  <c r="R1271" i="5"/>
  <c r="L1271" i="5"/>
  <c r="R1270" i="5"/>
  <c r="L1270" i="5"/>
  <c r="R1269" i="5"/>
  <c r="L1269" i="5"/>
  <c r="R1268" i="5"/>
  <c r="L1268" i="5"/>
  <c r="R1267" i="5"/>
  <c r="L1267" i="5"/>
  <c r="R1266" i="5"/>
  <c r="L1266" i="5"/>
  <c r="R1265" i="5"/>
  <c r="L1265" i="5"/>
  <c r="R1264" i="5"/>
  <c r="L1264" i="5"/>
  <c r="R1263" i="5"/>
  <c r="L1263" i="5"/>
  <c r="R1262" i="5"/>
  <c r="L1262" i="5"/>
  <c r="R1261" i="5"/>
  <c r="L1261" i="5"/>
  <c r="R1260" i="5"/>
  <c r="L1260" i="5"/>
  <c r="R1259" i="5"/>
  <c r="L1259" i="5"/>
  <c r="R1258" i="5"/>
  <c r="L1258" i="5"/>
  <c r="R1257" i="5"/>
  <c r="L1257" i="5"/>
  <c r="R1256" i="5"/>
  <c r="L1256" i="5"/>
  <c r="R1255" i="5"/>
  <c r="L1255" i="5"/>
  <c r="R1254" i="5"/>
  <c r="L1254" i="5"/>
  <c r="R1253" i="5"/>
  <c r="L1253" i="5"/>
  <c r="R1252" i="5"/>
  <c r="L1252" i="5"/>
  <c r="R1251" i="5"/>
  <c r="L1251" i="5"/>
  <c r="R1250" i="5"/>
  <c r="L1250" i="5"/>
  <c r="R1249" i="5"/>
  <c r="L1249" i="5"/>
  <c r="R1248" i="5"/>
  <c r="L1248" i="5"/>
  <c r="R1247" i="5"/>
  <c r="L1247" i="5"/>
  <c r="R1246" i="5"/>
  <c r="L1246" i="5"/>
  <c r="R1245" i="5"/>
  <c r="L1245" i="5"/>
  <c r="R1244" i="5"/>
  <c r="L1244" i="5"/>
  <c r="R1243" i="5"/>
  <c r="L1243" i="5"/>
  <c r="R1242" i="5"/>
  <c r="L1242" i="5"/>
  <c r="R1241" i="5"/>
  <c r="L1241" i="5"/>
  <c r="R1240" i="5"/>
  <c r="L1240" i="5"/>
  <c r="R1239" i="5"/>
  <c r="L1239" i="5"/>
  <c r="R1238" i="5"/>
  <c r="L1238" i="5"/>
  <c r="R1237" i="5"/>
  <c r="L1237" i="5"/>
  <c r="R1236" i="5"/>
  <c r="L1236" i="5"/>
  <c r="R1235" i="5"/>
  <c r="L1235" i="5"/>
  <c r="R1234" i="5"/>
  <c r="L1234" i="5"/>
  <c r="R1233" i="5"/>
  <c r="L1233" i="5"/>
  <c r="R1232" i="5"/>
  <c r="L1232" i="5"/>
  <c r="R1231" i="5"/>
  <c r="L1231" i="5"/>
  <c r="R1230" i="5"/>
  <c r="L1230" i="5"/>
  <c r="R1229" i="5"/>
  <c r="L1229" i="5"/>
  <c r="R1228" i="5"/>
  <c r="L1228" i="5"/>
  <c r="R1227" i="5"/>
  <c r="L1227" i="5"/>
  <c r="R1226" i="5"/>
  <c r="L1226" i="5"/>
  <c r="R1225" i="5"/>
  <c r="L1225" i="5"/>
  <c r="R1224" i="5"/>
  <c r="L1224" i="5"/>
  <c r="R1223" i="5"/>
  <c r="L1223" i="5"/>
  <c r="R1222" i="5"/>
  <c r="L1222" i="5"/>
  <c r="R1221" i="5"/>
  <c r="L1221" i="5"/>
  <c r="R1220" i="5"/>
  <c r="L1220" i="5"/>
  <c r="R1219" i="5"/>
  <c r="L1219" i="5"/>
  <c r="R1218" i="5"/>
  <c r="L1218" i="5"/>
  <c r="R1217" i="5"/>
  <c r="L1217" i="5"/>
  <c r="R1216" i="5"/>
  <c r="L1216" i="5"/>
  <c r="R1215" i="5"/>
  <c r="L1215" i="5"/>
  <c r="R1214" i="5"/>
  <c r="L1214" i="5"/>
  <c r="R1213" i="5"/>
  <c r="L1213" i="5"/>
  <c r="R1212" i="5"/>
  <c r="L1212" i="5"/>
  <c r="R1211" i="5"/>
  <c r="L1211" i="5"/>
  <c r="R1210" i="5"/>
  <c r="L1210" i="5"/>
  <c r="R1209" i="5"/>
  <c r="L1209" i="5"/>
  <c r="R1208" i="5"/>
  <c r="L1208" i="5"/>
  <c r="R1207" i="5"/>
  <c r="L1207" i="5"/>
  <c r="R1206" i="5"/>
  <c r="L1206" i="5"/>
  <c r="R1205" i="5"/>
  <c r="L1205" i="5"/>
  <c r="R1204" i="5"/>
  <c r="L1204" i="5"/>
  <c r="R1203" i="5"/>
  <c r="L1203" i="5"/>
  <c r="R1202" i="5"/>
  <c r="L1202" i="5"/>
  <c r="R1201" i="5"/>
  <c r="L1201" i="5"/>
  <c r="R1200" i="5"/>
  <c r="L1200" i="5"/>
  <c r="R1199" i="5"/>
  <c r="L1199" i="5"/>
  <c r="R1198" i="5"/>
  <c r="L1198" i="5"/>
  <c r="R1197" i="5"/>
  <c r="L1197" i="5"/>
  <c r="R1196" i="5"/>
  <c r="L1196" i="5"/>
  <c r="R1195" i="5"/>
  <c r="L1195" i="5"/>
  <c r="R1194" i="5"/>
  <c r="L1194" i="5"/>
  <c r="R1193" i="5"/>
  <c r="L1193" i="5"/>
  <c r="R1192" i="5"/>
  <c r="L1192" i="5"/>
  <c r="R1191" i="5"/>
  <c r="L1191" i="5"/>
  <c r="R1190" i="5"/>
  <c r="L1190" i="5"/>
  <c r="R1189" i="5"/>
  <c r="L1189" i="5"/>
  <c r="R1188" i="5"/>
  <c r="L1188" i="5"/>
  <c r="R1187" i="5"/>
  <c r="L1187" i="5"/>
  <c r="R1186" i="5"/>
  <c r="L1186" i="5"/>
  <c r="R1185" i="5"/>
  <c r="L1185" i="5"/>
  <c r="R1184" i="5"/>
  <c r="L1184" i="5"/>
  <c r="R1183" i="5"/>
  <c r="L1183" i="5"/>
  <c r="R1182" i="5"/>
  <c r="L1182" i="5"/>
  <c r="R1181" i="5"/>
  <c r="L1181" i="5"/>
  <c r="R1180" i="5"/>
  <c r="L1180" i="5"/>
  <c r="R1179" i="5"/>
  <c r="L1179" i="5"/>
  <c r="R1178" i="5"/>
  <c r="L1178" i="5"/>
  <c r="R1177" i="5"/>
  <c r="L1177" i="5"/>
  <c r="R1176" i="5"/>
  <c r="L1176" i="5"/>
  <c r="R1175" i="5"/>
  <c r="L1175" i="5"/>
  <c r="R1174" i="5"/>
  <c r="L1174" i="5"/>
  <c r="R1173" i="5"/>
  <c r="L1173" i="5"/>
  <c r="R1172" i="5"/>
  <c r="L1172" i="5"/>
  <c r="R1171" i="5"/>
  <c r="L1171" i="5"/>
  <c r="R1170" i="5"/>
  <c r="L1170" i="5"/>
  <c r="R1169" i="5"/>
  <c r="L1169" i="5"/>
  <c r="R1168" i="5"/>
  <c r="L1168" i="5"/>
  <c r="R1167" i="5"/>
  <c r="L1167" i="5"/>
  <c r="R1166" i="5"/>
  <c r="L1166" i="5"/>
  <c r="R1165" i="5"/>
  <c r="L1165" i="5"/>
  <c r="R1164" i="5"/>
  <c r="L1164" i="5"/>
  <c r="R1163" i="5"/>
  <c r="L1163" i="5"/>
  <c r="R1162" i="5"/>
  <c r="L1162" i="5"/>
  <c r="R1161" i="5"/>
  <c r="L1161" i="5"/>
  <c r="R1160" i="5"/>
  <c r="L1160" i="5"/>
  <c r="R1159" i="5"/>
  <c r="L1159" i="5"/>
  <c r="R1158" i="5"/>
  <c r="L1158" i="5"/>
  <c r="R1157" i="5"/>
  <c r="L1157" i="5"/>
  <c r="R1156" i="5"/>
  <c r="L1156" i="5"/>
  <c r="R1155" i="5"/>
  <c r="L1155" i="5"/>
  <c r="R1154" i="5"/>
  <c r="L1154" i="5"/>
  <c r="R1153" i="5"/>
  <c r="L1153" i="5"/>
  <c r="R1152" i="5"/>
  <c r="L1152" i="5"/>
  <c r="R1151" i="5"/>
  <c r="L1151" i="5"/>
  <c r="R1150" i="5"/>
  <c r="L1150" i="5"/>
  <c r="R1149" i="5"/>
  <c r="L1149" i="5"/>
  <c r="R1148" i="5"/>
  <c r="L1148" i="5"/>
  <c r="R1147" i="5"/>
  <c r="L1147" i="5"/>
  <c r="R1146" i="5"/>
  <c r="L1146" i="5"/>
  <c r="R1145" i="5"/>
  <c r="L1145" i="5"/>
  <c r="R1144" i="5"/>
  <c r="L1144" i="5"/>
  <c r="R1143" i="5"/>
  <c r="L1143" i="5"/>
  <c r="R1142" i="5"/>
  <c r="L1142" i="5"/>
  <c r="R1141" i="5"/>
  <c r="L1141" i="5"/>
  <c r="R1140" i="5"/>
  <c r="L1140" i="5"/>
  <c r="R1139" i="5"/>
  <c r="L1139" i="5"/>
  <c r="R1138" i="5"/>
  <c r="L1138" i="5"/>
  <c r="R1137" i="5"/>
  <c r="L1137" i="5"/>
  <c r="R1136" i="5"/>
  <c r="L1136" i="5"/>
  <c r="R1135" i="5"/>
  <c r="L1135" i="5"/>
  <c r="R1134" i="5"/>
  <c r="L1134" i="5"/>
  <c r="R1133" i="5"/>
  <c r="L1133" i="5"/>
  <c r="R1132" i="5"/>
  <c r="L1132" i="5"/>
  <c r="R1131" i="5"/>
  <c r="L1131" i="5"/>
  <c r="R1130" i="5"/>
  <c r="L1130" i="5"/>
  <c r="R1129" i="5"/>
  <c r="L1129" i="5"/>
  <c r="R1128" i="5"/>
  <c r="L1128" i="5"/>
  <c r="R1127" i="5"/>
  <c r="L1127" i="5"/>
  <c r="R1126" i="5"/>
  <c r="L1126" i="5"/>
  <c r="R1125" i="5"/>
  <c r="L1125" i="5"/>
  <c r="R1124" i="5"/>
  <c r="L1124" i="5"/>
  <c r="R1123" i="5"/>
  <c r="L1123" i="5"/>
  <c r="R1122" i="5"/>
  <c r="L1122" i="5"/>
  <c r="R1121" i="5"/>
  <c r="L1121" i="5"/>
  <c r="R1120" i="5"/>
  <c r="L1120" i="5"/>
  <c r="R1119" i="5"/>
  <c r="L1119" i="5"/>
  <c r="R1118" i="5"/>
  <c r="L1118" i="5"/>
  <c r="R1117" i="5"/>
  <c r="L1117" i="5"/>
  <c r="R1116" i="5"/>
  <c r="L1116" i="5"/>
  <c r="R1115" i="5"/>
  <c r="L1115" i="5"/>
  <c r="R1114" i="5"/>
  <c r="L1114" i="5"/>
  <c r="R1113" i="5"/>
  <c r="L1113" i="5"/>
  <c r="R1112" i="5"/>
  <c r="L1112" i="5"/>
  <c r="R1111" i="5"/>
  <c r="L1111" i="5"/>
  <c r="R1110" i="5"/>
  <c r="L1110" i="5"/>
  <c r="R1109" i="5"/>
  <c r="L1109" i="5"/>
  <c r="R1108" i="5"/>
  <c r="L1108" i="5"/>
  <c r="R1107" i="5"/>
  <c r="L1107" i="5"/>
  <c r="R1106" i="5"/>
  <c r="L1106" i="5"/>
  <c r="R1105" i="5"/>
  <c r="L1105" i="5"/>
  <c r="R1104" i="5"/>
  <c r="L1104" i="5"/>
  <c r="R1103" i="5"/>
  <c r="L1103" i="5"/>
  <c r="R1102" i="5"/>
  <c r="L1102" i="5"/>
  <c r="R1101" i="5"/>
  <c r="L1101" i="5"/>
  <c r="R1100" i="5"/>
  <c r="L1100" i="5"/>
  <c r="R1099" i="5"/>
  <c r="L1099" i="5"/>
  <c r="R1098" i="5"/>
  <c r="L1098" i="5"/>
  <c r="R1097" i="5"/>
  <c r="L1097" i="5"/>
  <c r="R1096" i="5"/>
  <c r="L1096" i="5"/>
  <c r="R1095" i="5"/>
  <c r="L1095" i="5"/>
  <c r="R1094" i="5"/>
  <c r="L1094" i="5"/>
  <c r="R1093" i="5"/>
  <c r="L1093" i="5"/>
  <c r="R1092" i="5"/>
  <c r="L1092" i="5"/>
  <c r="R1091" i="5"/>
  <c r="L1091" i="5"/>
  <c r="R1090" i="5"/>
  <c r="L1090" i="5"/>
  <c r="R1089" i="5"/>
  <c r="L1089" i="5"/>
  <c r="R1088" i="5"/>
  <c r="L1088" i="5"/>
  <c r="R1087" i="5"/>
  <c r="L1087" i="5"/>
  <c r="R1086" i="5"/>
  <c r="L1086" i="5"/>
  <c r="R1085" i="5"/>
  <c r="L1085" i="5"/>
  <c r="R1084" i="5"/>
  <c r="L1084" i="5"/>
  <c r="R1083" i="5"/>
  <c r="L1083" i="5"/>
  <c r="R1082" i="5"/>
  <c r="L1082" i="5"/>
  <c r="R1081" i="5"/>
  <c r="L1081" i="5"/>
  <c r="R1080" i="5"/>
  <c r="L1080" i="5"/>
  <c r="R1079" i="5"/>
  <c r="L1079" i="5"/>
  <c r="R1078" i="5"/>
  <c r="L1078" i="5"/>
  <c r="R1077" i="5"/>
  <c r="L1077" i="5"/>
  <c r="R1076" i="5"/>
  <c r="L1076" i="5"/>
  <c r="R1075" i="5"/>
  <c r="L1075" i="5"/>
  <c r="R1074" i="5"/>
  <c r="L1074" i="5"/>
  <c r="R1073" i="5"/>
  <c r="L1073" i="5"/>
  <c r="R1072" i="5"/>
  <c r="L1072" i="5"/>
  <c r="R1071" i="5"/>
  <c r="L1071" i="5"/>
  <c r="R1070" i="5"/>
  <c r="L1070" i="5"/>
  <c r="R1069" i="5"/>
  <c r="L1069" i="5"/>
  <c r="R1068" i="5"/>
  <c r="L1068" i="5"/>
  <c r="R1067" i="5"/>
  <c r="L1067" i="5"/>
  <c r="R1066" i="5"/>
  <c r="L1066" i="5"/>
  <c r="R1065" i="5"/>
  <c r="L1065" i="5"/>
  <c r="R1064" i="5"/>
  <c r="L1064" i="5"/>
  <c r="R1063" i="5"/>
  <c r="L1063" i="5"/>
  <c r="R1062" i="5"/>
  <c r="L1062" i="5"/>
  <c r="R1061" i="5"/>
  <c r="L1061" i="5"/>
  <c r="R1060" i="5"/>
  <c r="L1060" i="5"/>
  <c r="R1059" i="5"/>
  <c r="L1059" i="5"/>
  <c r="R1058" i="5"/>
  <c r="L1058" i="5"/>
  <c r="R1057" i="5"/>
  <c r="L1057" i="5"/>
  <c r="R1056" i="5"/>
  <c r="L1056" i="5"/>
  <c r="R1055" i="5"/>
  <c r="L1055" i="5"/>
  <c r="R1054" i="5"/>
  <c r="L1054" i="5"/>
  <c r="R1053" i="5"/>
  <c r="L1053" i="5"/>
  <c r="R1052" i="5"/>
  <c r="L1052" i="5"/>
  <c r="R1051" i="5"/>
  <c r="L1051" i="5"/>
  <c r="R1050" i="5"/>
  <c r="L1050" i="5"/>
  <c r="R1049" i="5"/>
  <c r="L1049" i="5"/>
  <c r="R1048" i="5"/>
  <c r="L1048" i="5"/>
  <c r="R1047" i="5"/>
  <c r="L1047" i="5"/>
  <c r="R1046" i="5"/>
  <c r="L1046" i="5"/>
  <c r="R1045" i="5"/>
  <c r="L1045" i="5"/>
  <c r="R1044" i="5"/>
  <c r="L1044" i="5"/>
  <c r="R1043" i="5"/>
  <c r="L1043" i="5"/>
  <c r="R1042" i="5"/>
  <c r="L1042" i="5"/>
  <c r="R1041" i="5"/>
  <c r="L1041" i="5"/>
  <c r="R1040" i="5"/>
  <c r="L1040" i="5"/>
  <c r="R1039" i="5"/>
  <c r="L1039" i="5"/>
  <c r="R1038" i="5"/>
  <c r="L1038" i="5"/>
  <c r="R1037" i="5"/>
  <c r="L1037" i="5"/>
  <c r="R1036" i="5"/>
  <c r="L1036" i="5"/>
  <c r="R1035" i="5"/>
  <c r="L1035" i="5"/>
  <c r="R1034" i="5"/>
  <c r="L1034" i="5"/>
  <c r="R1033" i="5"/>
  <c r="L1033" i="5"/>
  <c r="R1032" i="5"/>
  <c r="L1032" i="5"/>
  <c r="R1031" i="5"/>
  <c r="L1031" i="5"/>
  <c r="R1030" i="5"/>
  <c r="L1030" i="5"/>
  <c r="R1029" i="5"/>
  <c r="L1029" i="5"/>
  <c r="R1028" i="5"/>
  <c r="L1028" i="5"/>
  <c r="R1027" i="5"/>
  <c r="L1027" i="5"/>
  <c r="R1026" i="5"/>
  <c r="L1026" i="5"/>
  <c r="R1025" i="5"/>
  <c r="L1025" i="5"/>
  <c r="R1024" i="5"/>
  <c r="L1024" i="5"/>
  <c r="R1023" i="5"/>
  <c r="L1023" i="5"/>
  <c r="R1022" i="5"/>
  <c r="L1022" i="5"/>
  <c r="R1021" i="5"/>
  <c r="L1021" i="5"/>
  <c r="R1020" i="5"/>
  <c r="L1020" i="5"/>
  <c r="R1019" i="5"/>
  <c r="L1019" i="5"/>
  <c r="R1018" i="5"/>
  <c r="L1018" i="5"/>
  <c r="R1017" i="5"/>
  <c r="L1017" i="5"/>
  <c r="R1016" i="5"/>
  <c r="L1016" i="5"/>
  <c r="R1015" i="5"/>
  <c r="L1015" i="5"/>
  <c r="R1014" i="5"/>
  <c r="L1014" i="5"/>
  <c r="R1013" i="5"/>
  <c r="L1013" i="5"/>
  <c r="R1012" i="5"/>
  <c r="L1012" i="5"/>
  <c r="R1011" i="5"/>
  <c r="L1011" i="5"/>
  <c r="R1010" i="5"/>
  <c r="L1010" i="5"/>
  <c r="R1009" i="5"/>
  <c r="L1009" i="5"/>
  <c r="R1008" i="5"/>
  <c r="L1008" i="5"/>
  <c r="R1007" i="5"/>
  <c r="L1007" i="5"/>
  <c r="R1006" i="5"/>
  <c r="L1006" i="5"/>
  <c r="R1005" i="5"/>
  <c r="L1005" i="5"/>
  <c r="R1004" i="5"/>
  <c r="L1004" i="5"/>
  <c r="R1003" i="5"/>
  <c r="L1003" i="5"/>
  <c r="R1002" i="5"/>
  <c r="L1002" i="5"/>
  <c r="R1001" i="5"/>
  <c r="L1001" i="5"/>
  <c r="R1000" i="5"/>
  <c r="L1000" i="5"/>
  <c r="R999" i="5"/>
  <c r="L999" i="5"/>
  <c r="R998" i="5"/>
  <c r="L998" i="5"/>
  <c r="R997" i="5"/>
  <c r="L997" i="5"/>
  <c r="R996" i="5"/>
  <c r="L996" i="5"/>
  <c r="R995" i="5"/>
  <c r="L995" i="5"/>
  <c r="R994" i="5"/>
  <c r="L994" i="5"/>
  <c r="R993" i="5"/>
  <c r="L993" i="5"/>
  <c r="R992" i="5"/>
  <c r="L992" i="5"/>
  <c r="R991" i="5"/>
  <c r="L991" i="5"/>
  <c r="R990" i="5"/>
  <c r="L990" i="5"/>
  <c r="R989" i="5"/>
  <c r="L989" i="5"/>
  <c r="R988" i="5"/>
  <c r="L988" i="5"/>
  <c r="R987" i="5"/>
  <c r="L987" i="5"/>
  <c r="R986" i="5"/>
  <c r="L986" i="5"/>
  <c r="R985" i="5"/>
  <c r="L985" i="5"/>
  <c r="R984" i="5"/>
  <c r="L984" i="5"/>
  <c r="R983" i="5"/>
  <c r="L983" i="5"/>
  <c r="R982" i="5"/>
  <c r="L982" i="5"/>
  <c r="R981" i="5"/>
  <c r="L981" i="5"/>
  <c r="R980" i="5"/>
  <c r="L980" i="5"/>
  <c r="R979" i="5"/>
  <c r="L979" i="5"/>
  <c r="R978" i="5"/>
  <c r="L978" i="5"/>
  <c r="R977" i="5"/>
  <c r="L977" i="5"/>
  <c r="R976" i="5"/>
  <c r="L976" i="5"/>
  <c r="R975" i="5"/>
  <c r="L975" i="5"/>
  <c r="R974" i="5"/>
  <c r="L974" i="5"/>
  <c r="R973" i="5"/>
  <c r="L973" i="5"/>
  <c r="R972" i="5"/>
  <c r="L972" i="5"/>
  <c r="R971" i="5"/>
  <c r="L971" i="5"/>
  <c r="R970" i="5"/>
  <c r="L970" i="5"/>
  <c r="R969" i="5"/>
  <c r="L969" i="5"/>
  <c r="R968" i="5"/>
  <c r="L968" i="5"/>
  <c r="R967" i="5"/>
  <c r="L967" i="5"/>
  <c r="R966" i="5"/>
  <c r="L966" i="5"/>
  <c r="R965" i="5"/>
  <c r="L965" i="5"/>
  <c r="R964" i="5"/>
  <c r="L964" i="5"/>
  <c r="R963" i="5"/>
  <c r="L963" i="5"/>
  <c r="R962" i="5"/>
  <c r="L962" i="5"/>
  <c r="R961" i="5"/>
  <c r="L961" i="5"/>
  <c r="R960" i="5"/>
  <c r="L960" i="5"/>
  <c r="R959" i="5"/>
  <c r="L959" i="5"/>
  <c r="R958" i="5"/>
  <c r="L958" i="5"/>
  <c r="R957" i="5"/>
  <c r="L957" i="5"/>
  <c r="R956" i="5"/>
  <c r="L956" i="5"/>
  <c r="R955" i="5"/>
  <c r="L955" i="5"/>
  <c r="R954" i="5"/>
  <c r="L954" i="5"/>
  <c r="R953" i="5"/>
  <c r="L953" i="5"/>
  <c r="R952" i="5"/>
  <c r="L952" i="5"/>
  <c r="R951" i="5"/>
  <c r="L951" i="5"/>
  <c r="R950" i="5"/>
  <c r="L950" i="5"/>
  <c r="R949" i="5"/>
  <c r="L949" i="5"/>
  <c r="R948" i="5"/>
  <c r="L948" i="5"/>
  <c r="R947" i="5"/>
  <c r="L947" i="5"/>
  <c r="R946" i="5"/>
  <c r="L946" i="5"/>
  <c r="R945" i="5"/>
  <c r="L945" i="5"/>
  <c r="R944" i="5"/>
  <c r="L944" i="5"/>
  <c r="R943" i="5"/>
  <c r="L943" i="5"/>
  <c r="R942" i="5"/>
  <c r="L942" i="5"/>
  <c r="R941" i="5"/>
  <c r="L941" i="5"/>
  <c r="R940" i="5"/>
  <c r="L940" i="5"/>
  <c r="R939" i="5"/>
  <c r="L939" i="5"/>
  <c r="R938" i="5"/>
  <c r="L938" i="5"/>
  <c r="R937" i="5"/>
  <c r="L937" i="5"/>
  <c r="R936" i="5"/>
  <c r="L936" i="5"/>
  <c r="R935" i="5"/>
  <c r="L935" i="5"/>
  <c r="R934" i="5"/>
  <c r="L934" i="5"/>
  <c r="R933" i="5"/>
  <c r="L933" i="5"/>
  <c r="R932" i="5"/>
  <c r="L932" i="5"/>
  <c r="R931" i="5"/>
  <c r="L931" i="5"/>
  <c r="R930" i="5"/>
  <c r="L930" i="5"/>
  <c r="R929" i="5"/>
  <c r="L929" i="5"/>
  <c r="R928" i="5"/>
  <c r="L928" i="5"/>
  <c r="R927" i="5"/>
  <c r="L927" i="5"/>
  <c r="R926" i="5"/>
  <c r="L926" i="5"/>
  <c r="R925" i="5"/>
  <c r="L925" i="5"/>
  <c r="R924" i="5"/>
  <c r="L924" i="5"/>
  <c r="R923" i="5"/>
  <c r="L923" i="5"/>
  <c r="R922" i="5"/>
  <c r="L922" i="5"/>
  <c r="R921" i="5"/>
  <c r="L921" i="5"/>
  <c r="R920" i="5"/>
  <c r="L920" i="5"/>
  <c r="R919" i="5"/>
  <c r="L919" i="5"/>
  <c r="R918" i="5"/>
  <c r="L918" i="5"/>
  <c r="R917" i="5"/>
  <c r="L917" i="5"/>
  <c r="R916" i="5"/>
  <c r="L916" i="5"/>
  <c r="R915" i="5"/>
  <c r="L915" i="5"/>
  <c r="R914" i="5"/>
  <c r="L914" i="5"/>
  <c r="R913" i="5"/>
  <c r="L913" i="5"/>
  <c r="R912" i="5"/>
  <c r="L912" i="5"/>
  <c r="R911" i="5"/>
  <c r="L911" i="5"/>
  <c r="R910" i="5"/>
  <c r="L910" i="5"/>
  <c r="R909" i="5"/>
  <c r="L909" i="5"/>
  <c r="R908" i="5"/>
  <c r="L908" i="5"/>
  <c r="R907" i="5"/>
  <c r="L907" i="5"/>
  <c r="R906" i="5"/>
  <c r="L906" i="5"/>
  <c r="R905" i="5"/>
  <c r="L905" i="5"/>
  <c r="R904" i="5"/>
  <c r="L904" i="5"/>
  <c r="R903" i="5"/>
  <c r="L903" i="5"/>
  <c r="R902" i="5"/>
  <c r="L902" i="5"/>
  <c r="R901" i="5"/>
  <c r="L901" i="5"/>
  <c r="R900" i="5"/>
  <c r="L900" i="5"/>
  <c r="R899" i="5"/>
  <c r="L899" i="5"/>
  <c r="R898" i="5"/>
  <c r="L898" i="5"/>
  <c r="R897" i="5"/>
  <c r="L897" i="5"/>
  <c r="R896" i="5"/>
  <c r="L896" i="5"/>
  <c r="R895" i="5"/>
  <c r="L895" i="5"/>
  <c r="R894" i="5"/>
  <c r="L894" i="5"/>
  <c r="R893" i="5"/>
  <c r="L893" i="5"/>
  <c r="R892" i="5"/>
  <c r="L892" i="5"/>
  <c r="R891" i="5"/>
  <c r="L891" i="5"/>
  <c r="R890" i="5"/>
  <c r="L890" i="5"/>
  <c r="R889" i="5"/>
  <c r="L889" i="5"/>
  <c r="R888" i="5"/>
  <c r="L888" i="5"/>
  <c r="R887" i="5"/>
  <c r="L887" i="5"/>
  <c r="R886" i="5"/>
  <c r="L886" i="5"/>
  <c r="R885" i="5"/>
  <c r="L885" i="5"/>
  <c r="R884" i="5"/>
  <c r="L884" i="5"/>
  <c r="R883" i="5"/>
  <c r="L883" i="5"/>
  <c r="R882" i="5"/>
  <c r="L882" i="5"/>
  <c r="R881" i="5"/>
  <c r="L881" i="5"/>
  <c r="R880" i="5"/>
  <c r="L880" i="5"/>
  <c r="R879" i="5"/>
  <c r="L879" i="5"/>
  <c r="R878" i="5"/>
  <c r="L878" i="5"/>
  <c r="R877" i="5"/>
  <c r="L877" i="5"/>
  <c r="R876" i="5"/>
  <c r="L876" i="5"/>
  <c r="R875" i="5"/>
  <c r="L875" i="5"/>
  <c r="R874" i="5"/>
  <c r="L874" i="5"/>
  <c r="R873" i="5"/>
  <c r="L873" i="5"/>
  <c r="R872" i="5"/>
  <c r="L872" i="5"/>
  <c r="R871" i="5"/>
  <c r="L871" i="5"/>
  <c r="R870" i="5"/>
  <c r="L870" i="5"/>
  <c r="R869" i="5"/>
  <c r="L869" i="5"/>
  <c r="R868" i="5"/>
  <c r="L868" i="5"/>
  <c r="R867" i="5"/>
  <c r="L867" i="5"/>
  <c r="R866" i="5"/>
  <c r="L866" i="5"/>
  <c r="R865" i="5"/>
  <c r="L865" i="5"/>
  <c r="R864" i="5"/>
  <c r="L864" i="5"/>
  <c r="R863" i="5"/>
  <c r="L863" i="5"/>
  <c r="R862" i="5"/>
  <c r="L862" i="5"/>
  <c r="R861" i="5"/>
  <c r="L861" i="5"/>
  <c r="R860" i="5"/>
  <c r="L860" i="5"/>
  <c r="R859" i="5"/>
  <c r="L859" i="5"/>
  <c r="R858" i="5"/>
  <c r="L858" i="5"/>
  <c r="R857" i="5"/>
  <c r="L857" i="5"/>
  <c r="R856" i="5"/>
  <c r="L856" i="5"/>
  <c r="R855" i="5"/>
  <c r="L855" i="5"/>
  <c r="R854" i="5"/>
  <c r="L854" i="5"/>
  <c r="R853" i="5"/>
  <c r="L853" i="5"/>
  <c r="R852" i="5"/>
  <c r="L852" i="5"/>
  <c r="R851" i="5"/>
  <c r="L851" i="5"/>
  <c r="R850" i="5"/>
  <c r="L850" i="5"/>
  <c r="R849" i="5"/>
  <c r="L849" i="5"/>
  <c r="R848" i="5"/>
  <c r="L848" i="5"/>
  <c r="R847" i="5"/>
  <c r="L847" i="5"/>
  <c r="R846" i="5"/>
  <c r="L846" i="5"/>
  <c r="R845" i="5"/>
  <c r="L845" i="5"/>
  <c r="R844" i="5"/>
  <c r="L844" i="5"/>
  <c r="R843" i="5"/>
  <c r="L843" i="5"/>
  <c r="R842" i="5"/>
  <c r="L842" i="5"/>
  <c r="R841" i="5"/>
  <c r="L841" i="5"/>
  <c r="R840" i="5"/>
  <c r="L840" i="5"/>
  <c r="R839" i="5"/>
  <c r="L839" i="5"/>
  <c r="R838" i="5"/>
  <c r="L838" i="5"/>
  <c r="R837" i="5"/>
  <c r="L837" i="5"/>
  <c r="R836" i="5"/>
  <c r="L836" i="5"/>
  <c r="R835" i="5"/>
  <c r="L835" i="5"/>
  <c r="R834" i="5"/>
  <c r="L834" i="5"/>
  <c r="R833" i="5"/>
  <c r="L833" i="5"/>
  <c r="R832" i="5"/>
  <c r="L832" i="5"/>
  <c r="R831" i="5"/>
  <c r="L831" i="5"/>
  <c r="R830" i="5"/>
  <c r="L830" i="5"/>
  <c r="R829" i="5"/>
  <c r="L829" i="5"/>
  <c r="R828" i="5"/>
  <c r="L828" i="5"/>
  <c r="R827" i="5"/>
  <c r="L827" i="5"/>
  <c r="R826" i="5"/>
  <c r="L826" i="5"/>
  <c r="R825" i="5"/>
  <c r="L825" i="5"/>
  <c r="R824" i="5"/>
  <c r="L824" i="5"/>
  <c r="R823" i="5"/>
  <c r="L823" i="5"/>
  <c r="R822" i="5"/>
  <c r="L822" i="5"/>
  <c r="R821" i="5"/>
  <c r="L821" i="5"/>
  <c r="R820" i="5"/>
  <c r="L820" i="5"/>
  <c r="R819" i="5"/>
  <c r="L819" i="5"/>
  <c r="R818" i="5"/>
  <c r="L818" i="5"/>
  <c r="R817" i="5"/>
  <c r="L817" i="5"/>
  <c r="R816" i="5"/>
  <c r="L816" i="5"/>
  <c r="R815" i="5"/>
  <c r="L815" i="5"/>
  <c r="R814" i="5"/>
  <c r="L814" i="5"/>
  <c r="R813" i="5"/>
  <c r="L813" i="5"/>
  <c r="R812" i="5"/>
  <c r="L812" i="5"/>
  <c r="R811" i="5"/>
  <c r="L811" i="5"/>
  <c r="R810" i="5"/>
  <c r="L810" i="5"/>
  <c r="R809" i="5"/>
  <c r="L809" i="5"/>
  <c r="R808" i="5"/>
  <c r="L808" i="5"/>
  <c r="R807" i="5"/>
  <c r="L807" i="5"/>
  <c r="R806" i="5"/>
  <c r="L806" i="5"/>
  <c r="R805" i="5"/>
  <c r="L805" i="5"/>
  <c r="R804" i="5"/>
  <c r="L804" i="5"/>
  <c r="R803" i="5"/>
  <c r="L803" i="5"/>
  <c r="R802" i="5"/>
  <c r="L802" i="5"/>
  <c r="R801" i="5"/>
  <c r="L801" i="5"/>
  <c r="R800" i="5"/>
  <c r="L800" i="5"/>
  <c r="R799" i="5"/>
  <c r="L799" i="5"/>
  <c r="R798" i="5"/>
  <c r="L798" i="5"/>
  <c r="R797" i="5"/>
  <c r="L797" i="5"/>
  <c r="R796" i="5"/>
  <c r="L796" i="5"/>
  <c r="R795" i="5"/>
  <c r="L795" i="5"/>
  <c r="R794" i="5"/>
  <c r="L794" i="5"/>
  <c r="R793" i="5"/>
  <c r="L793" i="5"/>
  <c r="R792" i="5"/>
  <c r="L792" i="5"/>
  <c r="R791" i="5"/>
  <c r="L791" i="5"/>
  <c r="R790" i="5"/>
  <c r="L790" i="5"/>
  <c r="R789" i="5"/>
  <c r="L789" i="5"/>
  <c r="R788" i="5"/>
  <c r="L788" i="5"/>
  <c r="R787" i="5"/>
  <c r="L787" i="5"/>
  <c r="R786" i="5"/>
  <c r="L786" i="5"/>
  <c r="R785" i="5"/>
  <c r="L785" i="5"/>
  <c r="R784" i="5"/>
  <c r="L784" i="5"/>
  <c r="R783" i="5"/>
  <c r="L783" i="5"/>
  <c r="R782" i="5"/>
  <c r="L782" i="5"/>
  <c r="R781" i="5"/>
  <c r="L781" i="5"/>
  <c r="R780" i="5"/>
  <c r="L780" i="5"/>
  <c r="R779" i="5"/>
  <c r="L779" i="5"/>
  <c r="R778" i="5"/>
  <c r="L778" i="5"/>
  <c r="R777" i="5"/>
  <c r="L777" i="5"/>
  <c r="R776" i="5"/>
  <c r="L776" i="5"/>
  <c r="R775" i="5"/>
  <c r="L775" i="5"/>
  <c r="R774" i="5"/>
  <c r="L774" i="5"/>
  <c r="R773" i="5"/>
  <c r="L773" i="5"/>
  <c r="R772" i="5"/>
  <c r="L772" i="5"/>
  <c r="R771" i="5"/>
  <c r="L771" i="5"/>
  <c r="R770" i="5"/>
  <c r="L770" i="5"/>
  <c r="R769" i="5"/>
  <c r="L769" i="5"/>
  <c r="R768" i="5"/>
  <c r="L768" i="5"/>
  <c r="R767" i="5"/>
  <c r="L767" i="5"/>
  <c r="R766" i="5"/>
  <c r="L766" i="5"/>
  <c r="R765" i="5"/>
  <c r="L765" i="5"/>
  <c r="R764" i="5"/>
  <c r="L764" i="5"/>
  <c r="R763" i="5"/>
  <c r="L763" i="5"/>
  <c r="R762" i="5"/>
  <c r="L762" i="5"/>
  <c r="R761" i="5"/>
  <c r="L761" i="5"/>
  <c r="R760" i="5"/>
  <c r="L760" i="5"/>
  <c r="R759" i="5"/>
  <c r="L759" i="5"/>
  <c r="R758" i="5"/>
  <c r="L758" i="5"/>
  <c r="R757" i="5"/>
  <c r="L757" i="5"/>
  <c r="R756" i="5"/>
  <c r="L756" i="5"/>
  <c r="R755" i="5"/>
  <c r="L755" i="5"/>
  <c r="R754" i="5"/>
  <c r="L754" i="5"/>
  <c r="R753" i="5"/>
  <c r="L753" i="5"/>
  <c r="R752" i="5"/>
  <c r="L752" i="5"/>
  <c r="R751" i="5"/>
  <c r="L751" i="5"/>
  <c r="R750" i="5"/>
  <c r="L750" i="5"/>
  <c r="R749" i="5"/>
  <c r="L749" i="5"/>
  <c r="R748" i="5"/>
  <c r="L748" i="5"/>
  <c r="R747" i="5"/>
  <c r="L747" i="5"/>
  <c r="R746" i="5"/>
  <c r="L746" i="5"/>
  <c r="R745" i="5"/>
  <c r="L745" i="5"/>
  <c r="R744" i="5"/>
  <c r="L744" i="5"/>
  <c r="R743" i="5"/>
  <c r="L743" i="5"/>
  <c r="R742" i="5"/>
  <c r="L742" i="5"/>
  <c r="R741" i="5"/>
  <c r="L741" i="5"/>
  <c r="R740" i="5"/>
  <c r="L740" i="5"/>
  <c r="R739" i="5"/>
  <c r="L739" i="5"/>
  <c r="R738" i="5"/>
  <c r="L738" i="5"/>
  <c r="R737" i="5"/>
  <c r="L737" i="5"/>
  <c r="R736" i="5"/>
  <c r="L736" i="5"/>
  <c r="R735" i="5"/>
  <c r="L735" i="5"/>
  <c r="R734" i="5"/>
  <c r="L734" i="5"/>
  <c r="R733" i="5"/>
  <c r="L733" i="5"/>
  <c r="R732" i="5"/>
  <c r="L732" i="5"/>
  <c r="R731" i="5"/>
  <c r="L731" i="5"/>
  <c r="R730" i="5"/>
  <c r="L730" i="5"/>
  <c r="R729" i="5"/>
  <c r="L729" i="5"/>
  <c r="R728" i="5"/>
  <c r="L728" i="5"/>
  <c r="R727" i="5"/>
  <c r="L727" i="5"/>
  <c r="R726" i="5"/>
  <c r="L726" i="5"/>
  <c r="R725" i="5"/>
  <c r="L725" i="5"/>
  <c r="R724" i="5"/>
  <c r="L724" i="5"/>
  <c r="R723" i="5"/>
  <c r="L723" i="5"/>
  <c r="R722" i="5"/>
  <c r="L722" i="5"/>
  <c r="R721" i="5"/>
  <c r="L721" i="5"/>
  <c r="R720" i="5"/>
  <c r="L720" i="5"/>
  <c r="R719" i="5"/>
  <c r="L719" i="5"/>
  <c r="R718" i="5"/>
  <c r="L718" i="5"/>
  <c r="R717" i="5"/>
  <c r="L717" i="5"/>
  <c r="R716" i="5"/>
  <c r="L716" i="5"/>
  <c r="R715" i="5"/>
  <c r="L715" i="5"/>
  <c r="R714" i="5"/>
  <c r="L714" i="5"/>
  <c r="R713" i="5"/>
  <c r="L713" i="5"/>
  <c r="R712" i="5"/>
  <c r="L712" i="5"/>
  <c r="R711" i="5"/>
  <c r="L711" i="5"/>
  <c r="R710" i="5"/>
  <c r="L710" i="5"/>
  <c r="R709" i="5"/>
  <c r="L709" i="5"/>
  <c r="R708" i="5"/>
  <c r="L708" i="5"/>
  <c r="R707" i="5"/>
  <c r="L707" i="5"/>
  <c r="R706" i="5"/>
  <c r="L706" i="5"/>
  <c r="R705" i="5"/>
  <c r="L705" i="5"/>
  <c r="R704" i="5"/>
  <c r="L704" i="5"/>
  <c r="R703" i="5"/>
  <c r="L703" i="5"/>
  <c r="R702" i="5"/>
  <c r="L702" i="5"/>
  <c r="R701" i="5"/>
  <c r="L701" i="5"/>
  <c r="R700" i="5"/>
  <c r="L700" i="5"/>
  <c r="R699" i="5"/>
  <c r="L699" i="5"/>
  <c r="R698" i="5"/>
  <c r="L698" i="5"/>
  <c r="R697" i="5"/>
  <c r="L697" i="5"/>
  <c r="R696" i="5"/>
  <c r="L696" i="5"/>
  <c r="R695" i="5"/>
  <c r="L695" i="5"/>
  <c r="R694" i="5"/>
  <c r="L694" i="5"/>
  <c r="R693" i="5"/>
  <c r="L693" i="5"/>
  <c r="R692" i="5"/>
  <c r="L692" i="5"/>
  <c r="R691" i="5"/>
  <c r="L691" i="5"/>
  <c r="R690" i="5"/>
  <c r="L690" i="5"/>
  <c r="R689" i="5"/>
  <c r="L689" i="5"/>
  <c r="R688" i="5"/>
  <c r="L688" i="5"/>
  <c r="R687" i="5"/>
  <c r="L687" i="5"/>
  <c r="R686" i="5"/>
  <c r="L686" i="5"/>
  <c r="R685" i="5"/>
  <c r="L685" i="5"/>
  <c r="R684" i="5"/>
  <c r="L684" i="5"/>
  <c r="R683" i="5"/>
  <c r="L683" i="5"/>
  <c r="R682" i="5"/>
  <c r="L682" i="5"/>
  <c r="R681" i="5"/>
  <c r="L681" i="5"/>
  <c r="R680" i="5"/>
  <c r="L680" i="5"/>
  <c r="R679" i="5"/>
  <c r="L679" i="5"/>
  <c r="R678" i="5"/>
  <c r="L678" i="5"/>
  <c r="R677" i="5"/>
  <c r="L677" i="5"/>
  <c r="R676" i="5"/>
  <c r="L676" i="5"/>
  <c r="R675" i="5"/>
  <c r="L675" i="5"/>
  <c r="R674" i="5"/>
  <c r="L674" i="5"/>
  <c r="R673" i="5"/>
  <c r="L673" i="5"/>
  <c r="R672" i="5"/>
  <c r="L672" i="5"/>
  <c r="R671" i="5"/>
  <c r="L671" i="5"/>
  <c r="R670" i="5"/>
  <c r="L670" i="5"/>
  <c r="R669" i="5"/>
  <c r="L669" i="5"/>
  <c r="R668" i="5"/>
  <c r="L668" i="5"/>
  <c r="R667" i="5"/>
  <c r="L667" i="5"/>
  <c r="R666" i="5"/>
  <c r="L666" i="5"/>
  <c r="R665" i="5"/>
  <c r="L665" i="5"/>
  <c r="R664" i="5"/>
  <c r="L664" i="5"/>
  <c r="R663" i="5"/>
  <c r="L663" i="5"/>
  <c r="R662" i="5"/>
  <c r="L662" i="5"/>
  <c r="R661" i="5"/>
  <c r="L661" i="5"/>
  <c r="R660" i="5"/>
  <c r="L660" i="5"/>
  <c r="R659" i="5"/>
  <c r="L659" i="5"/>
  <c r="R658" i="5"/>
  <c r="L658" i="5"/>
  <c r="R657" i="5"/>
  <c r="L657" i="5"/>
  <c r="R656" i="5"/>
  <c r="L656" i="5"/>
  <c r="R655" i="5"/>
  <c r="L655" i="5"/>
  <c r="R654" i="5"/>
  <c r="L654" i="5"/>
  <c r="R653" i="5"/>
  <c r="L653" i="5"/>
  <c r="R652" i="5"/>
  <c r="L652" i="5"/>
  <c r="R651" i="5"/>
  <c r="L651" i="5"/>
  <c r="R650" i="5"/>
  <c r="L650" i="5"/>
  <c r="R649" i="5"/>
  <c r="L649" i="5"/>
  <c r="R648" i="5"/>
  <c r="L648" i="5"/>
  <c r="R647" i="5"/>
  <c r="L647" i="5"/>
  <c r="R646" i="5"/>
  <c r="L646" i="5"/>
  <c r="R645" i="5"/>
  <c r="L645" i="5"/>
  <c r="R644" i="5"/>
  <c r="L644" i="5"/>
  <c r="R643" i="5"/>
  <c r="L643" i="5"/>
  <c r="R642" i="5"/>
  <c r="L642" i="5"/>
  <c r="R641" i="5"/>
  <c r="L641" i="5"/>
  <c r="R640" i="5"/>
  <c r="L640" i="5"/>
  <c r="R639" i="5"/>
  <c r="L639" i="5"/>
  <c r="R638" i="5"/>
  <c r="L638" i="5"/>
  <c r="R637" i="5"/>
  <c r="L637" i="5"/>
  <c r="R636" i="5"/>
  <c r="L636" i="5"/>
  <c r="R635" i="5"/>
  <c r="L635" i="5"/>
  <c r="R634" i="5"/>
  <c r="L634" i="5"/>
  <c r="R633" i="5"/>
  <c r="L633" i="5"/>
  <c r="R632" i="5"/>
  <c r="L632" i="5"/>
  <c r="R631" i="5"/>
  <c r="L631" i="5"/>
  <c r="R630" i="5"/>
  <c r="L630" i="5"/>
  <c r="R629" i="5"/>
  <c r="L629" i="5"/>
  <c r="R628" i="5"/>
  <c r="L628" i="5"/>
  <c r="R627" i="5"/>
  <c r="L627" i="5"/>
  <c r="R626" i="5"/>
  <c r="L626" i="5"/>
  <c r="R625" i="5"/>
  <c r="L625" i="5"/>
  <c r="R624" i="5"/>
  <c r="L624" i="5"/>
  <c r="R623" i="5"/>
  <c r="L623" i="5"/>
  <c r="R622" i="5"/>
  <c r="L622" i="5"/>
  <c r="R621" i="5"/>
  <c r="L621" i="5"/>
  <c r="R620" i="5"/>
  <c r="L620" i="5"/>
  <c r="R619" i="5"/>
  <c r="L619" i="5"/>
  <c r="R618" i="5"/>
  <c r="L618" i="5"/>
  <c r="R617" i="5"/>
  <c r="L617" i="5"/>
  <c r="R616" i="5"/>
  <c r="L616" i="5"/>
  <c r="R615" i="5"/>
  <c r="L615" i="5"/>
  <c r="R614" i="5"/>
  <c r="L614" i="5"/>
  <c r="R613" i="5"/>
  <c r="L613" i="5"/>
  <c r="R612" i="5"/>
  <c r="L612" i="5"/>
  <c r="R611" i="5"/>
  <c r="L611" i="5"/>
  <c r="R610" i="5"/>
  <c r="L610" i="5"/>
  <c r="R609" i="5"/>
  <c r="L609" i="5"/>
  <c r="R608" i="5"/>
  <c r="L608" i="5"/>
  <c r="R607" i="5"/>
  <c r="L607" i="5"/>
  <c r="R606" i="5"/>
  <c r="L606" i="5"/>
  <c r="R605" i="5"/>
  <c r="L605" i="5"/>
  <c r="R604" i="5"/>
  <c r="L604" i="5"/>
  <c r="R603" i="5"/>
  <c r="L603" i="5"/>
  <c r="R602" i="5"/>
  <c r="L602" i="5"/>
  <c r="R601" i="5"/>
  <c r="L601" i="5"/>
  <c r="R600" i="5"/>
  <c r="L600" i="5"/>
  <c r="R599" i="5"/>
  <c r="L599" i="5"/>
  <c r="R598" i="5"/>
  <c r="L598" i="5"/>
  <c r="R597" i="5"/>
  <c r="L597" i="5"/>
  <c r="R596" i="5"/>
  <c r="L596" i="5"/>
  <c r="R595" i="5"/>
  <c r="L595" i="5"/>
  <c r="R594" i="5"/>
  <c r="L594" i="5"/>
  <c r="R593" i="5"/>
  <c r="L593" i="5"/>
  <c r="R592" i="5"/>
  <c r="L592" i="5"/>
  <c r="R591" i="5"/>
  <c r="L591" i="5"/>
  <c r="R590" i="5"/>
  <c r="L590" i="5"/>
  <c r="R589" i="5"/>
  <c r="L589" i="5"/>
  <c r="R588" i="5"/>
  <c r="L588" i="5"/>
  <c r="R587" i="5"/>
  <c r="L587" i="5"/>
  <c r="R586" i="5"/>
  <c r="L586" i="5"/>
  <c r="R585" i="5"/>
  <c r="L585" i="5"/>
  <c r="R584" i="5"/>
  <c r="L584" i="5"/>
  <c r="R583" i="5"/>
  <c r="L583" i="5"/>
  <c r="R582" i="5"/>
  <c r="L582" i="5"/>
  <c r="R581" i="5"/>
  <c r="L581" i="5"/>
  <c r="R580" i="5"/>
  <c r="L580" i="5"/>
  <c r="R579" i="5"/>
  <c r="L579" i="5"/>
  <c r="R578" i="5"/>
  <c r="L578" i="5"/>
  <c r="R577" i="5"/>
  <c r="L577" i="5"/>
  <c r="R576" i="5"/>
  <c r="L576" i="5"/>
  <c r="R575" i="5"/>
  <c r="L575" i="5"/>
  <c r="R574" i="5"/>
  <c r="L574" i="5"/>
  <c r="R573" i="5"/>
  <c r="L573" i="5"/>
  <c r="R572" i="5"/>
  <c r="L572" i="5"/>
  <c r="R571" i="5"/>
  <c r="L571" i="5"/>
  <c r="R570" i="5"/>
  <c r="L570" i="5"/>
  <c r="R569" i="5"/>
  <c r="L569" i="5"/>
  <c r="R568" i="5"/>
  <c r="L568" i="5"/>
  <c r="R567" i="5"/>
  <c r="L567" i="5"/>
  <c r="R566" i="5"/>
  <c r="L566" i="5"/>
  <c r="R565" i="5"/>
  <c r="L565" i="5"/>
  <c r="R564" i="5"/>
  <c r="L564" i="5"/>
  <c r="R563" i="5"/>
  <c r="L563" i="5"/>
  <c r="R562" i="5"/>
  <c r="L562" i="5"/>
  <c r="R561" i="5"/>
  <c r="L561" i="5"/>
  <c r="R560" i="5"/>
  <c r="L560" i="5"/>
  <c r="R559" i="5"/>
  <c r="L559" i="5"/>
  <c r="R558" i="5"/>
  <c r="L558" i="5"/>
  <c r="R557" i="5"/>
  <c r="L557" i="5"/>
  <c r="R556" i="5"/>
  <c r="L556" i="5"/>
  <c r="R555" i="5"/>
  <c r="L555" i="5"/>
  <c r="R554" i="5"/>
  <c r="L554" i="5"/>
  <c r="R553" i="5"/>
  <c r="L553" i="5"/>
  <c r="R552" i="5"/>
  <c r="L552" i="5"/>
  <c r="R551" i="5"/>
  <c r="L551" i="5"/>
  <c r="R550" i="5"/>
  <c r="L550" i="5"/>
  <c r="R549" i="5"/>
  <c r="L549" i="5"/>
  <c r="R548" i="5"/>
  <c r="L548" i="5"/>
  <c r="R547" i="5"/>
  <c r="L547" i="5"/>
  <c r="R546" i="5"/>
  <c r="L546" i="5"/>
  <c r="R545" i="5"/>
  <c r="L545" i="5"/>
  <c r="R544" i="5"/>
  <c r="L544" i="5"/>
  <c r="R543" i="5"/>
  <c r="L543" i="5"/>
  <c r="R542" i="5"/>
  <c r="L542" i="5"/>
  <c r="R541" i="5"/>
  <c r="L541" i="5"/>
  <c r="R540" i="5"/>
  <c r="L540" i="5"/>
  <c r="R539" i="5"/>
  <c r="L539" i="5"/>
  <c r="R538" i="5"/>
  <c r="L538" i="5"/>
  <c r="R537" i="5"/>
  <c r="L537" i="5"/>
  <c r="R536" i="5"/>
  <c r="L536" i="5"/>
  <c r="R535" i="5"/>
  <c r="L535" i="5"/>
  <c r="R534" i="5"/>
  <c r="L534" i="5"/>
  <c r="R533" i="5"/>
  <c r="L533" i="5"/>
  <c r="R532" i="5"/>
  <c r="L532" i="5"/>
  <c r="R531" i="5"/>
  <c r="L531" i="5"/>
  <c r="R530" i="5"/>
  <c r="L530" i="5"/>
  <c r="R529" i="5"/>
  <c r="L529" i="5"/>
  <c r="R528" i="5"/>
  <c r="L528" i="5"/>
  <c r="R527" i="5"/>
  <c r="L527" i="5"/>
  <c r="R526" i="5"/>
  <c r="L526" i="5"/>
  <c r="R525" i="5"/>
  <c r="L525" i="5"/>
  <c r="R524" i="5"/>
  <c r="L524" i="5"/>
  <c r="R523" i="5"/>
  <c r="L523" i="5"/>
  <c r="R522" i="5"/>
  <c r="L522" i="5"/>
  <c r="R521" i="5"/>
  <c r="L521" i="5"/>
  <c r="R520" i="5"/>
  <c r="L520" i="5"/>
  <c r="R519" i="5"/>
  <c r="L519" i="5"/>
  <c r="R518" i="5"/>
  <c r="L518" i="5"/>
  <c r="R517" i="5"/>
  <c r="L517" i="5"/>
  <c r="R516" i="5"/>
  <c r="L516" i="5"/>
  <c r="R515" i="5"/>
  <c r="L515" i="5"/>
  <c r="R514" i="5"/>
  <c r="L514" i="5"/>
  <c r="R513" i="5"/>
  <c r="L513" i="5"/>
  <c r="R512" i="5"/>
  <c r="L512" i="5"/>
  <c r="R511" i="5"/>
  <c r="L511" i="5"/>
  <c r="R510" i="5"/>
  <c r="L510" i="5"/>
  <c r="R509" i="5"/>
  <c r="L509" i="5"/>
  <c r="R508" i="5"/>
  <c r="L508" i="5"/>
  <c r="R507" i="5"/>
  <c r="L507" i="5"/>
  <c r="R506" i="5"/>
  <c r="L506" i="5"/>
  <c r="R505" i="5"/>
  <c r="L505" i="5"/>
  <c r="R504" i="5"/>
  <c r="L504" i="5"/>
  <c r="R503" i="5"/>
  <c r="L503" i="5"/>
  <c r="R502" i="5"/>
  <c r="L502" i="5"/>
  <c r="R501" i="5"/>
  <c r="L501" i="5"/>
  <c r="R500" i="5"/>
  <c r="L500" i="5"/>
  <c r="R499" i="5"/>
  <c r="L499" i="5"/>
  <c r="R498" i="5"/>
  <c r="L498" i="5"/>
  <c r="R497" i="5"/>
  <c r="L497" i="5"/>
  <c r="R496" i="5"/>
  <c r="L496" i="5"/>
  <c r="R495" i="5"/>
  <c r="L495" i="5"/>
  <c r="R494" i="5"/>
  <c r="L494" i="5"/>
  <c r="R493" i="5"/>
  <c r="L493" i="5"/>
  <c r="R492" i="5"/>
  <c r="L492" i="5"/>
  <c r="R491" i="5"/>
  <c r="L491" i="5"/>
  <c r="R490" i="5"/>
  <c r="L490" i="5"/>
  <c r="R489" i="5"/>
  <c r="L489" i="5"/>
  <c r="R488" i="5"/>
  <c r="L488" i="5"/>
  <c r="R487" i="5"/>
  <c r="L487" i="5"/>
  <c r="R486" i="5"/>
  <c r="L486" i="5"/>
  <c r="R485" i="5"/>
  <c r="L485" i="5"/>
  <c r="R484" i="5"/>
  <c r="L484" i="5"/>
  <c r="R483" i="5"/>
  <c r="L483" i="5"/>
  <c r="R482" i="5"/>
  <c r="L482" i="5"/>
  <c r="R481" i="5"/>
  <c r="L481" i="5"/>
  <c r="R480" i="5"/>
  <c r="L480" i="5"/>
  <c r="R479" i="5"/>
  <c r="L479" i="5"/>
  <c r="R478" i="5"/>
  <c r="L478" i="5"/>
  <c r="R477" i="5"/>
  <c r="L477" i="5"/>
  <c r="R476" i="5"/>
  <c r="L476" i="5"/>
  <c r="R475" i="5"/>
  <c r="L475" i="5"/>
  <c r="R474" i="5"/>
  <c r="L474" i="5"/>
  <c r="R473" i="5"/>
  <c r="L473" i="5"/>
  <c r="R472" i="5"/>
  <c r="L472" i="5"/>
  <c r="R471" i="5"/>
  <c r="L471" i="5"/>
  <c r="R470" i="5"/>
  <c r="L470" i="5"/>
  <c r="R469" i="5"/>
  <c r="L469" i="5"/>
  <c r="R468" i="5"/>
  <c r="L468" i="5"/>
  <c r="R467" i="5"/>
  <c r="L467" i="5"/>
  <c r="R466" i="5"/>
  <c r="L466" i="5"/>
  <c r="R465" i="5"/>
  <c r="L465" i="5"/>
  <c r="R464" i="5"/>
  <c r="L464" i="5"/>
  <c r="R463" i="5"/>
  <c r="L463" i="5"/>
  <c r="R462" i="5"/>
  <c r="L462" i="5"/>
  <c r="R461" i="5"/>
  <c r="L461" i="5"/>
  <c r="R460" i="5"/>
  <c r="L460" i="5"/>
  <c r="R459" i="5"/>
  <c r="L459" i="5"/>
  <c r="R458" i="5"/>
  <c r="L458" i="5"/>
  <c r="R457" i="5"/>
  <c r="L457" i="5"/>
  <c r="R456" i="5"/>
  <c r="L456" i="5"/>
  <c r="R455" i="5"/>
  <c r="L455" i="5"/>
  <c r="R454" i="5"/>
  <c r="L454" i="5"/>
  <c r="R453" i="5"/>
  <c r="L453" i="5"/>
  <c r="R452" i="5"/>
  <c r="L452" i="5"/>
  <c r="R451" i="5"/>
  <c r="L451" i="5"/>
  <c r="R450" i="5"/>
  <c r="L450" i="5"/>
  <c r="R449" i="5"/>
  <c r="L449" i="5"/>
  <c r="R448" i="5"/>
  <c r="L448" i="5"/>
  <c r="R447" i="5"/>
  <c r="L447" i="5"/>
  <c r="R446" i="5"/>
  <c r="L446" i="5"/>
  <c r="R445" i="5"/>
  <c r="L445" i="5"/>
  <c r="R444" i="5"/>
  <c r="L444" i="5"/>
  <c r="R443" i="5"/>
  <c r="L443" i="5"/>
  <c r="R442" i="5"/>
  <c r="L442" i="5"/>
  <c r="R441" i="5"/>
  <c r="L441" i="5"/>
  <c r="R440" i="5"/>
  <c r="L440" i="5"/>
  <c r="R439" i="5"/>
  <c r="L439" i="5"/>
  <c r="R438" i="5"/>
  <c r="L438" i="5"/>
  <c r="R437" i="5"/>
  <c r="L437" i="5"/>
  <c r="R436" i="5"/>
  <c r="L436" i="5"/>
  <c r="R435" i="5"/>
  <c r="L435" i="5"/>
  <c r="R434" i="5"/>
  <c r="L434" i="5"/>
  <c r="R433" i="5"/>
  <c r="L433" i="5"/>
  <c r="R432" i="5"/>
  <c r="L432" i="5"/>
  <c r="R431" i="5"/>
  <c r="L431" i="5"/>
  <c r="R430" i="5"/>
  <c r="L430" i="5"/>
  <c r="R429" i="5"/>
  <c r="L429" i="5"/>
  <c r="R428" i="5"/>
  <c r="L428" i="5"/>
  <c r="R427" i="5"/>
  <c r="L427" i="5"/>
  <c r="R426" i="5"/>
  <c r="L426" i="5"/>
  <c r="R425" i="5"/>
  <c r="L425" i="5"/>
  <c r="R424" i="5"/>
  <c r="L424" i="5"/>
  <c r="R423" i="5"/>
  <c r="L423" i="5"/>
  <c r="R422" i="5"/>
  <c r="L422" i="5"/>
  <c r="R421" i="5"/>
  <c r="L421" i="5"/>
  <c r="R420" i="5"/>
  <c r="L420" i="5"/>
  <c r="R419" i="5"/>
  <c r="L419" i="5"/>
  <c r="R418" i="5"/>
  <c r="L418" i="5"/>
  <c r="R417" i="5"/>
  <c r="L417" i="5"/>
  <c r="R416" i="5"/>
  <c r="L416" i="5"/>
  <c r="R415" i="5"/>
  <c r="L415" i="5"/>
  <c r="R414" i="5"/>
  <c r="L414" i="5"/>
  <c r="R413" i="5"/>
  <c r="L413" i="5"/>
  <c r="R412" i="5"/>
  <c r="L412" i="5"/>
  <c r="R411" i="5"/>
  <c r="L411" i="5"/>
  <c r="R410" i="5"/>
  <c r="L410" i="5"/>
  <c r="R409" i="5"/>
  <c r="L409" i="5"/>
  <c r="R408" i="5"/>
  <c r="L408" i="5"/>
  <c r="R407" i="5"/>
  <c r="L407" i="5"/>
  <c r="R406" i="5"/>
  <c r="L406" i="5"/>
  <c r="R405" i="5"/>
  <c r="L405" i="5"/>
  <c r="R404" i="5"/>
  <c r="L404" i="5"/>
  <c r="R403" i="5"/>
  <c r="L403" i="5"/>
  <c r="R402" i="5"/>
  <c r="L402" i="5"/>
  <c r="R401" i="5"/>
  <c r="L401" i="5"/>
  <c r="R400" i="5"/>
  <c r="L400" i="5"/>
  <c r="R399" i="5"/>
  <c r="L399" i="5"/>
  <c r="R398" i="5"/>
  <c r="L398" i="5"/>
  <c r="R397" i="5"/>
  <c r="L397" i="5"/>
  <c r="R396" i="5"/>
  <c r="L396" i="5"/>
  <c r="R395" i="5"/>
  <c r="L395" i="5"/>
  <c r="R394" i="5"/>
  <c r="L394" i="5"/>
  <c r="R393" i="5"/>
  <c r="L393" i="5"/>
  <c r="R392" i="5"/>
  <c r="L392" i="5"/>
  <c r="R391" i="5"/>
  <c r="L391" i="5"/>
  <c r="R390" i="5"/>
  <c r="L390" i="5"/>
  <c r="R389" i="5"/>
  <c r="L389" i="5"/>
  <c r="R388" i="5"/>
  <c r="L388" i="5"/>
  <c r="R387" i="5"/>
  <c r="L387" i="5"/>
  <c r="R386" i="5"/>
  <c r="L386" i="5"/>
  <c r="R385" i="5"/>
  <c r="L385" i="5"/>
  <c r="R384" i="5"/>
  <c r="L384" i="5"/>
  <c r="R383" i="5"/>
  <c r="L383" i="5"/>
  <c r="R382" i="5"/>
  <c r="L382" i="5"/>
  <c r="R381" i="5"/>
  <c r="L381" i="5"/>
  <c r="R380" i="5"/>
  <c r="L380" i="5"/>
  <c r="R379" i="5"/>
  <c r="L379" i="5"/>
  <c r="R378" i="5"/>
  <c r="L378" i="5"/>
  <c r="R377" i="5"/>
  <c r="L377" i="5"/>
  <c r="R376" i="5"/>
  <c r="L376" i="5"/>
  <c r="R375" i="5"/>
  <c r="L375" i="5"/>
  <c r="R374" i="5"/>
  <c r="L374" i="5"/>
  <c r="R373" i="5"/>
  <c r="L373" i="5"/>
  <c r="R372" i="5"/>
  <c r="L372" i="5"/>
  <c r="R371" i="5"/>
  <c r="L371" i="5"/>
  <c r="R370" i="5"/>
  <c r="L370" i="5"/>
  <c r="R369" i="5"/>
  <c r="L369" i="5"/>
  <c r="R368" i="5"/>
  <c r="L368" i="5"/>
  <c r="R367" i="5"/>
  <c r="L367" i="5"/>
  <c r="R366" i="5"/>
  <c r="L366" i="5"/>
  <c r="R365" i="5"/>
  <c r="L365" i="5"/>
  <c r="R364" i="5"/>
  <c r="L364" i="5"/>
  <c r="R363" i="5"/>
  <c r="L363" i="5"/>
  <c r="R362" i="5"/>
  <c r="L362" i="5"/>
  <c r="R361" i="5"/>
  <c r="L361" i="5"/>
  <c r="R360" i="5"/>
  <c r="L360" i="5"/>
  <c r="R359" i="5"/>
  <c r="L359" i="5"/>
  <c r="R358" i="5"/>
  <c r="L358" i="5"/>
  <c r="R357" i="5"/>
  <c r="L357" i="5"/>
  <c r="R356" i="5"/>
  <c r="L356" i="5"/>
  <c r="R355" i="5"/>
  <c r="L355" i="5"/>
  <c r="R354" i="5"/>
  <c r="L354" i="5"/>
  <c r="R353" i="5"/>
  <c r="L353" i="5"/>
  <c r="R352" i="5"/>
  <c r="L352" i="5"/>
  <c r="R351" i="5"/>
  <c r="L351" i="5"/>
  <c r="R350" i="5"/>
  <c r="L350" i="5"/>
  <c r="R349" i="5"/>
  <c r="L349" i="5"/>
  <c r="R348" i="5"/>
  <c r="L348" i="5"/>
  <c r="R347" i="5"/>
  <c r="L347" i="5"/>
  <c r="R346" i="5"/>
  <c r="L346" i="5"/>
  <c r="R345" i="5"/>
  <c r="L345" i="5"/>
  <c r="R344" i="5"/>
  <c r="L344" i="5"/>
  <c r="R343" i="5"/>
  <c r="L343" i="5"/>
  <c r="R342" i="5"/>
  <c r="L342" i="5"/>
  <c r="R341" i="5"/>
  <c r="L341" i="5"/>
  <c r="R340" i="5"/>
  <c r="L340" i="5"/>
  <c r="R339" i="5"/>
  <c r="L339" i="5"/>
  <c r="R338" i="5"/>
  <c r="L338" i="5"/>
  <c r="R337" i="5"/>
  <c r="L337" i="5"/>
  <c r="R336" i="5"/>
  <c r="L336" i="5"/>
  <c r="R335" i="5"/>
  <c r="L335" i="5"/>
  <c r="R334" i="5"/>
  <c r="L334" i="5"/>
  <c r="R333" i="5"/>
  <c r="L333" i="5"/>
  <c r="R332" i="5"/>
  <c r="L332" i="5"/>
  <c r="R331" i="5"/>
  <c r="L331" i="5"/>
  <c r="R330" i="5"/>
  <c r="L330" i="5"/>
  <c r="R329" i="5"/>
  <c r="L329" i="5"/>
  <c r="R328" i="5"/>
  <c r="L328" i="5"/>
  <c r="R327" i="5"/>
  <c r="L327" i="5"/>
  <c r="R326" i="5"/>
  <c r="L326" i="5"/>
  <c r="R325" i="5"/>
  <c r="L325" i="5"/>
  <c r="R324" i="5"/>
  <c r="L324" i="5"/>
  <c r="R323" i="5"/>
  <c r="L323" i="5"/>
  <c r="R322" i="5"/>
  <c r="L322" i="5"/>
  <c r="R321" i="5"/>
  <c r="L321" i="5"/>
  <c r="R320" i="5"/>
  <c r="L320" i="5"/>
  <c r="R319" i="5"/>
  <c r="L319" i="5"/>
  <c r="R318" i="5"/>
  <c r="L318" i="5"/>
  <c r="R317" i="5"/>
  <c r="L317" i="5"/>
  <c r="R316" i="5"/>
  <c r="L316" i="5"/>
  <c r="R315" i="5"/>
  <c r="L315" i="5"/>
  <c r="R314" i="5"/>
  <c r="L314" i="5"/>
  <c r="R313" i="5"/>
  <c r="M313" i="5"/>
  <c r="L313" i="5"/>
  <c r="R312" i="5"/>
  <c r="L312" i="5"/>
  <c r="R311" i="5"/>
  <c r="L311" i="5"/>
  <c r="R310" i="5"/>
  <c r="L310" i="5"/>
  <c r="R309" i="5"/>
  <c r="L309" i="5"/>
  <c r="R308" i="5"/>
  <c r="L308" i="5"/>
  <c r="R307" i="5"/>
  <c r="L307" i="5"/>
  <c r="R306" i="5"/>
  <c r="L306" i="5"/>
  <c r="R305" i="5"/>
  <c r="L305" i="5"/>
  <c r="R304" i="5"/>
  <c r="L304" i="5"/>
  <c r="R303" i="5"/>
  <c r="L303" i="5"/>
  <c r="R302" i="5"/>
  <c r="L302" i="5"/>
  <c r="R301" i="5"/>
  <c r="L301" i="5"/>
  <c r="R300" i="5"/>
  <c r="L300" i="5"/>
  <c r="R299" i="5"/>
  <c r="L299" i="5"/>
  <c r="R298" i="5"/>
  <c r="L298" i="5"/>
  <c r="R297" i="5"/>
  <c r="L297" i="5"/>
  <c r="R296" i="5"/>
  <c r="L296" i="5"/>
  <c r="R295" i="5"/>
  <c r="L295" i="5"/>
  <c r="R294" i="5"/>
  <c r="L294" i="5"/>
  <c r="R293" i="5"/>
  <c r="L293" i="5"/>
  <c r="R292" i="5"/>
  <c r="L292" i="5"/>
  <c r="R291" i="5"/>
  <c r="L291" i="5"/>
  <c r="R290" i="5"/>
  <c r="L290" i="5"/>
  <c r="R289" i="5"/>
  <c r="L289" i="5"/>
  <c r="R288" i="5"/>
  <c r="L288" i="5"/>
  <c r="R287" i="5"/>
  <c r="L287" i="5"/>
  <c r="R286" i="5"/>
  <c r="L286" i="5"/>
  <c r="R285" i="5"/>
  <c r="L285" i="5"/>
  <c r="R284" i="5"/>
  <c r="L284" i="5"/>
  <c r="R283" i="5"/>
  <c r="L283" i="5"/>
  <c r="R282" i="5"/>
  <c r="L282" i="5"/>
  <c r="R281" i="5"/>
  <c r="L281" i="5"/>
  <c r="R280" i="5"/>
  <c r="M280" i="5"/>
  <c r="L280" i="5"/>
  <c r="R279" i="5"/>
  <c r="M279" i="5"/>
  <c r="L279" i="5"/>
  <c r="R278" i="5"/>
  <c r="M278" i="5"/>
  <c r="L278" i="5"/>
  <c r="R277" i="5"/>
  <c r="L277" i="5"/>
  <c r="R276" i="5"/>
  <c r="L276" i="5"/>
  <c r="R275" i="5"/>
  <c r="L275" i="5"/>
  <c r="R274" i="5"/>
  <c r="M274" i="5"/>
  <c r="M275" i="5" s="1"/>
  <c r="L274" i="5"/>
  <c r="R273" i="5"/>
  <c r="L273" i="5"/>
  <c r="R272" i="5"/>
  <c r="L272" i="5"/>
  <c r="R271" i="5"/>
  <c r="L271" i="5"/>
  <c r="R270" i="5"/>
  <c r="M270" i="5"/>
  <c r="L270" i="5"/>
  <c r="R269" i="5"/>
  <c r="L269" i="5"/>
  <c r="R268" i="5"/>
  <c r="L268" i="5"/>
  <c r="R267" i="5"/>
  <c r="L267" i="5"/>
  <c r="R266" i="5"/>
  <c r="L266" i="5"/>
  <c r="R265" i="5"/>
  <c r="L265" i="5"/>
  <c r="R264" i="5"/>
  <c r="M264" i="5"/>
  <c r="L264" i="5"/>
  <c r="R263" i="5"/>
  <c r="L263" i="5"/>
  <c r="R262" i="5"/>
  <c r="L262" i="5"/>
  <c r="R261" i="5"/>
  <c r="M261" i="5"/>
  <c r="M262" i="5" s="1"/>
  <c r="L261" i="5"/>
  <c r="R260" i="5"/>
  <c r="L260" i="5"/>
  <c r="R259" i="5"/>
  <c r="L259" i="5"/>
  <c r="R258" i="5"/>
  <c r="L258" i="5"/>
  <c r="R257" i="5"/>
  <c r="L257" i="5"/>
  <c r="R256" i="5"/>
  <c r="L256" i="5"/>
  <c r="R255" i="5"/>
  <c r="L255" i="5"/>
  <c r="R254" i="5"/>
  <c r="L254" i="5"/>
  <c r="R253" i="5"/>
  <c r="L253" i="5"/>
  <c r="R252" i="5"/>
  <c r="L252" i="5"/>
  <c r="R251" i="5"/>
  <c r="L251" i="5"/>
  <c r="R250" i="5"/>
  <c r="L250" i="5"/>
  <c r="R249" i="5"/>
  <c r="L249" i="5"/>
  <c r="R248" i="5"/>
  <c r="L248" i="5"/>
  <c r="R247" i="5"/>
  <c r="L247" i="5"/>
  <c r="R246" i="5"/>
  <c r="L246" i="5"/>
  <c r="R245" i="5"/>
  <c r="M245" i="5"/>
  <c r="M246" i="5" s="1"/>
  <c r="L245" i="5"/>
  <c r="R244" i="5"/>
  <c r="M244" i="5"/>
  <c r="L244" i="5"/>
  <c r="R243" i="5"/>
  <c r="M243" i="5"/>
  <c r="L243" i="5"/>
  <c r="R242" i="5"/>
  <c r="L242" i="5"/>
  <c r="R241" i="5"/>
  <c r="L241" i="5"/>
  <c r="R240" i="5"/>
  <c r="L240" i="5"/>
  <c r="R239" i="5"/>
  <c r="L239" i="5"/>
  <c r="R238" i="5"/>
  <c r="L238" i="5"/>
  <c r="R237" i="5"/>
  <c r="L237" i="5"/>
  <c r="R236" i="5"/>
  <c r="L236" i="5"/>
  <c r="R235" i="5"/>
  <c r="L235" i="5"/>
  <c r="R234" i="5"/>
  <c r="L234" i="5"/>
  <c r="R233" i="5"/>
  <c r="L233" i="5"/>
  <c r="R232" i="5"/>
  <c r="L232" i="5"/>
  <c r="R231" i="5"/>
  <c r="L231" i="5"/>
  <c r="R230" i="5"/>
  <c r="L230" i="5"/>
  <c r="R229" i="5"/>
  <c r="L229" i="5"/>
  <c r="R228" i="5"/>
  <c r="L228" i="5"/>
  <c r="R227" i="5"/>
  <c r="L227" i="5"/>
  <c r="R226" i="5"/>
  <c r="L226" i="5"/>
  <c r="R225" i="5"/>
  <c r="L225" i="5"/>
  <c r="R224" i="5"/>
  <c r="L224" i="5"/>
  <c r="R223" i="5"/>
  <c r="L223" i="5"/>
  <c r="R222" i="5"/>
  <c r="L222" i="5"/>
  <c r="R221" i="5"/>
  <c r="L221" i="5"/>
  <c r="R220" i="5"/>
  <c r="L220" i="5"/>
  <c r="R219" i="5"/>
  <c r="L219" i="5"/>
  <c r="R218" i="5"/>
  <c r="L218" i="5"/>
  <c r="R217" i="5"/>
  <c r="L217" i="5"/>
  <c r="R216" i="5"/>
  <c r="L216" i="5"/>
  <c r="R215" i="5"/>
  <c r="L215" i="5"/>
  <c r="R214" i="5"/>
  <c r="L214" i="5"/>
  <c r="R213" i="5"/>
  <c r="L213" i="5"/>
  <c r="R212" i="5"/>
  <c r="L212" i="5"/>
  <c r="R211" i="5"/>
  <c r="L211" i="5"/>
  <c r="R210" i="5"/>
  <c r="L210" i="5"/>
  <c r="R209" i="5"/>
  <c r="M209" i="5"/>
  <c r="L209" i="5"/>
  <c r="R208" i="5"/>
  <c r="L208" i="5"/>
  <c r="R207" i="5"/>
  <c r="L207" i="5"/>
  <c r="R206" i="5"/>
  <c r="L206" i="5"/>
  <c r="R205" i="5"/>
  <c r="L205" i="5"/>
  <c r="R204" i="5"/>
  <c r="L204" i="5"/>
  <c r="R203" i="5"/>
  <c r="L203" i="5"/>
  <c r="R202" i="5"/>
  <c r="L202" i="5"/>
  <c r="R201" i="5"/>
  <c r="L201" i="5"/>
  <c r="R200" i="5"/>
  <c r="L200" i="5"/>
  <c r="R199" i="5"/>
  <c r="L199" i="5"/>
  <c r="R198" i="5"/>
  <c r="L198" i="5"/>
  <c r="R197" i="5"/>
  <c r="L197" i="5"/>
  <c r="R196" i="5"/>
  <c r="L196" i="5"/>
  <c r="R195" i="5"/>
  <c r="L195" i="5"/>
  <c r="R194" i="5"/>
  <c r="L194" i="5"/>
  <c r="R193" i="5"/>
  <c r="L193" i="5"/>
  <c r="R192" i="5"/>
  <c r="L192" i="5"/>
  <c r="R191" i="5"/>
  <c r="L191" i="5"/>
  <c r="R190" i="5"/>
  <c r="L190" i="5"/>
  <c r="R189" i="5"/>
  <c r="L189" i="5"/>
  <c r="R188" i="5"/>
  <c r="L188" i="5"/>
  <c r="R187" i="5"/>
  <c r="L187" i="5"/>
  <c r="R186" i="5"/>
  <c r="L186" i="5"/>
  <c r="R185" i="5"/>
  <c r="L185" i="5"/>
  <c r="R184" i="5"/>
  <c r="L184" i="5"/>
  <c r="R183" i="5"/>
  <c r="L183" i="5"/>
  <c r="R182" i="5"/>
  <c r="L182" i="5"/>
  <c r="R181" i="5"/>
  <c r="M181" i="5"/>
  <c r="L181" i="5"/>
  <c r="R180" i="5"/>
  <c r="L180" i="5"/>
  <c r="R179" i="5"/>
  <c r="L179" i="5"/>
  <c r="R178" i="5"/>
  <c r="L178" i="5"/>
  <c r="R177" i="5"/>
  <c r="L177" i="5"/>
  <c r="R176" i="5"/>
  <c r="L176" i="5"/>
  <c r="R175" i="5"/>
  <c r="L175" i="5"/>
  <c r="R174" i="5"/>
  <c r="L174" i="5"/>
  <c r="R173" i="5"/>
  <c r="L173" i="5"/>
  <c r="R172" i="5"/>
  <c r="M172" i="5"/>
  <c r="L172" i="5"/>
  <c r="R171" i="5"/>
  <c r="L171" i="5"/>
  <c r="R170" i="5"/>
  <c r="L170" i="5"/>
  <c r="R169" i="5"/>
  <c r="L169" i="5"/>
  <c r="R168" i="5"/>
  <c r="L168" i="5"/>
  <c r="R167" i="5"/>
  <c r="L167" i="5"/>
  <c r="R166" i="5"/>
  <c r="L166" i="5"/>
  <c r="R165" i="5"/>
  <c r="L165" i="5"/>
  <c r="R164" i="5"/>
  <c r="L164" i="5"/>
  <c r="R163" i="5"/>
  <c r="L163" i="5"/>
  <c r="R162" i="5"/>
  <c r="L162" i="5"/>
  <c r="R161" i="5"/>
  <c r="L161" i="5"/>
  <c r="R160" i="5"/>
  <c r="L160" i="5"/>
  <c r="R159" i="5"/>
  <c r="L159" i="5"/>
  <c r="R158" i="5"/>
  <c r="L158" i="5"/>
  <c r="R157" i="5"/>
  <c r="L157" i="5"/>
  <c r="R156" i="5"/>
  <c r="L156" i="5"/>
  <c r="R155" i="5"/>
  <c r="L155" i="5"/>
  <c r="R154" i="5"/>
  <c r="L154" i="5"/>
  <c r="R153" i="5"/>
  <c r="L153" i="5"/>
  <c r="R152" i="5"/>
  <c r="L152" i="5"/>
  <c r="R151" i="5"/>
  <c r="L151" i="5"/>
  <c r="R150" i="5"/>
  <c r="L150" i="5"/>
  <c r="R149" i="5"/>
  <c r="L149" i="5"/>
  <c r="R148" i="5"/>
  <c r="L148" i="5"/>
  <c r="R147" i="5"/>
  <c r="L147" i="5"/>
  <c r="R146" i="5"/>
  <c r="L146" i="5"/>
  <c r="R145" i="5"/>
  <c r="L145" i="5"/>
  <c r="R144" i="5"/>
  <c r="M144" i="5"/>
  <c r="L144" i="5"/>
  <c r="R143" i="5"/>
  <c r="L143" i="5"/>
  <c r="R142" i="5"/>
  <c r="L142" i="5"/>
  <c r="R141" i="5"/>
  <c r="L141" i="5"/>
  <c r="R140" i="5"/>
  <c r="L140" i="5"/>
  <c r="R139" i="5"/>
  <c r="L139" i="5"/>
  <c r="R138" i="5"/>
  <c r="L138" i="5"/>
  <c r="R137" i="5"/>
  <c r="L137" i="5"/>
  <c r="R136" i="5"/>
  <c r="L136" i="5"/>
  <c r="R135" i="5"/>
  <c r="L135" i="5"/>
  <c r="R134" i="5"/>
  <c r="L134" i="5"/>
  <c r="R133" i="5"/>
  <c r="L133" i="5"/>
  <c r="R132" i="5"/>
  <c r="L132" i="5"/>
  <c r="R131" i="5"/>
  <c r="L131" i="5"/>
  <c r="R130" i="5"/>
  <c r="L130" i="5"/>
  <c r="R129" i="5"/>
  <c r="M129" i="5"/>
  <c r="M130" i="5" s="1"/>
  <c r="L129" i="5"/>
  <c r="R128" i="5"/>
  <c r="M128" i="5"/>
  <c r="L128" i="5"/>
  <c r="R127" i="5"/>
  <c r="L127" i="5"/>
  <c r="R126" i="5"/>
  <c r="L126" i="5"/>
  <c r="R125" i="5"/>
  <c r="L125" i="5"/>
  <c r="R124" i="5"/>
  <c r="L124" i="5"/>
  <c r="R123" i="5"/>
  <c r="L123" i="5"/>
  <c r="R122" i="5"/>
  <c r="L122" i="5"/>
  <c r="R121" i="5"/>
  <c r="L121" i="5"/>
  <c r="R120" i="5"/>
  <c r="L120" i="5"/>
  <c r="R119" i="5"/>
  <c r="L119" i="5"/>
  <c r="R118" i="5"/>
  <c r="L118" i="5"/>
  <c r="R117" i="5"/>
  <c r="L117" i="5"/>
  <c r="R116" i="5"/>
  <c r="L116" i="5"/>
  <c r="R115" i="5"/>
  <c r="L115" i="5"/>
  <c r="R114" i="5"/>
  <c r="L114" i="5"/>
  <c r="R113" i="5"/>
  <c r="M113" i="5"/>
  <c r="L113" i="5"/>
  <c r="R112" i="5"/>
  <c r="L112" i="5"/>
  <c r="R111" i="5"/>
  <c r="M111" i="5"/>
  <c r="L111" i="5"/>
  <c r="R110" i="5"/>
  <c r="L110" i="5"/>
  <c r="R109" i="5"/>
  <c r="L109" i="5"/>
  <c r="R108" i="5"/>
  <c r="M108" i="5"/>
  <c r="L108" i="5"/>
  <c r="R107" i="5"/>
  <c r="M107" i="5"/>
  <c r="L107" i="5"/>
  <c r="R106" i="5"/>
  <c r="M106" i="5"/>
  <c r="L106" i="5"/>
  <c r="R105" i="5"/>
  <c r="L105" i="5"/>
  <c r="R104" i="5"/>
  <c r="L104" i="5"/>
  <c r="R103" i="5"/>
  <c r="L103" i="5"/>
  <c r="R102" i="5"/>
  <c r="L102" i="5"/>
  <c r="R101" i="5"/>
  <c r="L101" i="5"/>
  <c r="R100" i="5"/>
  <c r="L100" i="5"/>
  <c r="R99" i="5"/>
  <c r="L99" i="5"/>
  <c r="R98" i="5"/>
  <c r="P98" i="5"/>
  <c r="L98" i="5"/>
  <c r="R97" i="5"/>
  <c r="L97" i="5"/>
  <c r="R96" i="5"/>
  <c r="L96" i="5"/>
  <c r="R95" i="5"/>
  <c r="L95" i="5"/>
  <c r="R94" i="5"/>
  <c r="L94" i="5"/>
  <c r="R93" i="5"/>
  <c r="L93" i="5"/>
  <c r="R92" i="5"/>
  <c r="L92" i="5"/>
  <c r="R91" i="5"/>
  <c r="L91" i="5"/>
  <c r="R90" i="5"/>
  <c r="L90" i="5"/>
  <c r="R89" i="5"/>
  <c r="P89" i="5"/>
  <c r="L89" i="5"/>
  <c r="R88" i="5"/>
  <c r="L88" i="5"/>
  <c r="R87" i="5"/>
  <c r="L87" i="5"/>
  <c r="R86" i="5"/>
  <c r="L86" i="5"/>
  <c r="R85" i="5"/>
  <c r="L85" i="5"/>
  <c r="R84" i="5"/>
  <c r="L84" i="5"/>
  <c r="R83" i="5"/>
  <c r="L83" i="5"/>
  <c r="R82" i="5"/>
  <c r="L82" i="5"/>
  <c r="R81" i="5"/>
  <c r="L81" i="5"/>
  <c r="R80" i="5"/>
  <c r="P80" i="5"/>
  <c r="L80" i="5"/>
  <c r="R79" i="5"/>
  <c r="L79" i="5"/>
  <c r="R78" i="5"/>
  <c r="L78" i="5"/>
  <c r="R77" i="5"/>
  <c r="L77" i="5"/>
  <c r="R76" i="5"/>
  <c r="L76" i="5"/>
  <c r="R75" i="5"/>
  <c r="L75" i="5"/>
  <c r="R74" i="5"/>
  <c r="L74" i="5"/>
  <c r="R73" i="5"/>
  <c r="L73" i="5"/>
  <c r="R72" i="5"/>
  <c r="M72" i="5"/>
  <c r="L72" i="5"/>
  <c r="R71" i="5"/>
  <c r="L71" i="5"/>
  <c r="R70" i="5"/>
  <c r="L70" i="5"/>
  <c r="R69" i="5"/>
  <c r="L69" i="5"/>
  <c r="R68" i="5"/>
  <c r="M68" i="5"/>
  <c r="L68" i="5"/>
  <c r="R67" i="5"/>
  <c r="L67" i="5"/>
  <c r="R66" i="5"/>
  <c r="L66" i="5"/>
  <c r="R65" i="5"/>
  <c r="L65" i="5"/>
  <c r="R64" i="5"/>
  <c r="L64" i="5"/>
  <c r="R63" i="5"/>
  <c r="L63" i="5"/>
  <c r="R62" i="5"/>
  <c r="M62" i="5"/>
  <c r="L62" i="5"/>
  <c r="R61" i="5"/>
  <c r="L61" i="5"/>
  <c r="R60" i="5"/>
  <c r="L60" i="5"/>
  <c r="R59" i="5"/>
  <c r="M59" i="5"/>
  <c r="L59" i="5"/>
  <c r="R58" i="5"/>
  <c r="L58" i="5"/>
  <c r="R57" i="5"/>
  <c r="P57" i="5"/>
  <c r="P58" i="5" s="1"/>
  <c r="L57" i="5"/>
  <c r="R56" i="5"/>
  <c r="P56" i="5"/>
  <c r="L56" i="5"/>
  <c r="R55" i="5"/>
  <c r="L55" i="5"/>
  <c r="R54" i="5"/>
  <c r="L54" i="5"/>
  <c r="R53" i="5"/>
  <c r="L53" i="5"/>
  <c r="R52" i="5"/>
  <c r="L52" i="5"/>
  <c r="R51" i="5"/>
  <c r="P51" i="5"/>
  <c r="P52" i="5" s="1"/>
  <c r="P53" i="5" s="1"/>
  <c r="P54" i="5" s="1"/>
  <c r="M51" i="5"/>
  <c r="M52" i="5" s="1"/>
  <c r="M53" i="5" s="1"/>
  <c r="M54" i="5" s="1"/>
  <c r="M55" i="5" s="1"/>
  <c r="M56" i="5" s="1"/>
  <c r="L51" i="5"/>
  <c r="R50" i="5"/>
  <c r="L50" i="5"/>
  <c r="R49" i="5"/>
  <c r="P49" i="5"/>
  <c r="M49" i="5"/>
  <c r="L49" i="5"/>
  <c r="R48" i="5"/>
  <c r="L48" i="5"/>
  <c r="R47" i="5"/>
  <c r="L47" i="5"/>
  <c r="R46" i="5"/>
  <c r="P46" i="5"/>
  <c r="L46" i="5"/>
  <c r="R45" i="5"/>
  <c r="L45" i="5"/>
  <c r="R44" i="5"/>
  <c r="L44" i="5"/>
  <c r="R43" i="5"/>
  <c r="P43" i="5"/>
  <c r="M43" i="5"/>
  <c r="L43" i="5"/>
  <c r="R42" i="5"/>
  <c r="L42" i="5"/>
  <c r="R41" i="5"/>
  <c r="M41" i="5"/>
  <c r="L41" i="5"/>
  <c r="R40" i="5"/>
  <c r="P40" i="5"/>
  <c r="L40" i="5"/>
  <c r="R39" i="5"/>
  <c r="L39" i="5"/>
  <c r="R38" i="5"/>
  <c r="L38" i="5"/>
  <c r="R37" i="5"/>
  <c r="L37" i="5"/>
  <c r="R36" i="5"/>
  <c r="L36" i="5"/>
  <c r="R35" i="5"/>
  <c r="M35" i="5"/>
  <c r="M36" i="5" s="1"/>
  <c r="L35" i="5"/>
  <c r="R34" i="5"/>
  <c r="L34" i="5"/>
  <c r="R33" i="5"/>
  <c r="L33" i="5"/>
  <c r="R32" i="5"/>
  <c r="L32" i="5"/>
  <c r="R31" i="5"/>
  <c r="L31" i="5"/>
  <c r="R30" i="5"/>
  <c r="L30" i="5"/>
  <c r="R29" i="5"/>
  <c r="L29" i="5"/>
  <c r="R28" i="5"/>
  <c r="M28" i="5"/>
  <c r="M29" i="5" s="1"/>
  <c r="L28" i="5"/>
  <c r="R27" i="5"/>
  <c r="L27" i="5"/>
  <c r="R26" i="5"/>
  <c r="L26" i="5"/>
  <c r="R25" i="5"/>
  <c r="L25" i="5"/>
  <c r="R24" i="5"/>
  <c r="L24" i="5"/>
  <c r="R23" i="5"/>
  <c r="M23" i="5"/>
  <c r="M24" i="5" s="1"/>
  <c r="L23" i="5"/>
  <c r="R22" i="5"/>
  <c r="L22" i="5"/>
  <c r="R21" i="5"/>
  <c r="L21" i="5"/>
  <c r="R20" i="5"/>
  <c r="L20" i="5"/>
  <c r="R19" i="5"/>
  <c r="L19" i="5"/>
  <c r="R18" i="5"/>
  <c r="M18" i="5"/>
  <c r="M19" i="5" s="1"/>
  <c r="M20" i="5" s="1"/>
  <c r="L18" i="5"/>
  <c r="R17" i="5"/>
  <c r="L17" i="5"/>
  <c r="R16" i="5"/>
  <c r="L16" i="5"/>
  <c r="R15" i="5"/>
  <c r="M15" i="5"/>
  <c r="L15" i="5"/>
  <c r="R14" i="5"/>
  <c r="P14" i="5"/>
  <c r="M14" i="5"/>
  <c r="L14" i="5"/>
  <c r="R13" i="5"/>
  <c r="M13" i="5"/>
  <c r="L13" i="5"/>
  <c r="R12" i="5"/>
  <c r="L12" i="5"/>
  <c r="R11" i="5"/>
  <c r="L11" i="5"/>
  <c r="R10" i="5"/>
  <c r="M10" i="5"/>
  <c r="M11" i="5" s="1"/>
  <c r="L10" i="5"/>
  <c r="R9" i="5"/>
  <c r="M9" i="5"/>
  <c r="L9" i="5"/>
  <c r="R8" i="5"/>
  <c r="L8" i="5"/>
  <c r="R7" i="5"/>
  <c r="L7" i="5"/>
  <c r="R6" i="5"/>
  <c r="P6" i="5"/>
  <c r="L6" i="5"/>
  <c r="R5" i="5"/>
  <c r="L5" i="5"/>
  <c r="R4" i="5"/>
  <c r="M4" i="5"/>
  <c r="M5" i="5" s="1"/>
  <c r="M6" i="5" s="1"/>
  <c r="L4" i="5"/>
  <c r="R3" i="5"/>
  <c r="L3" i="5"/>
  <c r="R2" i="5"/>
  <c r="L2" i="5"/>
  <c r="O1414" i="3"/>
  <c r="O1413" i="3"/>
  <c r="O1412" i="3"/>
  <c r="O1411" i="3"/>
  <c r="O1410" i="3"/>
  <c r="O1409" i="3"/>
  <c r="O1408" i="3"/>
  <c r="O1407" i="3"/>
  <c r="O1406" i="3"/>
  <c r="O1405" i="3"/>
  <c r="O1404" i="3"/>
  <c r="O1403" i="3"/>
  <c r="O1402" i="3"/>
  <c r="O1401" i="3"/>
  <c r="O1400" i="3"/>
  <c r="O1399" i="3"/>
  <c r="O1398" i="3"/>
  <c r="O1397" i="3"/>
  <c r="O1396" i="3"/>
  <c r="O1395" i="3"/>
  <c r="J1395" i="3"/>
  <c r="O1394" i="3"/>
  <c r="O1393" i="3"/>
  <c r="O1392" i="3"/>
  <c r="O1391" i="3"/>
  <c r="O1390" i="3"/>
  <c r="O1389" i="3"/>
  <c r="O1388" i="3"/>
  <c r="O1387" i="3"/>
  <c r="O1386" i="3"/>
  <c r="O1385" i="3"/>
  <c r="O1384" i="3"/>
  <c r="O1383" i="3"/>
  <c r="O1382" i="3"/>
  <c r="O1381" i="3"/>
  <c r="O1380" i="3"/>
  <c r="O1379" i="3"/>
  <c r="O1378" i="3"/>
  <c r="O1377" i="3"/>
  <c r="O1376" i="3"/>
  <c r="O1375" i="3"/>
  <c r="O1374" i="3"/>
  <c r="O1373" i="3"/>
  <c r="O1372" i="3"/>
  <c r="O1371" i="3"/>
  <c r="O1370" i="3"/>
  <c r="O1369" i="3"/>
  <c r="O1368" i="3"/>
  <c r="O1367" i="3"/>
  <c r="O1366" i="3"/>
  <c r="O1365" i="3"/>
  <c r="O1364" i="3"/>
  <c r="O1363" i="3"/>
  <c r="O1362" i="3"/>
  <c r="O1361" i="3"/>
  <c r="O1360" i="3"/>
  <c r="O1359" i="3"/>
  <c r="O1358" i="3"/>
  <c r="O1357" i="3"/>
  <c r="O1356" i="3"/>
  <c r="O1355" i="3"/>
  <c r="O1354" i="3"/>
  <c r="O1353" i="3"/>
  <c r="O1352" i="3"/>
  <c r="O1351" i="3"/>
  <c r="O1350" i="3"/>
  <c r="O1349" i="3"/>
  <c r="O1348" i="3"/>
  <c r="O1347" i="3"/>
  <c r="O1346" i="3"/>
  <c r="O1345" i="3"/>
  <c r="O1344" i="3"/>
  <c r="O1343" i="3"/>
  <c r="O1342" i="3"/>
  <c r="O1341" i="3"/>
  <c r="O1340" i="3"/>
  <c r="O1339" i="3"/>
  <c r="O1338" i="3"/>
  <c r="O1337" i="3"/>
  <c r="O1336" i="3"/>
  <c r="O1335" i="3"/>
  <c r="O1334" i="3"/>
  <c r="O1333" i="3"/>
  <c r="O1332" i="3"/>
  <c r="O1331" i="3"/>
  <c r="O1330" i="3"/>
  <c r="O1329" i="3"/>
  <c r="O1328" i="3"/>
  <c r="O1327" i="3"/>
  <c r="O1326" i="3"/>
  <c r="O1325" i="3"/>
  <c r="O1324" i="3"/>
  <c r="O1323" i="3"/>
  <c r="O1322" i="3"/>
  <c r="O1321" i="3"/>
  <c r="O1320" i="3"/>
  <c r="O1319" i="3"/>
  <c r="O1318" i="3"/>
  <c r="O1317" i="3"/>
  <c r="O1316" i="3"/>
  <c r="O1315" i="3"/>
  <c r="O1314" i="3"/>
  <c r="O1313" i="3"/>
  <c r="O1312" i="3"/>
  <c r="O1311" i="3"/>
  <c r="O1310" i="3"/>
  <c r="O1309" i="3"/>
  <c r="O1308" i="3"/>
  <c r="O1307" i="3"/>
  <c r="O1306" i="3"/>
  <c r="O1305" i="3"/>
  <c r="O1304" i="3"/>
  <c r="O1303" i="3"/>
  <c r="O1302" i="3"/>
  <c r="O1301" i="3"/>
  <c r="O1300" i="3"/>
  <c r="O1299" i="3"/>
  <c r="O1298" i="3"/>
  <c r="O1297" i="3"/>
  <c r="O1296" i="3"/>
  <c r="O1295" i="3"/>
  <c r="O1294" i="3"/>
  <c r="O1293" i="3"/>
  <c r="O1292" i="3"/>
  <c r="O1291" i="3"/>
  <c r="O1290" i="3"/>
  <c r="O1289" i="3"/>
  <c r="O1288" i="3"/>
  <c r="O1287" i="3"/>
  <c r="O1286" i="3"/>
  <c r="O1285" i="3"/>
  <c r="O1284" i="3"/>
  <c r="O1283" i="3"/>
  <c r="O1282" i="3"/>
  <c r="O1281" i="3"/>
  <c r="O1280" i="3"/>
  <c r="O1279" i="3"/>
  <c r="O1278" i="3"/>
  <c r="O1277" i="3"/>
  <c r="O1276" i="3"/>
  <c r="O1275" i="3"/>
  <c r="O1274" i="3"/>
  <c r="O1273" i="3"/>
  <c r="O1272" i="3"/>
  <c r="O1271" i="3"/>
  <c r="O1270" i="3"/>
  <c r="O1269" i="3"/>
  <c r="O1268" i="3"/>
  <c r="O1267" i="3"/>
  <c r="O1266" i="3"/>
  <c r="O1265" i="3"/>
  <c r="O1264" i="3"/>
  <c r="O1263" i="3"/>
  <c r="O1262" i="3"/>
  <c r="O1261" i="3"/>
  <c r="O1260" i="3"/>
  <c r="O1259" i="3"/>
  <c r="O1258" i="3"/>
  <c r="O1257" i="3"/>
  <c r="O1256" i="3"/>
  <c r="O1255" i="3"/>
  <c r="O1254" i="3"/>
  <c r="O1253" i="3"/>
  <c r="O1252" i="3"/>
  <c r="O1251" i="3"/>
  <c r="O1250" i="3"/>
  <c r="O1249" i="3"/>
  <c r="O1248" i="3"/>
  <c r="O1247" i="3"/>
  <c r="O1246" i="3"/>
  <c r="O1245" i="3"/>
  <c r="O1244" i="3"/>
  <c r="O1243" i="3"/>
  <c r="O1242" i="3"/>
  <c r="O1241" i="3"/>
  <c r="O1240" i="3"/>
  <c r="O1239" i="3"/>
  <c r="O1238" i="3"/>
  <c r="O1237" i="3"/>
  <c r="O1236" i="3"/>
  <c r="O1235" i="3"/>
  <c r="O1234" i="3"/>
  <c r="O1233" i="3"/>
  <c r="O1232" i="3"/>
  <c r="O1231" i="3"/>
  <c r="O1230" i="3"/>
  <c r="O1229" i="3"/>
  <c r="O1228" i="3"/>
  <c r="O1227" i="3"/>
  <c r="O1226" i="3"/>
  <c r="O1225" i="3"/>
  <c r="O1224" i="3"/>
  <c r="O1223" i="3"/>
  <c r="O1222" i="3"/>
  <c r="O1221" i="3"/>
  <c r="O1220" i="3"/>
  <c r="O1219" i="3"/>
  <c r="O1218" i="3"/>
  <c r="O1217" i="3"/>
  <c r="O1216" i="3"/>
  <c r="O1215" i="3"/>
  <c r="O1214" i="3"/>
  <c r="O1213" i="3"/>
  <c r="O1212" i="3"/>
  <c r="O1211" i="3"/>
  <c r="O1210" i="3"/>
  <c r="O1209" i="3"/>
  <c r="O1208" i="3"/>
  <c r="O1207" i="3"/>
  <c r="O1206" i="3"/>
  <c r="O1205" i="3"/>
  <c r="O1204" i="3"/>
  <c r="O1203" i="3"/>
  <c r="O1202" i="3"/>
  <c r="O1201" i="3"/>
  <c r="O1200" i="3"/>
  <c r="O1199" i="3"/>
  <c r="O1198" i="3"/>
  <c r="O1197" i="3"/>
  <c r="O1196" i="3"/>
  <c r="O1195" i="3"/>
  <c r="O1194" i="3"/>
  <c r="O1193" i="3"/>
  <c r="O1192" i="3"/>
  <c r="O1191" i="3"/>
  <c r="O1190" i="3"/>
  <c r="O1189" i="3"/>
  <c r="O1188" i="3"/>
  <c r="O1187" i="3"/>
  <c r="O1186" i="3"/>
  <c r="O1185" i="3"/>
  <c r="O1184" i="3"/>
  <c r="O1183" i="3"/>
  <c r="O1182" i="3"/>
  <c r="O1181" i="3"/>
  <c r="O1180" i="3"/>
  <c r="O1179" i="3"/>
  <c r="O1178" i="3"/>
  <c r="O1177" i="3"/>
  <c r="O1176" i="3"/>
  <c r="O1175" i="3"/>
  <c r="O1174" i="3"/>
  <c r="O1173" i="3"/>
  <c r="O1172" i="3"/>
  <c r="O1171" i="3"/>
  <c r="O1170" i="3"/>
  <c r="O1169" i="3"/>
  <c r="O1168" i="3"/>
  <c r="O1167" i="3"/>
  <c r="O1166" i="3"/>
  <c r="O1165" i="3"/>
  <c r="O1164" i="3"/>
  <c r="O1163" i="3"/>
  <c r="O1162" i="3"/>
  <c r="O1161" i="3"/>
  <c r="O1160" i="3"/>
  <c r="O1159" i="3"/>
  <c r="O1158" i="3"/>
  <c r="O1157" i="3"/>
  <c r="O1156" i="3"/>
  <c r="O1155" i="3"/>
  <c r="O1154" i="3"/>
  <c r="O1153" i="3"/>
  <c r="O1152" i="3"/>
  <c r="O1151" i="3"/>
  <c r="O1150" i="3"/>
  <c r="O1149" i="3"/>
  <c r="O1148" i="3"/>
  <c r="O1147" i="3"/>
  <c r="O1146" i="3"/>
  <c r="O1145" i="3"/>
  <c r="O1144" i="3"/>
  <c r="O1143" i="3"/>
  <c r="O1142" i="3"/>
  <c r="O1141" i="3"/>
  <c r="O1140" i="3"/>
  <c r="O1139" i="3"/>
  <c r="O1138" i="3"/>
  <c r="O1137" i="3"/>
  <c r="O1136" i="3"/>
  <c r="O1135" i="3"/>
  <c r="O1134" i="3"/>
  <c r="O1133" i="3"/>
  <c r="O1132" i="3"/>
  <c r="O1131" i="3"/>
  <c r="O1130" i="3"/>
  <c r="O1129" i="3"/>
  <c r="O1128" i="3"/>
  <c r="O1127" i="3"/>
  <c r="O1126" i="3"/>
  <c r="O1125" i="3"/>
  <c r="O1124" i="3"/>
  <c r="O1123" i="3"/>
  <c r="O1122" i="3"/>
  <c r="O1121" i="3"/>
  <c r="O1120" i="3"/>
  <c r="O1119" i="3"/>
  <c r="O1118" i="3"/>
  <c r="O1117" i="3"/>
  <c r="O1116" i="3"/>
  <c r="O1115" i="3"/>
  <c r="O1114" i="3"/>
  <c r="O1113" i="3"/>
  <c r="O1112" i="3"/>
  <c r="O1111" i="3"/>
  <c r="O1110" i="3"/>
  <c r="O1109" i="3"/>
  <c r="O1108" i="3"/>
  <c r="O1107" i="3"/>
  <c r="O1106" i="3"/>
  <c r="O1105" i="3"/>
  <c r="O1104" i="3"/>
  <c r="O1103" i="3"/>
  <c r="O1102" i="3"/>
  <c r="O1101" i="3"/>
  <c r="O1100" i="3"/>
  <c r="O1099" i="3"/>
  <c r="O1098" i="3"/>
  <c r="O1097" i="3"/>
  <c r="O1096" i="3"/>
  <c r="O1095" i="3"/>
  <c r="O1094" i="3"/>
  <c r="O1093" i="3"/>
  <c r="O1092" i="3"/>
  <c r="O1091" i="3"/>
  <c r="O1090" i="3"/>
  <c r="O1089" i="3"/>
  <c r="O1088" i="3"/>
  <c r="O1087" i="3"/>
  <c r="O1086" i="3"/>
  <c r="O1085" i="3"/>
  <c r="O1084" i="3"/>
  <c r="O1083" i="3"/>
  <c r="O1082" i="3"/>
  <c r="O1081" i="3"/>
  <c r="O1080" i="3"/>
  <c r="O1079" i="3"/>
  <c r="O1078" i="3"/>
  <c r="O1077" i="3"/>
  <c r="O1076" i="3"/>
  <c r="O1075" i="3"/>
  <c r="O1074" i="3"/>
  <c r="O1073" i="3"/>
  <c r="O1072" i="3"/>
  <c r="O1071" i="3"/>
  <c r="O1070" i="3"/>
  <c r="O1069" i="3"/>
  <c r="O1068" i="3"/>
  <c r="O1067" i="3"/>
  <c r="O1066" i="3"/>
  <c r="O1065" i="3"/>
  <c r="O1064" i="3"/>
  <c r="O1063" i="3"/>
  <c r="O1062" i="3"/>
  <c r="O1061" i="3"/>
  <c r="O1060" i="3"/>
  <c r="O1059" i="3"/>
  <c r="O1058" i="3"/>
  <c r="O1057" i="3"/>
  <c r="O1056" i="3"/>
  <c r="O1055" i="3"/>
  <c r="O1054" i="3"/>
  <c r="O1053" i="3"/>
  <c r="O1052" i="3"/>
  <c r="O1051" i="3"/>
  <c r="O1050" i="3"/>
  <c r="O1049" i="3"/>
  <c r="O1048" i="3"/>
  <c r="O1047" i="3"/>
  <c r="O1046" i="3"/>
  <c r="O1045" i="3"/>
  <c r="O1044" i="3"/>
  <c r="O1043" i="3"/>
  <c r="O1042" i="3"/>
  <c r="O1041" i="3"/>
  <c r="O1040" i="3"/>
  <c r="O1039" i="3"/>
  <c r="O1038" i="3"/>
  <c r="O1037" i="3"/>
  <c r="O1036" i="3"/>
  <c r="O1035" i="3"/>
  <c r="O1034" i="3"/>
  <c r="O1033" i="3"/>
  <c r="O1032" i="3"/>
  <c r="O1031" i="3"/>
  <c r="O1030" i="3"/>
  <c r="O1029" i="3"/>
  <c r="O1028" i="3"/>
  <c r="O1027" i="3"/>
  <c r="O1026" i="3"/>
  <c r="O1025" i="3"/>
  <c r="O1024" i="3"/>
  <c r="O1023" i="3"/>
  <c r="O1022" i="3"/>
  <c r="O1021" i="3"/>
  <c r="O1020" i="3"/>
  <c r="O1019" i="3"/>
  <c r="O1018" i="3"/>
  <c r="O1017" i="3"/>
  <c r="O1016" i="3"/>
  <c r="O1015" i="3"/>
  <c r="O1014" i="3"/>
  <c r="O1013" i="3"/>
  <c r="O1012" i="3"/>
  <c r="O1011" i="3"/>
  <c r="O1010" i="3"/>
  <c r="O1009" i="3"/>
  <c r="O1008" i="3"/>
  <c r="O1007" i="3"/>
  <c r="O1006" i="3"/>
  <c r="O1005" i="3"/>
  <c r="O1004" i="3"/>
  <c r="O1003" i="3"/>
  <c r="O1002" i="3"/>
  <c r="O1001" i="3"/>
  <c r="O1000" i="3"/>
  <c r="O999" i="3"/>
  <c r="O998" i="3"/>
  <c r="O997" i="3"/>
  <c r="O996" i="3"/>
  <c r="O995" i="3"/>
  <c r="O994" i="3"/>
  <c r="O993" i="3"/>
  <c r="O992" i="3"/>
  <c r="O991" i="3"/>
  <c r="O990" i="3"/>
  <c r="O989" i="3"/>
  <c r="O988" i="3"/>
  <c r="O987" i="3"/>
  <c r="O986" i="3"/>
  <c r="O985" i="3"/>
  <c r="O984" i="3"/>
  <c r="O983" i="3"/>
  <c r="O982" i="3"/>
  <c r="O981" i="3"/>
  <c r="O980" i="3"/>
  <c r="O979" i="3"/>
  <c r="O978" i="3"/>
  <c r="O977" i="3"/>
  <c r="O976" i="3"/>
  <c r="O975" i="3"/>
  <c r="O974" i="3"/>
  <c r="O973" i="3"/>
  <c r="O972" i="3"/>
  <c r="O971" i="3"/>
  <c r="O970" i="3"/>
  <c r="O969" i="3"/>
  <c r="O968" i="3"/>
  <c r="O967" i="3"/>
  <c r="O966" i="3"/>
  <c r="O965" i="3"/>
  <c r="O964" i="3"/>
  <c r="O963" i="3"/>
  <c r="O962" i="3"/>
  <c r="O961" i="3"/>
  <c r="O960" i="3"/>
  <c r="O959" i="3"/>
  <c r="O958" i="3"/>
  <c r="O957" i="3"/>
  <c r="O956" i="3"/>
  <c r="O955" i="3"/>
  <c r="O954" i="3"/>
  <c r="O953" i="3"/>
  <c r="O952" i="3"/>
  <c r="O951" i="3"/>
  <c r="O950" i="3"/>
  <c r="O949" i="3"/>
  <c r="O948" i="3"/>
  <c r="O947" i="3"/>
  <c r="O946" i="3"/>
  <c r="O945" i="3"/>
  <c r="O944" i="3"/>
  <c r="O943" i="3"/>
  <c r="O942" i="3"/>
  <c r="O941" i="3"/>
  <c r="O940" i="3"/>
  <c r="O939" i="3"/>
  <c r="O938" i="3"/>
  <c r="O937" i="3"/>
  <c r="O936" i="3"/>
  <c r="O935" i="3"/>
  <c r="O934" i="3"/>
  <c r="O933" i="3"/>
  <c r="O932" i="3"/>
  <c r="O931" i="3"/>
  <c r="O930" i="3"/>
  <c r="O929" i="3"/>
  <c r="O928" i="3"/>
  <c r="O927" i="3"/>
  <c r="O926" i="3"/>
  <c r="O925" i="3"/>
  <c r="O924" i="3"/>
  <c r="O923" i="3"/>
  <c r="O922" i="3"/>
  <c r="O921" i="3"/>
  <c r="O920" i="3"/>
  <c r="O919" i="3"/>
  <c r="O918" i="3"/>
  <c r="O917" i="3"/>
  <c r="O916" i="3"/>
  <c r="O915" i="3"/>
  <c r="O914" i="3"/>
  <c r="O913" i="3"/>
  <c r="O912" i="3"/>
  <c r="O911" i="3"/>
  <c r="O910" i="3"/>
  <c r="O909" i="3"/>
  <c r="O908" i="3"/>
  <c r="O907" i="3"/>
  <c r="O906" i="3"/>
  <c r="O905" i="3"/>
  <c r="O904" i="3"/>
  <c r="O903" i="3"/>
  <c r="O902" i="3"/>
  <c r="O901" i="3"/>
  <c r="O900" i="3"/>
  <c r="O899" i="3"/>
  <c r="O898" i="3"/>
  <c r="O897" i="3"/>
  <c r="O896" i="3"/>
  <c r="O895" i="3"/>
  <c r="O894" i="3"/>
  <c r="O893" i="3"/>
  <c r="O892" i="3"/>
  <c r="O891" i="3"/>
  <c r="O890" i="3"/>
  <c r="O889" i="3"/>
  <c r="O888" i="3"/>
  <c r="O887" i="3"/>
  <c r="O886" i="3"/>
  <c r="O885" i="3"/>
  <c r="O884" i="3"/>
  <c r="O883" i="3"/>
  <c r="O882" i="3"/>
  <c r="O881" i="3"/>
  <c r="O880" i="3"/>
  <c r="O879" i="3"/>
  <c r="O878" i="3"/>
  <c r="O877" i="3"/>
  <c r="O876" i="3"/>
  <c r="O875" i="3"/>
  <c r="O874" i="3"/>
  <c r="O873" i="3"/>
  <c r="O872" i="3"/>
  <c r="O871" i="3"/>
  <c r="O870" i="3"/>
  <c r="O869" i="3"/>
  <c r="O868" i="3"/>
  <c r="O867" i="3"/>
  <c r="O866" i="3"/>
  <c r="O865" i="3"/>
  <c r="O864" i="3"/>
  <c r="O863" i="3"/>
  <c r="O862" i="3"/>
  <c r="O861" i="3"/>
  <c r="O860" i="3"/>
  <c r="O859" i="3"/>
  <c r="O858" i="3"/>
  <c r="O857" i="3"/>
  <c r="O856" i="3"/>
  <c r="O855" i="3"/>
  <c r="O854" i="3"/>
  <c r="O853" i="3"/>
  <c r="O852" i="3"/>
  <c r="O851" i="3"/>
  <c r="O850" i="3"/>
  <c r="O849" i="3"/>
  <c r="O848" i="3"/>
  <c r="O847" i="3"/>
  <c r="O846" i="3"/>
  <c r="O845" i="3"/>
  <c r="O844" i="3"/>
  <c r="O843" i="3"/>
  <c r="O842" i="3"/>
  <c r="O841" i="3"/>
  <c r="O840" i="3"/>
  <c r="O839" i="3"/>
  <c r="O838" i="3"/>
  <c r="O837" i="3"/>
  <c r="O836" i="3"/>
  <c r="O835" i="3"/>
  <c r="O834" i="3"/>
  <c r="O833" i="3"/>
  <c r="O832" i="3"/>
  <c r="O831" i="3"/>
  <c r="O830" i="3"/>
  <c r="O829" i="3"/>
  <c r="O828" i="3"/>
  <c r="O827" i="3"/>
  <c r="O826" i="3"/>
  <c r="O825" i="3"/>
  <c r="O824" i="3"/>
  <c r="O823" i="3"/>
  <c r="O822" i="3"/>
  <c r="O821" i="3"/>
  <c r="O820" i="3"/>
  <c r="O819" i="3"/>
  <c r="O818" i="3"/>
  <c r="O817" i="3"/>
  <c r="O816" i="3"/>
  <c r="O815" i="3"/>
  <c r="O814" i="3"/>
  <c r="O813" i="3"/>
  <c r="O812" i="3"/>
  <c r="O811" i="3"/>
  <c r="O810" i="3"/>
  <c r="O809" i="3"/>
  <c r="O808" i="3"/>
  <c r="O807" i="3"/>
  <c r="O806" i="3"/>
  <c r="O805" i="3"/>
  <c r="O804" i="3"/>
  <c r="O803" i="3"/>
  <c r="O802" i="3"/>
  <c r="O801" i="3"/>
  <c r="O800" i="3"/>
  <c r="O799" i="3"/>
  <c r="O798" i="3"/>
  <c r="O797" i="3"/>
  <c r="O796" i="3"/>
  <c r="O795" i="3"/>
  <c r="O794" i="3"/>
  <c r="O793" i="3"/>
  <c r="O792" i="3"/>
  <c r="O791" i="3"/>
  <c r="O790" i="3"/>
  <c r="O789" i="3"/>
  <c r="O788" i="3"/>
  <c r="O787" i="3"/>
  <c r="O786" i="3"/>
  <c r="O785" i="3"/>
  <c r="O784" i="3"/>
  <c r="O783" i="3"/>
  <c r="O782" i="3"/>
  <c r="O781" i="3"/>
  <c r="O780" i="3"/>
  <c r="O779" i="3"/>
  <c r="O778" i="3"/>
  <c r="O777" i="3"/>
  <c r="O776" i="3"/>
  <c r="O775" i="3"/>
  <c r="O774" i="3"/>
  <c r="O773" i="3"/>
  <c r="O772" i="3"/>
  <c r="O771" i="3"/>
  <c r="O770" i="3"/>
  <c r="O769" i="3"/>
  <c r="O768" i="3"/>
  <c r="O767" i="3"/>
  <c r="O766" i="3"/>
  <c r="O765" i="3"/>
  <c r="O764" i="3"/>
  <c r="O763" i="3"/>
  <c r="O762" i="3"/>
  <c r="O761" i="3"/>
  <c r="O760" i="3"/>
  <c r="O759" i="3"/>
  <c r="O758" i="3"/>
  <c r="O757" i="3"/>
  <c r="O756" i="3"/>
  <c r="O755" i="3"/>
  <c r="O754" i="3"/>
  <c r="O753" i="3"/>
  <c r="O752" i="3"/>
  <c r="O751" i="3"/>
  <c r="O750" i="3"/>
  <c r="O749" i="3"/>
  <c r="O748" i="3"/>
  <c r="O747" i="3"/>
  <c r="O746" i="3"/>
  <c r="O745" i="3"/>
  <c r="O744" i="3"/>
  <c r="O743" i="3"/>
  <c r="O742" i="3"/>
  <c r="O741" i="3"/>
  <c r="O740" i="3"/>
  <c r="O739" i="3"/>
  <c r="O738" i="3"/>
  <c r="O737" i="3"/>
  <c r="O736" i="3"/>
  <c r="O735" i="3"/>
  <c r="O734" i="3"/>
  <c r="O733" i="3"/>
  <c r="O732" i="3"/>
  <c r="O731" i="3"/>
  <c r="O730" i="3"/>
  <c r="O729" i="3"/>
  <c r="O728" i="3"/>
  <c r="O727" i="3"/>
  <c r="O726" i="3"/>
  <c r="O725" i="3"/>
  <c r="O724" i="3"/>
  <c r="O723" i="3"/>
  <c r="O722" i="3"/>
  <c r="O721" i="3"/>
  <c r="O720" i="3"/>
  <c r="O719" i="3"/>
  <c r="O718" i="3"/>
  <c r="O717" i="3"/>
  <c r="O716" i="3"/>
  <c r="O715" i="3"/>
  <c r="O714" i="3"/>
  <c r="O713" i="3"/>
  <c r="O712" i="3"/>
  <c r="O711" i="3"/>
  <c r="O710" i="3"/>
  <c r="O709" i="3"/>
  <c r="O708" i="3"/>
  <c r="O707" i="3"/>
  <c r="O706" i="3"/>
  <c r="O705" i="3"/>
  <c r="O704" i="3"/>
  <c r="O703" i="3"/>
  <c r="O702" i="3"/>
  <c r="O701" i="3"/>
  <c r="O700" i="3"/>
  <c r="O699" i="3"/>
  <c r="O698" i="3"/>
  <c r="O697" i="3"/>
  <c r="O696" i="3"/>
  <c r="O695" i="3"/>
  <c r="O694" i="3"/>
  <c r="O693" i="3"/>
  <c r="O692" i="3"/>
  <c r="O691" i="3"/>
  <c r="O690" i="3"/>
  <c r="O689" i="3"/>
  <c r="O688" i="3"/>
  <c r="O687" i="3"/>
  <c r="O686" i="3"/>
  <c r="O685" i="3"/>
  <c r="O684" i="3"/>
  <c r="O683" i="3"/>
  <c r="O682" i="3"/>
  <c r="O681" i="3"/>
  <c r="O680" i="3"/>
  <c r="O679" i="3"/>
  <c r="O678" i="3"/>
  <c r="O677" i="3"/>
  <c r="O676" i="3"/>
  <c r="O675" i="3"/>
  <c r="O674" i="3"/>
  <c r="O673" i="3"/>
  <c r="O672" i="3"/>
  <c r="O671" i="3"/>
  <c r="O670" i="3"/>
  <c r="O669" i="3"/>
  <c r="O668" i="3"/>
  <c r="O667" i="3"/>
  <c r="O666" i="3"/>
  <c r="O665" i="3"/>
  <c r="O664" i="3"/>
  <c r="O663" i="3"/>
  <c r="O662" i="3"/>
  <c r="O661" i="3"/>
  <c r="O660" i="3"/>
  <c r="O659" i="3"/>
  <c r="O658" i="3"/>
  <c r="O657" i="3"/>
  <c r="O656" i="3"/>
  <c r="O655" i="3"/>
  <c r="O654" i="3"/>
  <c r="O653" i="3"/>
  <c r="O652" i="3"/>
  <c r="O651" i="3"/>
  <c r="O650" i="3"/>
  <c r="O649" i="3"/>
  <c r="O648" i="3"/>
  <c r="O647" i="3"/>
  <c r="O646" i="3"/>
  <c r="O645" i="3"/>
  <c r="O644" i="3"/>
  <c r="O643" i="3"/>
  <c r="O642" i="3"/>
  <c r="O641" i="3"/>
  <c r="O640" i="3"/>
  <c r="O639" i="3"/>
  <c r="O638" i="3"/>
  <c r="O637" i="3"/>
  <c r="O636" i="3"/>
  <c r="O635" i="3"/>
  <c r="O634" i="3"/>
  <c r="O633" i="3"/>
  <c r="O632" i="3"/>
  <c r="O631" i="3"/>
  <c r="O630" i="3"/>
  <c r="O629" i="3"/>
  <c r="O628" i="3"/>
  <c r="O627" i="3"/>
  <c r="O626" i="3"/>
  <c r="O625" i="3"/>
  <c r="O624" i="3"/>
  <c r="O623" i="3"/>
  <c r="O622" i="3"/>
  <c r="O621" i="3"/>
  <c r="O620" i="3"/>
  <c r="O619" i="3"/>
  <c r="O618" i="3"/>
  <c r="O617" i="3"/>
  <c r="O616" i="3"/>
  <c r="O615" i="3"/>
  <c r="O614" i="3"/>
  <c r="O613" i="3"/>
  <c r="O612" i="3"/>
  <c r="O611" i="3"/>
  <c r="O610" i="3"/>
  <c r="O609" i="3"/>
  <c r="O608" i="3"/>
  <c r="O607" i="3"/>
  <c r="O606" i="3"/>
  <c r="O605" i="3"/>
  <c r="O604" i="3"/>
  <c r="O603" i="3"/>
  <c r="O602" i="3"/>
  <c r="O601" i="3"/>
  <c r="O600" i="3"/>
  <c r="O599" i="3"/>
  <c r="O598" i="3"/>
  <c r="O597" i="3"/>
  <c r="O596" i="3"/>
  <c r="O595" i="3"/>
  <c r="O594" i="3"/>
  <c r="O593" i="3"/>
  <c r="O592" i="3"/>
  <c r="O591" i="3"/>
  <c r="O590" i="3"/>
  <c r="O589" i="3"/>
  <c r="O588" i="3"/>
  <c r="O587" i="3"/>
  <c r="O586" i="3"/>
  <c r="O585" i="3"/>
  <c r="O584" i="3"/>
  <c r="O583" i="3"/>
  <c r="O582" i="3"/>
  <c r="O581" i="3"/>
  <c r="O580" i="3"/>
  <c r="O579" i="3"/>
  <c r="O578" i="3"/>
  <c r="O577" i="3"/>
  <c r="O576" i="3"/>
  <c r="O575" i="3"/>
  <c r="O574" i="3"/>
  <c r="O573" i="3"/>
  <c r="O572" i="3"/>
  <c r="O571" i="3"/>
  <c r="O570" i="3"/>
  <c r="O569" i="3"/>
  <c r="O568" i="3"/>
  <c r="O567" i="3"/>
  <c r="O566" i="3"/>
  <c r="O565" i="3"/>
  <c r="O564" i="3"/>
  <c r="O563" i="3"/>
  <c r="O562" i="3"/>
  <c r="O561" i="3"/>
  <c r="O560" i="3"/>
  <c r="O559" i="3"/>
  <c r="O558" i="3"/>
  <c r="O557" i="3"/>
  <c r="O556" i="3"/>
  <c r="O555" i="3"/>
  <c r="O554" i="3"/>
  <c r="O553" i="3"/>
  <c r="O552" i="3"/>
  <c r="O551" i="3"/>
  <c r="O550" i="3"/>
  <c r="O549" i="3"/>
  <c r="O548" i="3"/>
  <c r="O547" i="3"/>
  <c r="O546" i="3"/>
  <c r="O545" i="3"/>
  <c r="O544" i="3"/>
  <c r="O543" i="3"/>
  <c r="O542" i="3"/>
  <c r="O541" i="3"/>
  <c r="O540" i="3"/>
  <c r="O539" i="3"/>
  <c r="O538" i="3"/>
  <c r="O537" i="3"/>
  <c r="O536" i="3"/>
  <c r="O535" i="3"/>
  <c r="O534" i="3"/>
  <c r="O533" i="3"/>
  <c r="O532" i="3"/>
  <c r="O531" i="3"/>
  <c r="O530" i="3"/>
  <c r="O529" i="3"/>
  <c r="O528" i="3"/>
  <c r="O527" i="3"/>
  <c r="O526" i="3"/>
  <c r="O525" i="3"/>
  <c r="O524" i="3"/>
  <c r="O523" i="3"/>
  <c r="O522" i="3"/>
  <c r="O521" i="3"/>
  <c r="O520" i="3"/>
  <c r="O519" i="3"/>
  <c r="O518" i="3"/>
  <c r="O517" i="3"/>
  <c r="O516" i="3"/>
  <c r="O515" i="3"/>
  <c r="O514" i="3"/>
  <c r="O513" i="3"/>
  <c r="O512" i="3"/>
  <c r="O511" i="3"/>
  <c r="O510" i="3"/>
  <c r="O509" i="3"/>
  <c r="O508" i="3"/>
  <c r="O507" i="3"/>
  <c r="O506" i="3"/>
  <c r="O505" i="3"/>
  <c r="O504" i="3"/>
  <c r="O503" i="3"/>
  <c r="O502" i="3"/>
  <c r="O501" i="3"/>
  <c r="O500" i="3"/>
  <c r="O499" i="3"/>
  <c r="O498" i="3"/>
  <c r="O497" i="3"/>
  <c r="O496" i="3"/>
  <c r="O495" i="3"/>
  <c r="O494" i="3"/>
  <c r="O493" i="3"/>
  <c r="O492" i="3"/>
  <c r="O491" i="3"/>
  <c r="O490" i="3"/>
  <c r="O489" i="3"/>
  <c r="O488" i="3"/>
  <c r="O487" i="3"/>
  <c r="O486" i="3"/>
  <c r="O485" i="3"/>
  <c r="O484" i="3"/>
  <c r="O483" i="3"/>
  <c r="O482" i="3"/>
  <c r="O481" i="3"/>
  <c r="O480" i="3"/>
  <c r="O479" i="3"/>
  <c r="O478" i="3"/>
  <c r="O477" i="3"/>
  <c r="O476" i="3"/>
  <c r="O475" i="3"/>
  <c r="O474" i="3"/>
  <c r="O473" i="3"/>
  <c r="O472" i="3"/>
  <c r="O471" i="3"/>
  <c r="O470" i="3"/>
  <c r="O469" i="3"/>
  <c r="O468" i="3"/>
  <c r="O467" i="3"/>
  <c r="O466" i="3"/>
  <c r="O465" i="3"/>
  <c r="O464" i="3"/>
  <c r="O463" i="3"/>
  <c r="O462" i="3"/>
  <c r="O461" i="3"/>
  <c r="O460" i="3"/>
  <c r="O459" i="3"/>
  <c r="O458" i="3"/>
  <c r="O457" i="3"/>
  <c r="O456" i="3"/>
  <c r="O455" i="3"/>
  <c r="O454" i="3"/>
  <c r="O453" i="3"/>
  <c r="O452" i="3"/>
  <c r="O451" i="3"/>
  <c r="O450" i="3"/>
  <c r="O449" i="3"/>
  <c r="O448" i="3"/>
  <c r="O447" i="3"/>
  <c r="O446" i="3"/>
  <c r="O445" i="3"/>
  <c r="O444" i="3"/>
  <c r="O443" i="3"/>
  <c r="O442" i="3"/>
  <c r="O441" i="3"/>
  <c r="O440" i="3"/>
  <c r="O439" i="3"/>
  <c r="O438" i="3"/>
  <c r="O437" i="3"/>
  <c r="O436" i="3"/>
  <c r="O435" i="3"/>
  <c r="O434" i="3"/>
  <c r="O433" i="3"/>
  <c r="O432" i="3"/>
  <c r="O431" i="3"/>
  <c r="O430" i="3"/>
  <c r="O429" i="3"/>
  <c r="O428" i="3"/>
  <c r="O427" i="3"/>
  <c r="O426" i="3"/>
  <c r="O425" i="3"/>
  <c r="O424" i="3"/>
  <c r="O423" i="3"/>
  <c r="O422" i="3"/>
  <c r="O421" i="3"/>
  <c r="O420" i="3"/>
  <c r="O419" i="3"/>
  <c r="O418" i="3"/>
  <c r="O417" i="3"/>
  <c r="O416" i="3"/>
  <c r="O415" i="3"/>
  <c r="O414" i="3"/>
  <c r="O413" i="3"/>
  <c r="O412" i="3"/>
  <c r="O411" i="3"/>
  <c r="O410" i="3"/>
  <c r="O409" i="3"/>
  <c r="O408" i="3"/>
  <c r="O407" i="3"/>
  <c r="O406" i="3"/>
  <c r="O405" i="3"/>
  <c r="O404" i="3"/>
  <c r="O403" i="3"/>
  <c r="O402" i="3"/>
  <c r="O401" i="3"/>
  <c r="O400" i="3"/>
  <c r="O399" i="3"/>
  <c r="O398" i="3"/>
  <c r="O397" i="3"/>
  <c r="O396" i="3"/>
  <c r="O395" i="3"/>
  <c r="O394" i="3"/>
  <c r="O393" i="3"/>
  <c r="O392" i="3"/>
  <c r="O391" i="3"/>
  <c r="O390" i="3"/>
  <c r="O389" i="3"/>
  <c r="O388" i="3"/>
  <c r="O387" i="3"/>
  <c r="O386" i="3"/>
  <c r="O385" i="3"/>
  <c r="O384" i="3"/>
  <c r="O383" i="3"/>
  <c r="O382" i="3"/>
  <c r="O381" i="3"/>
  <c r="O380" i="3"/>
  <c r="O379" i="3"/>
  <c r="O378" i="3"/>
  <c r="O377" i="3"/>
  <c r="O376" i="3"/>
  <c r="O375" i="3"/>
  <c r="O374" i="3"/>
  <c r="O373" i="3"/>
  <c r="O372" i="3"/>
  <c r="O371" i="3"/>
  <c r="O370" i="3"/>
  <c r="O369" i="3"/>
  <c r="O368" i="3"/>
  <c r="O367" i="3"/>
  <c r="O366" i="3"/>
  <c r="O365" i="3"/>
  <c r="O364" i="3"/>
  <c r="O363" i="3"/>
  <c r="O362" i="3"/>
  <c r="O361" i="3"/>
  <c r="O360" i="3"/>
  <c r="O359" i="3"/>
  <c r="O358" i="3"/>
  <c r="O357" i="3"/>
  <c r="O356" i="3"/>
  <c r="O355" i="3"/>
  <c r="O354" i="3"/>
  <c r="O353" i="3"/>
  <c r="O352" i="3"/>
  <c r="O351" i="3"/>
  <c r="O350" i="3"/>
  <c r="O349" i="3"/>
  <c r="O348" i="3"/>
  <c r="O347" i="3"/>
  <c r="O346" i="3"/>
  <c r="O345" i="3"/>
  <c r="O344" i="3"/>
  <c r="O343" i="3"/>
  <c r="O342" i="3"/>
  <c r="O341" i="3"/>
  <c r="O340" i="3"/>
  <c r="O339" i="3"/>
  <c r="O338" i="3"/>
  <c r="O337" i="3"/>
  <c r="O336" i="3"/>
  <c r="O335" i="3"/>
  <c r="O334" i="3"/>
  <c r="O333" i="3"/>
  <c r="O332" i="3"/>
  <c r="O331" i="3"/>
  <c r="O330" i="3"/>
  <c r="O329" i="3"/>
  <c r="O328" i="3"/>
  <c r="O327" i="3"/>
  <c r="O326" i="3"/>
  <c r="O325" i="3"/>
  <c r="O324" i="3"/>
  <c r="O323" i="3"/>
  <c r="O322" i="3"/>
  <c r="O321" i="3"/>
  <c r="O320" i="3"/>
  <c r="O319" i="3"/>
  <c r="O318" i="3"/>
  <c r="O317" i="3"/>
  <c r="O316" i="3"/>
  <c r="O315" i="3"/>
  <c r="O314" i="3"/>
  <c r="O313" i="3"/>
  <c r="J313" i="3"/>
  <c r="O312" i="3"/>
  <c r="O311" i="3"/>
  <c r="O310" i="3"/>
  <c r="O309" i="3"/>
  <c r="O308" i="3"/>
  <c r="O307" i="3"/>
  <c r="O306" i="3"/>
  <c r="O305" i="3"/>
  <c r="O304" i="3"/>
  <c r="O303" i="3"/>
  <c r="O302" i="3"/>
  <c r="O301" i="3"/>
  <c r="O300" i="3"/>
  <c r="O299" i="3"/>
  <c r="O298" i="3"/>
  <c r="O297" i="3"/>
  <c r="O296" i="3"/>
  <c r="O295" i="3"/>
  <c r="O294" i="3"/>
  <c r="O293" i="3"/>
  <c r="O292" i="3"/>
  <c r="O291" i="3"/>
  <c r="O290" i="3"/>
  <c r="O289" i="3"/>
  <c r="O288" i="3"/>
  <c r="O287" i="3"/>
  <c r="O286" i="3"/>
  <c r="O285" i="3"/>
  <c r="O284" i="3"/>
  <c r="O283" i="3"/>
  <c r="O282" i="3"/>
  <c r="O281" i="3"/>
  <c r="O280" i="3"/>
  <c r="O279" i="3"/>
  <c r="O278" i="3"/>
  <c r="J278" i="3"/>
  <c r="J279" i="3" s="1"/>
  <c r="J280" i="3" s="1"/>
  <c r="O277" i="3"/>
  <c r="O276" i="3"/>
  <c r="O275" i="3"/>
  <c r="O274" i="3"/>
  <c r="J274" i="3"/>
  <c r="J275" i="3" s="1"/>
  <c r="O273" i="3"/>
  <c r="O272" i="3"/>
  <c r="O271" i="3"/>
  <c r="O270" i="3"/>
  <c r="J270" i="3"/>
  <c r="O269" i="3"/>
  <c r="O268" i="3"/>
  <c r="O267" i="3"/>
  <c r="O266" i="3"/>
  <c r="O265" i="3"/>
  <c r="O264" i="3"/>
  <c r="J264" i="3"/>
  <c r="O263" i="3"/>
  <c r="O262" i="3"/>
  <c r="O261" i="3"/>
  <c r="J261" i="3"/>
  <c r="J262" i="3" s="1"/>
  <c r="O260" i="3"/>
  <c r="O259" i="3"/>
  <c r="O258" i="3"/>
  <c r="O257" i="3"/>
  <c r="O256" i="3"/>
  <c r="O255" i="3"/>
  <c r="O254" i="3"/>
  <c r="O253" i="3"/>
  <c r="O252" i="3"/>
  <c r="O251" i="3"/>
  <c r="O250" i="3"/>
  <c r="O249" i="3"/>
  <c r="O248" i="3"/>
  <c r="O247" i="3"/>
  <c r="O246" i="3"/>
  <c r="O245" i="3"/>
  <c r="O244" i="3"/>
  <c r="O243" i="3"/>
  <c r="J243" i="3"/>
  <c r="J244" i="3" s="1"/>
  <c r="J245" i="3" s="1"/>
  <c r="J246" i="3" s="1"/>
  <c r="O242" i="3"/>
  <c r="O241" i="3"/>
  <c r="O240" i="3"/>
  <c r="O239" i="3"/>
  <c r="O238" i="3"/>
  <c r="O237" i="3"/>
  <c r="O236" i="3"/>
  <c r="O235" i="3"/>
  <c r="O234" i="3"/>
  <c r="O233" i="3"/>
  <c r="O232" i="3"/>
  <c r="O231" i="3"/>
  <c r="O230" i="3"/>
  <c r="O229" i="3"/>
  <c r="O228" i="3"/>
  <c r="O227" i="3"/>
  <c r="O226" i="3"/>
  <c r="O225" i="3"/>
  <c r="O224" i="3"/>
  <c r="O223" i="3"/>
  <c r="O222" i="3"/>
  <c r="O221" i="3"/>
  <c r="O220" i="3"/>
  <c r="O219" i="3"/>
  <c r="O218" i="3"/>
  <c r="O217" i="3"/>
  <c r="O216" i="3"/>
  <c r="O215" i="3"/>
  <c r="O214" i="3"/>
  <c r="O213" i="3"/>
  <c r="O212" i="3"/>
  <c r="O211" i="3"/>
  <c r="O210" i="3"/>
  <c r="O209" i="3"/>
  <c r="J209" i="3"/>
  <c r="O208" i="3"/>
  <c r="O207" i="3"/>
  <c r="O206" i="3"/>
  <c r="O205" i="3"/>
  <c r="O204" i="3"/>
  <c r="O203" i="3"/>
  <c r="O202" i="3"/>
  <c r="O201" i="3"/>
  <c r="O200" i="3"/>
  <c r="O199" i="3"/>
  <c r="O198" i="3"/>
  <c r="O197" i="3"/>
  <c r="O196" i="3"/>
  <c r="O195" i="3"/>
  <c r="O194" i="3"/>
  <c r="O193" i="3"/>
  <c r="O192" i="3"/>
  <c r="O191" i="3"/>
  <c r="O190" i="3"/>
  <c r="O189" i="3"/>
  <c r="O188" i="3"/>
  <c r="O187" i="3"/>
  <c r="O186" i="3"/>
  <c r="O185" i="3"/>
  <c r="O184" i="3"/>
  <c r="O183" i="3"/>
  <c r="O182" i="3"/>
  <c r="O181" i="3"/>
  <c r="J181" i="3"/>
  <c r="O180" i="3"/>
  <c r="O179" i="3"/>
  <c r="O178" i="3"/>
  <c r="O177" i="3"/>
  <c r="O176" i="3"/>
  <c r="O175" i="3"/>
  <c r="O174" i="3"/>
  <c r="O173" i="3"/>
  <c r="O172" i="3"/>
  <c r="J172" i="3"/>
  <c r="O171" i="3"/>
  <c r="O170" i="3"/>
  <c r="O169" i="3"/>
  <c r="O168" i="3"/>
  <c r="O167" i="3"/>
  <c r="O166" i="3"/>
  <c r="O165" i="3"/>
  <c r="O164" i="3"/>
  <c r="O163" i="3"/>
  <c r="O162" i="3"/>
  <c r="O161" i="3"/>
  <c r="O160" i="3"/>
  <c r="O159" i="3"/>
  <c r="O158" i="3"/>
  <c r="O157" i="3"/>
  <c r="O156" i="3"/>
  <c r="O155" i="3"/>
  <c r="O154" i="3"/>
  <c r="O153" i="3"/>
  <c r="O152" i="3"/>
  <c r="O151" i="3"/>
  <c r="O150" i="3"/>
  <c r="O149" i="3"/>
  <c r="O148" i="3"/>
  <c r="O147" i="3"/>
  <c r="O146" i="3"/>
  <c r="O145" i="3"/>
  <c r="O144" i="3"/>
  <c r="J144" i="3"/>
  <c r="O143" i="3"/>
  <c r="O142" i="3"/>
  <c r="O141" i="3"/>
  <c r="O140" i="3"/>
  <c r="O139" i="3"/>
  <c r="O138" i="3"/>
  <c r="O137" i="3"/>
  <c r="O136" i="3"/>
  <c r="O135" i="3"/>
  <c r="O134" i="3"/>
  <c r="O133" i="3"/>
  <c r="O132" i="3"/>
  <c r="O131" i="3"/>
  <c r="O130" i="3"/>
  <c r="O129" i="3"/>
  <c r="O128" i="3"/>
  <c r="J128" i="3"/>
  <c r="J129" i="3" s="1"/>
  <c r="J130" i="3" s="1"/>
  <c r="O127" i="3"/>
  <c r="O126" i="3"/>
  <c r="O125" i="3"/>
  <c r="O124" i="3"/>
  <c r="O123" i="3"/>
  <c r="O122" i="3"/>
  <c r="O121" i="3"/>
  <c r="O120" i="3"/>
  <c r="O119" i="3"/>
  <c r="O118" i="3"/>
  <c r="O117" i="3"/>
  <c r="O116" i="3"/>
  <c r="O115" i="3"/>
  <c r="O114" i="3"/>
  <c r="O113" i="3"/>
  <c r="J113" i="3"/>
  <c r="O112" i="3"/>
  <c r="O111" i="3"/>
  <c r="J111" i="3"/>
  <c r="O110" i="3"/>
  <c r="O109" i="3"/>
  <c r="O108" i="3"/>
  <c r="O107" i="3"/>
  <c r="J107" i="3"/>
  <c r="J108" i="3" s="1"/>
  <c r="O106" i="3"/>
  <c r="J106" i="3"/>
  <c r="O105" i="3"/>
  <c r="O104" i="3"/>
  <c r="O103" i="3"/>
  <c r="O102" i="3"/>
  <c r="O101" i="3"/>
  <c r="O100" i="3"/>
  <c r="O99" i="3"/>
  <c r="O98" i="3"/>
  <c r="M98" i="3"/>
  <c r="O97" i="3"/>
  <c r="O96" i="3"/>
  <c r="O95" i="3"/>
  <c r="O94" i="3"/>
  <c r="O93" i="3"/>
  <c r="O92" i="3"/>
  <c r="O91" i="3"/>
  <c r="O90" i="3"/>
  <c r="O89" i="3"/>
  <c r="M89" i="3"/>
  <c r="O88" i="3"/>
  <c r="O87" i="3"/>
  <c r="O86" i="3"/>
  <c r="O85" i="3"/>
  <c r="O84" i="3"/>
  <c r="O83" i="3"/>
  <c r="O82" i="3"/>
  <c r="O81" i="3"/>
  <c r="O80" i="3"/>
  <c r="M80" i="3"/>
  <c r="O79" i="3"/>
  <c r="O78" i="3"/>
  <c r="O77" i="3"/>
  <c r="O76" i="3"/>
  <c r="O75" i="3"/>
  <c r="O74" i="3"/>
  <c r="O73" i="3"/>
  <c r="O72" i="3"/>
  <c r="J72" i="3"/>
  <c r="O71" i="3"/>
  <c r="O70" i="3"/>
  <c r="O69" i="3"/>
  <c r="O68" i="3"/>
  <c r="J68" i="3"/>
  <c r="O67" i="3"/>
  <c r="O66" i="3"/>
  <c r="O65" i="3"/>
  <c r="O64" i="3"/>
  <c r="O63" i="3"/>
  <c r="O62" i="3"/>
  <c r="J62" i="3"/>
  <c r="O61" i="3"/>
  <c r="O60" i="3"/>
  <c r="O59" i="3"/>
  <c r="J59" i="3"/>
  <c r="O58" i="3"/>
  <c r="O57" i="3"/>
  <c r="O56" i="3"/>
  <c r="M56" i="3"/>
  <c r="M57" i="3" s="1"/>
  <c r="M58" i="3" s="1"/>
  <c r="O55" i="3"/>
  <c r="O54" i="3"/>
  <c r="O53" i="3"/>
  <c r="O52" i="3"/>
  <c r="O51" i="3"/>
  <c r="M51" i="3"/>
  <c r="M52" i="3" s="1"/>
  <c r="M53" i="3" s="1"/>
  <c r="M54" i="3" s="1"/>
  <c r="J51" i="3"/>
  <c r="J52" i="3" s="1"/>
  <c r="J53" i="3" s="1"/>
  <c r="J54" i="3" s="1"/>
  <c r="J55" i="3" s="1"/>
  <c r="J56" i="3" s="1"/>
  <c r="O50" i="3"/>
  <c r="O49" i="3"/>
  <c r="M49" i="3"/>
  <c r="J49" i="3"/>
  <c r="O48" i="3"/>
  <c r="O47" i="3"/>
  <c r="O46" i="3"/>
  <c r="M46" i="3"/>
  <c r="O45" i="3"/>
  <c r="O44" i="3"/>
  <c r="O43" i="3"/>
  <c r="M43" i="3"/>
  <c r="J43" i="3"/>
  <c r="O42" i="3"/>
  <c r="O41" i="3"/>
  <c r="J41" i="3"/>
  <c r="O40" i="3"/>
  <c r="M40" i="3"/>
  <c r="O39" i="3"/>
  <c r="O38" i="3"/>
  <c r="O37" i="3"/>
  <c r="O36" i="3"/>
  <c r="J36" i="3"/>
  <c r="O35" i="3"/>
  <c r="J35" i="3"/>
  <c r="O34" i="3"/>
  <c r="O33" i="3"/>
  <c r="O32" i="3"/>
  <c r="O31" i="3"/>
  <c r="O30" i="3"/>
  <c r="O29" i="3"/>
  <c r="O28" i="3"/>
  <c r="J28" i="3"/>
  <c r="J29" i="3" s="1"/>
  <c r="O27" i="3"/>
  <c r="O26" i="3"/>
  <c r="O25" i="3"/>
  <c r="O24" i="3"/>
  <c r="J24" i="3"/>
  <c r="O23" i="3"/>
  <c r="J23" i="3"/>
  <c r="O22" i="3"/>
  <c r="O21" i="3"/>
  <c r="O20" i="3"/>
  <c r="O19" i="3"/>
  <c r="O18" i="3"/>
  <c r="J18" i="3"/>
  <c r="J19" i="3" s="1"/>
  <c r="J20" i="3" s="1"/>
  <c r="O17" i="3"/>
  <c r="O16" i="3"/>
  <c r="O15" i="3"/>
  <c r="O14" i="3"/>
  <c r="M14" i="3"/>
  <c r="O13" i="3"/>
  <c r="J13" i="3"/>
  <c r="J14" i="3" s="1"/>
  <c r="J15" i="3" s="1"/>
  <c r="O12" i="3"/>
  <c r="O11" i="3"/>
  <c r="O2" i="4" s="1"/>
  <c r="O10" i="3"/>
  <c r="O9" i="3"/>
  <c r="J9" i="3"/>
  <c r="J10" i="3" s="1"/>
  <c r="J11" i="3" s="1"/>
  <c r="O8" i="3"/>
  <c r="O7" i="3"/>
  <c r="O6" i="3"/>
  <c r="M6" i="3"/>
  <c r="O5" i="3"/>
  <c r="O4" i="3"/>
  <c r="J4" i="3"/>
  <c r="J5" i="3" s="1"/>
  <c r="J6" i="3" s="1"/>
  <c r="O3" i="3"/>
  <c r="O2" i="3"/>
</calcChain>
</file>

<file path=xl/sharedStrings.xml><?xml version="1.0" encoding="utf-8"?>
<sst xmlns="http://schemas.openxmlformats.org/spreadsheetml/2006/main" count="39797" uniqueCount="548">
  <si>
    <t>Player</t>
  </si>
  <si>
    <t>Season</t>
  </si>
  <si>
    <t>Competition</t>
  </si>
  <si>
    <t>Matchday</t>
  </si>
  <si>
    <t>Date</t>
  </si>
  <si>
    <t>Venue</t>
  </si>
  <si>
    <t>Club</t>
  </si>
  <si>
    <t>Opponent</t>
  </si>
  <si>
    <t>Result</t>
  </si>
  <si>
    <t>Playing_Position</t>
  </si>
  <si>
    <t>Minute</t>
  </si>
  <si>
    <t>At_score</t>
  </si>
  <si>
    <t>Type</t>
  </si>
  <si>
    <t>Goal_assist</t>
  </si>
  <si>
    <t>Cristiano Ronaldo</t>
  </si>
  <si>
    <t>Liga Portugal</t>
  </si>
  <si>
    <t>H</t>
  </si>
  <si>
    <t>Sporting CP</t>
  </si>
  <si>
    <t>Moreirense FC</t>
  </si>
  <si>
    <t>LW</t>
  </si>
  <si>
    <t>Solo run</t>
  </si>
  <si>
    <t>90+5</t>
  </si>
  <si>
    <t>Header</t>
  </si>
  <si>
    <t>Rui Jorge</t>
  </si>
  <si>
    <t>A</t>
  </si>
  <si>
    <t>Boavista FC</t>
  </si>
  <si>
    <t>Right-footed shot</t>
  </si>
  <si>
    <t>Carlos Martins</t>
  </si>
  <si>
    <t>Taca de Portugal Placard</t>
  </si>
  <si>
    <t>Fourth Round</t>
  </si>
  <si>
    <t>CD Estarreja</t>
  </si>
  <si>
    <t>Left-footed shot</t>
  </si>
  <si>
    <t>Cesar Prates</t>
  </si>
  <si>
    <t>Fifth Round</t>
  </si>
  <si>
    <t>FC Oliveira do Hospital</t>
  </si>
  <si>
    <t>Premier League</t>
  </si>
  <si>
    <t>Manchester United</t>
  </si>
  <si>
    <t>Portsmouth FC</t>
  </si>
  <si>
    <t>RW</t>
  </si>
  <si>
    <t>Direct free kick</t>
  </si>
  <si>
    <t>FA Cup</t>
  </si>
  <si>
    <t>Manchester City</t>
  </si>
  <si>
    <t>Tottenham Hotspur</t>
  </si>
  <si>
    <t>Birmingham City</t>
  </si>
  <si>
    <t>Ryan Giggs</t>
  </si>
  <si>
    <t>Aston Villa</t>
  </si>
  <si>
    <t>Final</t>
  </si>
  <si>
    <t>Millwall FC</t>
  </si>
  <si>
    <t>Gary Neville</t>
  </si>
  <si>
    <t>Southampton FC</t>
  </si>
  <si>
    <t>Third Round</t>
  </si>
  <si>
    <t>Exeter City</t>
  </si>
  <si>
    <t>Paul Scholes</t>
  </si>
  <si>
    <t>Louis Saha</t>
  </si>
  <si>
    <t>Arsenal FC</t>
  </si>
  <si>
    <t>Tap-in</t>
  </si>
  <si>
    <t>Everton FC</t>
  </si>
  <si>
    <t>Sixth Round</t>
  </si>
  <si>
    <t>45+1</t>
  </si>
  <si>
    <t>Ruud van Nistelrooy</t>
  </si>
  <si>
    <t>Fulham FC</t>
  </si>
  <si>
    <t>Roy Keane</t>
  </si>
  <si>
    <t>Semi-Finals</t>
  </si>
  <si>
    <t>Newcastle United</t>
  </si>
  <si>
    <t>Lionel Messi</t>
  </si>
  <si>
    <t>LaLiga</t>
  </si>
  <si>
    <t>FC Barcelona</t>
  </si>
  <si>
    <t>Albacete Balompie</t>
  </si>
  <si>
    <t>CF</t>
  </si>
  <si>
    <t>90+1</t>
  </si>
  <si>
    <t>Ronaldinho Gaacho</t>
  </si>
  <si>
    <t>UEFA Champions League Qualifying</t>
  </si>
  <si>
    <t>3rd round</t>
  </si>
  <si>
    <t>Debreceni VSC</t>
  </si>
  <si>
    <t>Middlesbrough FC</t>
  </si>
  <si>
    <t>UEFA Champions League</t>
  </si>
  <si>
    <t>Group Stage</t>
  </si>
  <si>
    <t>Panathinaikos Athens</t>
  </si>
  <si>
    <t>Racing Santander</t>
  </si>
  <si>
    <t>Samuel Etoo</t>
  </si>
  <si>
    <t>EFL Cup</t>
  </si>
  <si>
    <t>Round of 16</t>
  </si>
  <si>
    <t>West Bromwich Albion</t>
  </si>
  <si>
    <t>Penalty</t>
  </si>
  <si>
    <t>Bolton Wanderers</t>
  </si>
  <si>
    <t>Wayne Rooney</t>
  </si>
  <si>
    <t>Athletic Bilbao</t>
  </si>
  <si>
    <t>Mark van Bommel</t>
  </si>
  <si>
    <t>Deportivo Alaves</t>
  </si>
  <si>
    <t>RCD Mallorca</t>
  </si>
  <si>
    <t>Sylvinho</t>
  </si>
  <si>
    <t>Copa del Rey</t>
  </si>
  <si>
    <t>Quarter-Finals</t>
  </si>
  <si>
    <t>Real Zaragoza</t>
  </si>
  <si>
    <t>Ludovic Giuly</t>
  </si>
  <si>
    <t>Real Betis Balompie</t>
  </si>
  <si>
    <t>Wigan Athletic</t>
  </si>
  <si>
    <t>Charlton Athletic</t>
  </si>
  <si>
    <t>Celta de Vigo</t>
  </si>
  <si>
    <t>Andres Iniesta</t>
  </si>
  <si>
    <t>CA Osasuna</t>
  </si>
  <si>
    <t>Reading FC</t>
  </si>
  <si>
    <t>John OShea</t>
  </si>
  <si>
    <t>SV Werder Bremen</t>
  </si>
  <si>
    <t>Deco</t>
  </si>
  <si>
    <t>Sevilla FC</t>
  </si>
  <si>
    <t>Xavi</t>
  </si>
  <si>
    <t>Penalty rebound</t>
  </si>
  <si>
    <t>Ji-sung Park</t>
  </si>
  <si>
    <t>Ole Gunnar Solskjaer</t>
  </si>
  <si>
    <t>Michael Carrick</t>
  </si>
  <si>
    <t>Watford FC</t>
  </si>
  <si>
    <t>Real Madrid</t>
  </si>
  <si>
    <t>Recreativo Huelva</t>
  </si>
  <si>
    <t>6th round</t>
  </si>
  <si>
    <t>Deportivo de La Coruaa</t>
  </si>
  <si>
    <t>AS Roma</t>
  </si>
  <si>
    <t>Getafe CF</t>
  </si>
  <si>
    <t>AC Milan</t>
  </si>
  <si>
    <t>Atletico de Madrid</t>
  </si>
  <si>
    <t>Giovanni van Bronckhorst</t>
  </si>
  <si>
    <t>RCD Espanyol Barcelona</t>
  </si>
  <si>
    <t>Gianluca Zambrotta</t>
  </si>
  <si>
    <t>Gimnastic de Tarragona</t>
  </si>
  <si>
    <t>Wes Brown</t>
  </si>
  <si>
    <t>Olympique Lyon</t>
  </si>
  <si>
    <t>Thierry Henry</t>
  </si>
  <si>
    <t>Levante UD</t>
  </si>
  <si>
    <t>VfB Stuttgart</t>
  </si>
  <si>
    <t>Deflected shot on goal</t>
  </si>
  <si>
    <t>Dynamo Kyiv</t>
  </si>
  <si>
    <t>UD Almera</t>
  </si>
  <si>
    <t>Patrice Evra</t>
  </si>
  <si>
    <t>Rangers FC</t>
  </si>
  <si>
    <t>Blackburn Rovers</t>
  </si>
  <si>
    <t>Carlos Tevez</t>
  </si>
  <si>
    <t>90+3</t>
  </si>
  <si>
    <t>Nemanja VidicÃ¢â‚¬Å½</t>
  </si>
  <si>
    <t>Derby County</t>
  </si>
  <si>
    <t>Sunderland AFC</t>
  </si>
  <si>
    <t>West Ham United</t>
  </si>
  <si>
    <t>90+2</t>
  </si>
  <si>
    <t>Nani</t>
  </si>
  <si>
    <t>last 16</t>
  </si>
  <si>
    <t>Celtic FC</t>
  </si>
  <si>
    <t>Liverpool FC</t>
  </si>
  <si>
    <t>Edwin van der Sar</t>
  </si>
  <si>
    <t>Owen Hargreaves</t>
  </si>
  <si>
    <t>Valencia CF</t>
  </si>
  <si>
    <t>Chelsea FC</t>
  </si>
  <si>
    <t>6:5 on pens</t>
  </si>
  <si>
    <t>Sporting GijÃƒÂ³n</t>
  </si>
  <si>
    <t>Shakhtar Donetsk</t>
  </si>
  <si>
    <t>Bojan Krkic</t>
  </si>
  <si>
    <t>FC Basel 1893</t>
  </si>
  <si>
    <t>Dani Alves</t>
  </si>
  <si>
    <t>Dimitar Berbatov</t>
  </si>
  <si>
    <t>Malaga CF</t>
  </si>
  <si>
    <t>Hull City</t>
  </si>
  <si>
    <t>Benidorm CD</t>
  </si>
  <si>
    <t>Stoke City</t>
  </si>
  <si>
    <t>Aleksandr Hleb</t>
  </si>
  <si>
    <t>Counter attack goal</t>
  </si>
  <si>
    <t>FIFA Club World Cup</t>
  </si>
  <si>
    <t>Gamba Osaka</t>
  </si>
  <si>
    <t>CD Numancia</t>
  </si>
  <si>
    <t>Gerard Pique</t>
  </si>
  <si>
    <t>FC Internazionale</t>
  </si>
  <si>
    <t>Bayern Munich</t>
  </si>
  <si>
    <t>FC Porto</t>
  </si>
  <si>
    <t>Long distance kick</t>
  </si>
  <si>
    <t>Anderson</t>
  </si>
  <si>
    <t>Supercopa</t>
  </si>
  <si>
    <t>final</t>
  </si>
  <si>
    <t>Zlatan Ibrahimovic</t>
  </si>
  <si>
    <t>Deportivo de La CoruÃƒÂ±a</t>
  </si>
  <si>
    <t>Guti</t>
  </si>
  <si>
    <t>FC ZÃƒÂ¼rich</t>
  </si>
  <si>
    <t>Xerez CD</t>
  </si>
  <si>
    <t>Esteban Granero</t>
  </si>
  <si>
    <t>Villarreal CF</t>
  </si>
  <si>
    <t>Olympique Marseille</t>
  </si>
  <si>
    <t>Pepe</t>
  </si>
  <si>
    <t>Karim Benzema</t>
  </si>
  <si>
    <t>5th round</t>
  </si>
  <si>
    <t>Cultural Leonesa</t>
  </si>
  <si>
    <t>Pedro</t>
  </si>
  <si>
    <t>UD Almeria</t>
  </si>
  <si>
    <t>Gonzalo Higuain</t>
  </si>
  <si>
    <t>Lassana Diarra</t>
  </si>
  <si>
    <t>CF Atlante</t>
  </si>
  <si>
    <t>Club Estudiantes de La Plata</t>
  </si>
  <si>
    <t>1:2 AET</t>
  </si>
  <si>
    <t>Chest</t>
  </si>
  <si>
    <t>Ezequiel Garay</t>
  </si>
  <si>
    <t>CD Tenerife</t>
  </si>
  <si>
    <t>Ãƒâ€°ric Abidal</t>
  </si>
  <si>
    <t>Real Valladolid CF</t>
  </si>
  <si>
    <t>Kaka</t>
  </si>
  <si>
    <t>Yaya Toure</t>
  </si>
  <si>
    <t>Seydou Keita</t>
  </si>
  <si>
    <t>Marcelo</t>
  </si>
  <si>
    <t>Sergio Ramos</t>
  </si>
  <si>
    <t>Maxwell</t>
  </si>
  <si>
    <t>Mesut Ozil</t>
  </si>
  <si>
    <t>Xabi Alonso</t>
  </si>
  <si>
    <t>FC Copenhagen</t>
  </si>
  <si>
    <t>Angel Di Maria</t>
  </si>
  <si>
    <t>David Villa</t>
  </si>
  <si>
    <t>Hercules CF</t>
  </si>
  <si>
    <t>4th round</t>
  </si>
  <si>
    <t>Real Murcia CF</t>
  </si>
  <si>
    <t>Club Atletico de Ceuta</t>
  </si>
  <si>
    <t>Thiago</t>
  </si>
  <si>
    <t>Ajax Amsterdam</t>
  </si>
  <si>
    <t>Adriano</t>
  </si>
  <si>
    <t>AJ Auxerre</t>
  </si>
  <si>
    <t>Real Sociedad</t>
  </si>
  <si>
    <t>Sergio Canales</t>
  </si>
  <si>
    <t>Sami Khedira</t>
  </si>
  <si>
    <t>0:1 AET</t>
  </si>
  <si>
    <t>Ibrahim Afellay</t>
  </si>
  <si>
    <t>Sergio Busquets</t>
  </si>
  <si>
    <t>UEFA Super Cup</t>
  </si>
  <si>
    <t>Cesc Fabregas</t>
  </si>
  <si>
    <t>Rayo Vallecano</t>
  </si>
  <si>
    <t>BATE Borisov</t>
  </si>
  <si>
    <t>FC Viktoria Plzen</t>
  </si>
  <si>
    <t>45+2</t>
  </si>
  <si>
    <t>alvaro Arbeloa</t>
  </si>
  <si>
    <t>SS</t>
  </si>
  <si>
    <t>SD Ponferradina</t>
  </si>
  <si>
    <t>Santos FC</t>
  </si>
  <si>
    <t>Granada CF</t>
  </si>
  <si>
    <t>Alexis Sanchez</t>
  </si>
  <si>
    <t>Fabio CoentrÃƒÂ£o</t>
  </si>
  <si>
    <t>Bayer 04 Leverkusen</t>
  </si>
  <si>
    <t>Cristian Tello</t>
  </si>
  <si>
    <t>CSKA Moscow</t>
  </si>
  <si>
    <t>90+4</t>
  </si>
  <si>
    <t>Isaac Cuenca</t>
  </si>
  <si>
    <t>APOEL Nicosia</t>
  </si>
  <si>
    <t>3:4 on pens</t>
  </si>
  <si>
    <t>Jordi Alba</t>
  </si>
  <si>
    <t>Jose CallejÃƒÂ³n</t>
  </si>
  <si>
    <t>Spartak Moscow</t>
  </si>
  <si>
    <t>Borussia Dortmund</t>
  </si>
  <si>
    <t>Marta Montoya</t>
  </si>
  <si>
    <t>CÃƒÂ³rdoba CF</t>
  </si>
  <si>
    <t xml:space="preserve">LW </t>
  </si>
  <si>
    <t>Luka Modric</t>
  </si>
  <si>
    <t xml:space="preserve">CF </t>
  </si>
  <si>
    <t>Paris Saint-Germain</t>
  </si>
  <si>
    <t>Galatasaray</t>
  </si>
  <si>
    <t>2:1 AET</t>
  </si>
  <si>
    <t>13/14</t>
  </si>
  <si>
    <t>Neymar</t>
  </si>
  <si>
    <t>Isco</t>
  </si>
  <si>
    <t>Elche CF</t>
  </si>
  <si>
    <t>90+6</t>
  </si>
  <si>
    <t>Juventus FC</t>
  </si>
  <si>
    <t>Gareth Bale</t>
  </si>
  <si>
    <t>Daniel Carvajal</t>
  </si>
  <si>
    <t>Alex Song</t>
  </si>
  <si>
    <t>FC Schalke 04</t>
  </si>
  <si>
    <t>Antonio A05a</t>
  </si>
  <si>
    <t>4:1 AET</t>
  </si>
  <si>
    <t>14/15</t>
  </si>
  <si>
    <t>James Rodriguez</t>
  </si>
  <si>
    <t>Ludogorets Razgrad</t>
  </si>
  <si>
    <t>SD Eibar</t>
  </si>
  <si>
    <t>Marc Bartra</t>
  </si>
  <si>
    <t>Rafinha</t>
  </si>
  <si>
    <t>Luis Suarez</t>
  </si>
  <si>
    <t>AM</t>
  </si>
  <si>
    <t xml:space="preserve">RW </t>
  </si>
  <si>
    <t>Ivan Rakitic</t>
  </si>
  <si>
    <t>Toni Kroos</t>
  </si>
  <si>
    <t>Chicharito</t>
  </si>
  <si>
    <t>15/16</t>
  </si>
  <si>
    <t>5:4 AET</t>
  </si>
  <si>
    <t>Lucas Vazquez</t>
  </si>
  <si>
    <t xml:space="preserve">AM </t>
  </si>
  <si>
    <t>MalmÃƒÂ¶ FF</t>
  </si>
  <si>
    <t>UD Las Palmas</t>
  </si>
  <si>
    <t>Danilo</t>
  </si>
  <si>
    <t>CA River Plate</t>
  </si>
  <si>
    <t>Arda Turan</t>
  </si>
  <si>
    <t>Jese</t>
  </si>
  <si>
    <t>Munir El Haddadi</t>
  </si>
  <si>
    <t>VfL Wolfsburg</t>
  </si>
  <si>
    <t>16/17</t>
  </si>
  <si>
    <t>Lucas Digne</t>
  </si>
  <si>
    <t>Sergi Roberto</t>
  </si>
  <si>
    <t>CD Leganes</t>
  </si>
  <si>
    <t>alvaro Morata</t>
  </si>
  <si>
    <t>Nacho Fernandez</t>
  </si>
  <si>
    <t>Borussia MÃƒÂ¶nchengladbach</t>
  </si>
  <si>
    <t>CF America</t>
  </si>
  <si>
    <t>Kashima Antlers</t>
  </si>
  <si>
    <t>4:2 AET</t>
  </si>
  <si>
    <t>Mateo Kovacic</t>
  </si>
  <si>
    <t>Javier Mascherano</t>
  </si>
  <si>
    <t>Marco Asensio</t>
  </si>
  <si>
    <t>Casemiro</t>
  </si>
  <si>
    <t>17/18</t>
  </si>
  <si>
    <t>Paco Alcacer</t>
  </si>
  <si>
    <t>Aleix Vidal</t>
  </si>
  <si>
    <t>Paulinho</t>
  </si>
  <si>
    <t>Denis Suarez</t>
  </si>
  <si>
    <t>Olympiacos Piraeus</t>
  </si>
  <si>
    <t xml:space="preserve">SS </t>
  </si>
  <si>
    <t>Borja Mayoral</t>
  </si>
  <si>
    <t>Al-Jazira (Abu Dhabi)</t>
  </si>
  <si>
    <t>GrÃƒÂªmio Foot-Ball Porto Alegrense</t>
  </si>
  <si>
    <t>Girona FC</t>
  </si>
  <si>
    <t>Ousmane Dembele</t>
  </si>
  <si>
    <t>Philippe Coutinho</t>
  </si>
  <si>
    <t>90+7</t>
  </si>
  <si>
    <t>18/19</t>
  </si>
  <si>
    <t>SD Huesca</t>
  </si>
  <si>
    <t>Serie A</t>
  </si>
  <si>
    <t>US Sassuolo</t>
  </si>
  <si>
    <t>Emre Can</t>
  </si>
  <si>
    <t>PSV Eindhoven</t>
  </si>
  <si>
    <t>Frosinone Calcio</t>
  </si>
  <si>
    <t>Arturo Vidal</t>
  </si>
  <si>
    <t>Udinese Calcio</t>
  </si>
  <si>
    <t>Mario Mandzukic</t>
  </si>
  <si>
    <t>Genoa CFC</t>
  </si>
  <si>
    <t xml:space="preserve">Empoli FC </t>
  </si>
  <si>
    <t>Blaise Matuidi</t>
  </si>
  <si>
    <t>Leonardo Bonucci</t>
  </si>
  <si>
    <t>SPAL</t>
  </si>
  <si>
    <t>Miralem Pjanic</t>
  </si>
  <si>
    <t>ACF Fiorentina</t>
  </si>
  <si>
    <t>Torino FC</t>
  </si>
  <si>
    <t>Atalanta BC</t>
  </si>
  <si>
    <t>Giorgio Chiellini</t>
  </si>
  <si>
    <t>UC Sampdoria</t>
  </si>
  <si>
    <t>Paulo Dybala</t>
  </si>
  <si>
    <t>Supercoppa Italiana</t>
  </si>
  <si>
    <t>Nelson Semedo</t>
  </si>
  <si>
    <t>SS Lazio</t>
  </si>
  <si>
    <t>Parma Calcio 1913</t>
  </si>
  <si>
    <t>Federico Bernardeschi</t>
  </si>
  <si>
    <t>JoÃƒÂ£o Cancelo</t>
  </si>
  <si>
    <t>Malcom</t>
  </si>
  <si>
    <t>Inter Milan</t>
  </si>
  <si>
    <t>Leonardo Spinazzola</t>
  </si>
  <si>
    <t>Clement Lenglet</t>
  </si>
  <si>
    <t>19/20</t>
  </si>
  <si>
    <t>SSC Napoli</t>
  </si>
  <si>
    <t>Douglas Costa</t>
  </si>
  <si>
    <t>Hellas Verona</t>
  </si>
  <si>
    <t>Antoine Griezmann</t>
  </si>
  <si>
    <t>Bologna FC 1909</t>
  </si>
  <si>
    <t>SK Slavia Prague</t>
  </si>
  <si>
    <t>Arthur</t>
  </si>
  <si>
    <t>Rodrigo Bentancur</t>
  </si>
  <si>
    <t>Alex Sandro</t>
  </si>
  <si>
    <t>Cagliari Calcio</t>
  </si>
  <si>
    <t>Italy Cup</t>
  </si>
  <si>
    <t>Frenkie de Jong</t>
  </si>
  <si>
    <t>Juan Cuadrado</t>
  </si>
  <si>
    <t>US Lecce</t>
  </si>
  <si>
    <t>Riqui Puig</t>
  </si>
  <si>
    <t>45+7</t>
  </si>
  <si>
    <t>20/21</t>
  </si>
  <si>
    <t>Aaron Ramsey</t>
  </si>
  <si>
    <t>Ferencvarosi TC</t>
  </si>
  <si>
    <t>Spezia Calcio</t>
  </si>
  <si>
    <t>Merih Demiral</t>
  </si>
  <si>
    <t>Francisco TrincÃƒÂ£o</t>
  </si>
  <si>
    <t>45+4</t>
  </si>
  <si>
    <t>Pedri</t>
  </si>
  <si>
    <t>Cadiz CF</t>
  </si>
  <si>
    <t>FC Crotone</t>
  </si>
  <si>
    <t>Martin Braithwaite</t>
  </si>
  <si>
    <t>Ilaix Moriba</t>
  </si>
  <si>
    <t>Federico Chiesa</t>
  </si>
  <si>
    <t>Adrien Rabiot</t>
  </si>
  <si>
    <t>21/22</t>
  </si>
  <si>
    <t>Luke Shaw</t>
  </si>
  <si>
    <t>BSC Young Boys</t>
  </si>
  <si>
    <t>Bruno Fernandes</t>
  </si>
  <si>
    <t>Kylian Mbappe</t>
  </si>
  <si>
    <t>Jesse Lingard</t>
  </si>
  <si>
    <t>RB Leipzig</t>
  </si>
  <si>
    <t>Mason Greenwood</t>
  </si>
  <si>
    <t>Ligue 1</t>
  </si>
  <si>
    <t>FC Nantes</t>
  </si>
  <si>
    <t>Marcus Rashford</t>
  </si>
  <si>
    <t>Club Brugge KV</t>
  </si>
  <si>
    <t>Norwich City</t>
  </si>
  <si>
    <t>Burnley FC</t>
  </si>
  <si>
    <t>LOSC Lille</t>
  </si>
  <si>
    <t>Brighton &amp; Hove Albion</t>
  </si>
  <si>
    <t>Scott McTominay</t>
  </si>
  <si>
    <t>Alex Telles</t>
  </si>
  <si>
    <t>Jadon Sancho</t>
  </si>
  <si>
    <t>Fred</t>
  </si>
  <si>
    <t>FC Lorient</t>
  </si>
  <si>
    <t>Anthony Elanga</t>
  </si>
  <si>
    <t>Nemanja MatiÃ„â€¡</t>
  </si>
  <si>
    <t>RC Lens</t>
  </si>
  <si>
    <t>Brentford FC</t>
  </si>
  <si>
    <t>Montpellier</t>
  </si>
  <si>
    <t>Kylian MbappÃ©</t>
  </si>
  <si>
    <t>22/23</t>
  </si>
  <si>
    <t>Trophï¿½e des Champions</t>
  </si>
  <si>
    <t>TrophÃ©e des Champions</t>
  </si>
  <si>
    <t>Clermont Foot</t>
  </si>
  <si>
    <t>Leandro Paredes</t>
  </si>
  <si>
    <t>Nuno Mendes</t>
  </si>
  <si>
    <t>Champions League</t>
  </si>
  <si>
    <t>Maccabi Haifa</t>
  </si>
  <si>
    <t>Europa League</t>
  </si>
  <si>
    <t>FC Sheriff</t>
  </si>
  <si>
    <t>OGC Nice</t>
  </si>
  <si>
    <t>SL Benfica</t>
  </si>
  <si>
    <t>AC Ajaccio</t>
  </si>
  <si>
    <t>ESTAC Troyes</t>
  </si>
  <si>
    <t>Montpellier HSC</t>
  </si>
  <si>
    <t>FabiÃ¡n Ruiz</t>
  </si>
  <si>
    <t>Saudi Pro League</t>
  </si>
  <si>
    <t>Al-Nassr FC</t>
  </si>
  <si>
    <t>Al-Fateh</t>
  </si>
  <si>
    <t>FC Toulouse</t>
  </si>
  <si>
    <t>Achraf Hakimi</t>
  </si>
  <si>
    <t>Al-Wehda FC</t>
  </si>
  <si>
    <t>Abdulrahman Ghareeb</t>
  </si>
  <si>
    <t>Sami Al-Najei</t>
  </si>
  <si>
    <t xml:space="preserve">	</t>
  </si>
  <si>
    <t>Damac FC</t>
  </si>
  <si>
    <t>Ayman Yahya</t>
  </si>
  <si>
    <t>Sultan Al-Ghannam</t>
  </si>
  <si>
    <t>Abha Club</t>
  </si>
  <si>
    <t>Solo Goals</t>
  </si>
  <si>
    <t>Home Team Score</t>
  </si>
  <si>
    <t>Away Team Score</t>
  </si>
  <si>
    <t>Win/Lose</t>
  </si>
  <si>
    <t>03</t>
  </si>
  <si>
    <t>00</t>
  </si>
  <si>
    <t>01</t>
  </si>
  <si>
    <t>02</t>
  </si>
  <si>
    <t>04</t>
  </si>
  <si>
    <t>08</t>
  </si>
  <si>
    <t>05</t>
  </si>
  <si>
    <t>07</t>
  </si>
  <si>
    <t>06</t>
  </si>
  <si>
    <t>09</t>
  </si>
  <si>
    <t>10</t>
  </si>
  <si>
    <t>Row Labels</t>
  </si>
  <si>
    <t>Grand Total</t>
  </si>
  <si>
    <t>Count of Player</t>
  </si>
  <si>
    <t>Column Labels</t>
  </si>
  <si>
    <t>Lose</t>
  </si>
  <si>
    <t>Tie</t>
  </si>
  <si>
    <t>Win</t>
  </si>
  <si>
    <t>2002</t>
  </si>
  <si>
    <t>2003</t>
  </si>
  <si>
    <t>2004</t>
  </si>
  <si>
    <t>2005</t>
  </si>
  <si>
    <t>2006</t>
  </si>
  <si>
    <t>2007</t>
  </si>
  <si>
    <t>2008</t>
  </si>
  <si>
    <t>2009</t>
  </si>
  <si>
    <t>2010</t>
  </si>
  <si>
    <t>2011</t>
  </si>
  <si>
    <t>2012</t>
  </si>
  <si>
    <t>2013</t>
  </si>
  <si>
    <t>2014</t>
  </si>
  <si>
    <t>2015</t>
  </si>
  <si>
    <t>2016</t>
  </si>
  <si>
    <t>2017</t>
  </si>
  <si>
    <t>2018</t>
  </si>
  <si>
    <t>2019</t>
  </si>
  <si>
    <t>2020</t>
  </si>
  <si>
    <t>2021</t>
  </si>
  <si>
    <t>2022</t>
  </si>
  <si>
    <t>2023</t>
  </si>
  <si>
    <t>Total Solo Goals</t>
  </si>
  <si>
    <t>Total Goals by assists</t>
  </si>
  <si>
    <t>Conclusion</t>
  </si>
  <si>
    <t>*From this analysis we get to know that Cristiano Ronaldo has scored more number of Solo Goals compared to Lionel Messi</t>
  </si>
  <si>
    <t>*Also, we got to know that Lionel Messi has scored more number of Goals through Assists compared to Christiano Ronaldo</t>
  </si>
  <si>
    <t>*From this analysis, we got to know that Lionel Messi had scored more number of goals in his club career for FC Barcelona</t>
  </si>
  <si>
    <t>*Whereas, Cristiano Ronaldo had scored more number of goals in his career for Real Madrid</t>
  </si>
  <si>
    <t>*From this analysis, we can say that both Lionel Messi and Cristiano Ronaldo have scored maximum number of goals in the winning cause followed by loosing cause</t>
  </si>
  <si>
    <t>*From this analysis, we can say that Cristiano Ronaldo had scored maximum number of goals for Real Madrid in the winning cause followed Manchester United</t>
  </si>
  <si>
    <t>*Lionel Messi had scored maximum number of goals for FC Barcelona in the winning cause followed by Paris Saint-German FC</t>
  </si>
  <si>
    <t>*Lionel Messi and Cristiano Ronaldo had also maximum number of goals in the loosing cause for same clubs</t>
  </si>
  <si>
    <t>*Lionel Messi had scored a record number of goals(79) in the year 2012</t>
  </si>
  <si>
    <t>*Cristiano Ronaldo's peak year was 2013 with 59 goals whereas Lionel Messi had a massive drop (39 goals) in the same year</t>
  </si>
  <si>
    <t>*We can observe that, in Cristiano's entire club career, he had scored majority goals of Right-footed shots with a dominating share of 36%</t>
  </si>
  <si>
    <t>*His second-most dominating goals were from Penalties with a share of 19%</t>
  </si>
  <si>
    <t>*Ronaldo had scored highest number of goals(17) at 90th minute of the game in his entire club career</t>
  </si>
  <si>
    <t>*Lionel Messi had scored highest number of goals(14) at 55th minute of the game in his entire club career</t>
  </si>
  <si>
    <t>*Cristiano Ronaldo had scored most number of goals(255) in the fashion of Right-footed shot in his entire club career</t>
  </si>
  <si>
    <t>*Lionel Messi had scored most number of goals(436) in the fashion of Left-footed shot in his entire entire club career</t>
  </si>
  <si>
    <t>*His second major scoring fashion was through Penalties with a sum of 133 goals</t>
  </si>
  <si>
    <t>*His second major scoring fashion was Right-footed shot with a sum of 86 goals</t>
  </si>
  <si>
    <t>*Lionel Messi had scored most number of goals(38) against Sevilla FC in his entire club career</t>
  </si>
  <si>
    <t>*Cristiano Ronaldo had also scored most number of goals(27) against Sevilla FC in his entire club career</t>
  </si>
  <si>
    <t>*Both of them had scored equal number of least goals against multiple teams</t>
  </si>
  <si>
    <t>*Lionel Messi had scored highest number of goals(276) by playing as Centre Forward in his club career followed by Right Winger with 221 goals</t>
  </si>
  <si>
    <t>*Cristiano Ronaldo had scored highest number of goals(359) by playing as Left Winger in his club career followed by Centre Forward with 217 goals</t>
  </si>
  <si>
    <t>*Both Lionel Messi and Cristiano Ronaldo had scored highest number of goals in LaLiga with 474 and 311 goals respectively</t>
  </si>
  <si>
    <t>*Lionel Messi dominated in LaLiga whereas Cristiano Ronaldo dominated in UEFA Champions League</t>
  </si>
  <si>
    <t>*They both had have second highest number of goals in UEFA Champions League with 128 and 140 goals respectively</t>
  </si>
  <si>
    <t>*Both have highest number of goals in the group stage where Lionel Messi had scored 80 goals and Cristiano Ronaldo had scored 75 goals.</t>
  </si>
  <si>
    <t>*Both have their second highest goals in Last 16 with 45 and 34 goals respectively</t>
  </si>
  <si>
    <t>*Lionel Messi have clear domination when it comes to Final. He have 33 goals where Cristiano Ronaldo have 20 goals</t>
  </si>
  <si>
    <t>Topic</t>
  </si>
  <si>
    <t>Original Dataset</t>
  </si>
  <si>
    <t>Cleaned Dataset</t>
  </si>
  <si>
    <t>Data Prepared for Analysis</t>
  </si>
  <si>
    <t>Performance Evaluation</t>
  </si>
  <si>
    <t>Club wise Performance Evaluation</t>
  </si>
  <si>
    <t>Impact Analysis of Players</t>
  </si>
  <si>
    <t>Club wise Impact Analysis of players on the result of game</t>
  </si>
  <si>
    <t>Trend of Consistency over years</t>
  </si>
  <si>
    <t>Scoring Technique Analysis of players</t>
  </si>
  <si>
    <t>Time Analysis</t>
  </si>
  <si>
    <t>Opponent Analysis</t>
  </si>
  <si>
    <t>Playing Position Analysis</t>
  </si>
  <si>
    <t>League wise Performance Evalution</t>
  </si>
  <si>
    <t>Performance Evaluation based on Matchday</t>
  </si>
  <si>
    <t>About</t>
  </si>
  <si>
    <t xml:space="preserve">This sheet contains the raw dataset which has been retrieved for the data analysis from kaggle.com </t>
  </si>
  <si>
    <t>This sheet contains the dataset which has been cleaned so that the analysis will be done in an easy way</t>
  </si>
  <si>
    <t>This sheet contains the dataset which has been prepared for the analysis of the dataset</t>
  </si>
  <si>
    <t xml:space="preserve">This sheet contains the performance stats, such as number of goals scored through assists and number of solo goals, of Lionel Messi and Cristiano Ronaldo </t>
  </si>
  <si>
    <t xml:space="preserve">This sheet contains the performance stats of Lionel Messi and Cristiano Ronaldo for their respective clubs </t>
  </si>
  <si>
    <t>This sheet contains the impact of players i.e. number of goals they had scored in winning, losing, drawn cause</t>
  </si>
  <si>
    <t>This sheet also contains the impact of players but in the perspective of clubs</t>
  </si>
  <si>
    <t>This sheet contains number of goals that each player scored in a respective year</t>
  </si>
  <si>
    <t>This sheet contains number of goals that a player has scored through each technique such as left-foot, right-foot, penalty, etc</t>
  </si>
  <si>
    <t>This sheet contains number of goals that a player had scored at a particular minute of all matches.</t>
  </si>
  <si>
    <t>This sheet contains number of goals that a player had scored against a particular opponent. Basically this depicts which team is favourite for each player</t>
  </si>
  <si>
    <t>This sheet contains number of goals that each player had achieved at a particular position</t>
  </si>
  <si>
    <t>This sheet contains number of goals scored by a player in different leagues</t>
  </si>
  <si>
    <t>This sheet contains number of goals scored by a player on different matchtype such as Final, Group stage, Semi Final, etc</t>
  </si>
  <si>
    <r>
      <rPr>
        <b/>
        <sz val="16"/>
        <color theme="1"/>
        <rFont val="Calibri"/>
        <family val="2"/>
        <scheme val="minor"/>
      </rPr>
      <t xml:space="preserve">Note : </t>
    </r>
    <r>
      <rPr>
        <sz val="16"/>
        <color theme="1"/>
        <rFont val="Calibri"/>
        <family val="2"/>
        <scheme val="minor"/>
      </rPr>
      <t>Every sheet mentioned contains analysis along with proper conclusion based on the analysis</t>
    </r>
  </si>
  <si>
    <t>The dataset contains the data between 2002 to 2023</t>
  </si>
  <si>
    <t>Exception for Goal_assists</t>
  </si>
  <si>
    <t>The dashboard contains the combined analysis of the dataset from different sheets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</si>
</sst>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9" x14ac:knownFonts="1">
    <font>
      <sz val="14"/>
      <color theme="1"/>
      <name val="Calibri"/>
      <family val="2"/>
      <scheme val="minor"/>
    </font>
    <font>
      <b/>
      <sz val="14"/>
      <color theme="0"/>
      <name val="Calibri"/>
      <family val="2"/>
      <scheme val="minor"/>
    </font>
    <font>
      <b/>
      <sz val="18"/>
      <color theme="1"/>
      <name val="Calibri"/>
      <family val="2"/>
      <scheme val="minor"/>
    </font>
    <font>
      <sz val="16"/>
      <color theme="1"/>
      <name val="Calibri"/>
      <family val="2"/>
      <scheme val="minor"/>
    </font>
    <font>
      <b/>
      <sz val="24"/>
      <color theme="1"/>
      <name val="Calibri"/>
      <family val="2"/>
      <scheme val="minor"/>
    </font>
    <font>
      <sz val="20"/>
      <color theme="1"/>
      <name val="Calibri"/>
      <family val="2"/>
      <scheme val="minor"/>
    </font>
    <font>
      <u/>
      <sz val="14"/>
      <color theme="10"/>
      <name val="Calibri"/>
      <family val="2"/>
      <scheme val="minor"/>
    </font>
    <font>
      <b/>
      <sz val="16"/>
      <color theme="1"/>
      <name val="Calibri"/>
      <family val="2"/>
      <scheme val="minor"/>
    </font>
    <font>
      <sz val="12"/>
      <color theme="1"/>
      <name val="Calibri"/>
      <family val="2"/>
      <scheme val="minor"/>
    </font>
  </fonts>
  <fills count="4">
    <fill>
      <patternFill patternType="none"/>
    </fill>
    <fill>
      <patternFill patternType="gray125"/>
    </fill>
    <fill>
      <patternFill patternType="solid">
        <fgColor theme="4"/>
        <bgColor theme="4"/>
      </patternFill>
    </fill>
    <fill>
      <patternFill patternType="solid">
        <fgColor theme="1"/>
        <bgColor indexed="64"/>
      </patternFill>
    </fill>
  </fills>
  <borders count="4">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6" fillId="0" borderId="0" applyNumberFormat="0" applyFill="0" applyBorder="0" applyAlignment="0" applyProtection="0"/>
  </cellStyleXfs>
  <cellXfs count="21">
    <xf numFmtId="0" fontId="0" fillId="0" borderId="0" xfId="0"/>
    <xf numFmtId="16" fontId="0" fillId="0" borderId="0" xfId="0" applyNumberFormat="1"/>
    <xf numFmtId="14" fontId="0" fillId="0" borderId="0" xfId="0" applyNumberFormat="1"/>
    <xf numFmtId="20" fontId="0" fillId="0" borderId="0" xfId="0" applyNumberFormat="1"/>
    <xf numFmtId="17" fontId="0" fillId="0" borderId="0" xfId="0" applyNumberFormat="1"/>
    <xf numFmtId="0" fontId="1" fillId="2" borderId="1" xfId="0" applyFont="1" applyFill="1" applyBorder="1"/>
    <xf numFmtId="0" fontId="1" fillId="2" borderId="2" xfId="0" applyFont="1" applyFill="1" applyBorder="1"/>
    <xf numFmtId="0" fontId="1" fillId="2" borderId="3" xfId="0" applyFont="1" applyFill="1" applyBorder="1"/>
    <xf numFmtId="164" fontId="0" fillId="0" borderId="0" xfId="0" applyNumberFormat="1"/>
    <xf numFmtId="0" fontId="0" fillId="0" borderId="0" xfId="0" applyAlignment="1">
      <alignment wrapText="1"/>
    </xf>
    <xf numFmtId="0" fontId="0" fillId="0" borderId="0" xfId="0" pivotButton="1"/>
    <xf numFmtId="0" fontId="0" fillId="0" borderId="0" xfId="0" applyAlignment="1">
      <alignment horizontal="left"/>
    </xf>
    <xf numFmtId="0" fontId="0" fillId="0" borderId="0" xfId="0" applyAlignment="1">
      <alignment horizontal="left" indent="1"/>
    </xf>
    <xf numFmtId="0" fontId="2" fillId="0" borderId="0" xfId="0" applyFont="1"/>
    <xf numFmtId="0" fontId="3" fillId="0" borderId="0" xfId="0" applyFont="1"/>
    <xf numFmtId="0" fontId="4" fillId="0" borderId="0" xfId="0" applyFont="1"/>
    <xf numFmtId="0" fontId="5" fillId="0" borderId="0" xfId="0" applyFont="1"/>
    <xf numFmtId="0" fontId="0" fillId="3" borderId="0" xfId="0" applyFill="1"/>
    <xf numFmtId="0" fontId="0" fillId="3" borderId="0" xfId="0" applyFill="1" applyAlignment="1">
      <alignment horizontal="center"/>
    </xf>
    <xf numFmtId="0" fontId="6" fillId="0" borderId="0" xfId="1"/>
    <xf numFmtId="0" fontId="8" fillId="0" borderId="0" xfId="0" applyFont="1"/>
  </cellXfs>
  <cellStyles count="2">
    <cellStyle name="Hyperlink" xfId="1" builtinId="8"/>
    <cellStyle name="Normal" xfId="0" builtinId="0"/>
  </cellStyles>
  <dxfs count="13">
    <dxf>
      <numFmt numFmtId="25" formatCode="hh:mm"/>
    </dxf>
    <dxf>
      <numFmt numFmtId="164" formatCode="00"/>
    </dxf>
    <dxf>
      <numFmt numFmtId="164" formatCode="00"/>
    </dxf>
    <dxf>
      <numFmt numFmtId="164" formatCode="00"/>
    </dxf>
    <dxf>
      <numFmt numFmtId="25" formatCode="hh:mm"/>
    </dxf>
    <dxf>
      <numFmt numFmtId="19" formatCode="dd/mm/yyyy"/>
    </dxf>
    <dxf>
      <numFmt numFmtId="0" formatCode="General"/>
    </dxf>
    <dxf>
      <numFmt numFmtId="25" formatCode="hh:mm"/>
    </dxf>
    <dxf>
      <numFmt numFmtId="25" formatCode="hh:mm"/>
    </dxf>
    <dxf>
      <numFmt numFmtId="19" formatCode="dd/mm/yyyy"/>
    </dxf>
    <dxf>
      <numFmt numFmtId="25" formatCode="hh:mm"/>
    </dxf>
    <dxf>
      <numFmt numFmtId="25" formatCode="hh:mm"/>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2.xml"/><Relationship Id="rId39" Type="http://schemas.openxmlformats.org/officeDocument/2006/relationships/calcChain" Target="calcChain.xml"/><Relationship Id="rId21" Type="http://schemas.openxmlformats.org/officeDocument/2006/relationships/worksheet" Target="worksheets/sheet21.xml"/><Relationship Id="rId34" Type="http://schemas.microsoft.com/office/2007/relationships/slicerCache" Target="slicerCaches/slicerCache10.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microsoft.com/office/2007/relationships/slicerCache" Target="slicerCaches/slicerCache8.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07/relationships/slicerCache" Target="slicerCaches/slicerCache4.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11/relationships/timelineCache" Target="timelineCaches/timelineCach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[analysis.xlsm]Performance Evaluation!PivotTable1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Performance Evaluation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'Performance Evaluation'!$B$3</c:f>
              <c:strCache>
                <c:ptCount val="1"/>
                <c:pt idx="0">
                  <c:v>Total Solo Goals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Evaluation'!$A$4:$A$6</c:f>
              <c:strCache>
                <c:ptCount val="2"/>
                <c:pt idx="0">
                  <c:v>Cristiano Ronaldo</c:v>
                </c:pt>
                <c:pt idx="1">
                  <c:v>Lionel Messi</c:v>
                </c:pt>
              </c:strCache>
            </c:strRef>
          </c:cat>
          <c:val>
            <c:numRef>
              <c:f>'Performance Evaluation'!$B$4:$B$6</c:f>
              <c:numCache>
                <c:formatCode>General</c:formatCode>
                <c:ptCount val="2"/>
                <c:pt idx="0">
                  <c:v>246</c:v>
                </c:pt>
                <c:pt idx="1">
                  <c:v>214</c:v>
                </c:pt>
              </c:numCache>
            </c:numRef>
          </c:val>
          <c:extLst>
            <c:ext xmlns:c16="http://schemas.microsoft.com/office/drawing/2014/chart" uri="{C3380CC4-5D6E-409C-BE32-E72D297353CC}">
              <c16:uniqueId val="{00000000-7F97-4B4C-B44B-07D0A3C56FB2}"/>
            </c:ext>
          </c:extLst>
        </c:ser>
        <c:ser>
          <c:idx val="1"/>
          <c:order val="1"/>
          <c:tx>
            <c:strRef>
              <c:f>'Performance Evaluation'!$C$3</c:f>
              <c:strCache>
                <c:ptCount val="1"/>
                <c:pt idx="0">
                  <c:v>Total Goals by assists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Evaluation'!$A$4:$A$6</c:f>
              <c:strCache>
                <c:ptCount val="2"/>
                <c:pt idx="0">
                  <c:v>Cristiano Ronaldo</c:v>
                </c:pt>
                <c:pt idx="1">
                  <c:v>Lionel Messi</c:v>
                </c:pt>
              </c:strCache>
            </c:strRef>
          </c:cat>
          <c:val>
            <c:numRef>
              <c:f>'Performance Evaluation'!$C$4:$C$6</c:f>
              <c:numCache>
                <c:formatCode>General</c:formatCode>
                <c:ptCount val="2"/>
                <c:pt idx="0">
                  <c:v>464</c:v>
                </c:pt>
                <c:pt idx="1">
                  <c:v>489</c:v>
                </c:pt>
              </c:numCache>
            </c:numRef>
          </c:val>
          <c:extLst>
            <c:ext xmlns:c16="http://schemas.microsoft.com/office/drawing/2014/chart" uri="{C3380CC4-5D6E-409C-BE32-E72D297353CC}">
              <c16:uniqueId val="{00000000-74F6-418A-A908-5EB0674FEEA7}"/>
            </c:ext>
          </c:extLst>
        </c:ser>
        <c:dLbls>
          <c:showLegendKey val="0"/>
          <c:showVal val="0"/>
          <c:showCatName val="0"/>
          <c:showSerName val="0"/>
          <c:showPercent val="0"/>
          <c:showBubbleSize val="0"/>
        </c:dLbls>
        <c:gapWidth val="100"/>
        <c:overlap val="-24"/>
        <c:axId val="83743647"/>
        <c:axId val="83744127"/>
      </c:barChart>
      <c:catAx>
        <c:axId val="83743647"/>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Player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3744127"/>
        <c:crosses val="autoZero"/>
        <c:auto val="1"/>
        <c:lblAlgn val="ctr"/>
        <c:lblOffset val="100"/>
        <c:noMultiLvlLbl val="0"/>
      </c:catAx>
      <c:valAx>
        <c:axId val="83744127"/>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37436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[analysis.xlsm]Performance Evaluation(Club)!PivotTable2</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Club wise Performance Evaluation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'Performance Evaluation(Club)'!$B$3:$B$4</c:f>
              <c:strCache>
                <c:ptCount val="1"/>
                <c:pt idx="0">
                  <c:v>Al-Nassr FC</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Evaluation(Club)'!$A$5:$A$7</c:f>
              <c:strCache>
                <c:ptCount val="2"/>
                <c:pt idx="0">
                  <c:v>Cristiano Ronaldo</c:v>
                </c:pt>
                <c:pt idx="1">
                  <c:v>Lionel Messi</c:v>
                </c:pt>
              </c:strCache>
            </c:strRef>
          </c:cat>
          <c:val>
            <c:numRef>
              <c:f>'Performance Evaluation(Club)'!$B$5:$B$7</c:f>
              <c:numCache>
                <c:formatCode>General</c:formatCode>
                <c:ptCount val="2"/>
                <c:pt idx="0">
                  <c:v>9</c:v>
                </c:pt>
              </c:numCache>
            </c:numRef>
          </c:val>
          <c:extLst>
            <c:ext xmlns:c16="http://schemas.microsoft.com/office/drawing/2014/chart" uri="{C3380CC4-5D6E-409C-BE32-E72D297353CC}">
              <c16:uniqueId val="{00000000-C67F-4859-AD83-A0BA1A1E70C5}"/>
            </c:ext>
          </c:extLst>
        </c:ser>
        <c:ser>
          <c:idx val="1"/>
          <c:order val="1"/>
          <c:tx>
            <c:strRef>
              <c:f>'Performance Evaluation(Club)'!$C$3:$C$4</c:f>
              <c:strCache>
                <c:ptCount val="1"/>
                <c:pt idx="0">
                  <c:v>FC Barcelona</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Evaluation(Club)'!$A$5:$A$7</c:f>
              <c:strCache>
                <c:ptCount val="2"/>
                <c:pt idx="0">
                  <c:v>Cristiano Ronaldo</c:v>
                </c:pt>
                <c:pt idx="1">
                  <c:v>Lionel Messi</c:v>
                </c:pt>
              </c:strCache>
            </c:strRef>
          </c:cat>
          <c:val>
            <c:numRef>
              <c:f>'Performance Evaluation(Club)'!$C$5:$C$7</c:f>
              <c:numCache>
                <c:formatCode>General</c:formatCode>
                <c:ptCount val="2"/>
                <c:pt idx="1">
                  <c:v>672</c:v>
                </c:pt>
              </c:numCache>
            </c:numRef>
          </c:val>
          <c:extLst>
            <c:ext xmlns:c16="http://schemas.microsoft.com/office/drawing/2014/chart" uri="{C3380CC4-5D6E-409C-BE32-E72D297353CC}">
              <c16:uniqueId val="{00000023-5CD5-41BB-B5C4-9A560BE3BB88}"/>
            </c:ext>
          </c:extLst>
        </c:ser>
        <c:ser>
          <c:idx val="2"/>
          <c:order val="2"/>
          <c:tx>
            <c:strRef>
              <c:f>'Performance Evaluation(Club)'!$D$3:$D$4</c:f>
              <c:strCache>
                <c:ptCount val="1"/>
                <c:pt idx="0">
                  <c:v>Juventus FC</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Evaluation(Club)'!$A$5:$A$7</c:f>
              <c:strCache>
                <c:ptCount val="2"/>
                <c:pt idx="0">
                  <c:v>Cristiano Ronaldo</c:v>
                </c:pt>
                <c:pt idx="1">
                  <c:v>Lionel Messi</c:v>
                </c:pt>
              </c:strCache>
            </c:strRef>
          </c:cat>
          <c:val>
            <c:numRef>
              <c:f>'Performance Evaluation(Club)'!$D$5:$D$7</c:f>
              <c:numCache>
                <c:formatCode>General</c:formatCode>
                <c:ptCount val="2"/>
                <c:pt idx="0">
                  <c:v>101</c:v>
                </c:pt>
              </c:numCache>
            </c:numRef>
          </c:val>
          <c:extLst>
            <c:ext xmlns:c16="http://schemas.microsoft.com/office/drawing/2014/chart" uri="{C3380CC4-5D6E-409C-BE32-E72D297353CC}">
              <c16:uniqueId val="{00000032-5CD5-41BB-B5C4-9A560BE3BB88}"/>
            </c:ext>
          </c:extLst>
        </c:ser>
        <c:ser>
          <c:idx val="3"/>
          <c:order val="3"/>
          <c:tx>
            <c:strRef>
              <c:f>'Performance Evaluation(Club)'!$E$3:$E$4</c:f>
              <c:strCache>
                <c:ptCount val="1"/>
                <c:pt idx="0">
                  <c:v>Manchester United</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Evaluation(Club)'!$A$5:$A$7</c:f>
              <c:strCache>
                <c:ptCount val="2"/>
                <c:pt idx="0">
                  <c:v>Cristiano Ronaldo</c:v>
                </c:pt>
                <c:pt idx="1">
                  <c:v>Lionel Messi</c:v>
                </c:pt>
              </c:strCache>
            </c:strRef>
          </c:cat>
          <c:val>
            <c:numRef>
              <c:f>'Performance Evaluation(Club)'!$E$5:$E$7</c:f>
              <c:numCache>
                <c:formatCode>General</c:formatCode>
                <c:ptCount val="2"/>
                <c:pt idx="0">
                  <c:v>145</c:v>
                </c:pt>
              </c:numCache>
            </c:numRef>
          </c:val>
          <c:extLst>
            <c:ext xmlns:c16="http://schemas.microsoft.com/office/drawing/2014/chart" uri="{C3380CC4-5D6E-409C-BE32-E72D297353CC}">
              <c16:uniqueId val="{00000033-5CD5-41BB-B5C4-9A560BE3BB88}"/>
            </c:ext>
          </c:extLst>
        </c:ser>
        <c:ser>
          <c:idx val="4"/>
          <c:order val="4"/>
          <c:tx>
            <c:strRef>
              <c:f>'Performance Evaluation(Club)'!$F$3:$F$4</c:f>
              <c:strCache>
                <c:ptCount val="1"/>
                <c:pt idx="0">
                  <c:v>Paris Saint-Germain</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Evaluation(Club)'!$A$5:$A$7</c:f>
              <c:strCache>
                <c:ptCount val="2"/>
                <c:pt idx="0">
                  <c:v>Cristiano Ronaldo</c:v>
                </c:pt>
                <c:pt idx="1">
                  <c:v>Lionel Messi</c:v>
                </c:pt>
              </c:strCache>
            </c:strRef>
          </c:cat>
          <c:val>
            <c:numRef>
              <c:f>'Performance Evaluation(Club)'!$F$5:$F$7</c:f>
              <c:numCache>
                <c:formatCode>General</c:formatCode>
                <c:ptCount val="2"/>
                <c:pt idx="1">
                  <c:v>31</c:v>
                </c:pt>
              </c:numCache>
            </c:numRef>
          </c:val>
          <c:extLst>
            <c:ext xmlns:c16="http://schemas.microsoft.com/office/drawing/2014/chart" uri="{C3380CC4-5D6E-409C-BE32-E72D297353CC}">
              <c16:uniqueId val="{00000034-5CD5-41BB-B5C4-9A560BE3BB88}"/>
            </c:ext>
          </c:extLst>
        </c:ser>
        <c:ser>
          <c:idx val="5"/>
          <c:order val="5"/>
          <c:tx>
            <c:strRef>
              <c:f>'Performance Evaluation(Club)'!$G$3:$G$4</c:f>
              <c:strCache>
                <c:ptCount val="1"/>
                <c:pt idx="0">
                  <c:v>Real Madrid</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Evaluation(Club)'!$A$5:$A$7</c:f>
              <c:strCache>
                <c:ptCount val="2"/>
                <c:pt idx="0">
                  <c:v>Cristiano Ronaldo</c:v>
                </c:pt>
                <c:pt idx="1">
                  <c:v>Lionel Messi</c:v>
                </c:pt>
              </c:strCache>
            </c:strRef>
          </c:cat>
          <c:val>
            <c:numRef>
              <c:f>'Performance Evaluation(Club)'!$G$5:$G$7</c:f>
              <c:numCache>
                <c:formatCode>General</c:formatCode>
                <c:ptCount val="2"/>
                <c:pt idx="0">
                  <c:v>450</c:v>
                </c:pt>
              </c:numCache>
            </c:numRef>
          </c:val>
          <c:extLst>
            <c:ext xmlns:c16="http://schemas.microsoft.com/office/drawing/2014/chart" uri="{C3380CC4-5D6E-409C-BE32-E72D297353CC}">
              <c16:uniqueId val="{00000035-5CD5-41BB-B5C4-9A560BE3BB88}"/>
            </c:ext>
          </c:extLst>
        </c:ser>
        <c:ser>
          <c:idx val="6"/>
          <c:order val="6"/>
          <c:tx>
            <c:strRef>
              <c:f>'Performance Evaluation(Club)'!$H$3:$H$4</c:f>
              <c:strCache>
                <c:ptCount val="1"/>
                <c:pt idx="0">
                  <c:v>Sporting CP</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Evaluation(Club)'!$A$5:$A$7</c:f>
              <c:strCache>
                <c:ptCount val="2"/>
                <c:pt idx="0">
                  <c:v>Cristiano Ronaldo</c:v>
                </c:pt>
                <c:pt idx="1">
                  <c:v>Lionel Messi</c:v>
                </c:pt>
              </c:strCache>
            </c:strRef>
          </c:cat>
          <c:val>
            <c:numRef>
              <c:f>'Performance Evaluation(Club)'!$H$5:$H$7</c:f>
              <c:numCache>
                <c:formatCode>General</c:formatCode>
                <c:ptCount val="2"/>
                <c:pt idx="0">
                  <c:v>5</c:v>
                </c:pt>
              </c:numCache>
            </c:numRef>
          </c:val>
          <c:extLst>
            <c:ext xmlns:c16="http://schemas.microsoft.com/office/drawing/2014/chart" uri="{C3380CC4-5D6E-409C-BE32-E72D297353CC}">
              <c16:uniqueId val="{00000036-5CD5-41BB-B5C4-9A560BE3BB88}"/>
            </c:ext>
          </c:extLst>
        </c:ser>
        <c:dLbls>
          <c:showLegendKey val="0"/>
          <c:showVal val="0"/>
          <c:showCatName val="0"/>
          <c:showSerName val="0"/>
          <c:showPercent val="0"/>
          <c:showBubbleSize val="0"/>
        </c:dLbls>
        <c:gapWidth val="100"/>
        <c:overlap val="-24"/>
        <c:axId val="1784033647"/>
        <c:axId val="1784034607"/>
      </c:barChart>
      <c:catAx>
        <c:axId val="1784033647"/>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Player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84034607"/>
        <c:crosses val="autoZero"/>
        <c:auto val="1"/>
        <c:lblAlgn val="ctr"/>
        <c:lblOffset val="100"/>
        <c:noMultiLvlLbl val="0"/>
      </c:catAx>
      <c:valAx>
        <c:axId val="1784034607"/>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840336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[analysis.xlsm]Impact Analysis!PivotTable3</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Impact</a:t>
            </a:r>
            <a:r>
              <a:rPr lang="en-IN" baseline="0"/>
              <a:t> Analysis</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'Impact Analysis'!$B$3:$B$4</c:f>
              <c:strCache>
                <c:ptCount val="1"/>
                <c:pt idx="0">
                  <c:v>Lose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'Impact Analysis'!$A$5:$A$7</c:f>
              <c:strCache>
                <c:ptCount val="2"/>
                <c:pt idx="0">
                  <c:v>Cristiano Ronaldo</c:v>
                </c:pt>
                <c:pt idx="1">
                  <c:v>Lionel Messi</c:v>
                </c:pt>
              </c:strCache>
            </c:strRef>
          </c:cat>
          <c:val>
            <c:numRef>
              <c:f>'Impact Analysis'!$B$5:$B$7</c:f>
              <c:numCache>
                <c:formatCode>General</c:formatCode>
                <c:ptCount val="2"/>
                <c:pt idx="0">
                  <c:v>264</c:v>
                </c:pt>
                <c:pt idx="1">
                  <c:v>254</c:v>
                </c:pt>
              </c:numCache>
            </c:numRef>
          </c:val>
          <c:extLst>
            <c:ext xmlns:c16="http://schemas.microsoft.com/office/drawing/2014/chart" uri="{C3380CC4-5D6E-409C-BE32-E72D297353CC}">
              <c16:uniqueId val="{00000000-A9CB-4FD3-AAAE-0A088AC420F6}"/>
            </c:ext>
          </c:extLst>
        </c:ser>
        <c:ser>
          <c:idx val="1"/>
          <c:order val="1"/>
          <c:tx>
            <c:strRef>
              <c:f>'Impact Analysis'!$C$3:$C$4</c:f>
              <c:strCache>
                <c:ptCount val="1"/>
                <c:pt idx="0">
                  <c:v>Tie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'Impact Analysis'!$A$5:$A$7</c:f>
              <c:strCache>
                <c:ptCount val="2"/>
                <c:pt idx="0">
                  <c:v>Cristiano Ronaldo</c:v>
                </c:pt>
                <c:pt idx="1">
                  <c:v>Lionel Messi</c:v>
                </c:pt>
              </c:strCache>
            </c:strRef>
          </c:cat>
          <c:val>
            <c:numRef>
              <c:f>'Impact Analysis'!$C$5:$C$7</c:f>
              <c:numCache>
                <c:formatCode>General</c:formatCode>
                <c:ptCount val="2"/>
                <c:pt idx="0">
                  <c:v>51</c:v>
                </c:pt>
                <c:pt idx="1">
                  <c:v>55</c:v>
                </c:pt>
              </c:numCache>
            </c:numRef>
          </c:val>
          <c:extLst>
            <c:ext xmlns:c16="http://schemas.microsoft.com/office/drawing/2014/chart" uri="{C3380CC4-5D6E-409C-BE32-E72D297353CC}">
              <c16:uniqueId val="{00000004-9EA4-4D05-BD10-11FF8AAA4E80}"/>
            </c:ext>
          </c:extLst>
        </c:ser>
        <c:ser>
          <c:idx val="2"/>
          <c:order val="2"/>
          <c:tx>
            <c:strRef>
              <c:f>'Impact Analysis'!$D$3:$D$4</c:f>
              <c:strCache>
                <c:ptCount val="1"/>
                <c:pt idx="0">
                  <c:v>Win</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'Impact Analysis'!$A$5:$A$7</c:f>
              <c:strCache>
                <c:ptCount val="2"/>
                <c:pt idx="0">
                  <c:v>Cristiano Ronaldo</c:v>
                </c:pt>
                <c:pt idx="1">
                  <c:v>Lionel Messi</c:v>
                </c:pt>
              </c:strCache>
            </c:strRef>
          </c:cat>
          <c:val>
            <c:numRef>
              <c:f>'Impact Analysis'!$D$5:$D$7</c:f>
              <c:numCache>
                <c:formatCode>General</c:formatCode>
                <c:ptCount val="2"/>
                <c:pt idx="0">
                  <c:v>395</c:v>
                </c:pt>
                <c:pt idx="1">
                  <c:v>394</c:v>
                </c:pt>
              </c:numCache>
            </c:numRef>
          </c:val>
          <c:extLst>
            <c:ext xmlns:c16="http://schemas.microsoft.com/office/drawing/2014/chart" uri="{C3380CC4-5D6E-409C-BE32-E72D297353CC}">
              <c16:uniqueId val="{00000005-9EA4-4D05-BD10-11FF8AAA4E80}"/>
            </c:ext>
          </c:extLst>
        </c:ser>
        <c:dLbls>
          <c:showLegendKey val="0"/>
          <c:showVal val="0"/>
          <c:showCatName val="0"/>
          <c:showSerName val="0"/>
          <c:showPercent val="0"/>
          <c:showBubbleSize val="0"/>
        </c:dLbls>
        <c:gapWidth val="100"/>
        <c:overlap val="-24"/>
        <c:axId val="446462143"/>
        <c:axId val="446453023"/>
      </c:barChart>
      <c:catAx>
        <c:axId val="44646214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Players</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53023"/>
        <c:crosses val="autoZero"/>
        <c:auto val="1"/>
        <c:lblAlgn val="ctr"/>
        <c:lblOffset val="100"/>
        <c:noMultiLvlLbl val="0"/>
      </c:catAx>
      <c:valAx>
        <c:axId val="44645302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621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[analysis.xlsm]Impact analysis club!PivotTable5</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Club wise Impact Analysis on the</a:t>
            </a:r>
            <a:r>
              <a:rPr lang="en-IN" baseline="0"/>
              <a:t> </a:t>
            </a:r>
            <a:r>
              <a:rPr lang="en-IN"/>
              <a:t>Result</a:t>
            </a:r>
            <a:r>
              <a:rPr lang="en-IN" baseline="0"/>
              <a:t> of the Game</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'Impact analysis club'!$B$3:$B$4</c:f>
              <c:strCache>
                <c:ptCount val="1"/>
                <c:pt idx="0">
                  <c:v>Al-Nassr FC</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'Impact analysis club'!$A$5:$A$13</c:f>
              <c:multiLvlStrCache>
                <c:ptCount val="6"/>
                <c:lvl>
                  <c:pt idx="0">
                    <c:v>Lose</c:v>
                  </c:pt>
                  <c:pt idx="1">
                    <c:v>Tie</c:v>
                  </c:pt>
                  <c:pt idx="2">
                    <c:v>Win</c:v>
                  </c:pt>
                  <c:pt idx="3">
                    <c:v>Lose</c:v>
                  </c:pt>
                  <c:pt idx="4">
                    <c:v>Tie</c:v>
                  </c:pt>
                  <c:pt idx="5">
                    <c:v>Win</c:v>
                  </c:pt>
                </c:lvl>
                <c:lvl>
                  <c:pt idx="0">
                    <c:v>Cristiano Ronaldo</c:v>
                  </c:pt>
                  <c:pt idx="3">
                    <c:v>Lionel Messi</c:v>
                  </c:pt>
                </c:lvl>
              </c:multiLvlStrCache>
            </c:multiLvlStrRef>
          </c:cat>
          <c:val>
            <c:numRef>
              <c:f>'Impact analysis club'!$B$5:$B$13</c:f>
              <c:numCache>
                <c:formatCode>General</c:formatCode>
                <c:ptCount val="6"/>
                <c:pt idx="0">
                  <c:v>7</c:v>
                </c:pt>
                <c:pt idx="1">
                  <c:v>1</c:v>
                </c:pt>
                <c:pt idx="2">
                  <c:v>1</c:v>
                </c:pt>
              </c:numCache>
            </c:numRef>
          </c:val>
          <c:extLst>
            <c:ext xmlns:c16="http://schemas.microsoft.com/office/drawing/2014/chart" uri="{C3380CC4-5D6E-409C-BE32-E72D297353CC}">
              <c16:uniqueId val="{00000000-7AFA-41B8-B4DF-E6B9EF05EC98}"/>
            </c:ext>
          </c:extLst>
        </c:ser>
        <c:ser>
          <c:idx val="1"/>
          <c:order val="1"/>
          <c:tx>
            <c:strRef>
              <c:f>'Impact analysis club'!$C$3:$C$4</c:f>
              <c:strCache>
                <c:ptCount val="1"/>
                <c:pt idx="0">
                  <c:v>FC Barcelona</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'Impact analysis club'!$A$5:$A$13</c:f>
              <c:multiLvlStrCache>
                <c:ptCount val="6"/>
                <c:lvl>
                  <c:pt idx="0">
                    <c:v>Lose</c:v>
                  </c:pt>
                  <c:pt idx="1">
                    <c:v>Tie</c:v>
                  </c:pt>
                  <c:pt idx="2">
                    <c:v>Win</c:v>
                  </c:pt>
                  <c:pt idx="3">
                    <c:v>Lose</c:v>
                  </c:pt>
                  <c:pt idx="4">
                    <c:v>Tie</c:v>
                  </c:pt>
                  <c:pt idx="5">
                    <c:v>Win</c:v>
                  </c:pt>
                </c:lvl>
                <c:lvl>
                  <c:pt idx="0">
                    <c:v>Cristiano Ronaldo</c:v>
                  </c:pt>
                  <c:pt idx="3">
                    <c:v>Lionel Messi</c:v>
                  </c:pt>
                </c:lvl>
              </c:multiLvlStrCache>
            </c:multiLvlStrRef>
          </c:cat>
          <c:val>
            <c:numRef>
              <c:f>'Impact analysis club'!$C$5:$C$13</c:f>
              <c:numCache>
                <c:formatCode>General</c:formatCode>
                <c:ptCount val="6"/>
                <c:pt idx="3">
                  <c:v>241</c:v>
                </c:pt>
                <c:pt idx="4">
                  <c:v>53</c:v>
                </c:pt>
                <c:pt idx="5">
                  <c:v>378</c:v>
                </c:pt>
              </c:numCache>
            </c:numRef>
          </c:val>
          <c:extLst>
            <c:ext xmlns:c16="http://schemas.microsoft.com/office/drawing/2014/chart" uri="{C3380CC4-5D6E-409C-BE32-E72D297353CC}">
              <c16:uniqueId val="{00000023-9B25-4A49-AC48-07461F619005}"/>
            </c:ext>
          </c:extLst>
        </c:ser>
        <c:ser>
          <c:idx val="2"/>
          <c:order val="2"/>
          <c:tx>
            <c:strRef>
              <c:f>'Impact analysis club'!$D$3:$D$4</c:f>
              <c:strCache>
                <c:ptCount val="1"/>
                <c:pt idx="0">
                  <c:v>Juventus FC</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'Impact analysis club'!$A$5:$A$13</c:f>
              <c:multiLvlStrCache>
                <c:ptCount val="6"/>
                <c:lvl>
                  <c:pt idx="0">
                    <c:v>Lose</c:v>
                  </c:pt>
                  <c:pt idx="1">
                    <c:v>Tie</c:v>
                  </c:pt>
                  <c:pt idx="2">
                    <c:v>Win</c:v>
                  </c:pt>
                  <c:pt idx="3">
                    <c:v>Lose</c:v>
                  </c:pt>
                  <c:pt idx="4">
                    <c:v>Tie</c:v>
                  </c:pt>
                  <c:pt idx="5">
                    <c:v>Win</c:v>
                  </c:pt>
                </c:lvl>
                <c:lvl>
                  <c:pt idx="0">
                    <c:v>Cristiano Ronaldo</c:v>
                  </c:pt>
                  <c:pt idx="3">
                    <c:v>Lionel Messi</c:v>
                  </c:pt>
                </c:lvl>
              </c:multiLvlStrCache>
            </c:multiLvlStrRef>
          </c:cat>
          <c:val>
            <c:numRef>
              <c:f>'Impact analysis club'!$D$5:$D$13</c:f>
              <c:numCache>
                <c:formatCode>General</c:formatCode>
                <c:ptCount val="6"/>
                <c:pt idx="0">
                  <c:v>33</c:v>
                </c:pt>
                <c:pt idx="1">
                  <c:v>16</c:v>
                </c:pt>
                <c:pt idx="2">
                  <c:v>52</c:v>
                </c:pt>
              </c:numCache>
            </c:numRef>
          </c:val>
          <c:extLst>
            <c:ext xmlns:c16="http://schemas.microsoft.com/office/drawing/2014/chart" uri="{C3380CC4-5D6E-409C-BE32-E72D297353CC}">
              <c16:uniqueId val="{00000032-9B25-4A49-AC48-07461F619005}"/>
            </c:ext>
          </c:extLst>
        </c:ser>
        <c:ser>
          <c:idx val="3"/>
          <c:order val="3"/>
          <c:tx>
            <c:strRef>
              <c:f>'Impact analysis club'!$E$3:$E$4</c:f>
              <c:strCache>
                <c:ptCount val="1"/>
                <c:pt idx="0">
                  <c:v>Manchester United</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'Impact analysis club'!$A$5:$A$13</c:f>
              <c:multiLvlStrCache>
                <c:ptCount val="6"/>
                <c:lvl>
                  <c:pt idx="0">
                    <c:v>Lose</c:v>
                  </c:pt>
                  <c:pt idx="1">
                    <c:v>Tie</c:v>
                  </c:pt>
                  <c:pt idx="2">
                    <c:v>Win</c:v>
                  </c:pt>
                  <c:pt idx="3">
                    <c:v>Lose</c:v>
                  </c:pt>
                  <c:pt idx="4">
                    <c:v>Tie</c:v>
                  </c:pt>
                  <c:pt idx="5">
                    <c:v>Win</c:v>
                  </c:pt>
                </c:lvl>
                <c:lvl>
                  <c:pt idx="0">
                    <c:v>Cristiano Ronaldo</c:v>
                  </c:pt>
                  <c:pt idx="3">
                    <c:v>Lionel Messi</c:v>
                  </c:pt>
                </c:lvl>
              </c:multiLvlStrCache>
            </c:multiLvlStrRef>
          </c:cat>
          <c:val>
            <c:numRef>
              <c:f>'Impact analysis club'!$E$5:$E$13</c:f>
              <c:numCache>
                <c:formatCode>General</c:formatCode>
                <c:ptCount val="6"/>
                <c:pt idx="0">
                  <c:v>44</c:v>
                </c:pt>
                <c:pt idx="1">
                  <c:v>7</c:v>
                </c:pt>
                <c:pt idx="2">
                  <c:v>94</c:v>
                </c:pt>
              </c:numCache>
            </c:numRef>
          </c:val>
          <c:extLst>
            <c:ext xmlns:c16="http://schemas.microsoft.com/office/drawing/2014/chart" uri="{C3380CC4-5D6E-409C-BE32-E72D297353CC}">
              <c16:uniqueId val="{00000033-9B25-4A49-AC48-07461F619005}"/>
            </c:ext>
          </c:extLst>
        </c:ser>
        <c:ser>
          <c:idx val="4"/>
          <c:order val="4"/>
          <c:tx>
            <c:strRef>
              <c:f>'Impact analysis club'!$F$3:$F$4</c:f>
              <c:strCache>
                <c:ptCount val="1"/>
                <c:pt idx="0">
                  <c:v>Paris Saint-Germain</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'Impact analysis club'!$A$5:$A$13</c:f>
              <c:multiLvlStrCache>
                <c:ptCount val="6"/>
                <c:lvl>
                  <c:pt idx="0">
                    <c:v>Lose</c:v>
                  </c:pt>
                  <c:pt idx="1">
                    <c:v>Tie</c:v>
                  </c:pt>
                  <c:pt idx="2">
                    <c:v>Win</c:v>
                  </c:pt>
                  <c:pt idx="3">
                    <c:v>Lose</c:v>
                  </c:pt>
                  <c:pt idx="4">
                    <c:v>Tie</c:v>
                  </c:pt>
                  <c:pt idx="5">
                    <c:v>Win</c:v>
                  </c:pt>
                </c:lvl>
                <c:lvl>
                  <c:pt idx="0">
                    <c:v>Cristiano Ronaldo</c:v>
                  </c:pt>
                  <c:pt idx="3">
                    <c:v>Lionel Messi</c:v>
                  </c:pt>
                </c:lvl>
              </c:multiLvlStrCache>
            </c:multiLvlStrRef>
          </c:cat>
          <c:val>
            <c:numRef>
              <c:f>'Impact analysis club'!$F$5:$F$13</c:f>
              <c:numCache>
                <c:formatCode>General</c:formatCode>
                <c:ptCount val="6"/>
                <c:pt idx="3">
                  <c:v>13</c:v>
                </c:pt>
                <c:pt idx="4">
                  <c:v>2</c:v>
                </c:pt>
                <c:pt idx="5">
                  <c:v>16</c:v>
                </c:pt>
              </c:numCache>
            </c:numRef>
          </c:val>
          <c:extLst>
            <c:ext xmlns:c16="http://schemas.microsoft.com/office/drawing/2014/chart" uri="{C3380CC4-5D6E-409C-BE32-E72D297353CC}">
              <c16:uniqueId val="{00000034-9B25-4A49-AC48-07461F619005}"/>
            </c:ext>
          </c:extLst>
        </c:ser>
        <c:ser>
          <c:idx val="5"/>
          <c:order val="5"/>
          <c:tx>
            <c:strRef>
              <c:f>'Impact analysis club'!$G$3:$G$4</c:f>
              <c:strCache>
                <c:ptCount val="1"/>
                <c:pt idx="0">
                  <c:v>Real Madrid</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'Impact analysis club'!$A$5:$A$13</c:f>
              <c:multiLvlStrCache>
                <c:ptCount val="6"/>
                <c:lvl>
                  <c:pt idx="0">
                    <c:v>Lose</c:v>
                  </c:pt>
                  <c:pt idx="1">
                    <c:v>Tie</c:v>
                  </c:pt>
                  <c:pt idx="2">
                    <c:v>Win</c:v>
                  </c:pt>
                  <c:pt idx="3">
                    <c:v>Lose</c:v>
                  </c:pt>
                  <c:pt idx="4">
                    <c:v>Tie</c:v>
                  </c:pt>
                  <c:pt idx="5">
                    <c:v>Win</c:v>
                  </c:pt>
                </c:lvl>
                <c:lvl>
                  <c:pt idx="0">
                    <c:v>Cristiano Ronaldo</c:v>
                  </c:pt>
                  <c:pt idx="3">
                    <c:v>Lionel Messi</c:v>
                  </c:pt>
                </c:lvl>
              </c:multiLvlStrCache>
            </c:multiLvlStrRef>
          </c:cat>
          <c:val>
            <c:numRef>
              <c:f>'Impact analysis club'!$G$5:$G$13</c:f>
              <c:numCache>
                <c:formatCode>General</c:formatCode>
                <c:ptCount val="6"/>
                <c:pt idx="0">
                  <c:v>179</c:v>
                </c:pt>
                <c:pt idx="1">
                  <c:v>27</c:v>
                </c:pt>
                <c:pt idx="2">
                  <c:v>244</c:v>
                </c:pt>
              </c:numCache>
            </c:numRef>
          </c:val>
          <c:extLst>
            <c:ext xmlns:c16="http://schemas.microsoft.com/office/drawing/2014/chart" uri="{C3380CC4-5D6E-409C-BE32-E72D297353CC}">
              <c16:uniqueId val="{00000035-9B25-4A49-AC48-07461F619005}"/>
            </c:ext>
          </c:extLst>
        </c:ser>
        <c:ser>
          <c:idx val="6"/>
          <c:order val="6"/>
          <c:tx>
            <c:strRef>
              <c:f>'Impact analysis club'!$H$3:$H$4</c:f>
              <c:strCache>
                <c:ptCount val="1"/>
                <c:pt idx="0">
                  <c:v>Sporting CP</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'Impact analysis club'!$A$5:$A$13</c:f>
              <c:multiLvlStrCache>
                <c:ptCount val="6"/>
                <c:lvl>
                  <c:pt idx="0">
                    <c:v>Lose</c:v>
                  </c:pt>
                  <c:pt idx="1">
                    <c:v>Tie</c:v>
                  </c:pt>
                  <c:pt idx="2">
                    <c:v>Win</c:v>
                  </c:pt>
                  <c:pt idx="3">
                    <c:v>Lose</c:v>
                  </c:pt>
                  <c:pt idx="4">
                    <c:v>Tie</c:v>
                  </c:pt>
                  <c:pt idx="5">
                    <c:v>Win</c:v>
                  </c:pt>
                </c:lvl>
                <c:lvl>
                  <c:pt idx="0">
                    <c:v>Cristiano Ronaldo</c:v>
                  </c:pt>
                  <c:pt idx="3">
                    <c:v>Lionel Messi</c:v>
                  </c:pt>
                </c:lvl>
              </c:multiLvlStrCache>
            </c:multiLvlStrRef>
          </c:cat>
          <c:val>
            <c:numRef>
              <c:f>'Impact analysis club'!$H$5:$H$13</c:f>
              <c:numCache>
                <c:formatCode>General</c:formatCode>
                <c:ptCount val="6"/>
                <c:pt idx="0">
                  <c:v>1</c:v>
                </c:pt>
                <c:pt idx="2">
                  <c:v>4</c:v>
                </c:pt>
              </c:numCache>
            </c:numRef>
          </c:val>
          <c:extLst>
            <c:ext xmlns:c16="http://schemas.microsoft.com/office/drawing/2014/chart" uri="{C3380CC4-5D6E-409C-BE32-E72D297353CC}">
              <c16:uniqueId val="{00000036-9B25-4A49-AC48-07461F619005}"/>
            </c:ext>
          </c:extLst>
        </c:ser>
        <c:dLbls>
          <c:showLegendKey val="0"/>
          <c:showVal val="0"/>
          <c:showCatName val="0"/>
          <c:showSerName val="0"/>
          <c:showPercent val="0"/>
          <c:showBubbleSize val="0"/>
        </c:dLbls>
        <c:gapWidth val="100"/>
        <c:overlap val="-24"/>
        <c:axId val="446269263"/>
        <c:axId val="446252463"/>
      </c:barChart>
      <c:catAx>
        <c:axId val="44626926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Player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252463"/>
        <c:crosses val="autoZero"/>
        <c:auto val="1"/>
        <c:lblAlgn val="ctr"/>
        <c:lblOffset val="100"/>
        <c:noMultiLvlLbl val="0"/>
      </c:catAx>
      <c:valAx>
        <c:axId val="44625246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2692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[analysis.xlsm]Consistency Measurement yr!PivotTable6</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Trend of Consistency</a:t>
            </a:r>
            <a:r>
              <a:rPr lang="en-US" baseline="0"/>
              <a:t> Over Years</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'Consistency Measurement yr'!$B$3:$B$4</c:f>
              <c:strCache>
                <c:ptCount val="1"/>
                <c:pt idx="0">
                  <c:v>Cristiano Ronaldo</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'Consistency Measurement yr'!$A$5:$A$27</c:f>
              <c:strCache>
                <c:ptCount val="22"/>
                <c:pt idx="0">
                  <c:v>2002</c:v>
                </c:pt>
                <c:pt idx="1">
                  <c:v>2003</c:v>
                </c:pt>
                <c:pt idx="2">
                  <c:v>2004</c:v>
                </c:pt>
                <c:pt idx="3">
                  <c:v>2005</c:v>
                </c:pt>
                <c:pt idx="4">
                  <c:v>2006</c:v>
                </c:pt>
                <c:pt idx="5">
                  <c:v>2007</c:v>
                </c:pt>
                <c:pt idx="6">
                  <c:v>2008</c:v>
                </c:pt>
                <c:pt idx="7">
                  <c:v>2009</c:v>
                </c:pt>
                <c:pt idx="8">
                  <c:v>2010</c:v>
                </c:pt>
                <c:pt idx="9">
                  <c:v>2011</c:v>
                </c:pt>
                <c:pt idx="10">
                  <c:v>2012</c:v>
                </c:pt>
                <c:pt idx="11">
                  <c:v>2013</c:v>
                </c:pt>
                <c:pt idx="12">
                  <c:v>2014</c:v>
                </c:pt>
                <c:pt idx="13">
                  <c:v>2015</c:v>
                </c:pt>
                <c:pt idx="14">
                  <c:v>2016</c:v>
                </c:pt>
                <c:pt idx="15">
                  <c:v>2017</c:v>
                </c:pt>
                <c:pt idx="16">
                  <c:v>2018</c:v>
                </c:pt>
                <c:pt idx="17">
                  <c:v>2019</c:v>
                </c:pt>
                <c:pt idx="18">
                  <c:v>2020</c:v>
                </c:pt>
                <c:pt idx="19">
                  <c:v>2021</c:v>
                </c:pt>
                <c:pt idx="20">
                  <c:v>2022</c:v>
                </c:pt>
                <c:pt idx="21">
                  <c:v>2023</c:v>
                </c:pt>
              </c:strCache>
            </c:strRef>
          </c:cat>
          <c:val>
            <c:numRef>
              <c:f>'Consistency Measurement yr'!$B$5:$B$27</c:f>
              <c:numCache>
                <c:formatCode>General</c:formatCode>
                <c:ptCount val="22"/>
                <c:pt idx="0">
                  <c:v>5</c:v>
                </c:pt>
                <c:pt idx="1">
                  <c:v>1</c:v>
                </c:pt>
                <c:pt idx="2">
                  <c:v>6</c:v>
                </c:pt>
                <c:pt idx="3">
                  <c:v>13</c:v>
                </c:pt>
                <c:pt idx="4">
                  <c:v>19</c:v>
                </c:pt>
                <c:pt idx="5">
                  <c:v>29</c:v>
                </c:pt>
                <c:pt idx="6">
                  <c:v>34</c:v>
                </c:pt>
                <c:pt idx="7">
                  <c:v>29</c:v>
                </c:pt>
                <c:pt idx="8">
                  <c:v>45</c:v>
                </c:pt>
                <c:pt idx="9">
                  <c:v>53</c:v>
                </c:pt>
                <c:pt idx="10">
                  <c:v>58</c:v>
                </c:pt>
                <c:pt idx="11">
                  <c:v>59</c:v>
                </c:pt>
                <c:pt idx="12">
                  <c:v>56</c:v>
                </c:pt>
                <c:pt idx="13">
                  <c:v>54</c:v>
                </c:pt>
                <c:pt idx="14">
                  <c:v>42</c:v>
                </c:pt>
                <c:pt idx="15">
                  <c:v>42</c:v>
                </c:pt>
                <c:pt idx="16">
                  <c:v>43</c:v>
                </c:pt>
                <c:pt idx="17">
                  <c:v>25</c:v>
                </c:pt>
                <c:pt idx="18">
                  <c:v>41</c:v>
                </c:pt>
                <c:pt idx="19">
                  <c:v>34</c:v>
                </c:pt>
                <c:pt idx="20">
                  <c:v>13</c:v>
                </c:pt>
                <c:pt idx="21">
                  <c:v>9</c:v>
                </c:pt>
              </c:numCache>
            </c:numRef>
          </c:val>
          <c:smooth val="0"/>
          <c:extLst>
            <c:ext xmlns:c16="http://schemas.microsoft.com/office/drawing/2014/chart" uri="{C3380CC4-5D6E-409C-BE32-E72D297353CC}">
              <c16:uniqueId val="{00000000-C799-4545-B7FB-31FE0BB05251}"/>
            </c:ext>
          </c:extLst>
        </c:ser>
        <c:ser>
          <c:idx val="1"/>
          <c:order val="1"/>
          <c:tx>
            <c:strRef>
              <c:f>'Consistency Measurement yr'!$C$3:$C$4</c:f>
              <c:strCache>
                <c:ptCount val="1"/>
                <c:pt idx="0">
                  <c:v>Lionel Messi</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'Consistency Measurement yr'!$A$5:$A$27</c:f>
              <c:strCache>
                <c:ptCount val="22"/>
                <c:pt idx="0">
                  <c:v>2002</c:v>
                </c:pt>
                <c:pt idx="1">
                  <c:v>2003</c:v>
                </c:pt>
                <c:pt idx="2">
                  <c:v>2004</c:v>
                </c:pt>
                <c:pt idx="3">
                  <c:v>2005</c:v>
                </c:pt>
                <c:pt idx="4">
                  <c:v>2006</c:v>
                </c:pt>
                <c:pt idx="5">
                  <c:v>2007</c:v>
                </c:pt>
                <c:pt idx="6">
                  <c:v>2008</c:v>
                </c:pt>
                <c:pt idx="7">
                  <c:v>2009</c:v>
                </c:pt>
                <c:pt idx="8">
                  <c:v>2010</c:v>
                </c:pt>
                <c:pt idx="9">
                  <c:v>2011</c:v>
                </c:pt>
                <c:pt idx="10">
                  <c:v>2012</c:v>
                </c:pt>
                <c:pt idx="11">
                  <c:v>2013</c:v>
                </c:pt>
                <c:pt idx="12">
                  <c:v>2014</c:v>
                </c:pt>
                <c:pt idx="13">
                  <c:v>2015</c:v>
                </c:pt>
                <c:pt idx="14">
                  <c:v>2016</c:v>
                </c:pt>
                <c:pt idx="15">
                  <c:v>2017</c:v>
                </c:pt>
                <c:pt idx="16">
                  <c:v>2018</c:v>
                </c:pt>
                <c:pt idx="17">
                  <c:v>2019</c:v>
                </c:pt>
                <c:pt idx="18">
                  <c:v>2020</c:v>
                </c:pt>
                <c:pt idx="19">
                  <c:v>2021</c:v>
                </c:pt>
                <c:pt idx="20">
                  <c:v>2022</c:v>
                </c:pt>
                <c:pt idx="21">
                  <c:v>2023</c:v>
                </c:pt>
              </c:strCache>
            </c:strRef>
          </c:cat>
          <c:val>
            <c:numRef>
              <c:f>'Consistency Measurement yr'!$C$5:$C$27</c:f>
              <c:numCache>
                <c:formatCode>General</c:formatCode>
                <c:ptCount val="22"/>
                <c:pt idx="3">
                  <c:v>3</c:v>
                </c:pt>
                <c:pt idx="4">
                  <c:v>10</c:v>
                </c:pt>
                <c:pt idx="5">
                  <c:v>25</c:v>
                </c:pt>
                <c:pt idx="6">
                  <c:v>20</c:v>
                </c:pt>
                <c:pt idx="7">
                  <c:v>38</c:v>
                </c:pt>
                <c:pt idx="8">
                  <c:v>58</c:v>
                </c:pt>
                <c:pt idx="9">
                  <c:v>55</c:v>
                </c:pt>
                <c:pt idx="10">
                  <c:v>79</c:v>
                </c:pt>
                <c:pt idx="11">
                  <c:v>39</c:v>
                </c:pt>
                <c:pt idx="12">
                  <c:v>50</c:v>
                </c:pt>
                <c:pt idx="13">
                  <c:v>48</c:v>
                </c:pt>
                <c:pt idx="14">
                  <c:v>51</c:v>
                </c:pt>
                <c:pt idx="15">
                  <c:v>50</c:v>
                </c:pt>
                <c:pt idx="16">
                  <c:v>47</c:v>
                </c:pt>
                <c:pt idx="17">
                  <c:v>45</c:v>
                </c:pt>
                <c:pt idx="18">
                  <c:v>26</c:v>
                </c:pt>
                <c:pt idx="19">
                  <c:v>34</c:v>
                </c:pt>
                <c:pt idx="20">
                  <c:v>20</c:v>
                </c:pt>
                <c:pt idx="21">
                  <c:v>5</c:v>
                </c:pt>
              </c:numCache>
            </c:numRef>
          </c:val>
          <c:smooth val="0"/>
          <c:extLst>
            <c:ext xmlns:c16="http://schemas.microsoft.com/office/drawing/2014/chart" uri="{C3380CC4-5D6E-409C-BE32-E72D297353CC}">
              <c16:uniqueId val="{00000008-DDC0-4D09-9B26-42C837290165}"/>
            </c:ext>
          </c:extLst>
        </c:ser>
        <c:dLbls>
          <c:showLegendKey val="0"/>
          <c:showVal val="0"/>
          <c:showCatName val="0"/>
          <c:showSerName val="0"/>
          <c:showPercent val="0"/>
          <c:showBubbleSize val="0"/>
        </c:dLbls>
        <c:marker val="1"/>
        <c:smooth val="0"/>
        <c:axId val="446457343"/>
        <c:axId val="446473183"/>
      </c:lineChart>
      <c:catAx>
        <c:axId val="44645734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Year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73183"/>
        <c:crosses val="autoZero"/>
        <c:auto val="1"/>
        <c:lblAlgn val="ctr"/>
        <c:lblOffset val="100"/>
        <c:noMultiLvlLbl val="0"/>
      </c:catAx>
      <c:valAx>
        <c:axId val="44647318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573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[analysis.xlsm]Scoring Technique Analysis!PivotTable7</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Scoring Technique Analysis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'Scoring Technique Analysis'!$B$3:$B$4</c:f>
              <c:strCache>
                <c:ptCount val="1"/>
                <c:pt idx="0">
                  <c:v>Cristiano Ronaldo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'Scoring Technique Analysis'!$A$5:$A$17</c:f>
              <c:strCache>
                <c:ptCount val="12"/>
                <c:pt idx="0">
                  <c:v>Chest</c:v>
                </c:pt>
                <c:pt idx="1">
                  <c:v>Counter attack goal</c:v>
                </c:pt>
                <c:pt idx="2">
                  <c:v>Deflected shot on goal</c:v>
                </c:pt>
                <c:pt idx="3">
                  <c:v>Direct free kick</c:v>
                </c:pt>
                <c:pt idx="4">
                  <c:v>Header</c:v>
                </c:pt>
                <c:pt idx="5">
                  <c:v>Left-footed shot</c:v>
                </c:pt>
                <c:pt idx="6">
                  <c:v>Long distance kick</c:v>
                </c:pt>
                <c:pt idx="7">
                  <c:v>Penalty</c:v>
                </c:pt>
                <c:pt idx="8">
                  <c:v>Penalty rebound</c:v>
                </c:pt>
                <c:pt idx="9">
                  <c:v>Right-footed shot</c:v>
                </c:pt>
                <c:pt idx="10">
                  <c:v>Solo run</c:v>
                </c:pt>
                <c:pt idx="11">
                  <c:v>Tap-in</c:v>
                </c:pt>
              </c:strCache>
            </c:strRef>
          </c:cat>
          <c:val>
            <c:numRef>
              <c:f>'Scoring Technique Analysis'!$B$5:$B$17</c:f>
              <c:numCache>
                <c:formatCode>General</c:formatCode>
                <c:ptCount val="12"/>
                <c:pt idx="1">
                  <c:v>6</c:v>
                </c:pt>
                <c:pt idx="2">
                  <c:v>2</c:v>
                </c:pt>
                <c:pt idx="3">
                  <c:v>53</c:v>
                </c:pt>
                <c:pt idx="4">
                  <c:v>112</c:v>
                </c:pt>
                <c:pt idx="5">
                  <c:v>118</c:v>
                </c:pt>
                <c:pt idx="6">
                  <c:v>9</c:v>
                </c:pt>
                <c:pt idx="7">
                  <c:v>133</c:v>
                </c:pt>
                <c:pt idx="8">
                  <c:v>6</c:v>
                </c:pt>
                <c:pt idx="9">
                  <c:v>255</c:v>
                </c:pt>
                <c:pt idx="10">
                  <c:v>2</c:v>
                </c:pt>
                <c:pt idx="11">
                  <c:v>14</c:v>
                </c:pt>
              </c:numCache>
            </c:numRef>
          </c:val>
          <c:extLst>
            <c:ext xmlns:c16="http://schemas.microsoft.com/office/drawing/2014/chart" uri="{C3380CC4-5D6E-409C-BE32-E72D297353CC}">
              <c16:uniqueId val="{00000000-329E-4C38-83D5-AD6A77F32A0E}"/>
            </c:ext>
          </c:extLst>
        </c:ser>
        <c:ser>
          <c:idx val="1"/>
          <c:order val="1"/>
          <c:tx>
            <c:strRef>
              <c:f>'Scoring Technique Analysis'!$C$3:$C$4</c:f>
              <c:strCache>
                <c:ptCount val="1"/>
                <c:pt idx="0">
                  <c:v>Lionel Messi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'Scoring Technique Analysis'!$A$5:$A$17</c:f>
              <c:strCache>
                <c:ptCount val="12"/>
                <c:pt idx="0">
                  <c:v>Chest</c:v>
                </c:pt>
                <c:pt idx="1">
                  <c:v>Counter attack goal</c:v>
                </c:pt>
                <c:pt idx="2">
                  <c:v>Deflected shot on goal</c:v>
                </c:pt>
                <c:pt idx="3">
                  <c:v>Direct free kick</c:v>
                </c:pt>
                <c:pt idx="4">
                  <c:v>Header</c:v>
                </c:pt>
                <c:pt idx="5">
                  <c:v>Left-footed shot</c:v>
                </c:pt>
                <c:pt idx="6">
                  <c:v>Long distance kick</c:v>
                </c:pt>
                <c:pt idx="7">
                  <c:v>Penalty</c:v>
                </c:pt>
                <c:pt idx="8">
                  <c:v>Penalty rebound</c:v>
                </c:pt>
                <c:pt idx="9">
                  <c:v>Right-footed shot</c:v>
                </c:pt>
                <c:pt idx="10">
                  <c:v>Solo run</c:v>
                </c:pt>
                <c:pt idx="11">
                  <c:v>Tap-in</c:v>
                </c:pt>
              </c:strCache>
            </c:strRef>
          </c:cat>
          <c:val>
            <c:numRef>
              <c:f>'Scoring Technique Analysis'!$C$5:$C$17</c:f>
              <c:numCache>
                <c:formatCode>General</c:formatCode>
                <c:ptCount val="12"/>
                <c:pt idx="0">
                  <c:v>1</c:v>
                </c:pt>
                <c:pt idx="1">
                  <c:v>1</c:v>
                </c:pt>
                <c:pt idx="2">
                  <c:v>2</c:v>
                </c:pt>
                <c:pt idx="3">
                  <c:v>52</c:v>
                </c:pt>
                <c:pt idx="4">
                  <c:v>24</c:v>
                </c:pt>
                <c:pt idx="5">
                  <c:v>436</c:v>
                </c:pt>
                <c:pt idx="6">
                  <c:v>1</c:v>
                </c:pt>
                <c:pt idx="7">
                  <c:v>84</c:v>
                </c:pt>
                <c:pt idx="8">
                  <c:v>3</c:v>
                </c:pt>
                <c:pt idx="9">
                  <c:v>86</c:v>
                </c:pt>
                <c:pt idx="10">
                  <c:v>4</c:v>
                </c:pt>
                <c:pt idx="11">
                  <c:v>9</c:v>
                </c:pt>
              </c:numCache>
            </c:numRef>
          </c:val>
          <c:extLst>
            <c:ext xmlns:c16="http://schemas.microsoft.com/office/drawing/2014/chart" uri="{C3380CC4-5D6E-409C-BE32-E72D297353CC}">
              <c16:uniqueId val="{00000007-D6F6-44F1-AA92-995C87A5E153}"/>
            </c:ext>
          </c:extLst>
        </c:ser>
        <c:dLbls>
          <c:showLegendKey val="0"/>
          <c:showVal val="0"/>
          <c:showCatName val="0"/>
          <c:showSerName val="0"/>
          <c:showPercent val="0"/>
          <c:showBubbleSize val="0"/>
        </c:dLbls>
        <c:gapWidth val="100"/>
        <c:axId val="446490463"/>
        <c:axId val="446484703"/>
      </c:barChart>
      <c:catAx>
        <c:axId val="44649046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 Type</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84703"/>
        <c:crosses val="autoZero"/>
        <c:auto val="1"/>
        <c:lblAlgn val="ctr"/>
        <c:lblOffset val="100"/>
        <c:noMultiLvlLbl val="0"/>
      </c:catAx>
      <c:valAx>
        <c:axId val="44648470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904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[analysis.xlsm]Scoring Technique Analysis(cr7)!PivotTable8</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'Scoring Technique Analysis(cr7)'!$B$3:$B$4</c:f>
              <c:strCache>
                <c:ptCount val="1"/>
                <c:pt idx="0">
                  <c:v>Cristiano Ronaldo</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F140-4A73-848C-97D150300781}"/>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F140-4A73-848C-97D150300781}"/>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F140-4A73-848C-97D150300781}"/>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F140-4A73-848C-97D150300781}"/>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F140-4A73-848C-97D150300781}"/>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F140-4A73-848C-97D150300781}"/>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F140-4A73-848C-97D150300781}"/>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F140-4A73-848C-97D150300781}"/>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F140-4A73-848C-97D150300781}"/>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F140-4A73-848C-97D150300781}"/>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F140-4A73-848C-97D150300781}"/>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ABA7-44A9-BECA-3DAFE78CD12E}"/>
              </c:ext>
            </c:extLst>
          </c:dPt>
          <c:dLbls>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'Scoring Technique Analysis(cr7)'!$A$5:$A$17</c:f>
              <c:strCache>
                <c:ptCount val="12"/>
                <c:pt idx="0">
                  <c:v>Chest</c:v>
                </c:pt>
                <c:pt idx="1">
                  <c:v>Counter attack goal</c:v>
                </c:pt>
                <c:pt idx="2">
                  <c:v>Deflected shot on goal</c:v>
                </c:pt>
                <c:pt idx="3">
                  <c:v>Direct free kick</c:v>
                </c:pt>
                <c:pt idx="4">
                  <c:v>Header</c:v>
                </c:pt>
                <c:pt idx="5">
                  <c:v>Left-footed shot</c:v>
                </c:pt>
                <c:pt idx="6">
                  <c:v>Long distance kick</c:v>
                </c:pt>
                <c:pt idx="7">
                  <c:v>Penalty</c:v>
                </c:pt>
                <c:pt idx="8">
                  <c:v>Penalty rebound</c:v>
                </c:pt>
                <c:pt idx="9">
                  <c:v>Right-footed shot</c:v>
                </c:pt>
                <c:pt idx="10">
                  <c:v>Solo run</c:v>
                </c:pt>
                <c:pt idx="11">
                  <c:v>Tap-in</c:v>
                </c:pt>
              </c:strCache>
            </c:strRef>
          </c:cat>
          <c:val>
            <c:numRef>
              <c:f>'Scoring Technique Analysis(cr7)'!$B$5:$B$17</c:f>
              <c:numCache>
                <c:formatCode>General</c:formatCode>
                <c:ptCount val="12"/>
                <c:pt idx="1">
                  <c:v>6</c:v>
                </c:pt>
                <c:pt idx="2">
                  <c:v>2</c:v>
                </c:pt>
                <c:pt idx="3">
                  <c:v>53</c:v>
                </c:pt>
                <c:pt idx="4">
                  <c:v>112</c:v>
                </c:pt>
                <c:pt idx="5">
                  <c:v>118</c:v>
                </c:pt>
                <c:pt idx="6">
                  <c:v>9</c:v>
                </c:pt>
                <c:pt idx="7">
                  <c:v>133</c:v>
                </c:pt>
                <c:pt idx="8">
                  <c:v>6</c:v>
                </c:pt>
                <c:pt idx="9">
                  <c:v>255</c:v>
                </c:pt>
                <c:pt idx="10">
                  <c:v>2</c:v>
                </c:pt>
                <c:pt idx="11">
                  <c:v>14</c:v>
                </c:pt>
              </c:numCache>
            </c:numRef>
          </c:val>
          <c:extLst>
            <c:ext xmlns:c16="http://schemas.microsoft.com/office/drawing/2014/chart" uri="{C3380CC4-5D6E-409C-BE32-E72D297353CC}">
              <c16:uniqueId val="{00000000-9F49-4AFA-89CC-8076A6D3A269}"/>
            </c:ext>
          </c:extLst>
        </c:ser>
        <c:ser>
          <c:idx val="1"/>
          <c:order val="1"/>
          <c:tx>
            <c:strRef>
              <c:f>'Scoring Technique Analysis(cr7)'!$C$3:$C$4</c:f>
              <c:strCache>
                <c:ptCount val="1"/>
                <c:pt idx="0">
                  <c:v>Lionel Messi</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ABA7-44A9-BECA-3DAFE78CD1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ABA7-44A9-BECA-3DAFE78CD1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ABA7-44A9-BECA-3DAFE78CD1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F-ABA7-44A9-BECA-3DAFE78CD12E}"/>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1-ABA7-44A9-BECA-3DAFE78CD12E}"/>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3-ABA7-44A9-BECA-3DAFE78CD12E}"/>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5-ABA7-44A9-BECA-3DAFE78CD12E}"/>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7-ABA7-44A9-BECA-3DAFE78CD12E}"/>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9-ABA7-44A9-BECA-3DAFE78CD12E}"/>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B-ABA7-44A9-BECA-3DAFE78CD12E}"/>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D-ABA7-44A9-BECA-3DAFE78CD12E}"/>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F-ABA7-44A9-BECA-3DAFE78CD1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'Scoring Technique Analysis(cr7)'!$A$5:$A$17</c:f>
              <c:strCache>
                <c:ptCount val="12"/>
                <c:pt idx="0">
                  <c:v>Chest</c:v>
                </c:pt>
                <c:pt idx="1">
                  <c:v>Counter attack goal</c:v>
                </c:pt>
                <c:pt idx="2">
                  <c:v>Deflected shot on goal</c:v>
                </c:pt>
                <c:pt idx="3">
                  <c:v>Direct free kick</c:v>
                </c:pt>
                <c:pt idx="4">
                  <c:v>Header</c:v>
                </c:pt>
                <c:pt idx="5">
                  <c:v>Left-footed shot</c:v>
                </c:pt>
                <c:pt idx="6">
                  <c:v>Long distance kick</c:v>
                </c:pt>
                <c:pt idx="7">
                  <c:v>Penalty</c:v>
                </c:pt>
                <c:pt idx="8">
                  <c:v>Penalty rebound</c:v>
                </c:pt>
                <c:pt idx="9">
                  <c:v>Right-footed shot</c:v>
                </c:pt>
                <c:pt idx="10">
                  <c:v>Solo run</c:v>
                </c:pt>
                <c:pt idx="11">
                  <c:v>Tap-in</c:v>
                </c:pt>
              </c:strCache>
            </c:strRef>
          </c:cat>
          <c:val>
            <c:numRef>
              <c:f>'Scoring Technique Analysis(cr7)'!$C$5:$C$17</c:f>
              <c:numCache>
                <c:formatCode>General</c:formatCode>
                <c:ptCount val="12"/>
                <c:pt idx="0">
                  <c:v>1</c:v>
                </c:pt>
                <c:pt idx="1">
                  <c:v>1</c:v>
                </c:pt>
                <c:pt idx="2">
                  <c:v>2</c:v>
                </c:pt>
                <c:pt idx="3">
                  <c:v>52</c:v>
                </c:pt>
                <c:pt idx="4">
                  <c:v>24</c:v>
                </c:pt>
                <c:pt idx="5">
                  <c:v>436</c:v>
                </c:pt>
                <c:pt idx="6">
                  <c:v>1</c:v>
                </c:pt>
                <c:pt idx="7">
                  <c:v>84</c:v>
                </c:pt>
                <c:pt idx="8">
                  <c:v>3</c:v>
                </c:pt>
                <c:pt idx="9">
                  <c:v>86</c:v>
                </c:pt>
                <c:pt idx="10">
                  <c:v>4</c:v>
                </c:pt>
                <c:pt idx="11">
                  <c:v>9</c:v>
                </c:pt>
              </c:numCache>
            </c:numRef>
          </c:val>
          <c:extLst>
            <c:ext xmlns:c16="http://schemas.microsoft.com/office/drawing/2014/chart" uri="{C3380CC4-5D6E-409C-BE32-E72D297353CC}">
              <c16:uniqueId val="{0000001E-F140-4A73-848C-97D150300781}"/>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[analysis.xlsm]Scoring Technique(lm10)!PivotTable9</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'Scoring Technique(lm10)'!$B$3:$B$4</c:f>
              <c:strCache>
                <c:ptCount val="1"/>
                <c:pt idx="0">
                  <c:v>Cristiano Ronaldo</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01DC-4996-B78E-349DD5736FD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01DC-4996-B78E-349DD5736FD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01DC-4996-B78E-349DD5736FD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01DC-4996-B78E-349DD5736FD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01DC-4996-B78E-349DD5736FDA}"/>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01DC-4996-B78E-349DD5736FDA}"/>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01DC-4996-B78E-349DD5736FDA}"/>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01DC-4996-B78E-349DD5736FDA}"/>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01DC-4996-B78E-349DD5736FDA}"/>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01DC-4996-B78E-349DD5736FDA}"/>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01DC-4996-B78E-349DD5736FDA}"/>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01DC-4996-B78E-349DD5736FD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'Scoring Technique(lm10)'!$A$5:$A$17</c:f>
              <c:strCache>
                <c:ptCount val="12"/>
                <c:pt idx="0">
                  <c:v>Chest</c:v>
                </c:pt>
                <c:pt idx="1">
                  <c:v>Counter attack goal</c:v>
                </c:pt>
                <c:pt idx="2">
                  <c:v>Deflected shot on goal</c:v>
                </c:pt>
                <c:pt idx="3">
                  <c:v>Direct free kick</c:v>
                </c:pt>
                <c:pt idx="4">
                  <c:v>Header</c:v>
                </c:pt>
                <c:pt idx="5">
                  <c:v>Left-footed shot</c:v>
                </c:pt>
                <c:pt idx="6">
                  <c:v>Long distance kick</c:v>
                </c:pt>
                <c:pt idx="7">
                  <c:v>Penalty</c:v>
                </c:pt>
                <c:pt idx="8">
                  <c:v>Penalty rebound</c:v>
                </c:pt>
                <c:pt idx="9">
                  <c:v>Right-footed shot</c:v>
                </c:pt>
                <c:pt idx="10">
                  <c:v>Solo run</c:v>
                </c:pt>
                <c:pt idx="11">
                  <c:v>Tap-in</c:v>
                </c:pt>
              </c:strCache>
            </c:strRef>
          </c:cat>
          <c:val>
            <c:numRef>
              <c:f>'Scoring Technique(lm10)'!$B$5:$B$17</c:f>
              <c:numCache>
                <c:formatCode>General</c:formatCode>
                <c:ptCount val="12"/>
                <c:pt idx="1">
                  <c:v>6</c:v>
                </c:pt>
                <c:pt idx="2">
                  <c:v>2</c:v>
                </c:pt>
                <c:pt idx="3">
                  <c:v>53</c:v>
                </c:pt>
                <c:pt idx="4">
                  <c:v>112</c:v>
                </c:pt>
                <c:pt idx="5">
                  <c:v>118</c:v>
                </c:pt>
                <c:pt idx="6">
                  <c:v>9</c:v>
                </c:pt>
                <c:pt idx="7">
                  <c:v>133</c:v>
                </c:pt>
                <c:pt idx="8">
                  <c:v>6</c:v>
                </c:pt>
                <c:pt idx="9">
                  <c:v>255</c:v>
                </c:pt>
                <c:pt idx="10">
                  <c:v>2</c:v>
                </c:pt>
                <c:pt idx="11">
                  <c:v>14</c:v>
                </c:pt>
              </c:numCache>
            </c:numRef>
          </c:val>
          <c:extLst>
            <c:ext xmlns:c16="http://schemas.microsoft.com/office/drawing/2014/chart" uri="{C3380CC4-5D6E-409C-BE32-E72D297353CC}">
              <c16:uniqueId val="{00000000-834D-4DDF-B25B-3D8A3864170D}"/>
            </c:ext>
          </c:extLst>
        </c:ser>
        <c:ser>
          <c:idx val="1"/>
          <c:order val="1"/>
          <c:tx>
            <c:strRef>
              <c:f>'Scoring Technique(lm10)'!$C$3:$C$4</c:f>
              <c:strCache>
                <c:ptCount val="1"/>
                <c:pt idx="0">
                  <c:v>Lionel Messi</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0FDC-4D28-9DF0-E78C9ECA63B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0FDC-4D28-9DF0-E78C9ECA63B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0FDC-4D28-9DF0-E78C9ECA63B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F-0FDC-4D28-9DF0-E78C9ECA63B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1-0FDC-4D28-9DF0-E78C9ECA63B0}"/>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3-0FDC-4D28-9DF0-E78C9ECA63B0}"/>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5-0FDC-4D28-9DF0-E78C9ECA63B0}"/>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7-0FDC-4D28-9DF0-E78C9ECA63B0}"/>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9-0FDC-4D28-9DF0-E78C9ECA63B0}"/>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B-0FDC-4D28-9DF0-E78C9ECA63B0}"/>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D-0FDC-4D28-9DF0-E78C9ECA63B0}"/>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F-0FDC-4D28-9DF0-E78C9ECA63B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'Scoring Technique(lm10)'!$A$5:$A$17</c:f>
              <c:strCache>
                <c:ptCount val="12"/>
                <c:pt idx="0">
                  <c:v>Chest</c:v>
                </c:pt>
                <c:pt idx="1">
                  <c:v>Counter attack goal</c:v>
                </c:pt>
                <c:pt idx="2">
                  <c:v>Deflected shot on goal</c:v>
                </c:pt>
                <c:pt idx="3">
                  <c:v>Direct free kick</c:v>
                </c:pt>
                <c:pt idx="4">
                  <c:v>Header</c:v>
                </c:pt>
                <c:pt idx="5">
                  <c:v>Left-footed shot</c:v>
                </c:pt>
                <c:pt idx="6">
                  <c:v>Long distance kick</c:v>
                </c:pt>
                <c:pt idx="7">
                  <c:v>Penalty</c:v>
                </c:pt>
                <c:pt idx="8">
                  <c:v>Penalty rebound</c:v>
                </c:pt>
                <c:pt idx="9">
                  <c:v>Right-footed shot</c:v>
                </c:pt>
                <c:pt idx="10">
                  <c:v>Solo run</c:v>
                </c:pt>
                <c:pt idx="11">
                  <c:v>Tap-in</c:v>
                </c:pt>
              </c:strCache>
            </c:strRef>
          </c:cat>
          <c:val>
            <c:numRef>
              <c:f>'Scoring Technique(lm10)'!$C$5:$C$17</c:f>
              <c:numCache>
                <c:formatCode>General</c:formatCode>
                <c:ptCount val="12"/>
                <c:pt idx="0">
                  <c:v>1</c:v>
                </c:pt>
                <c:pt idx="1">
                  <c:v>1</c:v>
                </c:pt>
                <c:pt idx="2">
                  <c:v>2</c:v>
                </c:pt>
                <c:pt idx="3">
                  <c:v>52</c:v>
                </c:pt>
                <c:pt idx="4">
                  <c:v>24</c:v>
                </c:pt>
                <c:pt idx="5">
                  <c:v>436</c:v>
                </c:pt>
                <c:pt idx="6">
                  <c:v>1</c:v>
                </c:pt>
                <c:pt idx="7">
                  <c:v>84</c:v>
                </c:pt>
                <c:pt idx="8">
                  <c:v>3</c:v>
                </c:pt>
                <c:pt idx="9">
                  <c:v>86</c:v>
                </c:pt>
                <c:pt idx="10">
                  <c:v>4</c:v>
                </c:pt>
                <c:pt idx="11">
                  <c:v>9</c:v>
                </c:pt>
              </c:numCache>
            </c:numRef>
          </c:val>
          <c:extLst>
            <c:ext xmlns:c16="http://schemas.microsoft.com/office/drawing/2014/chart" uri="{C3380CC4-5D6E-409C-BE32-E72D297353CC}">
              <c16:uniqueId val="{00000020-01DC-4996-B78E-349DD5736FDA}"/>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[analysis.xlsm]Time Analysis!PivotTable10</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Clutch</a:t>
            </a:r>
            <a:r>
              <a:rPr lang="en-IN" baseline="0"/>
              <a:t> Performer</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'Time Analysis'!$B$3:$B$4</c:f>
              <c:strCache>
                <c:ptCount val="1"/>
                <c:pt idx="0">
                  <c:v>Cristiano Ronaldo</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'Time Analysis'!$A$5:$A$113</c:f>
              <c:strCache>
                <c:ptCount val="10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97</c:v>
                </c:pt>
                <c:pt idx="91">
                  <c:v>103</c:v>
                </c:pt>
                <c:pt idx="92">
                  <c:v>104</c:v>
                </c:pt>
                <c:pt idx="93">
                  <c:v>105</c:v>
                </c:pt>
                <c:pt idx="94">
                  <c:v>109</c:v>
                </c:pt>
                <c:pt idx="95">
                  <c:v>110</c:v>
                </c:pt>
                <c:pt idx="96">
                  <c:v>120</c:v>
                </c:pt>
                <c:pt idx="97">
                  <c:v>45+1</c:v>
                </c:pt>
                <c:pt idx="98">
                  <c:v>45+2</c:v>
                </c:pt>
                <c:pt idx="99">
                  <c:v>45+4</c:v>
                </c:pt>
                <c:pt idx="100">
                  <c:v>45+7</c:v>
                </c:pt>
                <c:pt idx="101">
                  <c:v>90+1</c:v>
                </c:pt>
                <c:pt idx="102">
                  <c:v>90+2</c:v>
                </c:pt>
                <c:pt idx="103">
                  <c:v>90+3</c:v>
                </c:pt>
                <c:pt idx="104">
                  <c:v>90+4</c:v>
                </c:pt>
                <c:pt idx="105">
                  <c:v>90+5</c:v>
                </c:pt>
                <c:pt idx="106">
                  <c:v>90+6</c:v>
                </c:pt>
                <c:pt idx="107">
                  <c:v>90+7</c:v>
                </c:pt>
              </c:strCache>
            </c:strRef>
          </c:cat>
          <c:val>
            <c:numRef>
              <c:f>'Time Analysis'!$B$5:$B$113</c:f>
              <c:numCache>
                <c:formatCode>General</c:formatCode>
                <c:ptCount val="108"/>
                <c:pt idx="0">
                  <c:v>1</c:v>
                </c:pt>
                <c:pt idx="1">
                  <c:v>6</c:v>
                </c:pt>
                <c:pt idx="2">
                  <c:v>8</c:v>
                </c:pt>
                <c:pt idx="3">
                  <c:v>4</c:v>
                </c:pt>
                <c:pt idx="4">
                  <c:v>3</c:v>
                </c:pt>
                <c:pt idx="5">
                  <c:v>7</c:v>
                </c:pt>
                <c:pt idx="6">
                  <c:v>2</c:v>
                </c:pt>
                <c:pt idx="7">
                  <c:v>5</c:v>
                </c:pt>
                <c:pt idx="8">
                  <c:v>5</c:v>
                </c:pt>
                <c:pt idx="9">
                  <c:v>10</c:v>
                </c:pt>
                <c:pt idx="10">
                  <c:v>6</c:v>
                </c:pt>
                <c:pt idx="11">
                  <c:v>9</c:v>
                </c:pt>
                <c:pt idx="12">
                  <c:v>10</c:v>
                </c:pt>
                <c:pt idx="13">
                  <c:v>9</c:v>
                </c:pt>
                <c:pt idx="14">
                  <c:v>4</c:v>
                </c:pt>
                <c:pt idx="15">
                  <c:v>4</c:v>
                </c:pt>
                <c:pt idx="16">
                  <c:v>5</c:v>
                </c:pt>
                <c:pt idx="17">
                  <c:v>7</c:v>
                </c:pt>
                <c:pt idx="18">
                  <c:v>6</c:v>
                </c:pt>
                <c:pt idx="19">
                  <c:v>6</c:v>
                </c:pt>
                <c:pt idx="20">
                  <c:v>5</c:v>
                </c:pt>
                <c:pt idx="21">
                  <c:v>8</c:v>
                </c:pt>
                <c:pt idx="22">
                  <c:v>15</c:v>
                </c:pt>
                <c:pt idx="23">
                  <c:v>7</c:v>
                </c:pt>
                <c:pt idx="24">
                  <c:v>11</c:v>
                </c:pt>
                <c:pt idx="25">
                  <c:v>12</c:v>
                </c:pt>
                <c:pt idx="26">
                  <c:v>7</c:v>
                </c:pt>
                <c:pt idx="27">
                  <c:v>6</c:v>
                </c:pt>
                <c:pt idx="28">
                  <c:v>5</c:v>
                </c:pt>
                <c:pt idx="29">
                  <c:v>8</c:v>
                </c:pt>
                <c:pt idx="30">
                  <c:v>5</c:v>
                </c:pt>
                <c:pt idx="31">
                  <c:v>8</c:v>
                </c:pt>
                <c:pt idx="32">
                  <c:v>3</c:v>
                </c:pt>
                <c:pt idx="33">
                  <c:v>9</c:v>
                </c:pt>
                <c:pt idx="34">
                  <c:v>10</c:v>
                </c:pt>
                <c:pt idx="35">
                  <c:v>5</c:v>
                </c:pt>
                <c:pt idx="36">
                  <c:v>5</c:v>
                </c:pt>
                <c:pt idx="37">
                  <c:v>10</c:v>
                </c:pt>
                <c:pt idx="38">
                  <c:v>8</c:v>
                </c:pt>
                <c:pt idx="39">
                  <c:v>4</c:v>
                </c:pt>
                <c:pt idx="40">
                  <c:v>6</c:v>
                </c:pt>
                <c:pt idx="41">
                  <c:v>4</c:v>
                </c:pt>
                <c:pt idx="42">
                  <c:v>8</c:v>
                </c:pt>
                <c:pt idx="43">
                  <c:v>9</c:v>
                </c:pt>
                <c:pt idx="44">
                  <c:v>15</c:v>
                </c:pt>
                <c:pt idx="45">
                  <c:v>2</c:v>
                </c:pt>
                <c:pt idx="46">
                  <c:v>5</c:v>
                </c:pt>
                <c:pt idx="47">
                  <c:v>6</c:v>
                </c:pt>
                <c:pt idx="48">
                  <c:v>11</c:v>
                </c:pt>
                <c:pt idx="49">
                  <c:v>9</c:v>
                </c:pt>
                <c:pt idx="50">
                  <c:v>8</c:v>
                </c:pt>
                <c:pt idx="51">
                  <c:v>8</c:v>
                </c:pt>
                <c:pt idx="52">
                  <c:v>8</c:v>
                </c:pt>
                <c:pt idx="53">
                  <c:v>7</c:v>
                </c:pt>
                <c:pt idx="54">
                  <c:v>8</c:v>
                </c:pt>
                <c:pt idx="55">
                  <c:v>4</c:v>
                </c:pt>
                <c:pt idx="56">
                  <c:v>9</c:v>
                </c:pt>
                <c:pt idx="57">
                  <c:v>9</c:v>
                </c:pt>
                <c:pt idx="58">
                  <c:v>10</c:v>
                </c:pt>
                <c:pt idx="59">
                  <c:v>6</c:v>
                </c:pt>
                <c:pt idx="60">
                  <c:v>9</c:v>
                </c:pt>
                <c:pt idx="61">
                  <c:v>10</c:v>
                </c:pt>
                <c:pt idx="62">
                  <c:v>4</c:v>
                </c:pt>
                <c:pt idx="63">
                  <c:v>11</c:v>
                </c:pt>
                <c:pt idx="64">
                  <c:v>10</c:v>
                </c:pt>
                <c:pt idx="65">
                  <c:v>3</c:v>
                </c:pt>
                <c:pt idx="66">
                  <c:v>8</c:v>
                </c:pt>
                <c:pt idx="67">
                  <c:v>10</c:v>
                </c:pt>
                <c:pt idx="68">
                  <c:v>9</c:v>
                </c:pt>
                <c:pt idx="69">
                  <c:v>14</c:v>
                </c:pt>
                <c:pt idx="70">
                  <c:v>6</c:v>
                </c:pt>
                <c:pt idx="71">
                  <c:v>2</c:v>
                </c:pt>
                <c:pt idx="72">
                  <c:v>7</c:v>
                </c:pt>
                <c:pt idx="73">
                  <c:v>6</c:v>
                </c:pt>
                <c:pt idx="74">
                  <c:v>4</c:v>
                </c:pt>
                <c:pt idx="75">
                  <c:v>14</c:v>
                </c:pt>
                <c:pt idx="76">
                  <c:v>5</c:v>
                </c:pt>
                <c:pt idx="77">
                  <c:v>11</c:v>
                </c:pt>
                <c:pt idx="78">
                  <c:v>8</c:v>
                </c:pt>
                <c:pt idx="79">
                  <c:v>8</c:v>
                </c:pt>
                <c:pt idx="80">
                  <c:v>12</c:v>
                </c:pt>
                <c:pt idx="81">
                  <c:v>12</c:v>
                </c:pt>
                <c:pt idx="82">
                  <c:v>5</c:v>
                </c:pt>
                <c:pt idx="83">
                  <c:v>8</c:v>
                </c:pt>
                <c:pt idx="84">
                  <c:v>3</c:v>
                </c:pt>
                <c:pt idx="85">
                  <c:v>7</c:v>
                </c:pt>
                <c:pt idx="86">
                  <c:v>8</c:v>
                </c:pt>
                <c:pt idx="87">
                  <c:v>9</c:v>
                </c:pt>
                <c:pt idx="88">
                  <c:v>15</c:v>
                </c:pt>
                <c:pt idx="89">
                  <c:v>17</c:v>
                </c:pt>
                <c:pt idx="90">
                  <c:v>1</c:v>
                </c:pt>
                <c:pt idx="91">
                  <c:v>1</c:v>
                </c:pt>
                <c:pt idx="92">
                  <c:v>1</c:v>
                </c:pt>
                <c:pt idx="93">
                  <c:v>1</c:v>
                </c:pt>
                <c:pt idx="94">
                  <c:v>1</c:v>
                </c:pt>
                <c:pt idx="96">
                  <c:v>1</c:v>
                </c:pt>
                <c:pt idx="97">
                  <c:v>5</c:v>
                </c:pt>
                <c:pt idx="98">
                  <c:v>1</c:v>
                </c:pt>
                <c:pt idx="100">
                  <c:v>1</c:v>
                </c:pt>
                <c:pt idx="101">
                  <c:v>7</c:v>
                </c:pt>
                <c:pt idx="102">
                  <c:v>5</c:v>
                </c:pt>
                <c:pt idx="103">
                  <c:v>3</c:v>
                </c:pt>
                <c:pt idx="104">
                  <c:v>2</c:v>
                </c:pt>
                <c:pt idx="105">
                  <c:v>2</c:v>
                </c:pt>
                <c:pt idx="106">
                  <c:v>2</c:v>
                </c:pt>
                <c:pt idx="107">
                  <c:v>1</c:v>
                </c:pt>
              </c:numCache>
            </c:numRef>
          </c:val>
          <c:smooth val="0"/>
          <c:extLst>
            <c:ext xmlns:c16="http://schemas.microsoft.com/office/drawing/2014/chart" uri="{C3380CC4-5D6E-409C-BE32-E72D297353CC}">
              <c16:uniqueId val="{00000000-3391-4751-BDC2-D8605B45EF6E}"/>
            </c:ext>
          </c:extLst>
        </c:ser>
        <c:ser>
          <c:idx val="1"/>
          <c:order val="1"/>
          <c:tx>
            <c:strRef>
              <c:f>'Time Analysis'!$C$3:$C$4</c:f>
              <c:strCache>
                <c:ptCount val="1"/>
                <c:pt idx="0">
                  <c:v>Lionel Messi</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'Time Analysis'!$A$5:$A$113</c:f>
              <c:strCache>
                <c:ptCount val="10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97</c:v>
                </c:pt>
                <c:pt idx="91">
                  <c:v>103</c:v>
                </c:pt>
                <c:pt idx="92">
                  <c:v>104</c:v>
                </c:pt>
                <c:pt idx="93">
                  <c:v>105</c:v>
                </c:pt>
                <c:pt idx="94">
                  <c:v>109</c:v>
                </c:pt>
                <c:pt idx="95">
                  <c:v>110</c:v>
                </c:pt>
                <c:pt idx="96">
                  <c:v>120</c:v>
                </c:pt>
                <c:pt idx="97">
                  <c:v>45+1</c:v>
                </c:pt>
                <c:pt idx="98">
                  <c:v>45+2</c:v>
                </c:pt>
                <c:pt idx="99">
                  <c:v>45+4</c:v>
                </c:pt>
                <c:pt idx="100">
                  <c:v>45+7</c:v>
                </c:pt>
                <c:pt idx="101">
                  <c:v>90+1</c:v>
                </c:pt>
                <c:pt idx="102">
                  <c:v>90+2</c:v>
                </c:pt>
                <c:pt idx="103">
                  <c:v>90+3</c:v>
                </c:pt>
                <c:pt idx="104">
                  <c:v>90+4</c:v>
                </c:pt>
                <c:pt idx="105">
                  <c:v>90+5</c:v>
                </c:pt>
                <c:pt idx="106">
                  <c:v>90+6</c:v>
                </c:pt>
                <c:pt idx="107">
                  <c:v>90+7</c:v>
                </c:pt>
              </c:strCache>
            </c:strRef>
          </c:cat>
          <c:val>
            <c:numRef>
              <c:f>'Time Analysis'!$C$5:$C$113</c:f>
              <c:numCache>
                <c:formatCode>General</c:formatCode>
                <c:ptCount val="108"/>
                <c:pt idx="2">
                  <c:v>4</c:v>
                </c:pt>
                <c:pt idx="3">
                  <c:v>4</c:v>
                </c:pt>
                <c:pt idx="4">
                  <c:v>8</c:v>
                </c:pt>
                <c:pt idx="5">
                  <c:v>2</c:v>
                </c:pt>
                <c:pt idx="6">
                  <c:v>3</c:v>
                </c:pt>
                <c:pt idx="7">
                  <c:v>5</c:v>
                </c:pt>
                <c:pt idx="8">
                  <c:v>4</c:v>
                </c:pt>
                <c:pt idx="9">
                  <c:v>3</c:v>
                </c:pt>
                <c:pt idx="10">
                  <c:v>8</c:v>
                </c:pt>
                <c:pt idx="11">
                  <c:v>7</c:v>
                </c:pt>
                <c:pt idx="12">
                  <c:v>8</c:v>
                </c:pt>
                <c:pt idx="13">
                  <c:v>2</c:v>
                </c:pt>
                <c:pt idx="14">
                  <c:v>9</c:v>
                </c:pt>
                <c:pt idx="15">
                  <c:v>10</c:v>
                </c:pt>
                <c:pt idx="16">
                  <c:v>6</c:v>
                </c:pt>
                <c:pt idx="17">
                  <c:v>9</c:v>
                </c:pt>
                <c:pt idx="18">
                  <c:v>5</c:v>
                </c:pt>
                <c:pt idx="19">
                  <c:v>8</c:v>
                </c:pt>
                <c:pt idx="20">
                  <c:v>9</c:v>
                </c:pt>
                <c:pt idx="21">
                  <c:v>7</c:v>
                </c:pt>
                <c:pt idx="22">
                  <c:v>10</c:v>
                </c:pt>
                <c:pt idx="23">
                  <c:v>6</c:v>
                </c:pt>
                <c:pt idx="24">
                  <c:v>10</c:v>
                </c:pt>
                <c:pt idx="25">
                  <c:v>8</c:v>
                </c:pt>
                <c:pt idx="26">
                  <c:v>7</c:v>
                </c:pt>
                <c:pt idx="27">
                  <c:v>9</c:v>
                </c:pt>
                <c:pt idx="28">
                  <c:v>4</c:v>
                </c:pt>
                <c:pt idx="29">
                  <c:v>8</c:v>
                </c:pt>
                <c:pt idx="30">
                  <c:v>10</c:v>
                </c:pt>
                <c:pt idx="31">
                  <c:v>5</c:v>
                </c:pt>
                <c:pt idx="32">
                  <c:v>9</c:v>
                </c:pt>
                <c:pt idx="33">
                  <c:v>5</c:v>
                </c:pt>
                <c:pt idx="34">
                  <c:v>5</c:v>
                </c:pt>
                <c:pt idx="35">
                  <c:v>8</c:v>
                </c:pt>
                <c:pt idx="36">
                  <c:v>8</c:v>
                </c:pt>
                <c:pt idx="37">
                  <c:v>11</c:v>
                </c:pt>
                <c:pt idx="38">
                  <c:v>8</c:v>
                </c:pt>
                <c:pt idx="39">
                  <c:v>5</c:v>
                </c:pt>
                <c:pt idx="40">
                  <c:v>7</c:v>
                </c:pt>
                <c:pt idx="41">
                  <c:v>11</c:v>
                </c:pt>
                <c:pt idx="42">
                  <c:v>10</c:v>
                </c:pt>
                <c:pt idx="43">
                  <c:v>7</c:v>
                </c:pt>
                <c:pt idx="44">
                  <c:v>12</c:v>
                </c:pt>
                <c:pt idx="45">
                  <c:v>2</c:v>
                </c:pt>
                <c:pt idx="46">
                  <c:v>3</c:v>
                </c:pt>
                <c:pt idx="47">
                  <c:v>3</c:v>
                </c:pt>
                <c:pt idx="48">
                  <c:v>5</c:v>
                </c:pt>
                <c:pt idx="49">
                  <c:v>8</c:v>
                </c:pt>
                <c:pt idx="50">
                  <c:v>10</c:v>
                </c:pt>
                <c:pt idx="51">
                  <c:v>4</c:v>
                </c:pt>
                <c:pt idx="52">
                  <c:v>4</c:v>
                </c:pt>
                <c:pt idx="53">
                  <c:v>5</c:v>
                </c:pt>
                <c:pt idx="54">
                  <c:v>14</c:v>
                </c:pt>
                <c:pt idx="55">
                  <c:v>8</c:v>
                </c:pt>
                <c:pt idx="56">
                  <c:v>5</c:v>
                </c:pt>
                <c:pt idx="57">
                  <c:v>11</c:v>
                </c:pt>
                <c:pt idx="58">
                  <c:v>10</c:v>
                </c:pt>
                <c:pt idx="59">
                  <c:v>9</c:v>
                </c:pt>
                <c:pt idx="60">
                  <c:v>9</c:v>
                </c:pt>
                <c:pt idx="61">
                  <c:v>6</c:v>
                </c:pt>
                <c:pt idx="62">
                  <c:v>11</c:v>
                </c:pt>
                <c:pt idx="63">
                  <c:v>9</c:v>
                </c:pt>
                <c:pt idx="64">
                  <c:v>8</c:v>
                </c:pt>
                <c:pt idx="65">
                  <c:v>4</c:v>
                </c:pt>
                <c:pt idx="66">
                  <c:v>8</c:v>
                </c:pt>
                <c:pt idx="67">
                  <c:v>7</c:v>
                </c:pt>
                <c:pt idx="68">
                  <c:v>9</c:v>
                </c:pt>
                <c:pt idx="69">
                  <c:v>5</c:v>
                </c:pt>
                <c:pt idx="70">
                  <c:v>5</c:v>
                </c:pt>
                <c:pt idx="71">
                  <c:v>8</c:v>
                </c:pt>
                <c:pt idx="72">
                  <c:v>10</c:v>
                </c:pt>
                <c:pt idx="73">
                  <c:v>10</c:v>
                </c:pt>
                <c:pt idx="74">
                  <c:v>12</c:v>
                </c:pt>
                <c:pt idx="75">
                  <c:v>8</c:v>
                </c:pt>
                <c:pt idx="76">
                  <c:v>9</c:v>
                </c:pt>
                <c:pt idx="77">
                  <c:v>13</c:v>
                </c:pt>
                <c:pt idx="78">
                  <c:v>7</c:v>
                </c:pt>
                <c:pt idx="79">
                  <c:v>12</c:v>
                </c:pt>
                <c:pt idx="80">
                  <c:v>5</c:v>
                </c:pt>
                <c:pt idx="81">
                  <c:v>11</c:v>
                </c:pt>
                <c:pt idx="82">
                  <c:v>7</c:v>
                </c:pt>
                <c:pt idx="83">
                  <c:v>6</c:v>
                </c:pt>
                <c:pt idx="84">
                  <c:v>10</c:v>
                </c:pt>
                <c:pt idx="85">
                  <c:v>13</c:v>
                </c:pt>
                <c:pt idx="86">
                  <c:v>13</c:v>
                </c:pt>
                <c:pt idx="87">
                  <c:v>8</c:v>
                </c:pt>
                <c:pt idx="88">
                  <c:v>9</c:v>
                </c:pt>
                <c:pt idx="89">
                  <c:v>12</c:v>
                </c:pt>
                <c:pt idx="95">
                  <c:v>1</c:v>
                </c:pt>
                <c:pt idx="97">
                  <c:v>3</c:v>
                </c:pt>
                <c:pt idx="98">
                  <c:v>2</c:v>
                </c:pt>
                <c:pt idx="99">
                  <c:v>1</c:v>
                </c:pt>
                <c:pt idx="101">
                  <c:v>10</c:v>
                </c:pt>
                <c:pt idx="102">
                  <c:v>10</c:v>
                </c:pt>
                <c:pt idx="103">
                  <c:v>3</c:v>
                </c:pt>
                <c:pt idx="104">
                  <c:v>3</c:v>
                </c:pt>
                <c:pt idx="105">
                  <c:v>1</c:v>
                </c:pt>
              </c:numCache>
            </c:numRef>
          </c:val>
          <c:smooth val="0"/>
          <c:extLst>
            <c:ext xmlns:c16="http://schemas.microsoft.com/office/drawing/2014/chart" uri="{C3380CC4-5D6E-409C-BE32-E72D297353CC}">
              <c16:uniqueId val="{00000007-FCD5-40D1-9938-5FD826045124}"/>
            </c:ext>
          </c:extLst>
        </c:ser>
        <c:dLbls>
          <c:showLegendKey val="0"/>
          <c:showVal val="0"/>
          <c:showCatName val="0"/>
          <c:showSerName val="0"/>
          <c:showPercent val="0"/>
          <c:showBubbleSize val="0"/>
        </c:dLbls>
        <c:marker val="1"/>
        <c:smooth val="0"/>
        <c:axId val="515571711"/>
        <c:axId val="515598591"/>
      </c:lineChart>
      <c:catAx>
        <c:axId val="515571711"/>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Minute</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598591"/>
        <c:crosses val="autoZero"/>
        <c:auto val="1"/>
        <c:lblAlgn val="ctr"/>
        <c:lblOffset val="100"/>
        <c:noMultiLvlLbl val="0"/>
      </c:catAx>
      <c:valAx>
        <c:axId val="515598591"/>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5717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[analysis.xlsm]Opponent Analysis!PivotTable11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Favourite</a:t>
            </a:r>
            <a:r>
              <a:rPr lang="en-IN" baseline="0"/>
              <a:t> Opponent</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'Opponent Analysis'!$B$3:$B$4</c:f>
              <c:strCache>
                <c:ptCount val="1"/>
                <c:pt idx="0">
                  <c:v>Cristiano Ronaldo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'Opponent Analysis'!$A$5:$A$178</c:f>
              <c:strCache>
                <c:ptCount val="173"/>
                <c:pt idx="0">
                  <c:v>Sevilla FC</c:v>
                </c:pt>
                <c:pt idx="1">
                  <c:v>Atletico de Madrid</c:v>
                </c:pt>
                <c:pt idx="2">
                  <c:v>Getafe CF</c:v>
                </c:pt>
                <c:pt idx="3">
                  <c:v>Celta de Vigo</c:v>
                </c:pt>
                <c:pt idx="4">
                  <c:v>FC Barcelona</c:v>
                </c:pt>
                <c:pt idx="5">
                  <c:v>Malaga CF</c:v>
                </c:pt>
                <c:pt idx="6">
                  <c:v>Athletic Bilbao</c:v>
                </c:pt>
                <c:pt idx="7">
                  <c:v>RCD Espanyol Barcelona</c:v>
                </c:pt>
                <c:pt idx="8">
                  <c:v>Real Sociedad</c:v>
                </c:pt>
                <c:pt idx="9">
                  <c:v>Valencia CF</c:v>
                </c:pt>
                <c:pt idx="10">
                  <c:v>Villarreal CF</c:v>
                </c:pt>
                <c:pt idx="11">
                  <c:v>Levante UD</c:v>
                </c:pt>
                <c:pt idx="12">
                  <c:v>Tottenham Hotspur</c:v>
                </c:pt>
                <c:pt idx="13">
                  <c:v>Deportivo de La CoruÃƒÂ±a</c:v>
                </c:pt>
                <c:pt idx="14">
                  <c:v>CA Osasuna</c:v>
                </c:pt>
                <c:pt idx="15">
                  <c:v>Rayo Vallecano</c:v>
                </c:pt>
                <c:pt idx="16">
                  <c:v>Granada CF</c:v>
                </c:pt>
                <c:pt idx="17">
                  <c:v>AS Roma</c:v>
                </c:pt>
                <c:pt idx="18">
                  <c:v>Juventus FC</c:v>
                </c:pt>
                <c:pt idx="19">
                  <c:v>Ajax Amsterdam</c:v>
                </c:pt>
                <c:pt idx="20">
                  <c:v>Arsenal FC</c:v>
                </c:pt>
                <c:pt idx="21">
                  <c:v>Bayern Munich</c:v>
                </c:pt>
                <c:pt idx="22">
                  <c:v>Aston Villa</c:v>
                </c:pt>
                <c:pt idx="23">
                  <c:v>Cagliari Calcio</c:v>
                </c:pt>
                <c:pt idx="24">
                  <c:v>Newcastle United</c:v>
                </c:pt>
                <c:pt idx="25">
                  <c:v>Udinese Calcio</c:v>
                </c:pt>
                <c:pt idx="26">
                  <c:v>Fulham FC</c:v>
                </c:pt>
                <c:pt idx="27">
                  <c:v>Wigan Athletic</c:v>
                </c:pt>
                <c:pt idx="28">
                  <c:v>Real Zaragoza</c:v>
                </c:pt>
                <c:pt idx="29">
                  <c:v>SD Eibar</c:v>
                </c:pt>
                <c:pt idx="30">
                  <c:v>Elche CF</c:v>
                </c:pt>
                <c:pt idx="31">
                  <c:v>UD Almeria</c:v>
                </c:pt>
                <c:pt idx="32">
                  <c:v>FC Schalke 04</c:v>
                </c:pt>
                <c:pt idx="33">
                  <c:v>RCD Mallorca</c:v>
                </c:pt>
                <c:pt idx="34">
                  <c:v>Borussia Dortmund</c:v>
                </c:pt>
                <c:pt idx="35">
                  <c:v>Sporting GijÃƒÂ³n</c:v>
                </c:pt>
                <c:pt idx="36">
                  <c:v>Bolton Wanderers</c:v>
                </c:pt>
                <c:pt idx="37">
                  <c:v>Atalanta BC</c:v>
                </c:pt>
                <c:pt idx="38">
                  <c:v>APOEL Nicosia</c:v>
                </c:pt>
                <c:pt idx="39">
                  <c:v>AC Milan</c:v>
                </c:pt>
                <c:pt idx="40">
                  <c:v>Real Betis Balompie</c:v>
                </c:pt>
                <c:pt idx="41">
                  <c:v>US Sassuolo</c:v>
                </c:pt>
                <c:pt idx="42">
                  <c:v>West Ham United</c:v>
                </c:pt>
                <c:pt idx="43">
                  <c:v>Galatasaray</c:v>
                </c:pt>
                <c:pt idx="44">
                  <c:v>Olympique Lyon</c:v>
                </c:pt>
                <c:pt idx="45">
                  <c:v>Parma Calcio 1913</c:v>
                </c:pt>
                <c:pt idx="46">
                  <c:v>Portsmouth FC</c:v>
                </c:pt>
                <c:pt idx="47">
                  <c:v>Everton FC</c:v>
                </c:pt>
                <c:pt idx="48">
                  <c:v>Racing Santander</c:v>
                </c:pt>
                <c:pt idx="49">
                  <c:v>MalmÃƒÂ¶ FF</c:v>
                </c:pt>
                <c:pt idx="50">
                  <c:v>Middlesbrough FC</c:v>
                </c:pt>
                <c:pt idx="51">
                  <c:v>Deportivo Alaves</c:v>
                </c:pt>
                <c:pt idx="52">
                  <c:v>UC Sampdoria</c:v>
                </c:pt>
                <c:pt idx="53">
                  <c:v>Shakhtar Donetsk</c:v>
                </c:pt>
                <c:pt idx="54">
                  <c:v>Genoa CFC</c:v>
                </c:pt>
                <c:pt idx="55">
                  <c:v>Manchester City</c:v>
                </c:pt>
                <c:pt idx="56">
                  <c:v>SS Lazio</c:v>
                </c:pt>
                <c:pt idx="57">
                  <c:v>Reading FC</c:v>
                </c:pt>
                <c:pt idx="58">
                  <c:v>Al-Wehda FC</c:v>
                </c:pt>
                <c:pt idx="59">
                  <c:v>Inter Milan</c:v>
                </c:pt>
                <c:pt idx="60">
                  <c:v>Olympique Marseille</c:v>
                </c:pt>
                <c:pt idx="61">
                  <c:v>Derby County</c:v>
                </c:pt>
                <c:pt idx="62">
                  <c:v>Dynamo Kyiv</c:v>
                </c:pt>
                <c:pt idx="63">
                  <c:v>Norwich City</c:v>
                </c:pt>
                <c:pt idx="64">
                  <c:v>West Bromwich Albion</c:v>
                </c:pt>
                <c:pt idx="65">
                  <c:v>SSC Napoli</c:v>
                </c:pt>
                <c:pt idx="66">
                  <c:v>Xerez CD</c:v>
                </c:pt>
                <c:pt idx="67">
                  <c:v>Torino FC</c:v>
                </c:pt>
                <c:pt idx="68">
                  <c:v>Girona FC</c:v>
                </c:pt>
                <c:pt idx="69">
                  <c:v>VfL Wolfsburg</c:v>
                </c:pt>
                <c:pt idx="70">
                  <c:v>Spezia Calcio</c:v>
                </c:pt>
                <c:pt idx="71">
                  <c:v>Damac FC</c:v>
                </c:pt>
                <c:pt idx="72">
                  <c:v>ACF Fiorentina</c:v>
                </c:pt>
                <c:pt idx="73">
                  <c:v>Blackburn Rovers</c:v>
                </c:pt>
                <c:pt idx="74">
                  <c:v>Hellas Verona</c:v>
                </c:pt>
                <c:pt idx="75">
                  <c:v>CSKA Moscow</c:v>
                </c:pt>
                <c:pt idx="76">
                  <c:v>Kashima Antlers</c:v>
                </c:pt>
                <c:pt idx="77">
                  <c:v>SPAL</c:v>
                </c:pt>
                <c:pt idx="78">
                  <c:v>Liverpool FC</c:v>
                </c:pt>
                <c:pt idx="79">
                  <c:v>Sporting CP</c:v>
                </c:pt>
                <c:pt idx="80">
                  <c:v>Manchester United</c:v>
                </c:pt>
                <c:pt idx="81">
                  <c:v>UD Las Palmas</c:v>
                </c:pt>
                <c:pt idx="82">
                  <c:v>FC Copenhagen</c:v>
                </c:pt>
                <c:pt idx="83">
                  <c:v>Real Valladolid CF</c:v>
                </c:pt>
                <c:pt idx="84">
                  <c:v>Paris Saint-Germain</c:v>
                </c:pt>
                <c:pt idx="85">
                  <c:v>Empoli FC </c:v>
                </c:pt>
                <c:pt idx="86">
                  <c:v>Southampton FC</c:v>
                </c:pt>
                <c:pt idx="87">
                  <c:v>Watford FC</c:v>
                </c:pt>
                <c:pt idx="88">
                  <c:v>Hull City</c:v>
                </c:pt>
                <c:pt idx="89">
                  <c:v>Stoke City</c:v>
                </c:pt>
                <c:pt idx="90">
                  <c:v>FC Sheriff</c:v>
                </c:pt>
                <c:pt idx="91">
                  <c:v>Frosinone Calcio</c:v>
                </c:pt>
                <c:pt idx="92">
                  <c:v>Ludogorets Razgrad</c:v>
                </c:pt>
                <c:pt idx="93">
                  <c:v>Hercules CF</c:v>
                </c:pt>
                <c:pt idx="94">
                  <c:v>FC ZÃƒÂ¼rich</c:v>
                </c:pt>
                <c:pt idx="95">
                  <c:v>Bayer 04 Leverkusen</c:v>
                </c:pt>
                <c:pt idx="96">
                  <c:v>Moreirense FC</c:v>
                </c:pt>
                <c:pt idx="97">
                  <c:v>Birmingham City</c:v>
                </c:pt>
                <c:pt idx="98">
                  <c:v>FC Crotone</c:v>
                </c:pt>
                <c:pt idx="99">
                  <c:v>Bologna FC 1909</c:v>
                </c:pt>
                <c:pt idx="100">
                  <c:v>Chelsea FC</c:v>
                </c:pt>
                <c:pt idx="101">
                  <c:v>FC Basel 1893</c:v>
                </c:pt>
                <c:pt idx="102">
                  <c:v>Al-Fateh</c:v>
                </c:pt>
                <c:pt idx="103">
                  <c:v>Charlton Athletic</c:v>
                </c:pt>
                <c:pt idx="104">
                  <c:v>US Lecce</c:v>
                </c:pt>
                <c:pt idx="105">
                  <c:v>Real Murcia CF</c:v>
                </c:pt>
                <c:pt idx="106">
                  <c:v>Ferencvarosi TC</c:v>
                </c:pt>
                <c:pt idx="107">
                  <c:v>AJ Auxerre</c:v>
                </c:pt>
                <c:pt idx="108">
                  <c:v>FC Internazionale</c:v>
                </c:pt>
                <c:pt idx="109">
                  <c:v>CD Estarreja</c:v>
                </c:pt>
                <c:pt idx="110">
                  <c:v>Exeter City</c:v>
                </c:pt>
                <c:pt idx="111">
                  <c:v>Millwall FC</c:v>
                </c:pt>
                <c:pt idx="112">
                  <c:v>Al-Jazira (Abu Dhabi)</c:v>
                </c:pt>
                <c:pt idx="113">
                  <c:v>Brentford FC</c:v>
                </c:pt>
                <c:pt idx="114">
                  <c:v>Sunderland AFC</c:v>
                </c:pt>
                <c:pt idx="115">
                  <c:v>Debreceni VSC</c:v>
                </c:pt>
                <c:pt idx="116">
                  <c:v>GrÃƒÂªmio Foot-Ball Porto Alegrense</c:v>
                </c:pt>
                <c:pt idx="117">
                  <c:v>Burnley FC</c:v>
                </c:pt>
                <c:pt idx="118">
                  <c:v>BSC Young Boys</c:v>
                </c:pt>
                <c:pt idx="119">
                  <c:v>Brighton &amp; Hove Albion</c:v>
                </c:pt>
                <c:pt idx="120">
                  <c:v>Boavista FC</c:v>
                </c:pt>
                <c:pt idx="121">
                  <c:v>Abha Club</c:v>
                </c:pt>
                <c:pt idx="122">
                  <c:v>FC Porto</c:v>
                </c:pt>
                <c:pt idx="123">
                  <c:v>FC Oliveira do Hospital</c:v>
                </c:pt>
                <c:pt idx="124">
                  <c:v>CÃƒÂ³rdoba CF</c:v>
                </c:pt>
                <c:pt idx="125">
                  <c:v>CD Tenerife</c:v>
                </c:pt>
                <c:pt idx="126">
                  <c:v>Gamba Osaka</c:v>
                </c:pt>
                <c:pt idx="127">
                  <c:v>SD Ponferradina</c:v>
                </c:pt>
                <c:pt idx="128">
                  <c:v>CF America</c:v>
                </c:pt>
                <c:pt idx="129">
                  <c:v>Maccabi Haifa</c:v>
                </c:pt>
                <c:pt idx="130">
                  <c:v>BATE Borisov</c:v>
                </c:pt>
                <c:pt idx="131">
                  <c:v>FC Toulouse</c:v>
                </c:pt>
                <c:pt idx="132">
                  <c:v>Real Madrid</c:v>
                </c:pt>
                <c:pt idx="133">
                  <c:v>LOSC Lille</c:v>
                </c:pt>
                <c:pt idx="134">
                  <c:v>AC Ajaccio</c:v>
                </c:pt>
                <c:pt idx="135">
                  <c:v>Cadiz CF</c:v>
                </c:pt>
                <c:pt idx="136">
                  <c:v>Club Estudiantes de La Plata</c:v>
                </c:pt>
                <c:pt idx="137">
                  <c:v>Deportivo de La Coruaa</c:v>
                </c:pt>
                <c:pt idx="138">
                  <c:v>Albacete Balompie</c:v>
                </c:pt>
                <c:pt idx="139">
                  <c:v>SV Werder Bremen</c:v>
                </c:pt>
                <c:pt idx="140">
                  <c:v>Borussia MÃƒÂ¶nchengladbach</c:v>
                </c:pt>
                <c:pt idx="141">
                  <c:v>UD Almera</c:v>
                </c:pt>
                <c:pt idx="142">
                  <c:v>Recreativo Huelva</c:v>
                </c:pt>
                <c:pt idx="143">
                  <c:v>CF Atlante</c:v>
                </c:pt>
                <c:pt idx="144">
                  <c:v>Santos FC</c:v>
                </c:pt>
                <c:pt idx="145">
                  <c:v>RB Leipzig</c:v>
                </c:pt>
                <c:pt idx="146">
                  <c:v>Cultural Leonesa</c:v>
                </c:pt>
                <c:pt idx="147">
                  <c:v>Club Atletico de Ceuta</c:v>
                </c:pt>
                <c:pt idx="148">
                  <c:v>SD Huesca</c:v>
                </c:pt>
                <c:pt idx="149">
                  <c:v>FC Lorient</c:v>
                </c:pt>
                <c:pt idx="150">
                  <c:v>FC Viktoria Plzen</c:v>
                </c:pt>
                <c:pt idx="151">
                  <c:v>Panathinaikos Athens</c:v>
                </c:pt>
                <c:pt idx="152">
                  <c:v>Montpellier</c:v>
                </c:pt>
                <c:pt idx="153">
                  <c:v>Benidorm CD</c:v>
                </c:pt>
                <c:pt idx="154">
                  <c:v>Montpellier HSC</c:v>
                </c:pt>
                <c:pt idx="155">
                  <c:v>Celtic FC</c:v>
                </c:pt>
                <c:pt idx="156">
                  <c:v>SK Slavia Prague</c:v>
                </c:pt>
                <c:pt idx="157">
                  <c:v>FC Nantes</c:v>
                </c:pt>
                <c:pt idx="158">
                  <c:v>SL Benfica</c:v>
                </c:pt>
                <c:pt idx="159">
                  <c:v>ESTAC Troyes</c:v>
                </c:pt>
                <c:pt idx="160">
                  <c:v>CA River Plate</c:v>
                </c:pt>
                <c:pt idx="161">
                  <c:v>Rangers FC</c:v>
                </c:pt>
                <c:pt idx="162">
                  <c:v>CD Leganes</c:v>
                </c:pt>
                <c:pt idx="163">
                  <c:v>VfB Stuttgart</c:v>
                </c:pt>
                <c:pt idx="164">
                  <c:v>Spartak Moscow</c:v>
                </c:pt>
                <c:pt idx="165">
                  <c:v>RC Lens</c:v>
                </c:pt>
                <c:pt idx="166">
                  <c:v>CD Numancia</c:v>
                </c:pt>
                <c:pt idx="167">
                  <c:v>Clermont Foot</c:v>
                </c:pt>
                <c:pt idx="168">
                  <c:v>OGC Nice</c:v>
                </c:pt>
                <c:pt idx="169">
                  <c:v>Club Brugge KV</c:v>
                </c:pt>
                <c:pt idx="170">
                  <c:v>Olympiacos Piraeus</c:v>
                </c:pt>
                <c:pt idx="171">
                  <c:v>PSV Eindhoven</c:v>
                </c:pt>
                <c:pt idx="172">
                  <c:v>Gimnastic de Tarragona</c:v>
                </c:pt>
              </c:strCache>
            </c:strRef>
          </c:cat>
          <c:val>
            <c:numRef>
              <c:f>'Opponent Analysis'!$B$5:$B$178</c:f>
              <c:numCache>
                <c:formatCode>General</c:formatCode>
                <c:ptCount val="173"/>
                <c:pt idx="0">
                  <c:v>27</c:v>
                </c:pt>
                <c:pt idx="1">
                  <c:v>25</c:v>
                </c:pt>
                <c:pt idx="2">
                  <c:v>23</c:v>
                </c:pt>
                <c:pt idx="3">
                  <c:v>20</c:v>
                </c:pt>
                <c:pt idx="4">
                  <c:v>20</c:v>
                </c:pt>
                <c:pt idx="5">
                  <c:v>17</c:v>
                </c:pt>
                <c:pt idx="6">
                  <c:v>17</c:v>
                </c:pt>
                <c:pt idx="7">
                  <c:v>15</c:v>
                </c:pt>
                <c:pt idx="8">
                  <c:v>15</c:v>
                </c:pt>
                <c:pt idx="9">
                  <c:v>15</c:v>
                </c:pt>
                <c:pt idx="10">
                  <c:v>15</c:v>
                </c:pt>
                <c:pt idx="11">
                  <c:v>14</c:v>
                </c:pt>
                <c:pt idx="12">
                  <c:v>14</c:v>
                </c:pt>
                <c:pt idx="13">
                  <c:v>13</c:v>
                </c:pt>
                <c:pt idx="14">
                  <c:v>12</c:v>
                </c:pt>
                <c:pt idx="15">
                  <c:v>12</c:v>
                </c:pt>
                <c:pt idx="16">
                  <c:v>12</c:v>
                </c:pt>
                <c:pt idx="17">
                  <c:v>10</c:v>
                </c:pt>
                <c:pt idx="18">
                  <c:v>10</c:v>
                </c:pt>
                <c:pt idx="19">
                  <c:v>9</c:v>
                </c:pt>
                <c:pt idx="20">
                  <c:v>9</c:v>
                </c:pt>
                <c:pt idx="21">
                  <c:v>9</c:v>
                </c:pt>
                <c:pt idx="22">
                  <c:v>9</c:v>
                </c:pt>
                <c:pt idx="23">
                  <c:v>8</c:v>
                </c:pt>
                <c:pt idx="24">
                  <c:v>8</c:v>
                </c:pt>
                <c:pt idx="25">
                  <c:v>7</c:v>
                </c:pt>
                <c:pt idx="26">
                  <c:v>7</c:v>
                </c:pt>
                <c:pt idx="27">
                  <c:v>7</c:v>
                </c:pt>
                <c:pt idx="28">
                  <c:v>7</c:v>
                </c:pt>
                <c:pt idx="29">
                  <c:v>7</c:v>
                </c:pt>
                <c:pt idx="30">
                  <c:v>7</c:v>
                </c:pt>
                <c:pt idx="31">
                  <c:v>7</c:v>
                </c:pt>
                <c:pt idx="32">
                  <c:v>7</c:v>
                </c:pt>
                <c:pt idx="33">
                  <c:v>7</c:v>
                </c:pt>
                <c:pt idx="34">
                  <c:v>7</c:v>
                </c:pt>
                <c:pt idx="35">
                  <c:v>6</c:v>
                </c:pt>
                <c:pt idx="36">
                  <c:v>6</c:v>
                </c:pt>
                <c:pt idx="37">
                  <c:v>6</c:v>
                </c:pt>
                <c:pt idx="38">
                  <c:v>6</c:v>
                </c:pt>
                <c:pt idx="39">
                  <c:v>6</c:v>
                </c:pt>
                <c:pt idx="40">
                  <c:v>6</c:v>
                </c:pt>
                <c:pt idx="41">
                  <c:v>6</c:v>
                </c:pt>
                <c:pt idx="42">
                  <c:v>6</c:v>
                </c:pt>
                <c:pt idx="43">
                  <c:v>6</c:v>
                </c:pt>
                <c:pt idx="44">
                  <c:v>6</c:v>
                </c:pt>
                <c:pt idx="45">
                  <c:v>6</c:v>
                </c:pt>
                <c:pt idx="46">
                  <c:v>6</c:v>
                </c:pt>
                <c:pt idx="47">
                  <c:v>6</c:v>
                </c:pt>
                <c:pt idx="48">
                  <c:v>6</c:v>
                </c:pt>
                <c:pt idx="49">
                  <c:v>6</c:v>
                </c:pt>
                <c:pt idx="50">
                  <c:v>5</c:v>
                </c:pt>
                <c:pt idx="51">
                  <c:v>5</c:v>
                </c:pt>
                <c:pt idx="52">
                  <c:v>5</c:v>
                </c:pt>
                <c:pt idx="53">
                  <c:v>5</c:v>
                </c:pt>
                <c:pt idx="54">
                  <c:v>5</c:v>
                </c:pt>
                <c:pt idx="55">
                  <c:v>5</c:v>
                </c:pt>
                <c:pt idx="56">
                  <c:v>5</c:v>
                </c:pt>
                <c:pt idx="57">
                  <c:v>4</c:v>
                </c:pt>
                <c:pt idx="58">
                  <c:v>4</c:v>
                </c:pt>
                <c:pt idx="59">
                  <c:v>4</c:v>
                </c:pt>
                <c:pt idx="60">
                  <c:v>4</c:v>
                </c:pt>
                <c:pt idx="61">
                  <c:v>4</c:v>
                </c:pt>
                <c:pt idx="62">
                  <c:v>4</c:v>
                </c:pt>
                <c:pt idx="63">
                  <c:v>4</c:v>
                </c:pt>
                <c:pt idx="64">
                  <c:v>4</c:v>
                </c:pt>
                <c:pt idx="65">
                  <c:v>4</c:v>
                </c:pt>
                <c:pt idx="66">
                  <c:v>4</c:v>
                </c:pt>
                <c:pt idx="67">
                  <c:v>4</c:v>
                </c:pt>
                <c:pt idx="68">
                  <c:v>4</c:v>
                </c:pt>
                <c:pt idx="69">
                  <c:v>3</c:v>
                </c:pt>
                <c:pt idx="70">
                  <c:v>3</c:v>
                </c:pt>
                <c:pt idx="71">
                  <c:v>3</c:v>
                </c:pt>
                <c:pt idx="72">
                  <c:v>3</c:v>
                </c:pt>
                <c:pt idx="73">
                  <c:v>3</c:v>
                </c:pt>
                <c:pt idx="74">
                  <c:v>3</c:v>
                </c:pt>
                <c:pt idx="75">
                  <c:v>3</c:v>
                </c:pt>
                <c:pt idx="76">
                  <c:v>3</c:v>
                </c:pt>
                <c:pt idx="77">
                  <c:v>3</c:v>
                </c:pt>
                <c:pt idx="78">
                  <c:v>3</c:v>
                </c:pt>
                <c:pt idx="79">
                  <c:v>3</c:v>
                </c:pt>
                <c:pt idx="80">
                  <c:v>3</c:v>
                </c:pt>
                <c:pt idx="81">
                  <c:v>3</c:v>
                </c:pt>
                <c:pt idx="82">
                  <c:v>3</c:v>
                </c:pt>
                <c:pt idx="83">
                  <c:v>3</c:v>
                </c:pt>
                <c:pt idx="84">
                  <c:v>3</c:v>
                </c:pt>
                <c:pt idx="85">
                  <c:v>2</c:v>
                </c:pt>
                <c:pt idx="86">
                  <c:v>2</c:v>
                </c:pt>
                <c:pt idx="87">
                  <c:v>2</c:v>
                </c:pt>
                <c:pt idx="88">
                  <c:v>2</c:v>
                </c:pt>
                <c:pt idx="89">
                  <c:v>2</c:v>
                </c:pt>
                <c:pt idx="90">
                  <c:v>2</c:v>
                </c:pt>
                <c:pt idx="91">
                  <c:v>2</c:v>
                </c:pt>
                <c:pt idx="92">
                  <c:v>2</c:v>
                </c:pt>
                <c:pt idx="93">
                  <c:v>2</c:v>
                </c:pt>
                <c:pt idx="94">
                  <c:v>2</c:v>
                </c:pt>
                <c:pt idx="95">
                  <c:v>2</c:v>
                </c:pt>
                <c:pt idx="96">
                  <c:v>2</c:v>
                </c:pt>
                <c:pt idx="97">
                  <c:v>2</c:v>
                </c:pt>
                <c:pt idx="98">
                  <c:v>2</c:v>
                </c:pt>
                <c:pt idx="99">
                  <c:v>2</c:v>
                </c:pt>
                <c:pt idx="100">
                  <c:v>2</c:v>
                </c:pt>
                <c:pt idx="101">
                  <c:v>2</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numCache>
            </c:numRef>
          </c:val>
          <c:extLst>
            <c:ext xmlns:c16="http://schemas.microsoft.com/office/drawing/2014/chart" uri="{C3380CC4-5D6E-409C-BE32-E72D297353CC}">
              <c16:uniqueId val="{00000000-74AA-499B-9D8A-E6A7D6B3D3FC}"/>
            </c:ext>
          </c:extLst>
        </c:ser>
        <c:ser>
          <c:idx val="1"/>
          <c:order val="1"/>
          <c:tx>
            <c:strRef>
              <c:f>'Opponent Analysis'!$C$3:$C$4</c:f>
              <c:strCache>
                <c:ptCount val="1"/>
                <c:pt idx="0">
                  <c:v>Lionel Messi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'Opponent Analysis'!$A$5:$A$178</c:f>
              <c:strCache>
                <c:ptCount val="173"/>
                <c:pt idx="0">
                  <c:v>Sevilla FC</c:v>
                </c:pt>
                <c:pt idx="1">
                  <c:v>Atletico de Madrid</c:v>
                </c:pt>
                <c:pt idx="2">
                  <c:v>Getafe CF</c:v>
                </c:pt>
                <c:pt idx="3">
                  <c:v>Celta de Vigo</c:v>
                </c:pt>
                <c:pt idx="4">
                  <c:v>FC Barcelona</c:v>
                </c:pt>
                <c:pt idx="5">
                  <c:v>Malaga CF</c:v>
                </c:pt>
                <c:pt idx="6">
                  <c:v>Athletic Bilbao</c:v>
                </c:pt>
                <c:pt idx="7">
                  <c:v>RCD Espanyol Barcelona</c:v>
                </c:pt>
                <c:pt idx="8">
                  <c:v>Real Sociedad</c:v>
                </c:pt>
                <c:pt idx="9">
                  <c:v>Valencia CF</c:v>
                </c:pt>
                <c:pt idx="10">
                  <c:v>Villarreal CF</c:v>
                </c:pt>
                <c:pt idx="11">
                  <c:v>Levante UD</c:v>
                </c:pt>
                <c:pt idx="12">
                  <c:v>Tottenham Hotspur</c:v>
                </c:pt>
                <c:pt idx="13">
                  <c:v>Deportivo de La CoruÃƒÂ±a</c:v>
                </c:pt>
                <c:pt idx="14">
                  <c:v>CA Osasuna</c:v>
                </c:pt>
                <c:pt idx="15">
                  <c:v>Rayo Vallecano</c:v>
                </c:pt>
                <c:pt idx="16">
                  <c:v>Granada CF</c:v>
                </c:pt>
                <c:pt idx="17">
                  <c:v>AS Roma</c:v>
                </c:pt>
                <c:pt idx="18">
                  <c:v>Juventus FC</c:v>
                </c:pt>
                <c:pt idx="19">
                  <c:v>Ajax Amsterdam</c:v>
                </c:pt>
                <c:pt idx="20">
                  <c:v>Arsenal FC</c:v>
                </c:pt>
                <c:pt idx="21">
                  <c:v>Bayern Munich</c:v>
                </c:pt>
                <c:pt idx="22">
                  <c:v>Aston Villa</c:v>
                </c:pt>
                <c:pt idx="23">
                  <c:v>Cagliari Calcio</c:v>
                </c:pt>
                <c:pt idx="24">
                  <c:v>Newcastle United</c:v>
                </c:pt>
                <c:pt idx="25">
                  <c:v>Udinese Calcio</c:v>
                </c:pt>
                <c:pt idx="26">
                  <c:v>Fulham FC</c:v>
                </c:pt>
                <c:pt idx="27">
                  <c:v>Wigan Athletic</c:v>
                </c:pt>
                <c:pt idx="28">
                  <c:v>Real Zaragoza</c:v>
                </c:pt>
                <c:pt idx="29">
                  <c:v>SD Eibar</c:v>
                </c:pt>
                <c:pt idx="30">
                  <c:v>Elche CF</c:v>
                </c:pt>
                <c:pt idx="31">
                  <c:v>UD Almeria</c:v>
                </c:pt>
                <c:pt idx="32">
                  <c:v>FC Schalke 04</c:v>
                </c:pt>
                <c:pt idx="33">
                  <c:v>RCD Mallorca</c:v>
                </c:pt>
                <c:pt idx="34">
                  <c:v>Borussia Dortmund</c:v>
                </c:pt>
                <c:pt idx="35">
                  <c:v>Sporting GijÃƒÂ³n</c:v>
                </c:pt>
                <c:pt idx="36">
                  <c:v>Bolton Wanderers</c:v>
                </c:pt>
                <c:pt idx="37">
                  <c:v>Atalanta BC</c:v>
                </c:pt>
                <c:pt idx="38">
                  <c:v>APOEL Nicosia</c:v>
                </c:pt>
                <c:pt idx="39">
                  <c:v>AC Milan</c:v>
                </c:pt>
                <c:pt idx="40">
                  <c:v>Real Betis Balompie</c:v>
                </c:pt>
                <c:pt idx="41">
                  <c:v>US Sassuolo</c:v>
                </c:pt>
                <c:pt idx="42">
                  <c:v>West Ham United</c:v>
                </c:pt>
                <c:pt idx="43">
                  <c:v>Galatasaray</c:v>
                </c:pt>
                <c:pt idx="44">
                  <c:v>Olympique Lyon</c:v>
                </c:pt>
                <c:pt idx="45">
                  <c:v>Parma Calcio 1913</c:v>
                </c:pt>
                <c:pt idx="46">
                  <c:v>Portsmouth FC</c:v>
                </c:pt>
                <c:pt idx="47">
                  <c:v>Everton FC</c:v>
                </c:pt>
                <c:pt idx="48">
                  <c:v>Racing Santander</c:v>
                </c:pt>
                <c:pt idx="49">
                  <c:v>MalmÃƒÂ¶ FF</c:v>
                </c:pt>
                <c:pt idx="50">
                  <c:v>Middlesbrough FC</c:v>
                </c:pt>
                <c:pt idx="51">
                  <c:v>Deportivo Alaves</c:v>
                </c:pt>
                <c:pt idx="52">
                  <c:v>UC Sampdoria</c:v>
                </c:pt>
                <c:pt idx="53">
                  <c:v>Shakhtar Donetsk</c:v>
                </c:pt>
                <c:pt idx="54">
                  <c:v>Genoa CFC</c:v>
                </c:pt>
                <c:pt idx="55">
                  <c:v>Manchester City</c:v>
                </c:pt>
                <c:pt idx="56">
                  <c:v>SS Lazio</c:v>
                </c:pt>
                <c:pt idx="57">
                  <c:v>Reading FC</c:v>
                </c:pt>
                <c:pt idx="58">
                  <c:v>Al-Wehda FC</c:v>
                </c:pt>
                <c:pt idx="59">
                  <c:v>Inter Milan</c:v>
                </c:pt>
                <c:pt idx="60">
                  <c:v>Olympique Marseille</c:v>
                </c:pt>
                <c:pt idx="61">
                  <c:v>Derby County</c:v>
                </c:pt>
                <c:pt idx="62">
                  <c:v>Dynamo Kyiv</c:v>
                </c:pt>
                <c:pt idx="63">
                  <c:v>Norwich City</c:v>
                </c:pt>
                <c:pt idx="64">
                  <c:v>West Bromwich Albion</c:v>
                </c:pt>
                <c:pt idx="65">
                  <c:v>SSC Napoli</c:v>
                </c:pt>
                <c:pt idx="66">
                  <c:v>Xerez CD</c:v>
                </c:pt>
                <c:pt idx="67">
                  <c:v>Torino FC</c:v>
                </c:pt>
                <c:pt idx="68">
                  <c:v>Girona FC</c:v>
                </c:pt>
                <c:pt idx="69">
                  <c:v>VfL Wolfsburg</c:v>
                </c:pt>
                <c:pt idx="70">
                  <c:v>Spezia Calcio</c:v>
                </c:pt>
                <c:pt idx="71">
                  <c:v>Damac FC</c:v>
                </c:pt>
                <c:pt idx="72">
                  <c:v>ACF Fiorentina</c:v>
                </c:pt>
                <c:pt idx="73">
                  <c:v>Blackburn Rovers</c:v>
                </c:pt>
                <c:pt idx="74">
                  <c:v>Hellas Verona</c:v>
                </c:pt>
                <c:pt idx="75">
                  <c:v>CSKA Moscow</c:v>
                </c:pt>
                <c:pt idx="76">
                  <c:v>Kashima Antlers</c:v>
                </c:pt>
                <c:pt idx="77">
                  <c:v>SPAL</c:v>
                </c:pt>
                <c:pt idx="78">
                  <c:v>Liverpool FC</c:v>
                </c:pt>
                <c:pt idx="79">
                  <c:v>Sporting CP</c:v>
                </c:pt>
                <c:pt idx="80">
                  <c:v>Manchester United</c:v>
                </c:pt>
                <c:pt idx="81">
                  <c:v>UD Las Palmas</c:v>
                </c:pt>
                <c:pt idx="82">
                  <c:v>FC Copenhagen</c:v>
                </c:pt>
                <c:pt idx="83">
                  <c:v>Real Valladolid CF</c:v>
                </c:pt>
                <c:pt idx="84">
                  <c:v>Paris Saint-Germain</c:v>
                </c:pt>
                <c:pt idx="85">
                  <c:v>Empoli FC </c:v>
                </c:pt>
                <c:pt idx="86">
                  <c:v>Southampton FC</c:v>
                </c:pt>
                <c:pt idx="87">
                  <c:v>Watford FC</c:v>
                </c:pt>
                <c:pt idx="88">
                  <c:v>Hull City</c:v>
                </c:pt>
                <c:pt idx="89">
                  <c:v>Stoke City</c:v>
                </c:pt>
                <c:pt idx="90">
                  <c:v>FC Sheriff</c:v>
                </c:pt>
                <c:pt idx="91">
                  <c:v>Frosinone Calcio</c:v>
                </c:pt>
                <c:pt idx="92">
                  <c:v>Ludogorets Razgrad</c:v>
                </c:pt>
                <c:pt idx="93">
                  <c:v>Hercules CF</c:v>
                </c:pt>
                <c:pt idx="94">
                  <c:v>FC ZÃƒÂ¼rich</c:v>
                </c:pt>
                <c:pt idx="95">
                  <c:v>Bayer 04 Leverkusen</c:v>
                </c:pt>
                <c:pt idx="96">
                  <c:v>Moreirense FC</c:v>
                </c:pt>
                <c:pt idx="97">
                  <c:v>Birmingham City</c:v>
                </c:pt>
                <c:pt idx="98">
                  <c:v>FC Crotone</c:v>
                </c:pt>
                <c:pt idx="99">
                  <c:v>Bologna FC 1909</c:v>
                </c:pt>
                <c:pt idx="100">
                  <c:v>Chelsea FC</c:v>
                </c:pt>
                <c:pt idx="101">
                  <c:v>FC Basel 1893</c:v>
                </c:pt>
                <c:pt idx="102">
                  <c:v>Al-Fateh</c:v>
                </c:pt>
                <c:pt idx="103">
                  <c:v>Charlton Athletic</c:v>
                </c:pt>
                <c:pt idx="104">
                  <c:v>US Lecce</c:v>
                </c:pt>
                <c:pt idx="105">
                  <c:v>Real Murcia CF</c:v>
                </c:pt>
                <c:pt idx="106">
                  <c:v>Ferencvarosi TC</c:v>
                </c:pt>
                <c:pt idx="107">
                  <c:v>AJ Auxerre</c:v>
                </c:pt>
                <c:pt idx="108">
                  <c:v>FC Internazionale</c:v>
                </c:pt>
                <c:pt idx="109">
                  <c:v>CD Estarreja</c:v>
                </c:pt>
                <c:pt idx="110">
                  <c:v>Exeter City</c:v>
                </c:pt>
                <c:pt idx="111">
                  <c:v>Millwall FC</c:v>
                </c:pt>
                <c:pt idx="112">
                  <c:v>Al-Jazira (Abu Dhabi)</c:v>
                </c:pt>
                <c:pt idx="113">
                  <c:v>Brentford FC</c:v>
                </c:pt>
                <c:pt idx="114">
                  <c:v>Sunderland AFC</c:v>
                </c:pt>
                <c:pt idx="115">
                  <c:v>Debreceni VSC</c:v>
                </c:pt>
                <c:pt idx="116">
                  <c:v>GrÃƒÂªmio Foot-Ball Porto Alegrense</c:v>
                </c:pt>
                <c:pt idx="117">
                  <c:v>Burnley FC</c:v>
                </c:pt>
                <c:pt idx="118">
                  <c:v>BSC Young Boys</c:v>
                </c:pt>
                <c:pt idx="119">
                  <c:v>Brighton &amp; Hove Albion</c:v>
                </c:pt>
                <c:pt idx="120">
                  <c:v>Boavista FC</c:v>
                </c:pt>
                <c:pt idx="121">
                  <c:v>Abha Club</c:v>
                </c:pt>
                <c:pt idx="122">
                  <c:v>FC Porto</c:v>
                </c:pt>
                <c:pt idx="123">
                  <c:v>FC Oliveira do Hospital</c:v>
                </c:pt>
                <c:pt idx="124">
                  <c:v>CÃƒÂ³rdoba CF</c:v>
                </c:pt>
                <c:pt idx="125">
                  <c:v>CD Tenerife</c:v>
                </c:pt>
                <c:pt idx="126">
                  <c:v>Gamba Osaka</c:v>
                </c:pt>
                <c:pt idx="127">
                  <c:v>SD Ponferradina</c:v>
                </c:pt>
                <c:pt idx="128">
                  <c:v>CF America</c:v>
                </c:pt>
                <c:pt idx="129">
                  <c:v>Maccabi Haifa</c:v>
                </c:pt>
                <c:pt idx="130">
                  <c:v>BATE Borisov</c:v>
                </c:pt>
                <c:pt idx="131">
                  <c:v>FC Toulouse</c:v>
                </c:pt>
                <c:pt idx="132">
                  <c:v>Real Madrid</c:v>
                </c:pt>
                <c:pt idx="133">
                  <c:v>LOSC Lille</c:v>
                </c:pt>
                <c:pt idx="134">
                  <c:v>AC Ajaccio</c:v>
                </c:pt>
                <c:pt idx="135">
                  <c:v>Cadiz CF</c:v>
                </c:pt>
                <c:pt idx="136">
                  <c:v>Club Estudiantes de La Plata</c:v>
                </c:pt>
                <c:pt idx="137">
                  <c:v>Deportivo de La Coruaa</c:v>
                </c:pt>
                <c:pt idx="138">
                  <c:v>Albacete Balompie</c:v>
                </c:pt>
                <c:pt idx="139">
                  <c:v>SV Werder Bremen</c:v>
                </c:pt>
                <c:pt idx="140">
                  <c:v>Borussia MÃƒÂ¶nchengladbach</c:v>
                </c:pt>
                <c:pt idx="141">
                  <c:v>UD Almera</c:v>
                </c:pt>
                <c:pt idx="142">
                  <c:v>Recreativo Huelva</c:v>
                </c:pt>
                <c:pt idx="143">
                  <c:v>CF Atlante</c:v>
                </c:pt>
                <c:pt idx="144">
                  <c:v>Santos FC</c:v>
                </c:pt>
                <c:pt idx="145">
                  <c:v>RB Leipzig</c:v>
                </c:pt>
                <c:pt idx="146">
                  <c:v>Cultural Leonesa</c:v>
                </c:pt>
                <c:pt idx="147">
                  <c:v>Club Atletico de Ceuta</c:v>
                </c:pt>
                <c:pt idx="148">
                  <c:v>SD Huesca</c:v>
                </c:pt>
                <c:pt idx="149">
                  <c:v>FC Lorient</c:v>
                </c:pt>
                <c:pt idx="150">
                  <c:v>FC Viktoria Plzen</c:v>
                </c:pt>
                <c:pt idx="151">
                  <c:v>Panathinaikos Athens</c:v>
                </c:pt>
                <c:pt idx="152">
                  <c:v>Montpellier</c:v>
                </c:pt>
                <c:pt idx="153">
                  <c:v>Benidorm CD</c:v>
                </c:pt>
                <c:pt idx="154">
                  <c:v>Montpellier HSC</c:v>
                </c:pt>
                <c:pt idx="155">
                  <c:v>Celtic FC</c:v>
                </c:pt>
                <c:pt idx="156">
                  <c:v>SK Slavia Prague</c:v>
                </c:pt>
                <c:pt idx="157">
                  <c:v>FC Nantes</c:v>
                </c:pt>
                <c:pt idx="158">
                  <c:v>SL Benfica</c:v>
                </c:pt>
                <c:pt idx="159">
                  <c:v>ESTAC Troyes</c:v>
                </c:pt>
                <c:pt idx="160">
                  <c:v>CA River Plate</c:v>
                </c:pt>
                <c:pt idx="161">
                  <c:v>Rangers FC</c:v>
                </c:pt>
                <c:pt idx="162">
                  <c:v>CD Leganes</c:v>
                </c:pt>
                <c:pt idx="163">
                  <c:v>VfB Stuttgart</c:v>
                </c:pt>
                <c:pt idx="164">
                  <c:v>Spartak Moscow</c:v>
                </c:pt>
                <c:pt idx="165">
                  <c:v>RC Lens</c:v>
                </c:pt>
                <c:pt idx="166">
                  <c:v>CD Numancia</c:v>
                </c:pt>
                <c:pt idx="167">
                  <c:v>Clermont Foot</c:v>
                </c:pt>
                <c:pt idx="168">
                  <c:v>OGC Nice</c:v>
                </c:pt>
                <c:pt idx="169">
                  <c:v>Club Brugge KV</c:v>
                </c:pt>
                <c:pt idx="170">
                  <c:v>Olympiacos Piraeus</c:v>
                </c:pt>
                <c:pt idx="171">
                  <c:v>PSV Eindhoven</c:v>
                </c:pt>
                <c:pt idx="172">
                  <c:v>Gimnastic de Tarragona</c:v>
                </c:pt>
              </c:strCache>
            </c:strRef>
          </c:cat>
          <c:val>
            <c:numRef>
              <c:f>'Opponent Analysis'!$C$5:$C$178</c:f>
              <c:numCache>
                <c:formatCode>General</c:formatCode>
                <c:ptCount val="173"/>
                <c:pt idx="0">
                  <c:v>38</c:v>
                </c:pt>
                <c:pt idx="1">
                  <c:v>32</c:v>
                </c:pt>
                <c:pt idx="2">
                  <c:v>21</c:v>
                </c:pt>
                <c:pt idx="3">
                  <c:v>14</c:v>
                </c:pt>
                <c:pt idx="5">
                  <c:v>13</c:v>
                </c:pt>
                <c:pt idx="6">
                  <c:v>29</c:v>
                </c:pt>
                <c:pt idx="7">
                  <c:v>25</c:v>
                </c:pt>
                <c:pt idx="8">
                  <c:v>18</c:v>
                </c:pt>
                <c:pt idx="9">
                  <c:v>31</c:v>
                </c:pt>
                <c:pt idx="10">
                  <c:v>16</c:v>
                </c:pt>
                <c:pt idx="11">
                  <c:v>24</c:v>
                </c:pt>
                <c:pt idx="12">
                  <c:v>2</c:v>
                </c:pt>
                <c:pt idx="14">
                  <c:v>25</c:v>
                </c:pt>
                <c:pt idx="15">
                  <c:v>18</c:v>
                </c:pt>
                <c:pt idx="16">
                  <c:v>15</c:v>
                </c:pt>
                <c:pt idx="17">
                  <c:v>2</c:v>
                </c:pt>
                <c:pt idx="18">
                  <c:v>3</c:v>
                </c:pt>
                <c:pt idx="19">
                  <c:v>6</c:v>
                </c:pt>
                <c:pt idx="20">
                  <c:v>9</c:v>
                </c:pt>
                <c:pt idx="21">
                  <c:v>4</c:v>
                </c:pt>
                <c:pt idx="28">
                  <c:v>14</c:v>
                </c:pt>
                <c:pt idx="29">
                  <c:v>20</c:v>
                </c:pt>
                <c:pt idx="30">
                  <c:v>7</c:v>
                </c:pt>
                <c:pt idx="33">
                  <c:v>16</c:v>
                </c:pt>
                <c:pt idx="34">
                  <c:v>1</c:v>
                </c:pt>
                <c:pt idx="35">
                  <c:v>6</c:v>
                </c:pt>
                <c:pt idx="38">
                  <c:v>3</c:v>
                </c:pt>
                <c:pt idx="39">
                  <c:v>8</c:v>
                </c:pt>
                <c:pt idx="40">
                  <c:v>26</c:v>
                </c:pt>
                <c:pt idx="44">
                  <c:v>6</c:v>
                </c:pt>
                <c:pt idx="48">
                  <c:v>12</c:v>
                </c:pt>
                <c:pt idx="51">
                  <c:v>13</c:v>
                </c:pt>
                <c:pt idx="53">
                  <c:v>3</c:v>
                </c:pt>
                <c:pt idx="55">
                  <c:v>7</c:v>
                </c:pt>
                <c:pt idx="60">
                  <c:v>1</c:v>
                </c:pt>
                <c:pt idx="62">
                  <c:v>3</c:v>
                </c:pt>
                <c:pt idx="65">
                  <c:v>1</c:v>
                </c:pt>
                <c:pt idx="68">
                  <c:v>4</c:v>
                </c:pt>
                <c:pt idx="78">
                  <c:v>2</c:v>
                </c:pt>
                <c:pt idx="79">
                  <c:v>1</c:v>
                </c:pt>
                <c:pt idx="80">
                  <c:v>4</c:v>
                </c:pt>
                <c:pt idx="81">
                  <c:v>4</c:v>
                </c:pt>
                <c:pt idx="82">
                  <c:v>3</c:v>
                </c:pt>
                <c:pt idx="83">
                  <c:v>8</c:v>
                </c:pt>
                <c:pt idx="84">
                  <c:v>6</c:v>
                </c:pt>
                <c:pt idx="93">
                  <c:v>2</c:v>
                </c:pt>
                <c:pt idx="95">
                  <c:v>7</c:v>
                </c:pt>
                <c:pt idx="100">
                  <c:v>3</c:v>
                </c:pt>
                <c:pt idx="101">
                  <c:v>2</c:v>
                </c:pt>
                <c:pt idx="106">
                  <c:v>1</c:v>
                </c:pt>
                <c:pt idx="122">
                  <c:v>1</c:v>
                </c:pt>
                <c:pt idx="124">
                  <c:v>6</c:v>
                </c:pt>
                <c:pt idx="125">
                  <c:v>5</c:v>
                </c:pt>
                <c:pt idx="129">
                  <c:v>3</c:v>
                </c:pt>
                <c:pt idx="130">
                  <c:v>2</c:v>
                </c:pt>
                <c:pt idx="131">
                  <c:v>1</c:v>
                </c:pt>
                <c:pt idx="132">
                  <c:v>26</c:v>
                </c:pt>
                <c:pt idx="133">
                  <c:v>3</c:v>
                </c:pt>
                <c:pt idx="134">
                  <c:v>1</c:v>
                </c:pt>
                <c:pt idx="135">
                  <c:v>1</c:v>
                </c:pt>
                <c:pt idx="136">
                  <c:v>1</c:v>
                </c:pt>
                <c:pt idx="137">
                  <c:v>20</c:v>
                </c:pt>
                <c:pt idx="138">
                  <c:v>1</c:v>
                </c:pt>
                <c:pt idx="139">
                  <c:v>1</c:v>
                </c:pt>
                <c:pt idx="140">
                  <c:v>1</c:v>
                </c:pt>
                <c:pt idx="141">
                  <c:v>13</c:v>
                </c:pt>
                <c:pt idx="142">
                  <c:v>3</c:v>
                </c:pt>
                <c:pt idx="143">
                  <c:v>1</c:v>
                </c:pt>
                <c:pt idx="144">
                  <c:v>2</c:v>
                </c:pt>
                <c:pt idx="145">
                  <c:v>2</c:v>
                </c:pt>
                <c:pt idx="146">
                  <c:v>1</c:v>
                </c:pt>
                <c:pt idx="147">
                  <c:v>1</c:v>
                </c:pt>
                <c:pt idx="148">
                  <c:v>4</c:v>
                </c:pt>
                <c:pt idx="149">
                  <c:v>1</c:v>
                </c:pt>
                <c:pt idx="150">
                  <c:v>3</c:v>
                </c:pt>
                <c:pt idx="151">
                  <c:v>4</c:v>
                </c:pt>
                <c:pt idx="152">
                  <c:v>2</c:v>
                </c:pt>
                <c:pt idx="153">
                  <c:v>1</c:v>
                </c:pt>
                <c:pt idx="154">
                  <c:v>1</c:v>
                </c:pt>
                <c:pt idx="155">
                  <c:v>8</c:v>
                </c:pt>
                <c:pt idx="156">
                  <c:v>1</c:v>
                </c:pt>
                <c:pt idx="157">
                  <c:v>4</c:v>
                </c:pt>
                <c:pt idx="158">
                  <c:v>1</c:v>
                </c:pt>
                <c:pt idx="159">
                  <c:v>1</c:v>
                </c:pt>
                <c:pt idx="160">
                  <c:v>1</c:v>
                </c:pt>
                <c:pt idx="161">
                  <c:v>1</c:v>
                </c:pt>
                <c:pt idx="162">
                  <c:v>11</c:v>
                </c:pt>
                <c:pt idx="163">
                  <c:v>3</c:v>
                </c:pt>
                <c:pt idx="164">
                  <c:v>4</c:v>
                </c:pt>
                <c:pt idx="165">
                  <c:v>1</c:v>
                </c:pt>
                <c:pt idx="166">
                  <c:v>2</c:v>
                </c:pt>
                <c:pt idx="167">
                  <c:v>4</c:v>
                </c:pt>
                <c:pt idx="168">
                  <c:v>1</c:v>
                </c:pt>
                <c:pt idx="169">
                  <c:v>2</c:v>
                </c:pt>
                <c:pt idx="170">
                  <c:v>1</c:v>
                </c:pt>
                <c:pt idx="171">
                  <c:v>4</c:v>
                </c:pt>
                <c:pt idx="172">
                  <c:v>2</c:v>
                </c:pt>
              </c:numCache>
            </c:numRef>
          </c:val>
          <c:extLst>
            <c:ext xmlns:c16="http://schemas.microsoft.com/office/drawing/2014/chart" uri="{C3380CC4-5D6E-409C-BE32-E72D297353CC}">
              <c16:uniqueId val="{00000007-2C99-4041-9E70-687F39E815C7}"/>
            </c:ext>
          </c:extLst>
        </c:ser>
        <c:dLbls>
          <c:showLegendKey val="0"/>
          <c:showVal val="0"/>
          <c:showCatName val="0"/>
          <c:showSerName val="0"/>
          <c:showPercent val="0"/>
          <c:showBubbleSize val="0"/>
        </c:dLbls>
        <c:gapWidth val="100"/>
        <c:overlap val="-24"/>
        <c:axId val="515600991"/>
        <c:axId val="515560191"/>
      </c:barChart>
      <c:catAx>
        <c:axId val="515600991"/>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Opponent</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560191"/>
        <c:crosses val="autoZero"/>
        <c:auto val="1"/>
        <c:lblAlgn val="ctr"/>
        <c:lblOffset val="100"/>
        <c:noMultiLvlLbl val="0"/>
      </c:catAx>
      <c:valAx>
        <c:axId val="515560191"/>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6009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[analysis.xlsm]Opponent Analysis(cr7)!PivotTable12</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'Opponent Analysis(cr7)'!$B$3:$B$4</c:f>
              <c:strCache>
                <c:ptCount val="1"/>
                <c:pt idx="0">
                  <c:v>Cristiano Ronaldo</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82B8-44FA-92FD-7ADC1C32759B}"/>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82B8-44FA-92FD-7ADC1C32759B}"/>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82B8-44FA-92FD-7ADC1C32759B}"/>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82B8-44FA-92FD-7ADC1C32759B}"/>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82B8-44FA-92FD-7ADC1C32759B}"/>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82B8-44FA-92FD-7ADC1C32759B}"/>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82B8-44FA-92FD-7ADC1C32759B}"/>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82B8-44FA-92FD-7ADC1C32759B}"/>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82B8-44FA-92FD-7ADC1C32759B}"/>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82B8-44FA-92FD-7ADC1C32759B}"/>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82B8-44FA-92FD-7ADC1C32759B}"/>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82B8-44FA-92FD-7ADC1C32759B}"/>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82B8-44FA-92FD-7ADC1C32759B}"/>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82B8-44FA-92FD-7ADC1C32759B}"/>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82B8-44FA-92FD-7ADC1C32759B}"/>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F-82B8-44FA-92FD-7ADC1C32759B}"/>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1-82B8-44FA-92FD-7ADC1C32759B}"/>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3-82B8-44FA-92FD-7ADC1C32759B}"/>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5-82B8-44FA-92FD-7ADC1C32759B}"/>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7-82B8-44FA-92FD-7ADC1C32759B}"/>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9-82B8-44FA-92FD-7ADC1C32759B}"/>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B-82B8-44FA-92FD-7ADC1C32759B}"/>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D-82B8-44FA-92FD-7ADC1C32759B}"/>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F-82B8-44FA-92FD-7ADC1C32759B}"/>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1-82B8-44FA-92FD-7ADC1C32759B}"/>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3-82B8-44FA-92FD-7ADC1C32759B}"/>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5-82B8-44FA-92FD-7ADC1C32759B}"/>
              </c:ext>
            </c:extLst>
          </c:dPt>
          <c:dPt>
            <c:idx val="27"/>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7-82B8-44FA-92FD-7ADC1C32759B}"/>
              </c:ext>
            </c:extLst>
          </c:dPt>
          <c:dPt>
            <c:idx val="28"/>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9-82B8-44FA-92FD-7ADC1C32759B}"/>
              </c:ext>
            </c:extLst>
          </c:dPt>
          <c:dPt>
            <c:idx val="29"/>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B-82B8-44FA-92FD-7ADC1C32759B}"/>
              </c:ext>
            </c:extLst>
          </c:dPt>
          <c:dPt>
            <c:idx val="30"/>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D-82B8-44FA-92FD-7ADC1C32759B}"/>
              </c:ext>
            </c:extLst>
          </c:dPt>
          <c:dPt>
            <c:idx val="31"/>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F-82B8-44FA-92FD-7ADC1C32759B}"/>
              </c:ext>
            </c:extLst>
          </c:dPt>
          <c:dPt>
            <c:idx val="32"/>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1-82B8-44FA-92FD-7ADC1C32759B}"/>
              </c:ext>
            </c:extLst>
          </c:dPt>
          <c:dPt>
            <c:idx val="33"/>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3-82B8-44FA-92FD-7ADC1C32759B}"/>
              </c:ext>
            </c:extLst>
          </c:dPt>
          <c:dPt>
            <c:idx val="34"/>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5-82B8-44FA-92FD-7ADC1C32759B}"/>
              </c:ext>
            </c:extLst>
          </c:dPt>
          <c:dPt>
            <c:idx val="35"/>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7-82B8-44FA-92FD-7ADC1C32759B}"/>
              </c:ext>
            </c:extLst>
          </c:dPt>
          <c:dPt>
            <c:idx val="36"/>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9-82B8-44FA-92FD-7ADC1C32759B}"/>
              </c:ext>
            </c:extLst>
          </c:dPt>
          <c:dPt>
            <c:idx val="37"/>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B-82B8-44FA-92FD-7ADC1C32759B}"/>
              </c:ext>
            </c:extLst>
          </c:dPt>
          <c:dPt>
            <c:idx val="38"/>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D-82B8-44FA-92FD-7ADC1C32759B}"/>
              </c:ext>
            </c:extLst>
          </c:dPt>
          <c:dPt>
            <c:idx val="39"/>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F-82B8-44FA-92FD-7ADC1C32759B}"/>
              </c:ext>
            </c:extLst>
          </c:dPt>
          <c:dPt>
            <c:idx val="40"/>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1-82B8-44FA-92FD-7ADC1C32759B}"/>
              </c:ext>
            </c:extLst>
          </c:dPt>
          <c:dPt>
            <c:idx val="41"/>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3-82B8-44FA-92FD-7ADC1C32759B}"/>
              </c:ext>
            </c:extLst>
          </c:dPt>
          <c:dPt>
            <c:idx val="42"/>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5-82B8-44FA-92FD-7ADC1C32759B}"/>
              </c:ext>
            </c:extLst>
          </c:dPt>
          <c:dPt>
            <c:idx val="43"/>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7-82B8-44FA-92FD-7ADC1C32759B}"/>
              </c:ext>
            </c:extLst>
          </c:dPt>
          <c:dPt>
            <c:idx val="44"/>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9-82B8-44FA-92FD-7ADC1C32759B}"/>
              </c:ext>
            </c:extLst>
          </c:dPt>
          <c:dPt>
            <c:idx val="45"/>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B-82B8-44FA-92FD-7ADC1C32759B}"/>
              </c:ext>
            </c:extLst>
          </c:dPt>
          <c:dPt>
            <c:idx val="46"/>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D-82B8-44FA-92FD-7ADC1C32759B}"/>
              </c:ext>
            </c:extLst>
          </c:dPt>
          <c:dPt>
            <c:idx val="47"/>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F-82B8-44FA-92FD-7ADC1C32759B}"/>
              </c:ext>
            </c:extLst>
          </c:dPt>
          <c:dPt>
            <c:idx val="48"/>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1-82B8-44FA-92FD-7ADC1C32759B}"/>
              </c:ext>
            </c:extLst>
          </c:dPt>
          <c:dPt>
            <c:idx val="49"/>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3-82B8-44FA-92FD-7ADC1C32759B}"/>
              </c:ext>
            </c:extLst>
          </c:dPt>
          <c:dPt>
            <c:idx val="50"/>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5-82B8-44FA-92FD-7ADC1C32759B}"/>
              </c:ext>
            </c:extLst>
          </c:dPt>
          <c:dPt>
            <c:idx val="51"/>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7-82B8-44FA-92FD-7ADC1C32759B}"/>
              </c:ext>
            </c:extLst>
          </c:dPt>
          <c:dPt>
            <c:idx val="52"/>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9-82B8-44FA-92FD-7ADC1C32759B}"/>
              </c:ext>
            </c:extLst>
          </c:dPt>
          <c:dPt>
            <c:idx val="53"/>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B-82B8-44FA-92FD-7ADC1C32759B}"/>
              </c:ext>
            </c:extLst>
          </c:dPt>
          <c:dPt>
            <c:idx val="54"/>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D-82B8-44FA-92FD-7ADC1C32759B}"/>
              </c:ext>
            </c:extLst>
          </c:dPt>
          <c:dPt>
            <c:idx val="55"/>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F-82B8-44FA-92FD-7ADC1C32759B}"/>
              </c:ext>
            </c:extLst>
          </c:dPt>
          <c:dPt>
            <c:idx val="56"/>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1-82B8-44FA-92FD-7ADC1C32759B}"/>
              </c:ext>
            </c:extLst>
          </c:dPt>
          <c:dPt>
            <c:idx val="57"/>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3-82B8-44FA-92FD-7ADC1C32759B}"/>
              </c:ext>
            </c:extLst>
          </c:dPt>
          <c:dPt>
            <c:idx val="58"/>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5-82B8-44FA-92FD-7ADC1C32759B}"/>
              </c:ext>
            </c:extLst>
          </c:dPt>
          <c:dPt>
            <c:idx val="59"/>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7-82B8-44FA-92FD-7ADC1C32759B}"/>
              </c:ext>
            </c:extLst>
          </c:dPt>
          <c:dPt>
            <c:idx val="60"/>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9-82B8-44FA-92FD-7ADC1C32759B}"/>
              </c:ext>
            </c:extLst>
          </c:dPt>
          <c:dPt>
            <c:idx val="61"/>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B-82B8-44FA-92FD-7ADC1C32759B}"/>
              </c:ext>
            </c:extLst>
          </c:dPt>
          <c:dPt>
            <c:idx val="62"/>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D-82B8-44FA-92FD-7ADC1C32759B}"/>
              </c:ext>
            </c:extLst>
          </c:dPt>
          <c:dPt>
            <c:idx val="63"/>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F-82B8-44FA-92FD-7ADC1C32759B}"/>
              </c:ext>
            </c:extLst>
          </c:dPt>
          <c:dPt>
            <c:idx val="64"/>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1-82B8-44FA-92FD-7ADC1C32759B}"/>
              </c:ext>
            </c:extLst>
          </c:dPt>
          <c:dPt>
            <c:idx val="65"/>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3-82B8-44FA-92FD-7ADC1C32759B}"/>
              </c:ext>
            </c:extLst>
          </c:dPt>
          <c:dPt>
            <c:idx val="66"/>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5-82B8-44FA-92FD-7ADC1C32759B}"/>
              </c:ext>
            </c:extLst>
          </c:dPt>
          <c:dPt>
            <c:idx val="67"/>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7-82B8-44FA-92FD-7ADC1C32759B}"/>
              </c:ext>
            </c:extLst>
          </c:dPt>
          <c:dPt>
            <c:idx val="68"/>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9-82B8-44FA-92FD-7ADC1C32759B}"/>
              </c:ext>
            </c:extLst>
          </c:dPt>
          <c:dPt>
            <c:idx val="69"/>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B-82B8-44FA-92FD-7ADC1C32759B}"/>
              </c:ext>
            </c:extLst>
          </c:dPt>
          <c:dPt>
            <c:idx val="70"/>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D-82B8-44FA-92FD-7ADC1C32759B}"/>
              </c:ext>
            </c:extLst>
          </c:dPt>
          <c:dPt>
            <c:idx val="71"/>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F-82B8-44FA-92FD-7ADC1C32759B}"/>
              </c:ext>
            </c:extLst>
          </c:dPt>
          <c:dPt>
            <c:idx val="72"/>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1-82B8-44FA-92FD-7ADC1C32759B}"/>
              </c:ext>
            </c:extLst>
          </c:dPt>
          <c:dPt>
            <c:idx val="73"/>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3-82B8-44FA-92FD-7ADC1C32759B}"/>
              </c:ext>
            </c:extLst>
          </c:dPt>
          <c:dPt>
            <c:idx val="74"/>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5-82B8-44FA-92FD-7ADC1C32759B}"/>
              </c:ext>
            </c:extLst>
          </c:dPt>
          <c:dPt>
            <c:idx val="75"/>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7-82B8-44FA-92FD-7ADC1C32759B}"/>
              </c:ext>
            </c:extLst>
          </c:dPt>
          <c:dPt>
            <c:idx val="76"/>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9-82B8-44FA-92FD-7ADC1C32759B}"/>
              </c:ext>
            </c:extLst>
          </c:dPt>
          <c:dPt>
            <c:idx val="77"/>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B-82B8-44FA-92FD-7ADC1C32759B}"/>
              </c:ext>
            </c:extLst>
          </c:dPt>
          <c:dPt>
            <c:idx val="78"/>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D-82B8-44FA-92FD-7ADC1C32759B}"/>
              </c:ext>
            </c:extLst>
          </c:dPt>
          <c:dPt>
            <c:idx val="79"/>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F-82B8-44FA-92FD-7ADC1C32759B}"/>
              </c:ext>
            </c:extLst>
          </c:dPt>
          <c:dPt>
            <c:idx val="80"/>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1-82B8-44FA-92FD-7ADC1C32759B}"/>
              </c:ext>
            </c:extLst>
          </c:dPt>
          <c:dPt>
            <c:idx val="81"/>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3-82B8-44FA-92FD-7ADC1C32759B}"/>
              </c:ext>
            </c:extLst>
          </c:dPt>
          <c:dPt>
            <c:idx val="82"/>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5-82B8-44FA-92FD-7ADC1C32759B}"/>
              </c:ext>
            </c:extLst>
          </c:dPt>
          <c:dPt>
            <c:idx val="83"/>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7-82B8-44FA-92FD-7ADC1C32759B}"/>
              </c:ext>
            </c:extLst>
          </c:dPt>
          <c:dPt>
            <c:idx val="84"/>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9-82B8-44FA-92FD-7ADC1C32759B}"/>
              </c:ext>
            </c:extLst>
          </c:dPt>
          <c:dPt>
            <c:idx val="85"/>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B-82B8-44FA-92FD-7ADC1C32759B}"/>
              </c:ext>
            </c:extLst>
          </c:dPt>
          <c:dPt>
            <c:idx val="86"/>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D-82B8-44FA-92FD-7ADC1C32759B}"/>
              </c:ext>
            </c:extLst>
          </c:dPt>
          <c:dPt>
            <c:idx val="87"/>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F-82B8-44FA-92FD-7ADC1C32759B}"/>
              </c:ext>
            </c:extLst>
          </c:dPt>
          <c:dPt>
            <c:idx val="88"/>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1-82B8-44FA-92FD-7ADC1C32759B}"/>
              </c:ext>
            </c:extLst>
          </c:dPt>
          <c:dPt>
            <c:idx val="89"/>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3-82B8-44FA-92FD-7ADC1C32759B}"/>
              </c:ext>
            </c:extLst>
          </c:dPt>
          <c:dPt>
            <c:idx val="90"/>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5-82B8-44FA-92FD-7ADC1C32759B}"/>
              </c:ext>
            </c:extLst>
          </c:dPt>
          <c:dPt>
            <c:idx val="91"/>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7-82B8-44FA-92FD-7ADC1C32759B}"/>
              </c:ext>
            </c:extLst>
          </c:dPt>
          <c:dPt>
            <c:idx val="92"/>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9-82B8-44FA-92FD-7ADC1C32759B}"/>
              </c:ext>
            </c:extLst>
          </c:dPt>
          <c:dPt>
            <c:idx val="93"/>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B-82B8-44FA-92FD-7ADC1C32759B}"/>
              </c:ext>
            </c:extLst>
          </c:dPt>
          <c:dPt>
            <c:idx val="94"/>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D-82B8-44FA-92FD-7ADC1C32759B}"/>
              </c:ext>
            </c:extLst>
          </c:dPt>
          <c:dPt>
            <c:idx val="95"/>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F-82B8-44FA-92FD-7ADC1C32759B}"/>
              </c:ext>
            </c:extLst>
          </c:dPt>
          <c:dPt>
            <c:idx val="96"/>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1-82B8-44FA-92FD-7ADC1C32759B}"/>
              </c:ext>
            </c:extLst>
          </c:dPt>
          <c:dPt>
            <c:idx val="97"/>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3-82B8-44FA-92FD-7ADC1C32759B}"/>
              </c:ext>
            </c:extLst>
          </c:dPt>
          <c:dPt>
            <c:idx val="98"/>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5-82B8-44FA-92FD-7ADC1C32759B}"/>
              </c:ext>
            </c:extLst>
          </c:dPt>
          <c:dPt>
            <c:idx val="99"/>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7-82B8-44FA-92FD-7ADC1C32759B}"/>
              </c:ext>
            </c:extLst>
          </c:dPt>
          <c:dPt>
            <c:idx val="100"/>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9-82B8-44FA-92FD-7ADC1C32759B}"/>
              </c:ext>
            </c:extLst>
          </c:dPt>
          <c:dPt>
            <c:idx val="101"/>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B-82B8-44FA-92FD-7ADC1C32759B}"/>
              </c:ext>
            </c:extLst>
          </c:dPt>
          <c:dPt>
            <c:idx val="102"/>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D-82B8-44FA-92FD-7ADC1C32759B}"/>
              </c:ext>
            </c:extLst>
          </c:dPt>
          <c:dPt>
            <c:idx val="103"/>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F-82B8-44FA-92FD-7ADC1C32759B}"/>
              </c:ext>
            </c:extLst>
          </c:dPt>
          <c:dPt>
            <c:idx val="104"/>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1-82B8-44FA-92FD-7ADC1C32759B}"/>
              </c:ext>
            </c:extLst>
          </c:dPt>
          <c:dPt>
            <c:idx val="105"/>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3-82B8-44FA-92FD-7ADC1C32759B}"/>
              </c:ext>
            </c:extLst>
          </c:dPt>
          <c:dPt>
            <c:idx val="106"/>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5-82B8-44FA-92FD-7ADC1C32759B}"/>
              </c:ext>
            </c:extLst>
          </c:dPt>
          <c:dPt>
            <c:idx val="107"/>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7-82B8-44FA-92FD-7ADC1C32759B}"/>
              </c:ext>
            </c:extLst>
          </c:dPt>
          <c:dPt>
            <c:idx val="108"/>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9-82B8-44FA-92FD-7ADC1C32759B}"/>
              </c:ext>
            </c:extLst>
          </c:dPt>
          <c:dPt>
            <c:idx val="109"/>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B-82B8-44FA-92FD-7ADC1C32759B}"/>
              </c:ext>
            </c:extLst>
          </c:dPt>
          <c:dPt>
            <c:idx val="110"/>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D-82B8-44FA-92FD-7ADC1C32759B}"/>
              </c:ext>
            </c:extLst>
          </c:dPt>
          <c:dPt>
            <c:idx val="11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F-82B8-44FA-92FD-7ADC1C32759B}"/>
              </c:ext>
            </c:extLst>
          </c:dPt>
          <c:dPt>
            <c:idx val="112"/>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1-82B8-44FA-92FD-7ADC1C32759B}"/>
              </c:ext>
            </c:extLst>
          </c:dPt>
          <c:dPt>
            <c:idx val="113"/>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3-82B8-44FA-92FD-7ADC1C32759B}"/>
              </c:ext>
            </c:extLst>
          </c:dPt>
          <c:dPt>
            <c:idx val="114"/>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5-82B8-44FA-92FD-7ADC1C32759B}"/>
              </c:ext>
            </c:extLst>
          </c:dPt>
          <c:dPt>
            <c:idx val="115"/>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7-82B8-44FA-92FD-7ADC1C32759B}"/>
              </c:ext>
            </c:extLst>
          </c:dPt>
          <c:dPt>
            <c:idx val="116"/>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9-82B8-44FA-92FD-7ADC1C32759B}"/>
              </c:ext>
            </c:extLst>
          </c:dPt>
          <c:dPt>
            <c:idx val="117"/>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B-82B8-44FA-92FD-7ADC1C32759B}"/>
              </c:ext>
            </c:extLst>
          </c:dPt>
          <c:dPt>
            <c:idx val="118"/>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D-82B8-44FA-92FD-7ADC1C32759B}"/>
              </c:ext>
            </c:extLst>
          </c:dPt>
          <c:dPt>
            <c:idx val="119"/>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F-82B8-44FA-92FD-7ADC1C32759B}"/>
              </c:ext>
            </c:extLst>
          </c:dPt>
          <c:dPt>
            <c:idx val="120"/>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1-82B8-44FA-92FD-7ADC1C32759B}"/>
              </c:ext>
            </c:extLst>
          </c:dPt>
          <c:dPt>
            <c:idx val="121"/>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3-82B8-44FA-92FD-7ADC1C32759B}"/>
              </c:ext>
            </c:extLst>
          </c:dPt>
          <c:dPt>
            <c:idx val="122"/>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5-82B8-44FA-92FD-7ADC1C32759B}"/>
              </c:ext>
            </c:extLst>
          </c:dPt>
          <c:dPt>
            <c:idx val="123"/>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7-82B8-44FA-92FD-7ADC1C32759B}"/>
              </c:ext>
            </c:extLst>
          </c:dPt>
          <c:dPt>
            <c:idx val="124"/>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9-82B8-44FA-92FD-7ADC1C32759B}"/>
              </c:ext>
            </c:extLst>
          </c:dPt>
          <c:dPt>
            <c:idx val="125"/>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B-82B8-44FA-92FD-7ADC1C32759B}"/>
              </c:ext>
            </c:extLst>
          </c:dPt>
          <c:dPt>
            <c:idx val="126"/>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D-82B8-44FA-92FD-7ADC1C32759B}"/>
              </c:ext>
            </c:extLst>
          </c:dPt>
          <c:dPt>
            <c:idx val="127"/>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F-82B8-44FA-92FD-7ADC1C32759B}"/>
              </c:ext>
            </c:extLst>
          </c:dPt>
          <c:dPt>
            <c:idx val="128"/>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1-82B8-44FA-92FD-7ADC1C32759B}"/>
              </c:ext>
            </c:extLst>
          </c:dPt>
          <c:dPt>
            <c:idx val="129"/>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3-17FF-4DDB-950A-17E4E52CDFFF}"/>
              </c:ext>
            </c:extLst>
          </c:dPt>
          <c:dPt>
            <c:idx val="130"/>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5-17FF-4DDB-950A-17E4E52CDFFF}"/>
              </c:ext>
            </c:extLst>
          </c:dPt>
          <c:dPt>
            <c:idx val="131"/>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7-17FF-4DDB-950A-17E4E52CDFFF}"/>
              </c:ext>
            </c:extLst>
          </c:dPt>
          <c:dPt>
            <c:idx val="132"/>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9-17FF-4DDB-950A-17E4E52CDFFF}"/>
              </c:ext>
            </c:extLst>
          </c:dPt>
          <c:dPt>
            <c:idx val="133"/>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B-17FF-4DDB-950A-17E4E52CDFFF}"/>
              </c:ext>
            </c:extLst>
          </c:dPt>
          <c:dPt>
            <c:idx val="134"/>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D-17FF-4DDB-950A-17E4E52CDFFF}"/>
              </c:ext>
            </c:extLst>
          </c:dPt>
          <c:dPt>
            <c:idx val="135"/>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F-17FF-4DDB-950A-17E4E52CDFFF}"/>
              </c:ext>
            </c:extLst>
          </c:dPt>
          <c:dPt>
            <c:idx val="136"/>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1-17FF-4DDB-950A-17E4E52CDFFF}"/>
              </c:ext>
            </c:extLst>
          </c:dPt>
          <c:dPt>
            <c:idx val="137"/>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3-17FF-4DDB-950A-17E4E52CDFFF}"/>
              </c:ext>
            </c:extLst>
          </c:dPt>
          <c:dPt>
            <c:idx val="138"/>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5-17FF-4DDB-950A-17E4E52CDFFF}"/>
              </c:ext>
            </c:extLst>
          </c:dPt>
          <c:dPt>
            <c:idx val="139"/>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7-17FF-4DDB-950A-17E4E52CDFFF}"/>
              </c:ext>
            </c:extLst>
          </c:dPt>
          <c:dPt>
            <c:idx val="140"/>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9-17FF-4DDB-950A-17E4E52CDFFF}"/>
              </c:ext>
            </c:extLst>
          </c:dPt>
          <c:dPt>
            <c:idx val="141"/>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B-17FF-4DDB-950A-17E4E52CDFFF}"/>
              </c:ext>
            </c:extLst>
          </c:dPt>
          <c:dPt>
            <c:idx val="142"/>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D-17FF-4DDB-950A-17E4E52CDFFF}"/>
              </c:ext>
            </c:extLst>
          </c:dPt>
          <c:dPt>
            <c:idx val="143"/>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F-17FF-4DDB-950A-17E4E52CDFFF}"/>
              </c:ext>
            </c:extLst>
          </c:dPt>
          <c:dPt>
            <c:idx val="144"/>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1-17FF-4DDB-950A-17E4E52CDFFF}"/>
              </c:ext>
            </c:extLst>
          </c:dPt>
          <c:dPt>
            <c:idx val="145"/>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3-17FF-4DDB-950A-17E4E52CDFFF}"/>
              </c:ext>
            </c:extLst>
          </c:dPt>
          <c:dPt>
            <c:idx val="146"/>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5-17FF-4DDB-950A-17E4E52CDFFF}"/>
              </c:ext>
            </c:extLst>
          </c:dPt>
          <c:dPt>
            <c:idx val="147"/>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7-17FF-4DDB-950A-17E4E52CDFFF}"/>
              </c:ext>
            </c:extLst>
          </c:dPt>
          <c:dPt>
            <c:idx val="148"/>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9-17FF-4DDB-950A-17E4E52CDFFF}"/>
              </c:ext>
            </c:extLst>
          </c:dPt>
          <c:dPt>
            <c:idx val="149"/>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B-17FF-4DDB-950A-17E4E52CDFFF}"/>
              </c:ext>
            </c:extLst>
          </c:dPt>
          <c:dPt>
            <c:idx val="150"/>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D-17FF-4DDB-950A-17E4E52CDFFF}"/>
              </c:ext>
            </c:extLst>
          </c:dPt>
          <c:dPt>
            <c:idx val="151"/>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F-17FF-4DDB-950A-17E4E52CDFFF}"/>
              </c:ext>
            </c:extLst>
          </c:dPt>
          <c:dPt>
            <c:idx val="152"/>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1-17FF-4DDB-950A-17E4E52CDFFF}"/>
              </c:ext>
            </c:extLst>
          </c:dPt>
          <c:dPt>
            <c:idx val="153"/>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3-17FF-4DDB-950A-17E4E52CDFFF}"/>
              </c:ext>
            </c:extLst>
          </c:dPt>
          <c:dPt>
            <c:idx val="154"/>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5-17FF-4DDB-950A-17E4E52CDFFF}"/>
              </c:ext>
            </c:extLst>
          </c:dPt>
          <c:dPt>
            <c:idx val="155"/>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7-17FF-4DDB-950A-17E4E52CDFFF}"/>
              </c:ext>
            </c:extLst>
          </c:dPt>
          <c:dPt>
            <c:idx val="156"/>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9-17FF-4DDB-950A-17E4E52CDFFF}"/>
              </c:ext>
            </c:extLst>
          </c:dPt>
          <c:dPt>
            <c:idx val="157"/>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B-17FF-4DDB-950A-17E4E52CDFFF}"/>
              </c:ext>
            </c:extLst>
          </c:dPt>
          <c:dPt>
            <c:idx val="158"/>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D-17FF-4DDB-950A-17E4E52CDFFF}"/>
              </c:ext>
            </c:extLst>
          </c:dPt>
          <c:dPt>
            <c:idx val="159"/>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F-17FF-4DDB-950A-17E4E52CDFFF}"/>
              </c:ext>
            </c:extLst>
          </c:dPt>
          <c:dPt>
            <c:idx val="160"/>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1-17FF-4DDB-950A-17E4E52CDFFF}"/>
              </c:ext>
            </c:extLst>
          </c:dPt>
          <c:dPt>
            <c:idx val="161"/>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3-17FF-4DDB-950A-17E4E52CDFFF}"/>
              </c:ext>
            </c:extLst>
          </c:dPt>
          <c:dPt>
            <c:idx val="162"/>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5-17FF-4DDB-950A-17E4E52CDFFF}"/>
              </c:ext>
            </c:extLst>
          </c:dPt>
          <c:dPt>
            <c:idx val="163"/>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7-17FF-4DDB-950A-17E4E52CDFFF}"/>
              </c:ext>
            </c:extLst>
          </c:dPt>
          <c:dPt>
            <c:idx val="164"/>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9-17FF-4DDB-950A-17E4E52CDFFF}"/>
              </c:ext>
            </c:extLst>
          </c:dPt>
          <c:dPt>
            <c:idx val="165"/>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B-17FF-4DDB-950A-17E4E52CDFFF}"/>
              </c:ext>
            </c:extLst>
          </c:dPt>
          <c:dPt>
            <c:idx val="166"/>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D-17FF-4DDB-950A-17E4E52CDFFF}"/>
              </c:ext>
            </c:extLst>
          </c:dPt>
          <c:dPt>
            <c:idx val="167"/>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F-17FF-4DDB-950A-17E4E52CDFFF}"/>
              </c:ext>
            </c:extLst>
          </c:dPt>
          <c:dPt>
            <c:idx val="168"/>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1-17FF-4DDB-950A-17E4E52CDFFF}"/>
              </c:ext>
            </c:extLst>
          </c:dPt>
          <c:dPt>
            <c:idx val="169"/>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3-17FF-4DDB-950A-17E4E52CDFFF}"/>
              </c:ext>
            </c:extLst>
          </c:dPt>
          <c:dPt>
            <c:idx val="170"/>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5-17FF-4DDB-950A-17E4E52CDFFF}"/>
              </c:ext>
            </c:extLst>
          </c:dPt>
          <c:dPt>
            <c:idx val="171"/>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7-17FF-4DDB-950A-17E4E52CDFFF}"/>
              </c:ext>
            </c:extLst>
          </c:dPt>
          <c:dPt>
            <c:idx val="172"/>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9-17FF-4DDB-950A-17E4E52CDFF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'Opponent Analysis(cr7)'!$A$5:$A$178</c:f>
              <c:strCache>
                <c:ptCount val="173"/>
                <c:pt idx="0">
                  <c:v>Abha Club</c:v>
                </c:pt>
                <c:pt idx="1">
                  <c:v>AC Ajaccio</c:v>
                </c:pt>
                <c:pt idx="2">
                  <c:v>AC Milan</c:v>
                </c:pt>
                <c:pt idx="3">
                  <c:v>ACF Fiorentina</c:v>
                </c:pt>
                <c:pt idx="4">
                  <c:v>AJ Auxerre</c:v>
                </c:pt>
                <c:pt idx="5">
                  <c:v>Ajax Amsterdam</c:v>
                </c:pt>
                <c:pt idx="6">
                  <c:v>Albacete Balompie</c:v>
                </c:pt>
                <c:pt idx="7">
                  <c:v>Al-Fateh</c:v>
                </c:pt>
                <c:pt idx="8">
                  <c:v>Al-Jazira (Abu Dhabi)</c:v>
                </c:pt>
                <c:pt idx="9">
                  <c:v>Al-Wehda FC</c:v>
                </c:pt>
                <c:pt idx="10">
                  <c:v>APOEL Nicosia</c:v>
                </c:pt>
                <c:pt idx="11">
                  <c:v>Arsenal FC</c:v>
                </c:pt>
                <c:pt idx="12">
                  <c:v>AS Roma</c:v>
                </c:pt>
                <c:pt idx="13">
                  <c:v>Aston Villa</c:v>
                </c:pt>
                <c:pt idx="14">
                  <c:v>Atalanta BC</c:v>
                </c:pt>
                <c:pt idx="15">
                  <c:v>Athletic Bilbao</c:v>
                </c:pt>
                <c:pt idx="16">
                  <c:v>Atletico de Madrid</c:v>
                </c:pt>
                <c:pt idx="17">
                  <c:v>BATE Borisov</c:v>
                </c:pt>
                <c:pt idx="18">
                  <c:v>Bayer 04 Leverkusen</c:v>
                </c:pt>
                <c:pt idx="19">
                  <c:v>Bayern Munich</c:v>
                </c:pt>
                <c:pt idx="20">
                  <c:v>Benidorm CD</c:v>
                </c:pt>
                <c:pt idx="21">
                  <c:v>Birmingham City</c:v>
                </c:pt>
                <c:pt idx="22">
                  <c:v>Blackburn Rovers</c:v>
                </c:pt>
                <c:pt idx="23">
                  <c:v>Boavista FC</c:v>
                </c:pt>
                <c:pt idx="24">
                  <c:v>Bologna FC 1909</c:v>
                </c:pt>
                <c:pt idx="25">
                  <c:v>Bolton Wanderers</c:v>
                </c:pt>
                <c:pt idx="26">
                  <c:v>Borussia Dortmund</c:v>
                </c:pt>
                <c:pt idx="27">
                  <c:v>Borussia MÃƒÂ¶nchengladbach</c:v>
                </c:pt>
                <c:pt idx="28">
                  <c:v>Brentford FC</c:v>
                </c:pt>
                <c:pt idx="29">
                  <c:v>Brighton &amp; Hove Albion</c:v>
                </c:pt>
                <c:pt idx="30">
                  <c:v>BSC Young Boys</c:v>
                </c:pt>
                <c:pt idx="31">
                  <c:v>Burnley FC</c:v>
                </c:pt>
                <c:pt idx="32">
                  <c:v>CA Osasuna</c:v>
                </c:pt>
                <c:pt idx="33">
                  <c:v>CA River Plate</c:v>
                </c:pt>
                <c:pt idx="34">
                  <c:v>Cadiz CF</c:v>
                </c:pt>
                <c:pt idx="35">
                  <c:v>CÃƒÂ³rdoba CF</c:v>
                </c:pt>
                <c:pt idx="36">
                  <c:v>Cagliari Calcio</c:v>
                </c:pt>
                <c:pt idx="37">
                  <c:v>CD Estarreja</c:v>
                </c:pt>
                <c:pt idx="38">
                  <c:v>CD Leganes</c:v>
                </c:pt>
                <c:pt idx="39">
                  <c:v>CD Numancia</c:v>
                </c:pt>
                <c:pt idx="40">
                  <c:v>CD Tenerife</c:v>
                </c:pt>
                <c:pt idx="41">
                  <c:v>Celta de Vigo</c:v>
                </c:pt>
                <c:pt idx="42">
                  <c:v>Celtic FC</c:v>
                </c:pt>
                <c:pt idx="43">
                  <c:v>CF America</c:v>
                </c:pt>
                <c:pt idx="44">
                  <c:v>CF Atlante</c:v>
                </c:pt>
                <c:pt idx="45">
                  <c:v>Charlton Athletic</c:v>
                </c:pt>
                <c:pt idx="46">
                  <c:v>Chelsea FC</c:v>
                </c:pt>
                <c:pt idx="47">
                  <c:v>Clermont Foot</c:v>
                </c:pt>
                <c:pt idx="48">
                  <c:v>Club Atletico de Ceuta</c:v>
                </c:pt>
                <c:pt idx="49">
                  <c:v>Club Brugge KV</c:v>
                </c:pt>
                <c:pt idx="50">
                  <c:v>Club Estudiantes de La Plata</c:v>
                </c:pt>
                <c:pt idx="51">
                  <c:v>CSKA Moscow</c:v>
                </c:pt>
                <c:pt idx="52">
                  <c:v>Cultural Leonesa</c:v>
                </c:pt>
                <c:pt idx="53">
                  <c:v>Damac FC</c:v>
                </c:pt>
                <c:pt idx="54">
                  <c:v>Debreceni VSC</c:v>
                </c:pt>
                <c:pt idx="55">
                  <c:v>Deportivo Alaves</c:v>
                </c:pt>
                <c:pt idx="56">
                  <c:v>Deportivo de La Coruaa</c:v>
                </c:pt>
                <c:pt idx="57">
                  <c:v>Deportivo de La CoruÃƒÂ±a</c:v>
                </c:pt>
                <c:pt idx="58">
                  <c:v>Derby County</c:v>
                </c:pt>
                <c:pt idx="59">
                  <c:v>Dynamo Kyiv</c:v>
                </c:pt>
                <c:pt idx="60">
                  <c:v>Elche CF</c:v>
                </c:pt>
                <c:pt idx="61">
                  <c:v>Empoli FC </c:v>
                </c:pt>
                <c:pt idx="62">
                  <c:v>ESTAC Troyes</c:v>
                </c:pt>
                <c:pt idx="63">
                  <c:v>Everton FC</c:v>
                </c:pt>
                <c:pt idx="64">
                  <c:v>Exeter City</c:v>
                </c:pt>
                <c:pt idx="65">
                  <c:v>FC Barcelona</c:v>
                </c:pt>
                <c:pt idx="66">
                  <c:v>FC Basel 1893</c:v>
                </c:pt>
                <c:pt idx="67">
                  <c:v>FC Copenhagen</c:v>
                </c:pt>
                <c:pt idx="68">
                  <c:v>FC Crotone</c:v>
                </c:pt>
                <c:pt idx="69">
                  <c:v>FC Internazionale</c:v>
                </c:pt>
                <c:pt idx="70">
                  <c:v>FC Lorient</c:v>
                </c:pt>
                <c:pt idx="71">
                  <c:v>FC Nantes</c:v>
                </c:pt>
                <c:pt idx="72">
                  <c:v>FC Oliveira do Hospital</c:v>
                </c:pt>
                <c:pt idx="73">
                  <c:v>FC Porto</c:v>
                </c:pt>
                <c:pt idx="74">
                  <c:v>FC Schalke 04</c:v>
                </c:pt>
                <c:pt idx="75">
                  <c:v>FC Sheriff</c:v>
                </c:pt>
                <c:pt idx="76">
                  <c:v>FC Toulouse</c:v>
                </c:pt>
                <c:pt idx="77">
                  <c:v>FC Viktoria Plzen</c:v>
                </c:pt>
                <c:pt idx="78">
                  <c:v>FC ZÃƒÂ¼rich</c:v>
                </c:pt>
                <c:pt idx="79">
                  <c:v>Ferencvarosi TC</c:v>
                </c:pt>
                <c:pt idx="80">
                  <c:v>Frosinone Calcio</c:v>
                </c:pt>
                <c:pt idx="81">
                  <c:v>Fulham FC</c:v>
                </c:pt>
                <c:pt idx="82">
                  <c:v>Galatasaray</c:v>
                </c:pt>
                <c:pt idx="83">
                  <c:v>Gamba Osaka</c:v>
                </c:pt>
                <c:pt idx="84">
                  <c:v>Genoa CFC</c:v>
                </c:pt>
                <c:pt idx="85">
                  <c:v>Getafe CF</c:v>
                </c:pt>
                <c:pt idx="86">
                  <c:v>Gimnastic de Tarragona</c:v>
                </c:pt>
                <c:pt idx="87">
                  <c:v>Girona FC</c:v>
                </c:pt>
                <c:pt idx="88">
                  <c:v>GrÃƒÂªmio Foot-Ball Porto Alegrense</c:v>
                </c:pt>
                <c:pt idx="89">
                  <c:v>Granada CF</c:v>
                </c:pt>
                <c:pt idx="90">
                  <c:v>Hellas Verona</c:v>
                </c:pt>
                <c:pt idx="91">
                  <c:v>Hercules CF</c:v>
                </c:pt>
                <c:pt idx="92">
                  <c:v>Hull City</c:v>
                </c:pt>
                <c:pt idx="93">
                  <c:v>Inter Milan</c:v>
                </c:pt>
                <c:pt idx="94">
                  <c:v>Juventus FC</c:v>
                </c:pt>
                <c:pt idx="95">
                  <c:v>Kashima Antlers</c:v>
                </c:pt>
                <c:pt idx="96">
                  <c:v>Levante UD</c:v>
                </c:pt>
                <c:pt idx="97">
                  <c:v>Liverpool FC</c:v>
                </c:pt>
                <c:pt idx="98">
                  <c:v>LOSC Lille</c:v>
                </c:pt>
                <c:pt idx="99">
                  <c:v>Ludogorets Razgrad</c:v>
                </c:pt>
                <c:pt idx="100">
                  <c:v>Maccabi Haifa</c:v>
                </c:pt>
                <c:pt idx="101">
                  <c:v>Malaga CF</c:v>
                </c:pt>
                <c:pt idx="102">
                  <c:v>MalmÃƒÂ¶ FF</c:v>
                </c:pt>
                <c:pt idx="103">
                  <c:v>Manchester City</c:v>
                </c:pt>
                <c:pt idx="104">
                  <c:v>Manchester United</c:v>
                </c:pt>
                <c:pt idx="105">
                  <c:v>Middlesbrough FC</c:v>
                </c:pt>
                <c:pt idx="106">
                  <c:v>Millwall FC</c:v>
                </c:pt>
                <c:pt idx="107">
                  <c:v>Montpellier</c:v>
                </c:pt>
                <c:pt idx="108">
                  <c:v>Montpellier HSC</c:v>
                </c:pt>
                <c:pt idx="109">
                  <c:v>Moreirense FC</c:v>
                </c:pt>
                <c:pt idx="110">
                  <c:v>Newcastle United</c:v>
                </c:pt>
                <c:pt idx="111">
                  <c:v>Norwich City</c:v>
                </c:pt>
                <c:pt idx="112">
                  <c:v>OGC Nice</c:v>
                </c:pt>
                <c:pt idx="113">
                  <c:v>Olympiacos Piraeus</c:v>
                </c:pt>
                <c:pt idx="114">
                  <c:v>Olympique Lyon</c:v>
                </c:pt>
                <c:pt idx="115">
                  <c:v>Olympique Marseille</c:v>
                </c:pt>
                <c:pt idx="116">
                  <c:v>Panathinaikos Athens</c:v>
                </c:pt>
                <c:pt idx="117">
                  <c:v>Paris Saint-Germain</c:v>
                </c:pt>
                <c:pt idx="118">
                  <c:v>Parma Calcio 1913</c:v>
                </c:pt>
                <c:pt idx="119">
                  <c:v>Portsmouth FC</c:v>
                </c:pt>
                <c:pt idx="120">
                  <c:v>PSV Eindhoven</c:v>
                </c:pt>
                <c:pt idx="121">
                  <c:v>Racing Santander</c:v>
                </c:pt>
                <c:pt idx="122">
                  <c:v>Rangers FC</c:v>
                </c:pt>
                <c:pt idx="123">
                  <c:v>Rayo Vallecano</c:v>
                </c:pt>
                <c:pt idx="124">
                  <c:v>RB Leipzig</c:v>
                </c:pt>
                <c:pt idx="125">
                  <c:v>RC Lens</c:v>
                </c:pt>
                <c:pt idx="126">
                  <c:v>RCD Espanyol Barcelona</c:v>
                </c:pt>
                <c:pt idx="127">
                  <c:v>RCD Mallorca</c:v>
                </c:pt>
                <c:pt idx="128">
                  <c:v>Reading FC</c:v>
                </c:pt>
                <c:pt idx="129">
                  <c:v>Real Betis Balompie</c:v>
                </c:pt>
                <c:pt idx="130">
                  <c:v>Real Madrid</c:v>
                </c:pt>
                <c:pt idx="131">
                  <c:v>Real Murcia CF</c:v>
                </c:pt>
                <c:pt idx="132">
                  <c:v>Real Sociedad</c:v>
                </c:pt>
                <c:pt idx="133">
                  <c:v>Real Valladolid CF</c:v>
                </c:pt>
                <c:pt idx="134">
                  <c:v>Real Zaragoza</c:v>
                </c:pt>
                <c:pt idx="135">
                  <c:v>Recreativo Huelva</c:v>
                </c:pt>
                <c:pt idx="136">
                  <c:v>Santos FC</c:v>
                </c:pt>
                <c:pt idx="137">
                  <c:v>SD Eibar</c:v>
                </c:pt>
                <c:pt idx="138">
                  <c:v>SD Huesca</c:v>
                </c:pt>
                <c:pt idx="139">
                  <c:v>SD Ponferradina</c:v>
                </c:pt>
                <c:pt idx="140">
                  <c:v>Sevilla FC</c:v>
                </c:pt>
                <c:pt idx="141">
                  <c:v>Shakhtar Donetsk</c:v>
                </c:pt>
                <c:pt idx="142">
                  <c:v>SK Slavia Prague</c:v>
                </c:pt>
                <c:pt idx="143">
                  <c:v>SL Benfica</c:v>
                </c:pt>
                <c:pt idx="144">
                  <c:v>Southampton FC</c:v>
                </c:pt>
                <c:pt idx="145">
                  <c:v>SPAL</c:v>
                </c:pt>
                <c:pt idx="146">
                  <c:v>Spartak Moscow</c:v>
                </c:pt>
                <c:pt idx="147">
                  <c:v>Spezia Calcio</c:v>
                </c:pt>
                <c:pt idx="148">
                  <c:v>Sporting CP</c:v>
                </c:pt>
                <c:pt idx="149">
                  <c:v>Sporting GijÃƒÂ³n</c:v>
                </c:pt>
                <c:pt idx="150">
                  <c:v>SS Lazio</c:v>
                </c:pt>
                <c:pt idx="151">
                  <c:v>SSC Napoli</c:v>
                </c:pt>
                <c:pt idx="152">
                  <c:v>Stoke City</c:v>
                </c:pt>
                <c:pt idx="153">
                  <c:v>Sunderland AFC</c:v>
                </c:pt>
                <c:pt idx="154">
                  <c:v>SV Werder Bremen</c:v>
                </c:pt>
                <c:pt idx="155">
                  <c:v>Torino FC</c:v>
                </c:pt>
                <c:pt idx="156">
                  <c:v>Tottenham Hotspur</c:v>
                </c:pt>
                <c:pt idx="157">
                  <c:v>UC Sampdoria</c:v>
                </c:pt>
                <c:pt idx="158">
                  <c:v>UD Almera</c:v>
                </c:pt>
                <c:pt idx="159">
                  <c:v>UD Almeria</c:v>
                </c:pt>
                <c:pt idx="160">
                  <c:v>UD Las Palmas</c:v>
                </c:pt>
                <c:pt idx="161">
                  <c:v>Udinese Calcio</c:v>
                </c:pt>
                <c:pt idx="162">
                  <c:v>US Lecce</c:v>
                </c:pt>
                <c:pt idx="163">
                  <c:v>US Sassuolo</c:v>
                </c:pt>
                <c:pt idx="164">
                  <c:v>Valencia CF</c:v>
                </c:pt>
                <c:pt idx="165">
                  <c:v>VfB Stuttgart</c:v>
                </c:pt>
                <c:pt idx="166">
                  <c:v>VfL Wolfsburg</c:v>
                </c:pt>
                <c:pt idx="167">
                  <c:v>Villarreal CF</c:v>
                </c:pt>
                <c:pt idx="168">
                  <c:v>Watford FC</c:v>
                </c:pt>
                <c:pt idx="169">
                  <c:v>West Bromwich Albion</c:v>
                </c:pt>
                <c:pt idx="170">
                  <c:v>West Ham United</c:v>
                </c:pt>
                <c:pt idx="171">
                  <c:v>Wigan Athletic</c:v>
                </c:pt>
                <c:pt idx="172">
                  <c:v>Xerez CD</c:v>
                </c:pt>
              </c:strCache>
            </c:strRef>
          </c:cat>
          <c:val>
            <c:numRef>
              <c:f>'Opponent Analysis(cr7)'!$B$5:$B$178</c:f>
              <c:numCache>
                <c:formatCode>General</c:formatCode>
                <c:ptCount val="173"/>
                <c:pt idx="0">
                  <c:v>1</c:v>
                </c:pt>
                <c:pt idx="2">
                  <c:v>6</c:v>
                </c:pt>
                <c:pt idx="3">
                  <c:v>3</c:v>
                </c:pt>
                <c:pt idx="4">
                  <c:v>1</c:v>
                </c:pt>
                <c:pt idx="5">
                  <c:v>9</c:v>
                </c:pt>
                <c:pt idx="7">
                  <c:v>1</c:v>
                </c:pt>
                <c:pt idx="8">
                  <c:v>1</c:v>
                </c:pt>
                <c:pt idx="9">
                  <c:v>4</c:v>
                </c:pt>
                <c:pt idx="10">
                  <c:v>6</c:v>
                </c:pt>
                <c:pt idx="11">
                  <c:v>9</c:v>
                </c:pt>
                <c:pt idx="12">
                  <c:v>10</c:v>
                </c:pt>
                <c:pt idx="13">
                  <c:v>9</c:v>
                </c:pt>
                <c:pt idx="14">
                  <c:v>6</c:v>
                </c:pt>
                <c:pt idx="15">
                  <c:v>17</c:v>
                </c:pt>
                <c:pt idx="16">
                  <c:v>25</c:v>
                </c:pt>
                <c:pt idx="18">
                  <c:v>2</c:v>
                </c:pt>
                <c:pt idx="19">
                  <c:v>9</c:v>
                </c:pt>
                <c:pt idx="21">
                  <c:v>2</c:v>
                </c:pt>
                <c:pt idx="22">
                  <c:v>3</c:v>
                </c:pt>
                <c:pt idx="23">
                  <c:v>1</c:v>
                </c:pt>
                <c:pt idx="24">
                  <c:v>2</c:v>
                </c:pt>
                <c:pt idx="25">
                  <c:v>6</c:v>
                </c:pt>
                <c:pt idx="26">
                  <c:v>7</c:v>
                </c:pt>
                <c:pt idx="28">
                  <c:v>1</c:v>
                </c:pt>
                <c:pt idx="29">
                  <c:v>1</c:v>
                </c:pt>
                <c:pt idx="30">
                  <c:v>1</c:v>
                </c:pt>
                <c:pt idx="31">
                  <c:v>1</c:v>
                </c:pt>
                <c:pt idx="32">
                  <c:v>12</c:v>
                </c:pt>
                <c:pt idx="35">
                  <c:v>1</c:v>
                </c:pt>
                <c:pt idx="36">
                  <c:v>8</c:v>
                </c:pt>
                <c:pt idx="37">
                  <c:v>1</c:v>
                </c:pt>
                <c:pt idx="40">
                  <c:v>1</c:v>
                </c:pt>
                <c:pt idx="41">
                  <c:v>20</c:v>
                </c:pt>
                <c:pt idx="43">
                  <c:v>1</c:v>
                </c:pt>
                <c:pt idx="45">
                  <c:v>1</c:v>
                </c:pt>
                <c:pt idx="46">
                  <c:v>2</c:v>
                </c:pt>
                <c:pt idx="51">
                  <c:v>3</c:v>
                </c:pt>
                <c:pt idx="53">
                  <c:v>3</c:v>
                </c:pt>
                <c:pt idx="54">
                  <c:v>1</c:v>
                </c:pt>
                <c:pt idx="55">
                  <c:v>5</c:v>
                </c:pt>
                <c:pt idx="57">
                  <c:v>13</c:v>
                </c:pt>
                <c:pt idx="58">
                  <c:v>4</c:v>
                </c:pt>
                <c:pt idx="59">
                  <c:v>4</c:v>
                </c:pt>
                <c:pt idx="60">
                  <c:v>7</c:v>
                </c:pt>
                <c:pt idx="61">
                  <c:v>2</c:v>
                </c:pt>
                <c:pt idx="63">
                  <c:v>6</c:v>
                </c:pt>
                <c:pt idx="64">
                  <c:v>1</c:v>
                </c:pt>
                <c:pt idx="65">
                  <c:v>20</c:v>
                </c:pt>
                <c:pt idx="66">
                  <c:v>2</c:v>
                </c:pt>
                <c:pt idx="67">
                  <c:v>3</c:v>
                </c:pt>
                <c:pt idx="68">
                  <c:v>2</c:v>
                </c:pt>
                <c:pt idx="69">
                  <c:v>1</c:v>
                </c:pt>
                <c:pt idx="72">
                  <c:v>1</c:v>
                </c:pt>
                <c:pt idx="73">
                  <c:v>1</c:v>
                </c:pt>
                <c:pt idx="74">
                  <c:v>7</c:v>
                </c:pt>
                <c:pt idx="75">
                  <c:v>2</c:v>
                </c:pt>
                <c:pt idx="78">
                  <c:v>2</c:v>
                </c:pt>
                <c:pt idx="79">
                  <c:v>1</c:v>
                </c:pt>
                <c:pt idx="80">
                  <c:v>2</c:v>
                </c:pt>
                <c:pt idx="81">
                  <c:v>7</c:v>
                </c:pt>
                <c:pt idx="82">
                  <c:v>6</c:v>
                </c:pt>
                <c:pt idx="83">
                  <c:v>1</c:v>
                </c:pt>
                <c:pt idx="84">
                  <c:v>5</c:v>
                </c:pt>
                <c:pt idx="85">
                  <c:v>23</c:v>
                </c:pt>
                <c:pt idx="87">
                  <c:v>4</c:v>
                </c:pt>
                <c:pt idx="88">
                  <c:v>1</c:v>
                </c:pt>
                <c:pt idx="89">
                  <c:v>12</c:v>
                </c:pt>
                <c:pt idx="90">
                  <c:v>3</c:v>
                </c:pt>
                <c:pt idx="91">
                  <c:v>2</c:v>
                </c:pt>
                <c:pt idx="92">
                  <c:v>2</c:v>
                </c:pt>
                <c:pt idx="93">
                  <c:v>4</c:v>
                </c:pt>
                <c:pt idx="94">
                  <c:v>10</c:v>
                </c:pt>
                <c:pt idx="95">
                  <c:v>3</c:v>
                </c:pt>
                <c:pt idx="96">
                  <c:v>14</c:v>
                </c:pt>
                <c:pt idx="97">
                  <c:v>3</c:v>
                </c:pt>
                <c:pt idx="99">
                  <c:v>2</c:v>
                </c:pt>
                <c:pt idx="101">
                  <c:v>17</c:v>
                </c:pt>
                <c:pt idx="102">
                  <c:v>6</c:v>
                </c:pt>
                <c:pt idx="103">
                  <c:v>5</c:v>
                </c:pt>
                <c:pt idx="104">
                  <c:v>3</c:v>
                </c:pt>
                <c:pt idx="105">
                  <c:v>5</c:v>
                </c:pt>
                <c:pt idx="106">
                  <c:v>1</c:v>
                </c:pt>
                <c:pt idx="109">
                  <c:v>2</c:v>
                </c:pt>
                <c:pt idx="110">
                  <c:v>8</c:v>
                </c:pt>
                <c:pt idx="111">
                  <c:v>4</c:v>
                </c:pt>
                <c:pt idx="114">
                  <c:v>6</c:v>
                </c:pt>
                <c:pt idx="115">
                  <c:v>4</c:v>
                </c:pt>
                <c:pt idx="117">
                  <c:v>3</c:v>
                </c:pt>
                <c:pt idx="118">
                  <c:v>6</c:v>
                </c:pt>
                <c:pt idx="119">
                  <c:v>6</c:v>
                </c:pt>
                <c:pt idx="121">
                  <c:v>6</c:v>
                </c:pt>
                <c:pt idx="123">
                  <c:v>12</c:v>
                </c:pt>
                <c:pt idx="126">
                  <c:v>15</c:v>
                </c:pt>
                <c:pt idx="127">
                  <c:v>7</c:v>
                </c:pt>
                <c:pt idx="128">
                  <c:v>4</c:v>
                </c:pt>
                <c:pt idx="129">
                  <c:v>6</c:v>
                </c:pt>
                <c:pt idx="131">
                  <c:v>1</c:v>
                </c:pt>
                <c:pt idx="132">
                  <c:v>15</c:v>
                </c:pt>
                <c:pt idx="133">
                  <c:v>3</c:v>
                </c:pt>
                <c:pt idx="134">
                  <c:v>7</c:v>
                </c:pt>
                <c:pt idx="137">
                  <c:v>7</c:v>
                </c:pt>
                <c:pt idx="139">
                  <c:v>1</c:v>
                </c:pt>
                <c:pt idx="140">
                  <c:v>27</c:v>
                </c:pt>
                <c:pt idx="141">
                  <c:v>5</c:v>
                </c:pt>
                <c:pt idx="144">
                  <c:v>2</c:v>
                </c:pt>
                <c:pt idx="145">
                  <c:v>3</c:v>
                </c:pt>
                <c:pt idx="147">
                  <c:v>3</c:v>
                </c:pt>
                <c:pt idx="148">
                  <c:v>3</c:v>
                </c:pt>
                <c:pt idx="149">
                  <c:v>6</c:v>
                </c:pt>
                <c:pt idx="150">
                  <c:v>5</c:v>
                </c:pt>
                <c:pt idx="151">
                  <c:v>4</c:v>
                </c:pt>
                <c:pt idx="152">
                  <c:v>2</c:v>
                </c:pt>
                <c:pt idx="153">
                  <c:v>1</c:v>
                </c:pt>
                <c:pt idx="155">
                  <c:v>4</c:v>
                </c:pt>
                <c:pt idx="156">
                  <c:v>14</c:v>
                </c:pt>
                <c:pt idx="157">
                  <c:v>5</c:v>
                </c:pt>
                <c:pt idx="159">
                  <c:v>7</c:v>
                </c:pt>
                <c:pt idx="160">
                  <c:v>3</c:v>
                </c:pt>
                <c:pt idx="161">
                  <c:v>7</c:v>
                </c:pt>
                <c:pt idx="162">
                  <c:v>1</c:v>
                </c:pt>
                <c:pt idx="163">
                  <c:v>6</c:v>
                </c:pt>
                <c:pt idx="164">
                  <c:v>15</c:v>
                </c:pt>
                <c:pt idx="166">
                  <c:v>3</c:v>
                </c:pt>
                <c:pt idx="167">
                  <c:v>15</c:v>
                </c:pt>
                <c:pt idx="168">
                  <c:v>2</c:v>
                </c:pt>
                <c:pt idx="169">
                  <c:v>4</c:v>
                </c:pt>
                <c:pt idx="170">
                  <c:v>6</c:v>
                </c:pt>
                <c:pt idx="171">
                  <c:v>7</c:v>
                </c:pt>
                <c:pt idx="172">
                  <c:v>4</c:v>
                </c:pt>
              </c:numCache>
            </c:numRef>
          </c:val>
          <c:extLst>
            <c:ext xmlns:c16="http://schemas.microsoft.com/office/drawing/2014/chart" uri="{C3380CC4-5D6E-409C-BE32-E72D297353CC}">
              <c16:uniqueId val="{00000000-2C21-495E-A931-1365E12B31C3}"/>
            </c:ext>
          </c:extLst>
        </c:ser>
        <c:ser>
          <c:idx val="1"/>
          <c:order val="1"/>
          <c:tx>
            <c:strRef>
              <c:f>'Opponent Analysis(cr7)'!$C$3:$C$4</c:f>
              <c:strCache>
                <c:ptCount val="1"/>
                <c:pt idx="0">
                  <c:v>Lionel Messi</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B-17FF-4DDB-950A-17E4E52CDFFF}"/>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D-17FF-4DDB-950A-17E4E52CDFFF}"/>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F-17FF-4DDB-950A-17E4E52CDFFF}"/>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1-17FF-4DDB-950A-17E4E52CDFFF}"/>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3-17FF-4DDB-950A-17E4E52CDFFF}"/>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5-17FF-4DDB-950A-17E4E52CDFFF}"/>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7-17FF-4DDB-950A-17E4E52CDFFF}"/>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9-17FF-4DDB-950A-17E4E52CDFFF}"/>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B-17FF-4DDB-950A-17E4E52CDFFF}"/>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D-17FF-4DDB-950A-17E4E52CDFFF}"/>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F-17FF-4DDB-950A-17E4E52CDFFF}"/>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1-17FF-4DDB-950A-17E4E52CDFFF}"/>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3-17FF-4DDB-950A-17E4E52CDFFF}"/>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5-17FF-4DDB-950A-17E4E52CDFFF}"/>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7-17FF-4DDB-950A-17E4E52CDFFF}"/>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9-17FF-4DDB-950A-17E4E52CDFFF}"/>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B-17FF-4DDB-950A-17E4E52CDFFF}"/>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D-17FF-4DDB-950A-17E4E52CDFFF}"/>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F-17FF-4DDB-950A-17E4E52CDFFF}"/>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1-17FF-4DDB-950A-17E4E52CDFFF}"/>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3-17FF-4DDB-950A-17E4E52CDFFF}"/>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5-17FF-4DDB-950A-17E4E52CDFFF}"/>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7-17FF-4DDB-950A-17E4E52CDFFF}"/>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9-17FF-4DDB-950A-17E4E52CDFFF}"/>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B-17FF-4DDB-950A-17E4E52CDFFF}"/>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D-17FF-4DDB-950A-17E4E52CDFFF}"/>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F-17FF-4DDB-950A-17E4E52CDFFF}"/>
              </c:ext>
            </c:extLst>
          </c:dPt>
          <c:dPt>
            <c:idx val="27"/>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1-17FF-4DDB-950A-17E4E52CDFFF}"/>
              </c:ext>
            </c:extLst>
          </c:dPt>
          <c:dPt>
            <c:idx val="28"/>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3-17FF-4DDB-950A-17E4E52CDFFF}"/>
              </c:ext>
            </c:extLst>
          </c:dPt>
          <c:dPt>
            <c:idx val="29"/>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5-17FF-4DDB-950A-17E4E52CDFFF}"/>
              </c:ext>
            </c:extLst>
          </c:dPt>
          <c:dPt>
            <c:idx val="30"/>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7-17FF-4DDB-950A-17E4E52CDFFF}"/>
              </c:ext>
            </c:extLst>
          </c:dPt>
          <c:dPt>
            <c:idx val="31"/>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9-17FF-4DDB-950A-17E4E52CDFFF}"/>
              </c:ext>
            </c:extLst>
          </c:dPt>
          <c:dPt>
            <c:idx val="32"/>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B-17FF-4DDB-950A-17E4E52CDFFF}"/>
              </c:ext>
            </c:extLst>
          </c:dPt>
          <c:dPt>
            <c:idx val="33"/>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D-17FF-4DDB-950A-17E4E52CDFFF}"/>
              </c:ext>
            </c:extLst>
          </c:dPt>
          <c:dPt>
            <c:idx val="34"/>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F-17FF-4DDB-950A-17E4E52CDFFF}"/>
              </c:ext>
            </c:extLst>
          </c:dPt>
          <c:dPt>
            <c:idx val="35"/>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1-17FF-4DDB-950A-17E4E52CDFFF}"/>
              </c:ext>
            </c:extLst>
          </c:dPt>
          <c:dPt>
            <c:idx val="36"/>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3-17FF-4DDB-950A-17E4E52CDFFF}"/>
              </c:ext>
            </c:extLst>
          </c:dPt>
          <c:dPt>
            <c:idx val="37"/>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5-17FF-4DDB-950A-17E4E52CDFFF}"/>
              </c:ext>
            </c:extLst>
          </c:dPt>
          <c:dPt>
            <c:idx val="38"/>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7-17FF-4DDB-950A-17E4E52CDFFF}"/>
              </c:ext>
            </c:extLst>
          </c:dPt>
          <c:dPt>
            <c:idx val="39"/>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9-17FF-4DDB-950A-17E4E52CDFFF}"/>
              </c:ext>
            </c:extLst>
          </c:dPt>
          <c:dPt>
            <c:idx val="40"/>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B-17FF-4DDB-950A-17E4E52CDFFF}"/>
              </c:ext>
            </c:extLst>
          </c:dPt>
          <c:dPt>
            <c:idx val="41"/>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D-17FF-4DDB-950A-17E4E52CDFFF}"/>
              </c:ext>
            </c:extLst>
          </c:dPt>
          <c:dPt>
            <c:idx val="42"/>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F-17FF-4DDB-950A-17E4E52CDFFF}"/>
              </c:ext>
            </c:extLst>
          </c:dPt>
          <c:dPt>
            <c:idx val="43"/>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1-17FF-4DDB-950A-17E4E52CDFFF}"/>
              </c:ext>
            </c:extLst>
          </c:dPt>
          <c:dPt>
            <c:idx val="44"/>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3-17FF-4DDB-950A-17E4E52CDFFF}"/>
              </c:ext>
            </c:extLst>
          </c:dPt>
          <c:dPt>
            <c:idx val="45"/>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5-17FF-4DDB-950A-17E4E52CDFFF}"/>
              </c:ext>
            </c:extLst>
          </c:dPt>
          <c:dPt>
            <c:idx val="46"/>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7-17FF-4DDB-950A-17E4E52CDFFF}"/>
              </c:ext>
            </c:extLst>
          </c:dPt>
          <c:dPt>
            <c:idx val="47"/>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9-17FF-4DDB-950A-17E4E52CDFFF}"/>
              </c:ext>
            </c:extLst>
          </c:dPt>
          <c:dPt>
            <c:idx val="48"/>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B-17FF-4DDB-950A-17E4E52CDFFF}"/>
              </c:ext>
            </c:extLst>
          </c:dPt>
          <c:dPt>
            <c:idx val="49"/>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D-17FF-4DDB-950A-17E4E52CDFFF}"/>
              </c:ext>
            </c:extLst>
          </c:dPt>
          <c:dPt>
            <c:idx val="50"/>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F-17FF-4DDB-950A-17E4E52CDFFF}"/>
              </c:ext>
            </c:extLst>
          </c:dPt>
          <c:dPt>
            <c:idx val="51"/>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1-17FF-4DDB-950A-17E4E52CDFFF}"/>
              </c:ext>
            </c:extLst>
          </c:dPt>
          <c:dPt>
            <c:idx val="52"/>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3-17FF-4DDB-950A-17E4E52CDFFF}"/>
              </c:ext>
            </c:extLst>
          </c:dPt>
          <c:dPt>
            <c:idx val="53"/>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5-17FF-4DDB-950A-17E4E52CDFFF}"/>
              </c:ext>
            </c:extLst>
          </c:dPt>
          <c:dPt>
            <c:idx val="54"/>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7-17FF-4DDB-950A-17E4E52CDFFF}"/>
              </c:ext>
            </c:extLst>
          </c:dPt>
          <c:dPt>
            <c:idx val="55"/>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9-17FF-4DDB-950A-17E4E52CDFFF}"/>
              </c:ext>
            </c:extLst>
          </c:dPt>
          <c:dPt>
            <c:idx val="56"/>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B-17FF-4DDB-950A-17E4E52CDFFF}"/>
              </c:ext>
            </c:extLst>
          </c:dPt>
          <c:dPt>
            <c:idx val="57"/>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D-17FF-4DDB-950A-17E4E52CDFFF}"/>
              </c:ext>
            </c:extLst>
          </c:dPt>
          <c:dPt>
            <c:idx val="58"/>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F-17FF-4DDB-950A-17E4E52CDFFF}"/>
              </c:ext>
            </c:extLst>
          </c:dPt>
          <c:dPt>
            <c:idx val="59"/>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1-17FF-4DDB-950A-17E4E52CDFFF}"/>
              </c:ext>
            </c:extLst>
          </c:dPt>
          <c:dPt>
            <c:idx val="60"/>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3-17FF-4DDB-950A-17E4E52CDFFF}"/>
              </c:ext>
            </c:extLst>
          </c:dPt>
          <c:dPt>
            <c:idx val="61"/>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5-17FF-4DDB-950A-17E4E52CDFFF}"/>
              </c:ext>
            </c:extLst>
          </c:dPt>
          <c:dPt>
            <c:idx val="62"/>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7-17FF-4DDB-950A-17E4E52CDFFF}"/>
              </c:ext>
            </c:extLst>
          </c:dPt>
          <c:dPt>
            <c:idx val="63"/>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9-17FF-4DDB-950A-17E4E52CDFFF}"/>
              </c:ext>
            </c:extLst>
          </c:dPt>
          <c:dPt>
            <c:idx val="64"/>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B-17FF-4DDB-950A-17E4E52CDFFF}"/>
              </c:ext>
            </c:extLst>
          </c:dPt>
          <c:dPt>
            <c:idx val="65"/>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D-17FF-4DDB-950A-17E4E52CDFFF}"/>
              </c:ext>
            </c:extLst>
          </c:dPt>
          <c:dPt>
            <c:idx val="66"/>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F-17FF-4DDB-950A-17E4E52CDFFF}"/>
              </c:ext>
            </c:extLst>
          </c:dPt>
          <c:dPt>
            <c:idx val="67"/>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1-17FF-4DDB-950A-17E4E52CDFFF}"/>
              </c:ext>
            </c:extLst>
          </c:dPt>
          <c:dPt>
            <c:idx val="68"/>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3-17FF-4DDB-950A-17E4E52CDFFF}"/>
              </c:ext>
            </c:extLst>
          </c:dPt>
          <c:dPt>
            <c:idx val="69"/>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5-17FF-4DDB-950A-17E4E52CDFFF}"/>
              </c:ext>
            </c:extLst>
          </c:dPt>
          <c:dPt>
            <c:idx val="70"/>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7-17FF-4DDB-950A-17E4E52CDFFF}"/>
              </c:ext>
            </c:extLst>
          </c:dPt>
          <c:dPt>
            <c:idx val="71"/>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9-17FF-4DDB-950A-17E4E52CDFFF}"/>
              </c:ext>
            </c:extLst>
          </c:dPt>
          <c:dPt>
            <c:idx val="72"/>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B-17FF-4DDB-950A-17E4E52CDFFF}"/>
              </c:ext>
            </c:extLst>
          </c:dPt>
          <c:dPt>
            <c:idx val="73"/>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D-17FF-4DDB-950A-17E4E52CDFFF}"/>
              </c:ext>
            </c:extLst>
          </c:dPt>
          <c:dPt>
            <c:idx val="74"/>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F-17FF-4DDB-950A-17E4E52CDFFF}"/>
              </c:ext>
            </c:extLst>
          </c:dPt>
          <c:dPt>
            <c:idx val="75"/>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1-17FF-4DDB-950A-17E4E52CDFFF}"/>
              </c:ext>
            </c:extLst>
          </c:dPt>
          <c:dPt>
            <c:idx val="76"/>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3-17FF-4DDB-950A-17E4E52CDFFF}"/>
              </c:ext>
            </c:extLst>
          </c:dPt>
          <c:dPt>
            <c:idx val="77"/>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5-17FF-4DDB-950A-17E4E52CDFFF}"/>
              </c:ext>
            </c:extLst>
          </c:dPt>
          <c:dPt>
            <c:idx val="78"/>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7-17FF-4DDB-950A-17E4E52CDFFF}"/>
              </c:ext>
            </c:extLst>
          </c:dPt>
          <c:dPt>
            <c:idx val="79"/>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9-17FF-4DDB-950A-17E4E52CDFFF}"/>
              </c:ext>
            </c:extLst>
          </c:dPt>
          <c:dPt>
            <c:idx val="80"/>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B-17FF-4DDB-950A-17E4E52CDFFF}"/>
              </c:ext>
            </c:extLst>
          </c:dPt>
          <c:dPt>
            <c:idx val="81"/>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D-17FF-4DDB-950A-17E4E52CDFFF}"/>
              </c:ext>
            </c:extLst>
          </c:dPt>
          <c:dPt>
            <c:idx val="82"/>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F-17FF-4DDB-950A-17E4E52CDFFF}"/>
              </c:ext>
            </c:extLst>
          </c:dPt>
          <c:dPt>
            <c:idx val="83"/>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1-17FF-4DDB-950A-17E4E52CDFFF}"/>
              </c:ext>
            </c:extLst>
          </c:dPt>
          <c:dPt>
            <c:idx val="84"/>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3-17FF-4DDB-950A-17E4E52CDFFF}"/>
              </c:ext>
            </c:extLst>
          </c:dPt>
          <c:dPt>
            <c:idx val="85"/>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5-17FF-4DDB-950A-17E4E52CDFFF}"/>
              </c:ext>
            </c:extLst>
          </c:dPt>
          <c:dPt>
            <c:idx val="86"/>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7-17FF-4DDB-950A-17E4E52CDFFF}"/>
              </c:ext>
            </c:extLst>
          </c:dPt>
          <c:dPt>
            <c:idx val="87"/>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9-17FF-4DDB-950A-17E4E52CDFFF}"/>
              </c:ext>
            </c:extLst>
          </c:dPt>
          <c:dPt>
            <c:idx val="88"/>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B-17FF-4DDB-950A-17E4E52CDFFF}"/>
              </c:ext>
            </c:extLst>
          </c:dPt>
          <c:dPt>
            <c:idx val="89"/>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D-17FF-4DDB-950A-17E4E52CDFFF}"/>
              </c:ext>
            </c:extLst>
          </c:dPt>
          <c:dPt>
            <c:idx val="90"/>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F-17FF-4DDB-950A-17E4E52CDFFF}"/>
              </c:ext>
            </c:extLst>
          </c:dPt>
          <c:dPt>
            <c:idx val="91"/>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1-17FF-4DDB-950A-17E4E52CDFFF}"/>
              </c:ext>
            </c:extLst>
          </c:dPt>
          <c:dPt>
            <c:idx val="92"/>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3-17FF-4DDB-950A-17E4E52CDFFF}"/>
              </c:ext>
            </c:extLst>
          </c:dPt>
          <c:dPt>
            <c:idx val="93"/>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5-17FF-4DDB-950A-17E4E52CDFFF}"/>
              </c:ext>
            </c:extLst>
          </c:dPt>
          <c:dPt>
            <c:idx val="94"/>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7-17FF-4DDB-950A-17E4E52CDFFF}"/>
              </c:ext>
            </c:extLst>
          </c:dPt>
          <c:dPt>
            <c:idx val="95"/>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9-17FF-4DDB-950A-17E4E52CDFFF}"/>
              </c:ext>
            </c:extLst>
          </c:dPt>
          <c:dPt>
            <c:idx val="96"/>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B-17FF-4DDB-950A-17E4E52CDFFF}"/>
              </c:ext>
            </c:extLst>
          </c:dPt>
          <c:dPt>
            <c:idx val="97"/>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D-17FF-4DDB-950A-17E4E52CDFFF}"/>
              </c:ext>
            </c:extLst>
          </c:dPt>
          <c:dPt>
            <c:idx val="98"/>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F-17FF-4DDB-950A-17E4E52CDFFF}"/>
              </c:ext>
            </c:extLst>
          </c:dPt>
          <c:dPt>
            <c:idx val="99"/>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1-17FF-4DDB-950A-17E4E52CDFFF}"/>
              </c:ext>
            </c:extLst>
          </c:dPt>
          <c:dPt>
            <c:idx val="100"/>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3-17FF-4DDB-950A-17E4E52CDFFF}"/>
              </c:ext>
            </c:extLst>
          </c:dPt>
          <c:dPt>
            <c:idx val="101"/>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5-17FF-4DDB-950A-17E4E52CDFFF}"/>
              </c:ext>
            </c:extLst>
          </c:dPt>
          <c:dPt>
            <c:idx val="102"/>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7-17FF-4DDB-950A-17E4E52CDFFF}"/>
              </c:ext>
            </c:extLst>
          </c:dPt>
          <c:dPt>
            <c:idx val="103"/>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9-17FF-4DDB-950A-17E4E52CDFFF}"/>
              </c:ext>
            </c:extLst>
          </c:dPt>
          <c:dPt>
            <c:idx val="104"/>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B-17FF-4DDB-950A-17E4E52CDFFF}"/>
              </c:ext>
            </c:extLst>
          </c:dPt>
          <c:dPt>
            <c:idx val="105"/>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D-17FF-4DDB-950A-17E4E52CDFFF}"/>
              </c:ext>
            </c:extLst>
          </c:dPt>
          <c:dPt>
            <c:idx val="106"/>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F-17FF-4DDB-950A-17E4E52CDFFF}"/>
              </c:ext>
            </c:extLst>
          </c:dPt>
          <c:dPt>
            <c:idx val="107"/>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1-17FF-4DDB-950A-17E4E52CDFFF}"/>
              </c:ext>
            </c:extLst>
          </c:dPt>
          <c:dPt>
            <c:idx val="108"/>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3-17FF-4DDB-950A-17E4E52CDFFF}"/>
              </c:ext>
            </c:extLst>
          </c:dPt>
          <c:dPt>
            <c:idx val="109"/>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5-17FF-4DDB-950A-17E4E52CDFFF}"/>
              </c:ext>
            </c:extLst>
          </c:dPt>
          <c:dPt>
            <c:idx val="110"/>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7-17FF-4DDB-950A-17E4E52CDFFF}"/>
              </c:ext>
            </c:extLst>
          </c:dPt>
          <c:dPt>
            <c:idx val="11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9-17FF-4DDB-950A-17E4E52CDFFF}"/>
              </c:ext>
            </c:extLst>
          </c:dPt>
          <c:dPt>
            <c:idx val="112"/>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B-17FF-4DDB-950A-17E4E52CDFFF}"/>
              </c:ext>
            </c:extLst>
          </c:dPt>
          <c:dPt>
            <c:idx val="113"/>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D-17FF-4DDB-950A-17E4E52CDFFF}"/>
              </c:ext>
            </c:extLst>
          </c:dPt>
          <c:dPt>
            <c:idx val="114"/>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F-17FF-4DDB-950A-17E4E52CDFFF}"/>
              </c:ext>
            </c:extLst>
          </c:dPt>
          <c:dPt>
            <c:idx val="115"/>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1-17FF-4DDB-950A-17E4E52CDFFF}"/>
              </c:ext>
            </c:extLst>
          </c:dPt>
          <c:dPt>
            <c:idx val="116"/>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3-17FF-4DDB-950A-17E4E52CDFFF}"/>
              </c:ext>
            </c:extLst>
          </c:dPt>
          <c:dPt>
            <c:idx val="117"/>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5-17FF-4DDB-950A-17E4E52CDFFF}"/>
              </c:ext>
            </c:extLst>
          </c:dPt>
          <c:dPt>
            <c:idx val="118"/>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7-17FF-4DDB-950A-17E4E52CDFFF}"/>
              </c:ext>
            </c:extLst>
          </c:dPt>
          <c:dPt>
            <c:idx val="119"/>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9-17FF-4DDB-950A-17E4E52CDFFF}"/>
              </c:ext>
            </c:extLst>
          </c:dPt>
          <c:dPt>
            <c:idx val="120"/>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B-17FF-4DDB-950A-17E4E52CDFFF}"/>
              </c:ext>
            </c:extLst>
          </c:dPt>
          <c:dPt>
            <c:idx val="121"/>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D-17FF-4DDB-950A-17E4E52CDFFF}"/>
              </c:ext>
            </c:extLst>
          </c:dPt>
          <c:dPt>
            <c:idx val="122"/>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F-17FF-4DDB-950A-17E4E52CDFFF}"/>
              </c:ext>
            </c:extLst>
          </c:dPt>
          <c:dPt>
            <c:idx val="123"/>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1-17FF-4DDB-950A-17E4E52CDFFF}"/>
              </c:ext>
            </c:extLst>
          </c:dPt>
          <c:dPt>
            <c:idx val="124"/>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3-17FF-4DDB-950A-17E4E52CDFFF}"/>
              </c:ext>
            </c:extLst>
          </c:dPt>
          <c:dPt>
            <c:idx val="125"/>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5-17FF-4DDB-950A-17E4E52CDFFF}"/>
              </c:ext>
            </c:extLst>
          </c:dPt>
          <c:dPt>
            <c:idx val="126"/>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7-17FF-4DDB-950A-17E4E52CDFFF}"/>
              </c:ext>
            </c:extLst>
          </c:dPt>
          <c:dPt>
            <c:idx val="127"/>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9-17FF-4DDB-950A-17E4E52CDFFF}"/>
              </c:ext>
            </c:extLst>
          </c:dPt>
          <c:dPt>
            <c:idx val="128"/>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B-17FF-4DDB-950A-17E4E52CDFFF}"/>
              </c:ext>
            </c:extLst>
          </c:dPt>
          <c:dPt>
            <c:idx val="129"/>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D-17FF-4DDB-950A-17E4E52CDFFF}"/>
              </c:ext>
            </c:extLst>
          </c:dPt>
          <c:dPt>
            <c:idx val="130"/>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F-17FF-4DDB-950A-17E4E52CDFFF}"/>
              </c:ext>
            </c:extLst>
          </c:dPt>
          <c:dPt>
            <c:idx val="131"/>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1-17FF-4DDB-950A-17E4E52CDFFF}"/>
              </c:ext>
            </c:extLst>
          </c:dPt>
          <c:dPt>
            <c:idx val="132"/>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3-17FF-4DDB-950A-17E4E52CDFFF}"/>
              </c:ext>
            </c:extLst>
          </c:dPt>
          <c:dPt>
            <c:idx val="133"/>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5-17FF-4DDB-950A-17E4E52CDFFF}"/>
              </c:ext>
            </c:extLst>
          </c:dPt>
          <c:dPt>
            <c:idx val="134"/>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7-17FF-4DDB-950A-17E4E52CDFFF}"/>
              </c:ext>
            </c:extLst>
          </c:dPt>
          <c:dPt>
            <c:idx val="135"/>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9-17FF-4DDB-950A-17E4E52CDFFF}"/>
              </c:ext>
            </c:extLst>
          </c:dPt>
          <c:dPt>
            <c:idx val="136"/>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B-17FF-4DDB-950A-17E4E52CDFFF}"/>
              </c:ext>
            </c:extLst>
          </c:dPt>
          <c:dPt>
            <c:idx val="137"/>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D-17FF-4DDB-950A-17E4E52CDFFF}"/>
              </c:ext>
            </c:extLst>
          </c:dPt>
          <c:dPt>
            <c:idx val="138"/>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F-17FF-4DDB-950A-17E4E52CDFFF}"/>
              </c:ext>
            </c:extLst>
          </c:dPt>
          <c:dPt>
            <c:idx val="139"/>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1-17FF-4DDB-950A-17E4E52CDFFF}"/>
              </c:ext>
            </c:extLst>
          </c:dPt>
          <c:dPt>
            <c:idx val="140"/>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3-17FF-4DDB-950A-17E4E52CDFFF}"/>
              </c:ext>
            </c:extLst>
          </c:dPt>
          <c:dPt>
            <c:idx val="141"/>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5-17FF-4DDB-950A-17E4E52CDFFF}"/>
              </c:ext>
            </c:extLst>
          </c:dPt>
          <c:dPt>
            <c:idx val="142"/>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7-17FF-4DDB-950A-17E4E52CDFFF}"/>
              </c:ext>
            </c:extLst>
          </c:dPt>
          <c:dPt>
            <c:idx val="143"/>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9-17FF-4DDB-950A-17E4E52CDFFF}"/>
              </c:ext>
            </c:extLst>
          </c:dPt>
          <c:dPt>
            <c:idx val="144"/>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B-17FF-4DDB-950A-17E4E52CDFFF}"/>
              </c:ext>
            </c:extLst>
          </c:dPt>
          <c:dPt>
            <c:idx val="145"/>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D-17FF-4DDB-950A-17E4E52CDFFF}"/>
              </c:ext>
            </c:extLst>
          </c:dPt>
          <c:dPt>
            <c:idx val="146"/>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F-17FF-4DDB-950A-17E4E52CDFFF}"/>
              </c:ext>
            </c:extLst>
          </c:dPt>
          <c:dPt>
            <c:idx val="147"/>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1-17FF-4DDB-950A-17E4E52CDFFF}"/>
              </c:ext>
            </c:extLst>
          </c:dPt>
          <c:dPt>
            <c:idx val="148"/>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3-17FF-4DDB-950A-17E4E52CDFFF}"/>
              </c:ext>
            </c:extLst>
          </c:dPt>
          <c:dPt>
            <c:idx val="149"/>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5-17FF-4DDB-950A-17E4E52CDFFF}"/>
              </c:ext>
            </c:extLst>
          </c:dPt>
          <c:dPt>
            <c:idx val="150"/>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7-17FF-4DDB-950A-17E4E52CDFFF}"/>
              </c:ext>
            </c:extLst>
          </c:dPt>
          <c:dPt>
            <c:idx val="151"/>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9-17FF-4DDB-950A-17E4E52CDFFF}"/>
              </c:ext>
            </c:extLst>
          </c:dPt>
          <c:dPt>
            <c:idx val="152"/>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B-17FF-4DDB-950A-17E4E52CDFFF}"/>
              </c:ext>
            </c:extLst>
          </c:dPt>
          <c:dPt>
            <c:idx val="153"/>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D-17FF-4DDB-950A-17E4E52CDFFF}"/>
              </c:ext>
            </c:extLst>
          </c:dPt>
          <c:dPt>
            <c:idx val="154"/>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F-17FF-4DDB-950A-17E4E52CDFFF}"/>
              </c:ext>
            </c:extLst>
          </c:dPt>
          <c:dPt>
            <c:idx val="155"/>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1-17FF-4DDB-950A-17E4E52CDFFF}"/>
              </c:ext>
            </c:extLst>
          </c:dPt>
          <c:dPt>
            <c:idx val="156"/>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3-17FF-4DDB-950A-17E4E52CDFFF}"/>
              </c:ext>
            </c:extLst>
          </c:dPt>
          <c:dPt>
            <c:idx val="157"/>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5-17FF-4DDB-950A-17E4E52CDFFF}"/>
              </c:ext>
            </c:extLst>
          </c:dPt>
          <c:dPt>
            <c:idx val="158"/>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7-17FF-4DDB-950A-17E4E52CDFFF}"/>
              </c:ext>
            </c:extLst>
          </c:dPt>
          <c:dPt>
            <c:idx val="159"/>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9-17FF-4DDB-950A-17E4E52CDFFF}"/>
              </c:ext>
            </c:extLst>
          </c:dPt>
          <c:dPt>
            <c:idx val="160"/>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B-17FF-4DDB-950A-17E4E52CDFFF}"/>
              </c:ext>
            </c:extLst>
          </c:dPt>
          <c:dPt>
            <c:idx val="161"/>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D-17FF-4DDB-950A-17E4E52CDFFF}"/>
              </c:ext>
            </c:extLst>
          </c:dPt>
          <c:dPt>
            <c:idx val="162"/>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F-17FF-4DDB-950A-17E4E52CDFFF}"/>
              </c:ext>
            </c:extLst>
          </c:dPt>
          <c:dPt>
            <c:idx val="163"/>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1-17FF-4DDB-950A-17E4E52CDFFF}"/>
              </c:ext>
            </c:extLst>
          </c:dPt>
          <c:dPt>
            <c:idx val="164"/>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3-17FF-4DDB-950A-17E4E52CDFFF}"/>
              </c:ext>
            </c:extLst>
          </c:dPt>
          <c:dPt>
            <c:idx val="165"/>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5-17FF-4DDB-950A-17E4E52CDFFF}"/>
              </c:ext>
            </c:extLst>
          </c:dPt>
          <c:dPt>
            <c:idx val="166"/>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7-17FF-4DDB-950A-17E4E52CDFFF}"/>
              </c:ext>
            </c:extLst>
          </c:dPt>
          <c:dPt>
            <c:idx val="167"/>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9-17FF-4DDB-950A-17E4E52CDFFF}"/>
              </c:ext>
            </c:extLst>
          </c:dPt>
          <c:dPt>
            <c:idx val="168"/>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B-17FF-4DDB-950A-17E4E52CDFFF}"/>
              </c:ext>
            </c:extLst>
          </c:dPt>
          <c:dPt>
            <c:idx val="169"/>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D-17FF-4DDB-950A-17E4E52CDFFF}"/>
              </c:ext>
            </c:extLst>
          </c:dPt>
          <c:dPt>
            <c:idx val="170"/>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F-17FF-4DDB-950A-17E4E52CDFFF}"/>
              </c:ext>
            </c:extLst>
          </c:dPt>
          <c:dPt>
            <c:idx val="171"/>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B1-17FF-4DDB-950A-17E4E52CDFFF}"/>
              </c:ext>
            </c:extLst>
          </c:dPt>
          <c:dPt>
            <c:idx val="172"/>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B3-17FF-4DDB-950A-17E4E52CDFF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'Opponent Analysis(cr7)'!$A$5:$A$178</c:f>
              <c:strCache>
                <c:ptCount val="173"/>
                <c:pt idx="0">
                  <c:v>Abha Club</c:v>
                </c:pt>
                <c:pt idx="1">
                  <c:v>AC Ajaccio</c:v>
                </c:pt>
                <c:pt idx="2">
                  <c:v>AC Milan</c:v>
                </c:pt>
                <c:pt idx="3">
                  <c:v>ACF Fiorentina</c:v>
                </c:pt>
                <c:pt idx="4">
                  <c:v>AJ Auxerre</c:v>
                </c:pt>
                <c:pt idx="5">
                  <c:v>Ajax Amsterdam</c:v>
                </c:pt>
                <c:pt idx="6">
                  <c:v>Albacete Balompie</c:v>
                </c:pt>
                <c:pt idx="7">
                  <c:v>Al-Fateh</c:v>
                </c:pt>
                <c:pt idx="8">
                  <c:v>Al-Jazira (Abu Dhabi)</c:v>
                </c:pt>
                <c:pt idx="9">
                  <c:v>Al-Wehda FC</c:v>
                </c:pt>
                <c:pt idx="10">
                  <c:v>APOEL Nicosia</c:v>
                </c:pt>
                <c:pt idx="11">
                  <c:v>Arsenal FC</c:v>
                </c:pt>
                <c:pt idx="12">
                  <c:v>AS Roma</c:v>
                </c:pt>
                <c:pt idx="13">
                  <c:v>Aston Villa</c:v>
                </c:pt>
                <c:pt idx="14">
                  <c:v>Atalanta BC</c:v>
                </c:pt>
                <c:pt idx="15">
                  <c:v>Athletic Bilbao</c:v>
                </c:pt>
                <c:pt idx="16">
                  <c:v>Atletico de Madrid</c:v>
                </c:pt>
                <c:pt idx="17">
                  <c:v>BATE Borisov</c:v>
                </c:pt>
                <c:pt idx="18">
                  <c:v>Bayer 04 Leverkusen</c:v>
                </c:pt>
                <c:pt idx="19">
                  <c:v>Bayern Munich</c:v>
                </c:pt>
                <c:pt idx="20">
                  <c:v>Benidorm CD</c:v>
                </c:pt>
                <c:pt idx="21">
                  <c:v>Birmingham City</c:v>
                </c:pt>
                <c:pt idx="22">
                  <c:v>Blackburn Rovers</c:v>
                </c:pt>
                <c:pt idx="23">
                  <c:v>Boavista FC</c:v>
                </c:pt>
                <c:pt idx="24">
                  <c:v>Bologna FC 1909</c:v>
                </c:pt>
                <c:pt idx="25">
                  <c:v>Bolton Wanderers</c:v>
                </c:pt>
                <c:pt idx="26">
                  <c:v>Borussia Dortmund</c:v>
                </c:pt>
                <c:pt idx="27">
                  <c:v>Borussia MÃƒÂ¶nchengladbach</c:v>
                </c:pt>
                <c:pt idx="28">
                  <c:v>Brentford FC</c:v>
                </c:pt>
                <c:pt idx="29">
                  <c:v>Brighton &amp; Hove Albion</c:v>
                </c:pt>
                <c:pt idx="30">
                  <c:v>BSC Young Boys</c:v>
                </c:pt>
                <c:pt idx="31">
                  <c:v>Burnley FC</c:v>
                </c:pt>
                <c:pt idx="32">
                  <c:v>CA Osasuna</c:v>
                </c:pt>
                <c:pt idx="33">
                  <c:v>CA River Plate</c:v>
                </c:pt>
                <c:pt idx="34">
                  <c:v>Cadiz CF</c:v>
                </c:pt>
                <c:pt idx="35">
                  <c:v>CÃƒÂ³rdoba CF</c:v>
                </c:pt>
                <c:pt idx="36">
                  <c:v>Cagliari Calcio</c:v>
                </c:pt>
                <c:pt idx="37">
                  <c:v>CD Estarreja</c:v>
                </c:pt>
                <c:pt idx="38">
                  <c:v>CD Leganes</c:v>
                </c:pt>
                <c:pt idx="39">
                  <c:v>CD Numancia</c:v>
                </c:pt>
                <c:pt idx="40">
                  <c:v>CD Tenerife</c:v>
                </c:pt>
                <c:pt idx="41">
                  <c:v>Celta de Vigo</c:v>
                </c:pt>
                <c:pt idx="42">
                  <c:v>Celtic FC</c:v>
                </c:pt>
                <c:pt idx="43">
                  <c:v>CF America</c:v>
                </c:pt>
                <c:pt idx="44">
                  <c:v>CF Atlante</c:v>
                </c:pt>
                <c:pt idx="45">
                  <c:v>Charlton Athletic</c:v>
                </c:pt>
                <c:pt idx="46">
                  <c:v>Chelsea FC</c:v>
                </c:pt>
                <c:pt idx="47">
                  <c:v>Clermont Foot</c:v>
                </c:pt>
                <c:pt idx="48">
                  <c:v>Club Atletico de Ceuta</c:v>
                </c:pt>
                <c:pt idx="49">
                  <c:v>Club Brugge KV</c:v>
                </c:pt>
                <c:pt idx="50">
                  <c:v>Club Estudiantes de La Plata</c:v>
                </c:pt>
                <c:pt idx="51">
                  <c:v>CSKA Moscow</c:v>
                </c:pt>
                <c:pt idx="52">
                  <c:v>Cultural Leonesa</c:v>
                </c:pt>
                <c:pt idx="53">
                  <c:v>Damac FC</c:v>
                </c:pt>
                <c:pt idx="54">
                  <c:v>Debreceni VSC</c:v>
                </c:pt>
                <c:pt idx="55">
                  <c:v>Deportivo Alaves</c:v>
                </c:pt>
                <c:pt idx="56">
                  <c:v>Deportivo de La Coruaa</c:v>
                </c:pt>
                <c:pt idx="57">
                  <c:v>Deportivo de La CoruÃƒÂ±a</c:v>
                </c:pt>
                <c:pt idx="58">
                  <c:v>Derby County</c:v>
                </c:pt>
                <c:pt idx="59">
                  <c:v>Dynamo Kyiv</c:v>
                </c:pt>
                <c:pt idx="60">
                  <c:v>Elche CF</c:v>
                </c:pt>
                <c:pt idx="61">
                  <c:v>Empoli FC </c:v>
                </c:pt>
                <c:pt idx="62">
                  <c:v>ESTAC Troyes</c:v>
                </c:pt>
                <c:pt idx="63">
                  <c:v>Everton FC</c:v>
                </c:pt>
                <c:pt idx="64">
                  <c:v>Exeter City</c:v>
                </c:pt>
                <c:pt idx="65">
                  <c:v>FC Barcelona</c:v>
                </c:pt>
                <c:pt idx="66">
                  <c:v>FC Basel 1893</c:v>
                </c:pt>
                <c:pt idx="67">
                  <c:v>FC Copenhagen</c:v>
                </c:pt>
                <c:pt idx="68">
                  <c:v>FC Crotone</c:v>
                </c:pt>
                <c:pt idx="69">
                  <c:v>FC Internazionale</c:v>
                </c:pt>
                <c:pt idx="70">
                  <c:v>FC Lorient</c:v>
                </c:pt>
                <c:pt idx="71">
                  <c:v>FC Nantes</c:v>
                </c:pt>
                <c:pt idx="72">
                  <c:v>FC Oliveira do Hospital</c:v>
                </c:pt>
                <c:pt idx="73">
                  <c:v>FC Porto</c:v>
                </c:pt>
                <c:pt idx="74">
                  <c:v>FC Schalke 04</c:v>
                </c:pt>
                <c:pt idx="75">
                  <c:v>FC Sheriff</c:v>
                </c:pt>
                <c:pt idx="76">
                  <c:v>FC Toulouse</c:v>
                </c:pt>
                <c:pt idx="77">
                  <c:v>FC Viktoria Plzen</c:v>
                </c:pt>
                <c:pt idx="78">
                  <c:v>FC ZÃƒÂ¼rich</c:v>
                </c:pt>
                <c:pt idx="79">
                  <c:v>Ferencvarosi TC</c:v>
                </c:pt>
                <c:pt idx="80">
                  <c:v>Frosinone Calcio</c:v>
                </c:pt>
                <c:pt idx="81">
                  <c:v>Fulham FC</c:v>
                </c:pt>
                <c:pt idx="82">
                  <c:v>Galatasaray</c:v>
                </c:pt>
                <c:pt idx="83">
                  <c:v>Gamba Osaka</c:v>
                </c:pt>
                <c:pt idx="84">
                  <c:v>Genoa CFC</c:v>
                </c:pt>
                <c:pt idx="85">
                  <c:v>Getafe CF</c:v>
                </c:pt>
                <c:pt idx="86">
                  <c:v>Gimnastic de Tarragona</c:v>
                </c:pt>
                <c:pt idx="87">
                  <c:v>Girona FC</c:v>
                </c:pt>
                <c:pt idx="88">
                  <c:v>GrÃƒÂªmio Foot-Ball Porto Alegrense</c:v>
                </c:pt>
                <c:pt idx="89">
                  <c:v>Granada CF</c:v>
                </c:pt>
                <c:pt idx="90">
                  <c:v>Hellas Verona</c:v>
                </c:pt>
                <c:pt idx="91">
                  <c:v>Hercules CF</c:v>
                </c:pt>
                <c:pt idx="92">
                  <c:v>Hull City</c:v>
                </c:pt>
                <c:pt idx="93">
                  <c:v>Inter Milan</c:v>
                </c:pt>
                <c:pt idx="94">
                  <c:v>Juventus FC</c:v>
                </c:pt>
                <c:pt idx="95">
                  <c:v>Kashima Antlers</c:v>
                </c:pt>
                <c:pt idx="96">
                  <c:v>Levante UD</c:v>
                </c:pt>
                <c:pt idx="97">
                  <c:v>Liverpool FC</c:v>
                </c:pt>
                <c:pt idx="98">
                  <c:v>LOSC Lille</c:v>
                </c:pt>
                <c:pt idx="99">
                  <c:v>Ludogorets Razgrad</c:v>
                </c:pt>
                <c:pt idx="100">
                  <c:v>Maccabi Haifa</c:v>
                </c:pt>
                <c:pt idx="101">
                  <c:v>Malaga CF</c:v>
                </c:pt>
                <c:pt idx="102">
                  <c:v>MalmÃƒÂ¶ FF</c:v>
                </c:pt>
                <c:pt idx="103">
                  <c:v>Manchester City</c:v>
                </c:pt>
                <c:pt idx="104">
                  <c:v>Manchester United</c:v>
                </c:pt>
                <c:pt idx="105">
                  <c:v>Middlesbrough FC</c:v>
                </c:pt>
                <c:pt idx="106">
                  <c:v>Millwall FC</c:v>
                </c:pt>
                <c:pt idx="107">
                  <c:v>Montpellier</c:v>
                </c:pt>
                <c:pt idx="108">
                  <c:v>Montpellier HSC</c:v>
                </c:pt>
                <c:pt idx="109">
                  <c:v>Moreirense FC</c:v>
                </c:pt>
                <c:pt idx="110">
                  <c:v>Newcastle United</c:v>
                </c:pt>
                <c:pt idx="111">
                  <c:v>Norwich City</c:v>
                </c:pt>
                <c:pt idx="112">
                  <c:v>OGC Nice</c:v>
                </c:pt>
                <c:pt idx="113">
                  <c:v>Olympiacos Piraeus</c:v>
                </c:pt>
                <c:pt idx="114">
                  <c:v>Olympique Lyon</c:v>
                </c:pt>
                <c:pt idx="115">
                  <c:v>Olympique Marseille</c:v>
                </c:pt>
                <c:pt idx="116">
                  <c:v>Panathinaikos Athens</c:v>
                </c:pt>
                <c:pt idx="117">
                  <c:v>Paris Saint-Germain</c:v>
                </c:pt>
                <c:pt idx="118">
                  <c:v>Parma Calcio 1913</c:v>
                </c:pt>
                <c:pt idx="119">
                  <c:v>Portsmouth FC</c:v>
                </c:pt>
                <c:pt idx="120">
                  <c:v>PSV Eindhoven</c:v>
                </c:pt>
                <c:pt idx="121">
                  <c:v>Racing Santander</c:v>
                </c:pt>
                <c:pt idx="122">
                  <c:v>Rangers FC</c:v>
                </c:pt>
                <c:pt idx="123">
                  <c:v>Rayo Vallecano</c:v>
                </c:pt>
                <c:pt idx="124">
                  <c:v>RB Leipzig</c:v>
                </c:pt>
                <c:pt idx="125">
                  <c:v>RC Lens</c:v>
                </c:pt>
                <c:pt idx="126">
                  <c:v>RCD Espanyol Barcelona</c:v>
                </c:pt>
                <c:pt idx="127">
                  <c:v>RCD Mallorca</c:v>
                </c:pt>
                <c:pt idx="128">
                  <c:v>Reading FC</c:v>
                </c:pt>
                <c:pt idx="129">
                  <c:v>Real Betis Balompie</c:v>
                </c:pt>
                <c:pt idx="130">
                  <c:v>Real Madrid</c:v>
                </c:pt>
                <c:pt idx="131">
                  <c:v>Real Murcia CF</c:v>
                </c:pt>
                <c:pt idx="132">
                  <c:v>Real Sociedad</c:v>
                </c:pt>
                <c:pt idx="133">
                  <c:v>Real Valladolid CF</c:v>
                </c:pt>
                <c:pt idx="134">
                  <c:v>Real Zaragoza</c:v>
                </c:pt>
                <c:pt idx="135">
                  <c:v>Recreativo Huelva</c:v>
                </c:pt>
                <c:pt idx="136">
                  <c:v>Santos FC</c:v>
                </c:pt>
                <c:pt idx="137">
                  <c:v>SD Eibar</c:v>
                </c:pt>
                <c:pt idx="138">
                  <c:v>SD Huesca</c:v>
                </c:pt>
                <c:pt idx="139">
                  <c:v>SD Ponferradina</c:v>
                </c:pt>
                <c:pt idx="140">
                  <c:v>Sevilla FC</c:v>
                </c:pt>
                <c:pt idx="141">
                  <c:v>Shakhtar Donetsk</c:v>
                </c:pt>
                <c:pt idx="142">
                  <c:v>SK Slavia Prague</c:v>
                </c:pt>
                <c:pt idx="143">
                  <c:v>SL Benfica</c:v>
                </c:pt>
                <c:pt idx="144">
                  <c:v>Southampton FC</c:v>
                </c:pt>
                <c:pt idx="145">
                  <c:v>SPAL</c:v>
                </c:pt>
                <c:pt idx="146">
                  <c:v>Spartak Moscow</c:v>
                </c:pt>
                <c:pt idx="147">
                  <c:v>Spezia Calcio</c:v>
                </c:pt>
                <c:pt idx="148">
                  <c:v>Sporting CP</c:v>
                </c:pt>
                <c:pt idx="149">
                  <c:v>Sporting GijÃƒÂ³n</c:v>
                </c:pt>
                <c:pt idx="150">
                  <c:v>SS Lazio</c:v>
                </c:pt>
                <c:pt idx="151">
                  <c:v>SSC Napoli</c:v>
                </c:pt>
                <c:pt idx="152">
                  <c:v>Stoke City</c:v>
                </c:pt>
                <c:pt idx="153">
                  <c:v>Sunderland AFC</c:v>
                </c:pt>
                <c:pt idx="154">
                  <c:v>SV Werder Bremen</c:v>
                </c:pt>
                <c:pt idx="155">
                  <c:v>Torino FC</c:v>
                </c:pt>
                <c:pt idx="156">
                  <c:v>Tottenham Hotspur</c:v>
                </c:pt>
                <c:pt idx="157">
                  <c:v>UC Sampdoria</c:v>
                </c:pt>
                <c:pt idx="158">
                  <c:v>UD Almera</c:v>
                </c:pt>
                <c:pt idx="159">
                  <c:v>UD Almeria</c:v>
                </c:pt>
                <c:pt idx="160">
                  <c:v>UD Las Palmas</c:v>
                </c:pt>
                <c:pt idx="161">
                  <c:v>Udinese Calcio</c:v>
                </c:pt>
                <c:pt idx="162">
                  <c:v>US Lecce</c:v>
                </c:pt>
                <c:pt idx="163">
                  <c:v>US Sassuolo</c:v>
                </c:pt>
                <c:pt idx="164">
                  <c:v>Valencia CF</c:v>
                </c:pt>
                <c:pt idx="165">
                  <c:v>VfB Stuttgart</c:v>
                </c:pt>
                <c:pt idx="166">
                  <c:v>VfL Wolfsburg</c:v>
                </c:pt>
                <c:pt idx="167">
                  <c:v>Villarreal CF</c:v>
                </c:pt>
                <c:pt idx="168">
                  <c:v>Watford FC</c:v>
                </c:pt>
                <c:pt idx="169">
                  <c:v>West Bromwich Albion</c:v>
                </c:pt>
                <c:pt idx="170">
                  <c:v>West Ham United</c:v>
                </c:pt>
                <c:pt idx="171">
                  <c:v>Wigan Athletic</c:v>
                </c:pt>
                <c:pt idx="172">
                  <c:v>Xerez CD</c:v>
                </c:pt>
              </c:strCache>
            </c:strRef>
          </c:cat>
          <c:val>
            <c:numRef>
              <c:f>'Opponent Analysis(cr7)'!$C$5:$C$178</c:f>
              <c:numCache>
                <c:formatCode>General</c:formatCode>
                <c:ptCount val="173"/>
                <c:pt idx="1">
                  <c:v>1</c:v>
                </c:pt>
                <c:pt idx="2">
                  <c:v>8</c:v>
                </c:pt>
                <c:pt idx="5">
                  <c:v>6</c:v>
                </c:pt>
                <c:pt idx="6">
                  <c:v>1</c:v>
                </c:pt>
                <c:pt idx="10">
                  <c:v>3</c:v>
                </c:pt>
                <c:pt idx="11">
                  <c:v>9</c:v>
                </c:pt>
                <c:pt idx="12">
                  <c:v>2</c:v>
                </c:pt>
                <c:pt idx="15">
                  <c:v>29</c:v>
                </c:pt>
                <c:pt idx="16">
                  <c:v>32</c:v>
                </c:pt>
                <c:pt idx="17">
                  <c:v>2</c:v>
                </c:pt>
                <c:pt idx="18">
                  <c:v>7</c:v>
                </c:pt>
                <c:pt idx="19">
                  <c:v>4</c:v>
                </c:pt>
                <c:pt idx="20">
                  <c:v>1</c:v>
                </c:pt>
                <c:pt idx="26">
                  <c:v>1</c:v>
                </c:pt>
                <c:pt idx="27">
                  <c:v>1</c:v>
                </c:pt>
                <c:pt idx="32">
                  <c:v>25</c:v>
                </c:pt>
                <c:pt idx="33">
                  <c:v>1</c:v>
                </c:pt>
                <c:pt idx="34">
                  <c:v>1</c:v>
                </c:pt>
                <c:pt idx="35">
                  <c:v>6</c:v>
                </c:pt>
                <c:pt idx="38">
                  <c:v>11</c:v>
                </c:pt>
                <c:pt idx="39">
                  <c:v>2</c:v>
                </c:pt>
                <c:pt idx="40">
                  <c:v>5</c:v>
                </c:pt>
                <c:pt idx="41">
                  <c:v>14</c:v>
                </c:pt>
                <c:pt idx="42">
                  <c:v>8</c:v>
                </c:pt>
                <c:pt idx="44">
                  <c:v>1</c:v>
                </c:pt>
                <c:pt idx="46">
                  <c:v>3</c:v>
                </c:pt>
                <c:pt idx="47">
                  <c:v>4</c:v>
                </c:pt>
                <c:pt idx="48">
                  <c:v>1</c:v>
                </c:pt>
                <c:pt idx="49">
                  <c:v>2</c:v>
                </c:pt>
                <c:pt idx="50">
                  <c:v>1</c:v>
                </c:pt>
                <c:pt idx="52">
                  <c:v>1</c:v>
                </c:pt>
                <c:pt idx="55">
                  <c:v>13</c:v>
                </c:pt>
                <c:pt idx="56">
                  <c:v>20</c:v>
                </c:pt>
                <c:pt idx="59">
                  <c:v>3</c:v>
                </c:pt>
                <c:pt idx="60">
                  <c:v>7</c:v>
                </c:pt>
                <c:pt idx="62">
                  <c:v>1</c:v>
                </c:pt>
                <c:pt idx="66">
                  <c:v>2</c:v>
                </c:pt>
                <c:pt idx="67">
                  <c:v>3</c:v>
                </c:pt>
                <c:pt idx="70">
                  <c:v>1</c:v>
                </c:pt>
                <c:pt idx="71">
                  <c:v>4</c:v>
                </c:pt>
                <c:pt idx="73">
                  <c:v>1</c:v>
                </c:pt>
                <c:pt idx="76">
                  <c:v>1</c:v>
                </c:pt>
                <c:pt idx="77">
                  <c:v>3</c:v>
                </c:pt>
                <c:pt idx="79">
                  <c:v>1</c:v>
                </c:pt>
                <c:pt idx="85">
                  <c:v>21</c:v>
                </c:pt>
                <c:pt idx="86">
                  <c:v>2</c:v>
                </c:pt>
                <c:pt idx="87">
                  <c:v>4</c:v>
                </c:pt>
                <c:pt idx="89">
                  <c:v>15</c:v>
                </c:pt>
                <c:pt idx="91">
                  <c:v>2</c:v>
                </c:pt>
                <c:pt idx="94">
                  <c:v>3</c:v>
                </c:pt>
                <c:pt idx="96">
                  <c:v>24</c:v>
                </c:pt>
                <c:pt idx="97">
                  <c:v>2</c:v>
                </c:pt>
                <c:pt idx="98">
                  <c:v>3</c:v>
                </c:pt>
                <c:pt idx="100">
                  <c:v>3</c:v>
                </c:pt>
                <c:pt idx="101">
                  <c:v>13</c:v>
                </c:pt>
                <c:pt idx="103">
                  <c:v>7</c:v>
                </c:pt>
                <c:pt idx="104">
                  <c:v>4</c:v>
                </c:pt>
                <c:pt idx="107">
                  <c:v>2</c:v>
                </c:pt>
                <c:pt idx="108">
                  <c:v>1</c:v>
                </c:pt>
                <c:pt idx="112">
                  <c:v>1</c:v>
                </c:pt>
                <c:pt idx="113">
                  <c:v>1</c:v>
                </c:pt>
                <c:pt idx="114">
                  <c:v>6</c:v>
                </c:pt>
                <c:pt idx="115">
                  <c:v>1</c:v>
                </c:pt>
                <c:pt idx="116">
                  <c:v>4</c:v>
                </c:pt>
                <c:pt idx="117">
                  <c:v>6</c:v>
                </c:pt>
                <c:pt idx="120">
                  <c:v>4</c:v>
                </c:pt>
                <c:pt idx="121">
                  <c:v>12</c:v>
                </c:pt>
                <c:pt idx="122">
                  <c:v>1</c:v>
                </c:pt>
                <c:pt idx="123">
                  <c:v>18</c:v>
                </c:pt>
                <c:pt idx="124">
                  <c:v>2</c:v>
                </c:pt>
                <c:pt idx="125">
                  <c:v>1</c:v>
                </c:pt>
                <c:pt idx="126">
                  <c:v>25</c:v>
                </c:pt>
                <c:pt idx="127">
                  <c:v>16</c:v>
                </c:pt>
                <c:pt idx="129">
                  <c:v>26</c:v>
                </c:pt>
                <c:pt idx="130">
                  <c:v>26</c:v>
                </c:pt>
                <c:pt idx="132">
                  <c:v>18</c:v>
                </c:pt>
                <c:pt idx="133">
                  <c:v>8</c:v>
                </c:pt>
                <c:pt idx="134">
                  <c:v>14</c:v>
                </c:pt>
                <c:pt idx="135">
                  <c:v>3</c:v>
                </c:pt>
                <c:pt idx="136">
                  <c:v>2</c:v>
                </c:pt>
                <c:pt idx="137">
                  <c:v>20</c:v>
                </c:pt>
                <c:pt idx="138">
                  <c:v>4</c:v>
                </c:pt>
                <c:pt idx="140">
                  <c:v>38</c:v>
                </c:pt>
                <c:pt idx="141">
                  <c:v>3</c:v>
                </c:pt>
                <c:pt idx="142">
                  <c:v>1</c:v>
                </c:pt>
                <c:pt idx="143">
                  <c:v>1</c:v>
                </c:pt>
                <c:pt idx="146">
                  <c:v>4</c:v>
                </c:pt>
                <c:pt idx="148">
                  <c:v>1</c:v>
                </c:pt>
                <c:pt idx="149">
                  <c:v>6</c:v>
                </c:pt>
                <c:pt idx="151">
                  <c:v>1</c:v>
                </c:pt>
                <c:pt idx="154">
                  <c:v>1</c:v>
                </c:pt>
                <c:pt idx="156">
                  <c:v>2</c:v>
                </c:pt>
                <c:pt idx="158">
                  <c:v>13</c:v>
                </c:pt>
                <c:pt idx="160">
                  <c:v>4</c:v>
                </c:pt>
                <c:pt idx="164">
                  <c:v>31</c:v>
                </c:pt>
                <c:pt idx="165">
                  <c:v>3</c:v>
                </c:pt>
                <c:pt idx="167">
                  <c:v>16</c:v>
                </c:pt>
              </c:numCache>
            </c:numRef>
          </c:val>
          <c:extLst>
            <c:ext xmlns:c16="http://schemas.microsoft.com/office/drawing/2014/chart" uri="{C3380CC4-5D6E-409C-BE32-E72D297353CC}">
              <c16:uniqueId val="{0000010A-82B8-44FA-92FD-7ADC1C32759B}"/>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3927189153169326"/>
          <c:y val="5.9673009623797027E-2"/>
          <c:w val="0.26072810846830674"/>
          <c:h val="0.7812554680664917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[analysis.xlsm]Opponent Analysis(lm10)!PivotTable13</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'Opponent Analysis(lm10)'!$B$3:$B$4</c:f>
              <c:strCache>
                <c:ptCount val="1"/>
                <c:pt idx="0">
                  <c:v>Cristiano Ronaldo</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B275-4FF3-925D-A10A36625A65}"/>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B275-4FF3-925D-A10A36625A65}"/>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B275-4FF3-925D-A10A36625A65}"/>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B275-4FF3-925D-A10A36625A65}"/>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B275-4FF3-925D-A10A36625A65}"/>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B275-4FF3-925D-A10A36625A65}"/>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B275-4FF3-925D-A10A36625A65}"/>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B275-4FF3-925D-A10A36625A65}"/>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B275-4FF3-925D-A10A36625A65}"/>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B275-4FF3-925D-A10A36625A65}"/>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B275-4FF3-925D-A10A36625A65}"/>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B275-4FF3-925D-A10A36625A65}"/>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B275-4FF3-925D-A10A36625A65}"/>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B275-4FF3-925D-A10A36625A65}"/>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B275-4FF3-925D-A10A36625A65}"/>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F-B275-4FF3-925D-A10A36625A65}"/>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1-B275-4FF3-925D-A10A36625A65}"/>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3-B275-4FF3-925D-A10A36625A65}"/>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5-B275-4FF3-925D-A10A36625A65}"/>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7-B275-4FF3-925D-A10A36625A65}"/>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9-B275-4FF3-925D-A10A36625A65}"/>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B-B275-4FF3-925D-A10A36625A65}"/>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D-B275-4FF3-925D-A10A36625A65}"/>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F-B275-4FF3-925D-A10A36625A65}"/>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1-B275-4FF3-925D-A10A36625A65}"/>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3-B275-4FF3-925D-A10A36625A65}"/>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5-B275-4FF3-925D-A10A36625A65}"/>
              </c:ext>
            </c:extLst>
          </c:dPt>
          <c:dPt>
            <c:idx val="27"/>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7-B275-4FF3-925D-A10A36625A65}"/>
              </c:ext>
            </c:extLst>
          </c:dPt>
          <c:dPt>
            <c:idx val="28"/>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9-B275-4FF3-925D-A10A36625A65}"/>
              </c:ext>
            </c:extLst>
          </c:dPt>
          <c:dPt>
            <c:idx val="29"/>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B-B275-4FF3-925D-A10A36625A65}"/>
              </c:ext>
            </c:extLst>
          </c:dPt>
          <c:dPt>
            <c:idx val="30"/>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D-B275-4FF3-925D-A10A36625A65}"/>
              </c:ext>
            </c:extLst>
          </c:dPt>
          <c:dPt>
            <c:idx val="31"/>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F-B275-4FF3-925D-A10A36625A65}"/>
              </c:ext>
            </c:extLst>
          </c:dPt>
          <c:dPt>
            <c:idx val="32"/>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1-B275-4FF3-925D-A10A36625A65}"/>
              </c:ext>
            </c:extLst>
          </c:dPt>
          <c:dPt>
            <c:idx val="33"/>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3-B275-4FF3-925D-A10A36625A65}"/>
              </c:ext>
            </c:extLst>
          </c:dPt>
          <c:dPt>
            <c:idx val="34"/>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5-B275-4FF3-925D-A10A36625A65}"/>
              </c:ext>
            </c:extLst>
          </c:dPt>
          <c:dPt>
            <c:idx val="35"/>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7-B275-4FF3-925D-A10A36625A65}"/>
              </c:ext>
            </c:extLst>
          </c:dPt>
          <c:dPt>
            <c:idx val="36"/>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9-B275-4FF3-925D-A10A36625A65}"/>
              </c:ext>
            </c:extLst>
          </c:dPt>
          <c:dPt>
            <c:idx val="37"/>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B-B275-4FF3-925D-A10A36625A65}"/>
              </c:ext>
            </c:extLst>
          </c:dPt>
          <c:dPt>
            <c:idx val="38"/>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D-B275-4FF3-925D-A10A36625A65}"/>
              </c:ext>
            </c:extLst>
          </c:dPt>
          <c:dPt>
            <c:idx val="39"/>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F-B275-4FF3-925D-A10A36625A65}"/>
              </c:ext>
            </c:extLst>
          </c:dPt>
          <c:dPt>
            <c:idx val="40"/>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1-B275-4FF3-925D-A10A36625A65}"/>
              </c:ext>
            </c:extLst>
          </c:dPt>
          <c:dPt>
            <c:idx val="41"/>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3-B275-4FF3-925D-A10A36625A65}"/>
              </c:ext>
            </c:extLst>
          </c:dPt>
          <c:dPt>
            <c:idx val="42"/>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5-B275-4FF3-925D-A10A36625A65}"/>
              </c:ext>
            </c:extLst>
          </c:dPt>
          <c:dPt>
            <c:idx val="43"/>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7-B275-4FF3-925D-A10A36625A65}"/>
              </c:ext>
            </c:extLst>
          </c:dPt>
          <c:dPt>
            <c:idx val="44"/>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9-B275-4FF3-925D-A10A36625A65}"/>
              </c:ext>
            </c:extLst>
          </c:dPt>
          <c:dPt>
            <c:idx val="45"/>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B-B275-4FF3-925D-A10A36625A65}"/>
              </c:ext>
            </c:extLst>
          </c:dPt>
          <c:dPt>
            <c:idx val="46"/>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D-B275-4FF3-925D-A10A36625A65}"/>
              </c:ext>
            </c:extLst>
          </c:dPt>
          <c:dPt>
            <c:idx val="47"/>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F-B275-4FF3-925D-A10A36625A65}"/>
              </c:ext>
            </c:extLst>
          </c:dPt>
          <c:dPt>
            <c:idx val="48"/>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1-B275-4FF3-925D-A10A36625A65}"/>
              </c:ext>
            </c:extLst>
          </c:dPt>
          <c:dPt>
            <c:idx val="49"/>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3-B275-4FF3-925D-A10A36625A65}"/>
              </c:ext>
            </c:extLst>
          </c:dPt>
          <c:dPt>
            <c:idx val="50"/>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5-B275-4FF3-925D-A10A36625A65}"/>
              </c:ext>
            </c:extLst>
          </c:dPt>
          <c:dPt>
            <c:idx val="51"/>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7-B275-4FF3-925D-A10A36625A65}"/>
              </c:ext>
            </c:extLst>
          </c:dPt>
          <c:dPt>
            <c:idx val="52"/>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9-B275-4FF3-925D-A10A36625A65}"/>
              </c:ext>
            </c:extLst>
          </c:dPt>
          <c:dPt>
            <c:idx val="53"/>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B-B275-4FF3-925D-A10A36625A65}"/>
              </c:ext>
            </c:extLst>
          </c:dPt>
          <c:dPt>
            <c:idx val="54"/>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D-B275-4FF3-925D-A10A36625A65}"/>
              </c:ext>
            </c:extLst>
          </c:dPt>
          <c:dPt>
            <c:idx val="55"/>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F-B275-4FF3-925D-A10A36625A65}"/>
              </c:ext>
            </c:extLst>
          </c:dPt>
          <c:dPt>
            <c:idx val="56"/>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1-B275-4FF3-925D-A10A36625A65}"/>
              </c:ext>
            </c:extLst>
          </c:dPt>
          <c:dPt>
            <c:idx val="57"/>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3-B275-4FF3-925D-A10A36625A65}"/>
              </c:ext>
            </c:extLst>
          </c:dPt>
          <c:dPt>
            <c:idx val="58"/>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5-B275-4FF3-925D-A10A36625A65}"/>
              </c:ext>
            </c:extLst>
          </c:dPt>
          <c:dPt>
            <c:idx val="59"/>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7-B275-4FF3-925D-A10A36625A65}"/>
              </c:ext>
            </c:extLst>
          </c:dPt>
          <c:dPt>
            <c:idx val="60"/>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9-B275-4FF3-925D-A10A36625A65}"/>
              </c:ext>
            </c:extLst>
          </c:dPt>
          <c:dPt>
            <c:idx val="61"/>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B-B275-4FF3-925D-A10A36625A65}"/>
              </c:ext>
            </c:extLst>
          </c:dPt>
          <c:dPt>
            <c:idx val="62"/>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D-B275-4FF3-925D-A10A36625A65}"/>
              </c:ext>
            </c:extLst>
          </c:dPt>
          <c:dPt>
            <c:idx val="63"/>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F-B275-4FF3-925D-A10A36625A65}"/>
              </c:ext>
            </c:extLst>
          </c:dPt>
          <c:dPt>
            <c:idx val="64"/>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1-B275-4FF3-925D-A10A36625A65}"/>
              </c:ext>
            </c:extLst>
          </c:dPt>
          <c:dPt>
            <c:idx val="65"/>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3-B275-4FF3-925D-A10A36625A65}"/>
              </c:ext>
            </c:extLst>
          </c:dPt>
          <c:dPt>
            <c:idx val="66"/>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5-B275-4FF3-925D-A10A36625A65}"/>
              </c:ext>
            </c:extLst>
          </c:dPt>
          <c:dPt>
            <c:idx val="67"/>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7-B275-4FF3-925D-A10A36625A65}"/>
              </c:ext>
            </c:extLst>
          </c:dPt>
          <c:dPt>
            <c:idx val="68"/>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9-B275-4FF3-925D-A10A36625A65}"/>
              </c:ext>
            </c:extLst>
          </c:dPt>
          <c:dPt>
            <c:idx val="69"/>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B-B275-4FF3-925D-A10A36625A65}"/>
              </c:ext>
            </c:extLst>
          </c:dPt>
          <c:dPt>
            <c:idx val="70"/>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D-B275-4FF3-925D-A10A36625A65}"/>
              </c:ext>
            </c:extLst>
          </c:dPt>
          <c:dPt>
            <c:idx val="71"/>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F-B275-4FF3-925D-A10A36625A65}"/>
              </c:ext>
            </c:extLst>
          </c:dPt>
          <c:dPt>
            <c:idx val="72"/>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1-B275-4FF3-925D-A10A36625A65}"/>
              </c:ext>
            </c:extLst>
          </c:dPt>
          <c:dPt>
            <c:idx val="73"/>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3-B275-4FF3-925D-A10A36625A65}"/>
              </c:ext>
            </c:extLst>
          </c:dPt>
          <c:dPt>
            <c:idx val="74"/>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5-B275-4FF3-925D-A10A36625A65}"/>
              </c:ext>
            </c:extLst>
          </c:dPt>
          <c:dPt>
            <c:idx val="75"/>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7-B275-4FF3-925D-A10A36625A65}"/>
              </c:ext>
            </c:extLst>
          </c:dPt>
          <c:dPt>
            <c:idx val="76"/>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9-B275-4FF3-925D-A10A36625A65}"/>
              </c:ext>
            </c:extLst>
          </c:dPt>
          <c:dPt>
            <c:idx val="77"/>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B-B275-4FF3-925D-A10A36625A65}"/>
              </c:ext>
            </c:extLst>
          </c:dPt>
          <c:dPt>
            <c:idx val="78"/>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D-B275-4FF3-925D-A10A36625A65}"/>
              </c:ext>
            </c:extLst>
          </c:dPt>
          <c:dPt>
            <c:idx val="79"/>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F-B275-4FF3-925D-A10A36625A65}"/>
              </c:ext>
            </c:extLst>
          </c:dPt>
          <c:dPt>
            <c:idx val="80"/>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1-B275-4FF3-925D-A10A36625A65}"/>
              </c:ext>
            </c:extLst>
          </c:dPt>
          <c:dPt>
            <c:idx val="81"/>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3-B275-4FF3-925D-A10A36625A65}"/>
              </c:ext>
            </c:extLst>
          </c:dPt>
          <c:dPt>
            <c:idx val="82"/>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5-B275-4FF3-925D-A10A36625A65}"/>
              </c:ext>
            </c:extLst>
          </c:dPt>
          <c:dPt>
            <c:idx val="83"/>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7-B275-4FF3-925D-A10A36625A65}"/>
              </c:ext>
            </c:extLst>
          </c:dPt>
          <c:dPt>
            <c:idx val="84"/>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9-B275-4FF3-925D-A10A36625A65}"/>
              </c:ext>
            </c:extLst>
          </c:dPt>
          <c:dPt>
            <c:idx val="85"/>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B-B275-4FF3-925D-A10A36625A65}"/>
              </c:ext>
            </c:extLst>
          </c:dPt>
          <c:dPt>
            <c:idx val="86"/>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D-B275-4FF3-925D-A10A36625A65}"/>
              </c:ext>
            </c:extLst>
          </c:dPt>
          <c:dPt>
            <c:idx val="87"/>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F-B275-4FF3-925D-A10A36625A65}"/>
              </c:ext>
            </c:extLst>
          </c:dPt>
          <c:dPt>
            <c:idx val="88"/>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1-B275-4FF3-925D-A10A36625A65}"/>
              </c:ext>
            </c:extLst>
          </c:dPt>
          <c:dPt>
            <c:idx val="89"/>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3-B275-4FF3-925D-A10A36625A65}"/>
              </c:ext>
            </c:extLst>
          </c:dPt>
          <c:dPt>
            <c:idx val="90"/>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5-B275-4FF3-925D-A10A36625A65}"/>
              </c:ext>
            </c:extLst>
          </c:dPt>
          <c:dPt>
            <c:idx val="91"/>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7-B275-4FF3-925D-A10A36625A65}"/>
              </c:ext>
            </c:extLst>
          </c:dPt>
          <c:dPt>
            <c:idx val="92"/>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9-B275-4FF3-925D-A10A36625A65}"/>
              </c:ext>
            </c:extLst>
          </c:dPt>
          <c:dPt>
            <c:idx val="93"/>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B-B275-4FF3-925D-A10A36625A65}"/>
              </c:ext>
            </c:extLst>
          </c:dPt>
          <c:dPt>
            <c:idx val="94"/>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D-B275-4FF3-925D-A10A36625A65}"/>
              </c:ext>
            </c:extLst>
          </c:dPt>
          <c:dPt>
            <c:idx val="95"/>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F-B275-4FF3-925D-A10A36625A65}"/>
              </c:ext>
            </c:extLst>
          </c:dPt>
          <c:dPt>
            <c:idx val="96"/>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1-B275-4FF3-925D-A10A36625A65}"/>
              </c:ext>
            </c:extLst>
          </c:dPt>
          <c:dPt>
            <c:idx val="97"/>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3-ED93-42B9-9BA5-3AD1BBFD4B89}"/>
              </c:ext>
            </c:extLst>
          </c:dPt>
          <c:dPt>
            <c:idx val="98"/>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5-ED93-42B9-9BA5-3AD1BBFD4B89}"/>
              </c:ext>
            </c:extLst>
          </c:dPt>
          <c:dPt>
            <c:idx val="99"/>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7-ED93-42B9-9BA5-3AD1BBFD4B89}"/>
              </c:ext>
            </c:extLst>
          </c:dPt>
          <c:dPt>
            <c:idx val="100"/>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9-ED93-42B9-9BA5-3AD1BBFD4B89}"/>
              </c:ext>
            </c:extLst>
          </c:dPt>
          <c:dPt>
            <c:idx val="101"/>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B-ED93-42B9-9BA5-3AD1BBFD4B89}"/>
              </c:ext>
            </c:extLst>
          </c:dPt>
          <c:dPt>
            <c:idx val="102"/>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D-ED93-42B9-9BA5-3AD1BBFD4B89}"/>
              </c:ext>
            </c:extLst>
          </c:dPt>
          <c:dPt>
            <c:idx val="103"/>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F-ED93-42B9-9BA5-3AD1BBFD4B89}"/>
              </c:ext>
            </c:extLst>
          </c:dPt>
          <c:dPt>
            <c:idx val="104"/>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1-ED93-42B9-9BA5-3AD1BBFD4B89}"/>
              </c:ext>
            </c:extLst>
          </c:dPt>
          <c:dPt>
            <c:idx val="105"/>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3-ED93-42B9-9BA5-3AD1BBFD4B89}"/>
              </c:ext>
            </c:extLst>
          </c:dPt>
          <c:dPt>
            <c:idx val="106"/>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5-ED93-42B9-9BA5-3AD1BBFD4B89}"/>
              </c:ext>
            </c:extLst>
          </c:dPt>
          <c:dPt>
            <c:idx val="107"/>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7-ED93-42B9-9BA5-3AD1BBFD4B89}"/>
              </c:ext>
            </c:extLst>
          </c:dPt>
          <c:dPt>
            <c:idx val="108"/>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9-ED93-42B9-9BA5-3AD1BBFD4B89}"/>
              </c:ext>
            </c:extLst>
          </c:dPt>
          <c:dPt>
            <c:idx val="109"/>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B-ED93-42B9-9BA5-3AD1BBFD4B89}"/>
              </c:ext>
            </c:extLst>
          </c:dPt>
          <c:dPt>
            <c:idx val="110"/>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D-ED93-42B9-9BA5-3AD1BBFD4B89}"/>
              </c:ext>
            </c:extLst>
          </c:dPt>
          <c:dPt>
            <c:idx val="11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F-ED93-42B9-9BA5-3AD1BBFD4B89}"/>
              </c:ext>
            </c:extLst>
          </c:dPt>
          <c:dPt>
            <c:idx val="112"/>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1-ED93-42B9-9BA5-3AD1BBFD4B89}"/>
              </c:ext>
            </c:extLst>
          </c:dPt>
          <c:dPt>
            <c:idx val="113"/>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3-ED93-42B9-9BA5-3AD1BBFD4B89}"/>
              </c:ext>
            </c:extLst>
          </c:dPt>
          <c:dPt>
            <c:idx val="114"/>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5-ED93-42B9-9BA5-3AD1BBFD4B89}"/>
              </c:ext>
            </c:extLst>
          </c:dPt>
          <c:dPt>
            <c:idx val="115"/>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7-ED93-42B9-9BA5-3AD1BBFD4B89}"/>
              </c:ext>
            </c:extLst>
          </c:dPt>
          <c:dPt>
            <c:idx val="116"/>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9-ED93-42B9-9BA5-3AD1BBFD4B89}"/>
              </c:ext>
            </c:extLst>
          </c:dPt>
          <c:dPt>
            <c:idx val="117"/>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B-ED93-42B9-9BA5-3AD1BBFD4B89}"/>
              </c:ext>
            </c:extLst>
          </c:dPt>
          <c:dPt>
            <c:idx val="118"/>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D-ED93-42B9-9BA5-3AD1BBFD4B89}"/>
              </c:ext>
            </c:extLst>
          </c:dPt>
          <c:dPt>
            <c:idx val="119"/>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F-ED93-42B9-9BA5-3AD1BBFD4B89}"/>
              </c:ext>
            </c:extLst>
          </c:dPt>
          <c:dPt>
            <c:idx val="120"/>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1-ED93-42B9-9BA5-3AD1BBFD4B89}"/>
              </c:ext>
            </c:extLst>
          </c:dPt>
          <c:dPt>
            <c:idx val="121"/>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3-ED93-42B9-9BA5-3AD1BBFD4B89}"/>
              </c:ext>
            </c:extLst>
          </c:dPt>
          <c:dPt>
            <c:idx val="122"/>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5-ED93-42B9-9BA5-3AD1BBFD4B89}"/>
              </c:ext>
            </c:extLst>
          </c:dPt>
          <c:dPt>
            <c:idx val="123"/>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7-ED93-42B9-9BA5-3AD1BBFD4B89}"/>
              </c:ext>
            </c:extLst>
          </c:dPt>
          <c:dPt>
            <c:idx val="124"/>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9-ED93-42B9-9BA5-3AD1BBFD4B89}"/>
              </c:ext>
            </c:extLst>
          </c:dPt>
          <c:dPt>
            <c:idx val="125"/>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B-ED93-42B9-9BA5-3AD1BBFD4B89}"/>
              </c:ext>
            </c:extLst>
          </c:dPt>
          <c:dPt>
            <c:idx val="126"/>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D-ED93-42B9-9BA5-3AD1BBFD4B89}"/>
              </c:ext>
            </c:extLst>
          </c:dPt>
          <c:dPt>
            <c:idx val="127"/>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F-ED93-42B9-9BA5-3AD1BBFD4B89}"/>
              </c:ext>
            </c:extLst>
          </c:dPt>
          <c:dPt>
            <c:idx val="128"/>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1-ED93-42B9-9BA5-3AD1BBFD4B89}"/>
              </c:ext>
            </c:extLst>
          </c:dPt>
          <c:dPt>
            <c:idx val="129"/>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3-ED93-42B9-9BA5-3AD1BBFD4B89}"/>
              </c:ext>
            </c:extLst>
          </c:dPt>
          <c:dPt>
            <c:idx val="130"/>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5-ED93-42B9-9BA5-3AD1BBFD4B89}"/>
              </c:ext>
            </c:extLst>
          </c:dPt>
          <c:dPt>
            <c:idx val="131"/>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7-ED93-42B9-9BA5-3AD1BBFD4B89}"/>
              </c:ext>
            </c:extLst>
          </c:dPt>
          <c:dPt>
            <c:idx val="132"/>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9-ED93-42B9-9BA5-3AD1BBFD4B89}"/>
              </c:ext>
            </c:extLst>
          </c:dPt>
          <c:dPt>
            <c:idx val="133"/>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B-ED93-42B9-9BA5-3AD1BBFD4B89}"/>
              </c:ext>
            </c:extLst>
          </c:dPt>
          <c:dPt>
            <c:idx val="134"/>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D-ED93-42B9-9BA5-3AD1BBFD4B89}"/>
              </c:ext>
            </c:extLst>
          </c:dPt>
          <c:dPt>
            <c:idx val="135"/>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F-ED93-42B9-9BA5-3AD1BBFD4B89}"/>
              </c:ext>
            </c:extLst>
          </c:dPt>
          <c:dPt>
            <c:idx val="136"/>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1-ED93-42B9-9BA5-3AD1BBFD4B89}"/>
              </c:ext>
            </c:extLst>
          </c:dPt>
          <c:dPt>
            <c:idx val="137"/>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3-ED93-42B9-9BA5-3AD1BBFD4B89}"/>
              </c:ext>
            </c:extLst>
          </c:dPt>
          <c:dPt>
            <c:idx val="138"/>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5-ED93-42B9-9BA5-3AD1BBFD4B89}"/>
              </c:ext>
            </c:extLst>
          </c:dPt>
          <c:dPt>
            <c:idx val="139"/>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7-ED93-42B9-9BA5-3AD1BBFD4B89}"/>
              </c:ext>
            </c:extLst>
          </c:dPt>
          <c:dPt>
            <c:idx val="140"/>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9-ED93-42B9-9BA5-3AD1BBFD4B89}"/>
              </c:ext>
            </c:extLst>
          </c:dPt>
          <c:dPt>
            <c:idx val="141"/>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B-ED93-42B9-9BA5-3AD1BBFD4B89}"/>
              </c:ext>
            </c:extLst>
          </c:dPt>
          <c:dPt>
            <c:idx val="142"/>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D-ED93-42B9-9BA5-3AD1BBFD4B89}"/>
              </c:ext>
            </c:extLst>
          </c:dPt>
          <c:dPt>
            <c:idx val="143"/>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F-ED93-42B9-9BA5-3AD1BBFD4B89}"/>
              </c:ext>
            </c:extLst>
          </c:dPt>
          <c:dPt>
            <c:idx val="144"/>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1-ED93-42B9-9BA5-3AD1BBFD4B89}"/>
              </c:ext>
            </c:extLst>
          </c:dPt>
          <c:dPt>
            <c:idx val="145"/>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3-ED93-42B9-9BA5-3AD1BBFD4B89}"/>
              </c:ext>
            </c:extLst>
          </c:dPt>
          <c:dPt>
            <c:idx val="146"/>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5-ED93-42B9-9BA5-3AD1BBFD4B89}"/>
              </c:ext>
            </c:extLst>
          </c:dPt>
          <c:dPt>
            <c:idx val="147"/>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7-ED93-42B9-9BA5-3AD1BBFD4B89}"/>
              </c:ext>
            </c:extLst>
          </c:dPt>
          <c:dPt>
            <c:idx val="148"/>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9-ED93-42B9-9BA5-3AD1BBFD4B89}"/>
              </c:ext>
            </c:extLst>
          </c:dPt>
          <c:dPt>
            <c:idx val="149"/>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B-ED93-42B9-9BA5-3AD1BBFD4B89}"/>
              </c:ext>
            </c:extLst>
          </c:dPt>
          <c:dPt>
            <c:idx val="150"/>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D-ED93-42B9-9BA5-3AD1BBFD4B89}"/>
              </c:ext>
            </c:extLst>
          </c:dPt>
          <c:dPt>
            <c:idx val="151"/>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F-ED93-42B9-9BA5-3AD1BBFD4B89}"/>
              </c:ext>
            </c:extLst>
          </c:dPt>
          <c:dPt>
            <c:idx val="152"/>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1-ED93-42B9-9BA5-3AD1BBFD4B89}"/>
              </c:ext>
            </c:extLst>
          </c:dPt>
          <c:dPt>
            <c:idx val="153"/>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3-ED93-42B9-9BA5-3AD1BBFD4B89}"/>
              </c:ext>
            </c:extLst>
          </c:dPt>
          <c:dPt>
            <c:idx val="154"/>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5-ED93-42B9-9BA5-3AD1BBFD4B89}"/>
              </c:ext>
            </c:extLst>
          </c:dPt>
          <c:dPt>
            <c:idx val="155"/>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7-ED93-42B9-9BA5-3AD1BBFD4B89}"/>
              </c:ext>
            </c:extLst>
          </c:dPt>
          <c:dPt>
            <c:idx val="156"/>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9-ED93-42B9-9BA5-3AD1BBFD4B89}"/>
              </c:ext>
            </c:extLst>
          </c:dPt>
          <c:dPt>
            <c:idx val="157"/>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B-ED93-42B9-9BA5-3AD1BBFD4B89}"/>
              </c:ext>
            </c:extLst>
          </c:dPt>
          <c:dPt>
            <c:idx val="158"/>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D-ED93-42B9-9BA5-3AD1BBFD4B89}"/>
              </c:ext>
            </c:extLst>
          </c:dPt>
          <c:dPt>
            <c:idx val="159"/>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F-ED93-42B9-9BA5-3AD1BBFD4B89}"/>
              </c:ext>
            </c:extLst>
          </c:dPt>
          <c:dPt>
            <c:idx val="160"/>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1-ED93-42B9-9BA5-3AD1BBFD4B89}"/>
              </c:ext>
            </c:extLst>
          </c:dPt>
          <c:dPt>
            <c:idx val="161"/>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3-ED93-42B9-9BA5-3AD1BBFD4B89}"/>
              </c:ext>
            </c:extLst>
          </c:dPt>
          <c:dPt>
            <c:idx val="162"/>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5-ED93-42B9-9BA5-3AD1BBFD4B89}"/>
              </c:ext>
            </c:extLst>
          </c:dPt>
          <c:dPt>
            <c:idx val="163"/>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7-ED93-42B9-9BA5-3AD1BBFD4B89}"/>
              </c:ext>
            </c:extLst>
          </c:dPt>
          <c:dPt>
            <c:idx val="164"/>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9-ED93-42B9-9BA5-3AD1BBFD4B89}"/>
              </c:ext>
            </c:extLst>
          </c:dPt>
          <c:dPt>
            <c:idx val="165"/>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B-ED93-42B9-9BA5-3AD1BBFD4B89}"/>
              </c:ext>
            </c:extLst>
          </c:dPt>
          <c:dPt>
            <c:idx val="166"/>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D-ED93-42B9-9BA5-3AD1BBFD4B89}"/>
              </c:ext>
            </c:extLst>
          </c:dPt>
          <c:dPt>
            <c:idx val="167"/>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F-ED93-42B9-9BA5-3AD1BBFD4B89}"/>
              </c:ext>
            </c:extLst>
          </c:dPt>
          <c:dPt>
            <c:idx val="168"/>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1-ED93-42B9-9BA5-3AD1BBFD4B89}"/>
              </c:ext>
            </c:extLst>
          </c:dPt>
          <c:dPt>
            <c:idx val="169"/>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3-ED93-42B9-9BA5-3AD1BBFD4B89}"/>
              </c:ext>
            </c:extLst>
          </c:dPt>
          <c:dPt>
            <c:idx val="170"/>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5-ED93-42B9-9BA5-3AD1BBFD4B89}"/>
              </c:ext>
            </c:extLst>
          </c:dPt>
          <c:dPt>
            <c:idx val="171"/>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7-ED93-42B9-9BA5-3AD1BBFD4B89}"/>
              </c:ext>
            </c:extLst>
          </c:dPt>
          <c:dPt>
            <c:idx val="172"/>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9-ED93-42B9-9BA5-3AD1BBFD4B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'Opponent Analysis(lm10)'!$A$5:$A$178</c:f>
              <c:strCache>
                <c:ptCount val="173"/>
                <c:pt idx="0">
                  <c:v>Abha Club</c:v>
                </c:pt>
                <c:pt idx="1">
                  <c:v>AC Ajaccio</c:v>
                </c:pt>
                <c:pt idx="2">
                  <c:v>AC Milan</c:v>
                </c:pt>
                <c:pt idx="3">
                  <c:v>ACF Fiorentina</c:v>
                </c:pt>
                <c:pt idx="4">
                  <c:v>AJ Auxerre</c:v>
                </c:pt>
                <c:pt idx="5">
                  <c:v>Ajax Amsterdam</c:v>
                </c:pt>
                <c:pt idx="6">
                  <c:v>Albacete Balompie</c:v>
                </c:pt>
                <c:pt idx="7">
                  <c:v>Al-Fateh</c:v>
                </c:pt>
                <c:pt idx="8">
                  <c:v>Al-Jazira (Abu Dhabi)</c:v>
                </c:pt>
                <c:pt idx="9">
                  <c:v>Al-Wehda FC</c:v>
                </c:pt>
                <c:pt idx="10">
                  <c:v>APOEL Nicosia</c:v>
                </c:pt>
                <c:pt idx="11">
                  <c:v>Arsenal FC</c:v>
                </c:pt>
                <c:pt idx="12">
                  <c:v>AS Roma</c:v>
                </c:pt>
                <c:pt idx="13">
                  <c:v>Aston Villa</c:v>
                </c:pt>
                <c:pt idx="14">
                  <c:v>Atalanta BC</c:v>
                </c:pt>
                <c:pt idx="15">
                  <c:v>Athletic Bilbao</c:v>
                </c:pt>
                <c:pt idx="16">
                  <c:v>Atletico de Madrid</c:v>
                </c:pt>
                <c:pt idx="17">
                  <c:v>BATE Borisov</c:v>
                </c:pt>
                <c:pt idx="18">
                  <c:v>Bayer 04 Leverkusen</c:v>
                </c:pt>
                <c:pt idx="19">
                  <c:v>Bayern Munich</c:v>
                </c:pt>
                <c:pt idx="20">
                  <c:v>Benidorm CD</c:v>
                </c:pt>
                <c:pt idx="21">
                  <c:v>Birmingham City</c:v>
                </c:pt>
                <c:pt idx="22">
                  <c:v>Blackburn Rovers</c:v>
                </c:pt>
                <c:pt idx="23">
                  <c:v>Boavista FC</c:v>
                </c:pt>
                <c:pt idx="24">
                  <c:v>Bologna FC 1909</c:v>
                </c:pt>
                <c:pt idx="25">
                  <c:v>Bolton Wanderers</c:v>
                </c:pt>
                <c:pt idx="26">
                  <c:v>Borussia Dortmund</c:v>
                </c:pt>
                <c:pt idx="27">
                  <c:v>Borussia MÃƒÂ¶nchengladbach</c:v>
                </c:pt>
                <c:pt idx="28">
                  <c:v>Brentford FC</c:v>
                </c:pt>
                <c:pt idx="29">
                  <c:v>Brighton &amp; Hove Albion</c:v>
                </c:pt>
                <c:pt idx="30">
                  <c:v>BSC Young Boys</c:v>
                </c:pt>
                <c:pt idx="31">
                  <c:v>Burnley FC</c:v>
                </c:pt>
                <c:pt idx="32">
                  <c:v>CA Osasuna</c:v>
                </c:pt>
                <c:pt idx="33">
                  <c:v>CA River Plate</c:v>
                </c:pt>
                <c:pt idx="34">
                  <c:v>Cadiz CF</c:v>
                </c:pt>
                <c:pt idx="35">
                  <c:v>CÃƒÂ³rdoba CF</c:v>
                </c:pt>
                <c:pt idx="36">
                  <c:v>Cagliari Calcio</c:v>
                </c:pt>
                <c:pt idx="37">
                  <c:v>CD Estarreja</c:v>
                </c:pt>
                <c:pt idx="38">
                  <c:v>CD Leganes</c:v>
                </c:pt>
                <c:pt idx="39">
                  <c:v>CD Numancia</c:v>
                </c:pt>
                <c:pt idx="40">
                  <c:v>CD Tenerife</c:v>
                </c:pt>
                <c:pt idx="41">
                  <c:v>Celta de Vigo</c:v>
                </c:pt>
                <c:pt idx="42">
                  <c:v>Celtic FC</c:v>
                </c:pt>
                <c:pt idx="43">
                  <c:v>CF America</c:v>
                </c:pt>
                <c:pt idx="44">
                  <c:v>CF Atlante</c:v>
                </c:pt>
                <c:pt idx="45">
                  <c:v>Charlton Athletic</c:v>
                </c:pt>
                <c:pt idx="46">
                  <c:v>Chelsea FC</c:v>
                </c:pt>
                <c:pt idx="47">
                  <c:v>Clermont Foot</c:v>
                </c:pt>
                <c:pt idx="48">
                  <c:v>Club Atletico de Ceuta</c:v>
                </c:pt>
                <c:pt idx="49">
                  <c:v>Club Brugge KV</c:v>
                </c:pt>
                <c:pt idx="50">
                  <c:v>Club Estudiantes de La Plata</c:v>
                </c:pt>
                <c:pt idx="51">
                  <c:v>CSKA Moscow</c:v>
                </c:pt>
                <c:pt idx="52">
                  <c:v>Cultural Leonesa</c:v>
                </c:pt>
                <c:pt idx="53">
                  <c:v>Damac FC</c:v>
                </c:pt>
                <c:pt idx="54">
                  <c:v>Debreceni VSC</c:v>
                </c:pt>
                <c:pt idx="55">
                  <c:v>Deportivo Alaves</c:v>
                </c:pt>
                <c:pt idx="56">
                  <c:v>Deportivo de La Coruaa</c:v>
                </c:pt>
                <c:pt idx="57">
                  <c:v>Deportivo de La CoruÃƒÂ±a</c:v>
                </c:pt>
                <c:pt idx="58">
                  <c:v>Derby County</c:v>
                </c:pt>
                <c:pt idx="59">
                  <c:v>Dynamo Kyiv</c:v>
                </c:pt>
                <c:pt idx="60">
                  <c:v>Elche CF</c:v>
                </c:pt>
                <c:pt idx="61">
                  <c:v>Empoli FC </c:v>
                </c:pt>
                <c:pt idx="62">
                  <c:v>ESTAC Troyes</c:v>
                </c:pt>
                <c:pt idx="63">
                  <c:v>Everton FC</c:v>
                </c:pt>
                <c:pt idx="64">
                  <c:v>Exeter City</c:v>
                </c:pt>
                <c:pt idx="65">
                  <c:v>FC Barcelona</c:v>
                </c:pt>
                <c:pt idx="66">
                  <c:v>FC Basel 1893</c:v>
                </c:pt>
                <c:pt idx="67">
                  <c:v>FC Copenhagen</c:v>
                </c:pt>
                <c:pt idx="68">
                  <c:v>FC Crotone</c:v>
                </c:pt>
                <c:pt idx="69">
                  <c:v>FC Internazionale</c:v>
                </c:pt>
                <c:pt idx="70">
                  <c:v>FC Lorient</c:v>
                </c:pt>
                <c:pt idx="71">
                  <c:v>FC Nantes</c:v>
                </c:pt>
                <c:pt idx="72">
                  <c:v>FC Oliveira do Hospital</c:v>
                </c:pt>
                <c:pt idx="73">
                  <c:v>FC Porto</c:v>
                </c:pt>
                <c:pt idx="74">
                  <c:v>FC Schalke 04</c:v>
                </c:pt>
                <c:pt idx="75">
                  <c:v>FC Sheriff</c:v>
                </c:pt>
                <c:pt idx="76">
                  <c:v>FC Toulouse</c:v>
                </c:pt>
                <c:pt idx="77">
                  <c:v>FC Viktoria Plzen</c:v>
                </c:pt>
                <c:pt idx="78">
                  <c:v>FC ZÃƒÂ¼rich</c:v>
                </c:pt>
                <c:pt idx="79">
                  <c:v>Ferencvarosi TC</c:v>
                </c:pt>
                <c:pt idx="80">
                  <c:v>Frosinone Calcio</c:v>
                </c:pt>
                <c:pt idx="81">
                  <c:v>Fulham FC</c:v>
                </c:pt>
                <c:pt idx="82">
                  <c:v>Galatasaray</c:v>
                </c:pt>
                <c:pt idx="83">
                  <c:v>Gamba Osaka</c:v>
                </c:pt>
                <c:pt idx="84">
                  <c:v>Genoa CFC</c:v>
                </c:pt>
                <c:pt idx="85">
                  <c:v>Getafe CF</c:v>
                </c:pt>
                <c:pt idx="86">
                  <c:v>Gimnastic de Tarragona</c:v>
                </c:pt>
                <c:pt idx="87">
                  <c:v>Girona FC</c:v>
                </c:pt>
                <c:pt idx="88">
                  <c:v>GrÃƒÂªmio Foot-Ball Porto Alegrense</c:v>
                </c:pt>
                <c:pt idx="89">
                  <c:v>Granada CF</c:v>
                </c:pt>
                <c:pt idx="90">
                  <c:v>Hellas Verona</c:v>
                </c:pt>
                <c:pt idx="91">
                  <c:v>Hercules CF</c:v>
                </c:pt>
                <c:pt idx="92">
                  <c:v>Hull City</c:v>
                </c:pt>
                <c:pt idx="93">
                  <c:v>Inter Milan</c:v>
                </c:pt>
                <c:pt idx="94">
                  <c:v>Juventus FC</c:v>
                </c:pt>
                <c:pt idx="95">
                  <c:v>Kashima Antlers</c:v>
                </c:pt>
                <c:pt idx="96">
                  <c:v>Levante UD</c:v>
                </c:pt>
                <c:pt idx="97">
                  <c:v>Liverpool FC</c:v>
                </c:pt>
                <c:pt idx="98">
                  <c:v>LOSC Lille</c:v>
                </c:pt>
                <c:pt idx="99">
                  <c:v>Ludogorets Razgrad</c:v>
                </c:pt>
                <c:pt idx="100">
                  <c:v>Maccabi Haifa</c:v>
                </c:pt>
                <c:pt idx="101">
                  <c:v>Malaga CF</c:v>
                </c:pt>
                <c:pt idx="102">
                  <c:v>MalmÃƒÂ¶ FF</c:v>
                </c:pt>
                <c:pt idx="103">
                  <c:v>Manchester City</c:v>
                </c:pt>
                <c:pt idx="104">
                  <c:v>Manchester United</c:v>
                </c:pt>
                <c:pt idx="105">
                  <c:v>Middlesbrough FC</c:v>
                </c:pt>
                <c:pt idx="106">
                  <c:v>Millwall FC</c:v>
                </c:pt>
                <c:pt idx="107">
                  <c:v>Montpellier</c:v>
                </c:pt>
                <c:pt idx="108">
                  <c:v>Montpellier HSC</c:v>
                </c:pt>
                <c:pt idx="109">
                  <c:v>Moreirense FC</c:v>
                </c:pt>
                <c:pt idx="110">
                  <c:v>Newcastle United</c:v>
                </c:pt>
                <c:pt idx="111">
                  <c:v>Norwich City</c:v>
                </c:pt>
                <c:pt idx="112">
                  <c:v>OGC Nice</c:v>
                </c:pt>
                <c:pt idx="113">
                  <c:v>Olympiacos Piraeus</c:v>
                </c:pt>
                <c:pt idx="114">
                  <c:v>Olympique Lyon</c:v>
                </c:pt>
                <c:pt idx="115">
                  <c:v>Olympique Marseille</c:v>
                </c:pt>
                <c:pt idx="116">
                  <c:v>Panathinaikos Athens</c:v>
                </c:pt>
                <c:pt idx="117">
                  <c:v>Paris Saint-Germain</c:v>
                </c:pt>
                <c:pt idx="118">
                  <c:v>Parma Calcio 1913</c:v>
                </c:pt>
                <c:pt idx="119">
                  <c:v>Portsmouth FC</c:v>
                </c:pt>
                <c:pt idx="120">
                  <c:v>PSV Eindhoven</c:v>
                </c:pt>
                <c:pt idx="121">
                  <c:v>Racing Santander</c:v>
                </c:pt>
                <c:pt idx="122">
                  <c:v>Rangers FC</c:v>
                </c:pt>
                <c:pt idx="123">
                  <c:v>Rayo Vallecano</c:v>
                </c:pt>
                <c:pt idx="124">
                  <c:v>RB Leipzig</c:v>
                </c:pt>
                <c:pt idx="125">
                  <c:v>RC Lens</c:v>
                </c:pt>
                <c:pt idx="126">
                  <c:v>RCD Espanyol Barcelona</c:v>
                </c:pt>
                <c:pt idx="127">
                  <c:v>RCD Mallorca</c:v>
                </c:pt>
                <c:pt idx="128">
                  <c:v>Reading FC</c:v>
                </c:pt>
                <c:pt idx="129">
                  <c:v>Real Betis Balompie</c:v>
                </c:pt>
                <c:pt idx="130">
                  <c:v>Real Madrid</c:v>
                </c:pt>
                <c:pt idx="131">
                  <c:v>Real Murcia CF</c:v>
                </c:pt>
                <c:pt idx="132">
                  <c:v>Real Sociedad</c:v>
                </c:pt>
                <c:pt idx="133">
                  <c:v>Real Valladolid CF</c:v>
                </c:pt>
                <c:pt idx="134">
                  <c:v>Real Zaragoza</c:v>
                </c:pt>
                <c:pt idx="135">
                  <c:v>Recreativo Huelva</c:v>
                </c:pt>
                <c:pt idx="136">
                  <c:v>Santos FC</c:v>
                </c:pt>
                <c:pt idx="137">
                  <c:v>SD Eibar</c:v>
                </c:pt>
                <c:pt idx="138">
                  <c:v>SD Huesca</c:v>
                </c:pt>
                <c:pt idx="139">
                  <c:v>SD Ponferradina</c:v>
                </c:pt>
                <c:pt idx="140">
                  <c:v>Sevilla FC</c:v>
                </c:pt>
                <c:pt idx="141">
                  <c:v>Shakhtar Donetsk</c:v>
                </c:pt>
                <c:pt idx="142">
                  <c:v>SK Slavia Prague</c:v>
                </c:pt>
                <c:pt idx="143">
                  <c:v>SL Benfica</c:v>
                </c:pt>
                <c:pt idx="144">
                  <c:v>Southampton FC</c:v>
                </c:pt>
                <c:pt idx="145">
                  <c:v>SPAL</c:v>
                </c:pt>
                <c:pt idx="146">
                  <c:v>Spartak Moscow</c:v>
                </c:pt>
                <c:pt idx="147">
                  <c:v>Spezia Calcio</c:v>
                </c:pt>
                <c:pt idx="148">
                  <c:v>Sporting CP</c:v>
                </c:pt>
                <c:pt idx="149">
                  <c:v>Sporting GijÃƒÂ³n</c:v>
                </c:pt>
                <c:pt idx="150">
                  <c:v>SS Lazio</c:v>
                </c:pt>
                <c:pt idx="151">
                  <c:v>SSC Napoli</c:v>
                </c:pt>
                <c:pt idx="152">
                  <c:v>Stoke City</c:v>
                </c:pt>
                <c:pt idx="153">
                  <c:v>Sunderland AFC</c:v>
                </c:pt>
                <c:pt idx="154">
                  <c:v>SV Werder Bremen</c:v>
                </c:pt>
                <c:pt idx="155">
                  <c:v>Torino FC</c:v>
                </c:pt>
                <c:pt idx="156">
                  <c:v>Tottenham Hotspur</c:v>
                </c:pt>
                <c:pt idx="157">
                  <c:v>UC Sampdoria</c:v>
                </c:pt>
                <c:pt idx="158">
                  <c:v>UD Almera</c:v>
                </c:pt>
                <c:pt idx="159">
                  <c:v>UD Almeria</c:v>
                </c:pt>
                <c:pt idx="160">
                  <c:v>UD Las Palmas</c:v>
                </c:pt>
                <c:pt idx="161">
                  <c:v>Udinese Calcio</c:v>
                </c:pt>
                <c:pt idx="162">
                  <c:v>US Lecce</c:v>
                </c:pt>
                <c:pt idx="163">
                  <c:v>US Sassuolo</c:v>
                </c:pt>
                <c:pt idx="164">
                  <c:v>Valencia CF</c:v>
                </c:pt>
                <c:pt idx="165">
                  <c:v>VfB Stuttgart</c:v>
                </c:pt>
                <c:pt idx="166">
                  <c:v>VfL Wolfsburg</c:v>
                </c:pt>
                <c:pt idx="167">
                  <c:v>Villarreal CF</c:v>
                </c:pt>
                <c:pt idx="168">
                  <c:v>Watford FC</c:v>
                </c:pt>
                <c:pt idx="169">
                  <c:v>West Bromwich Albion</c:v>
                </c:pt>
                <c:pt idx="170">
                  <c:v>West Ham United</c:v>
                </c:pt>
                <c:pt idx="171">
                  <c:v>Wigan Athletic</c:v>
                </c:pt>
                <c:pt idx="172">
                  <c:v>Xerez CD</c:v>
                </c:pt>
              </c:strCache>
            </c:strRef>
          </c:cat>
          <c:val>
            <c:numRef>
              <c:f>'Opponent Analysis(lm10)'!$B$5:$B$178</c:f>
              <c:numCache>
                <c:formatCode>General</c:formatCode>
                <c:ptCount val="173"/>
                <c:pt idx="0">
                  <c:v>1</c:v>
                </c:pt>
                <c:pt idx="2">
                  <c:v>6</c:v>
                </c:pt>
                <c:pt idx="3">
                  <c:v>3</c:v>
                </c:pt>
                <c:pt idx="4">
                  <c:v>1</c:v>
                </c:pt>
                <c:pt idx="5">
                  <c:v>9</c:v>
                </c:pt>
                <c:pt idx="7">
                  <c:v>1</c:v>
                </c:pt>
                <c:pt idx="8">
                  <c:v>1</c:v>
                </c:pt>
                <c:pt idx="9">
                  <c:v>4</c:v>
                </c:pt>
                <c:pt idx="10">
                  <c:v>6</c:v>
                </c:pt>
                <c:pt idx="11">
                  <c:v>9</c:v>
                </c:pt>
                <c:pt idx="12">
                  <c:v>10</c:v>
                </c:pt>
                <c:pt idx="13">
                  <c:v>9</c:v>
                </c:pt>
                <c:pt idx="14">
                  <c:v>6</c:v>
                </c:pt>
                <c:pt idx="15">
                  <c:v>17</c:v>
                </c:pt>
                <c:pt idx="16">
                  <c:v>25</c:v>
                </c:pt>
                <c:pt idx="18">
                  <c:v>2</c:v>
                </c:pt>
                <c:pt idx="19">
                  <c:v>9</c:v>
                </c:pt>
                <c:pt idx="21">
                  <c:v>2</c:v>
                </c:pt>
                <c:pt idx="22">
                  <c:v>3</c:v>
                </c:pt>
                <c:pt idx="23">
                  <c:v>1</c:v>
                </c:pt>
                <c:pt idx="24">
                  <c:v>2</c:v>
                </c:pt>
                <c:pt idx="25">
                  <c:v>6</c:v>
                </c:pt>
                <c:pt idx="26">
                  <c:v>7</c:v>
                </c:pt>
                <c:pt idx="28">
                  <c:v>1</c:v>
                </c:pt>
                <c:pt idx="29">
                  <c:v>1</c:v>
                </c:pt>
                <c:pt idx="30">
                  <c:v>1</c:v>
                </c:pt>
                <c:pt idx="31">
                  <c:v>1</c:v>
                </c:pt>
                <c:pt idx="32">
                  <c:v>12</c:v>
                </c:pt>
                <c:pt idx="35">
                  <c:v>1</c:v>
                </c:pt>
                <c:pt idx="36">
                  <c:v>8</c:v>
                </c:pt>
                <c:pt idx="37">
                  <c:v>1</c:v>
                </c:pt>
                <c:pt idx="40">
                  <c:v>1</c:v>
                </c:pt>
                <c:pt idx="41">
                  <c:v>20</c:v>
                </c:pt>
                <c:pt idx="43">
                  <c:v>1</c:v>
                </c:pt>
                <c:pt idx="45">
                  <c:v>1</c:v>
                </c:pt>
                <c:pt idx="46">
                  <c:v>2</c:v>
                </c:pt>
                <c:pt idx="51">
                  <c:v>3</c:v>
                </c:pt>
                <c:pt idx="53">
                  <c:v>3</c:v>
                </c:pt>
                <c:pt idx="54">
                  <c:v>1</c:v>
                </c:pt>
                <c:pt idx="55">
                  <c:v>5</c:v>
                </c:pt>
                <c:pt idx="57">
                  <c:v>13</c:v>
                </c:pt>
                <c:pt idx="58">
                  <c:v>4</c:v>
                </c:pt>
                <c:pt idx="59">
                  <c:v>4</c:v>
                </c:pt>
                <c:pt idx="60">
                  <c:v>7</c:v>
                </c:pt>
                <c:pt idx="61">
                  <c:v>2</c:v>
                </c:pt>
                <c:pt idx="63">
                  <c:v>6</c:v>
                </c:pt>
                <c:pt idx="64">
                  <c:v>1</c:v>
                </c:pt>
                <c:pt idx="65">
                  <c:v>20</c:v>
                </c:pt>
                <c:pt idx="66">
                  <c:v>2</c:v>
                </c:pt>
                <c:pt idx="67">
                  <c:v>3</c:v>
                </c:pt>
                <c:pt idx="68">
                  <c:v>2</c:v>
                </c:pt>
                <c:pt idx="69">
                  <c:v>1</c:v>
                </c:pt>
                <c:pt idx="72">
                  <c:v>1</c:v>
                </c:pt>
                <c:pt idx="73">
                  <c:v>1</c:v>
                </c:pt>
                <c:pt idx="74">
                  <c:v>7</c:v>
                </c:pt>
                <c:pt idx="75">
                  <c:v>2</c:v>
                </c:pt>
                <c:pt idx="78">
                  <c:v>2</c:v>
                </c:pt>
                <c:pt idx="79">
                  <c:v>1</c:v>
                </c:pt>
                <c:pt idx="80">
                  <c:v>2</c:v>
                </c:pt>
                <c:pt idx="81">
                  <c:v>7</c:v>
                </c:pt>
                <c:pt idx="82">
                  <c:v>6</c:v>
                </c:pt>
                <c:pt idx="83">
                  <c:v>1</c:v>
                </c:pt>
                <c:pt idx="84">
                  <c:v>5</c:v>
                </c:pt>
                <c:pt idx="85">
                  <c:v>23</c:v>
                </c:pt>
                <c:pt idx="87">
                  <c:v>4</c:v>
                </c:pt>
                <c:pt idx="88">
                  <c:v>1</c:v>
                </c:pt>
                <c:pt idx="89">
                  <c:v>12</c:v>
                </c:pt>
                <c:pt idx="90">
                  <c:v>3</c:v>
                </c:pt>
                <c:pt idx="91">
                  <c:v>2</c:v>
                </c:pt>
                <c:pt idx="92">
                  <c:v>2</c:v>
                </c:pt>
                <c:pt idx="93">
                  <c:v>4</c:v>
                </c:pt>
                <c:pt idx="94">
                  <c:v>10</c:v>
                </c:pt>
                <c:pt idx="95">
                  <c:v>3</c:v>
                </c:pt>
                <c:pt idx="96">
                  <c:v>14</c:v>
                </c:pt>
                <c:pt idx="97">
                  <c:v>3</c:v>
                </c:pt>
                <c:pt idx="99">
                  <c:v>2</c:v>
                </c:pt>
                <c:pt idx="101">
                  <c:v>17</c:v>
                </c:pt>
                <c:pt idx="102">
                  <c:v>6</c:v>
                </c:pt>
                <c:pt idx="103">
                  <c:v>5</c:v>
                </c:pt>
                <c:pt idx="104">
                  <c:v>3</c:v>
                </c:pt>
                <c:pt idx="105">
                  <c:v>5</c:v>
                </c:pt>
                <c:pt idx="106">
                  <c:v>1</c:v>
                </c:pt>
                <c:pt idx="109">
                  <c:v>2</c:v>
                </c:pt>
                <c:pt idx="110">
                  <c:v>8</c:v>
                </c:pt>
                <c:pt idx="111">
                  <c:v>4</c:v>
                </c:pt>
                <c:pt idx="114">
                  <c:v>6</c:v>
                </c:pt>
                <c:pt idx="115">
                  <c:v>4</c:v>
                </c:pt>
                <c:pt idx="117">
                  <c:v>3</c:v>
                </c:pt>
                <c:pt idx="118">
                  <c:v>6</c:v>
                </c:pt>
                <c:pt idx="119">
                  <c:v>6</c:v>
                </c:pt>
                <c:pt idx="121">
                  <c:v>6</c:v>
                </c:pt>
                <c:pt idx="123">
                  <c:v>12</c:v>
                </c:pt>
                <c:pt idx="126">
                  <c:v>15</c:v>
                </c:pt>
                <c:pt idx="127">
                  <c:v>7</c:v>
                </c:pt>
                <c:pt idx="128">
                  <c:v>4</c:v>
                </c:pt>
                <c:pt idx="129">
                  <c:v>6</c:v>
                </c:pt>
                <c:pt idx="131">
                  <c:v>1</c:v>
                </c:pt>
                <c:pt idx="132">
                  <c:v>15</c:v>
                </c:pt>
                <c:pt idx="133">
                  <c:v>3</c:v>
                </c:pt>
                <c:pt idx="134">
                  <c:v>7</c:v>
                </c:pt>
                <c:pt idx="137">
                  <c:v>7</c:v>
                </c:pt>
                <c:pt idx="139">
                  <c:v>1</c:v>
                </c:pt>
                <c:pt idx="140">
                  <c:v>27</c:v>
                </c:pt>
                <c:pt idx="141">
                  <c:v>5</c:v>
                </c:pt>
                <c:pt idx="144">
                  <c:v>2</c:v>
                </c:pt>
                <c:pt idx="145">
                  <c:v>3</c:v>
                </c:pt>
                <c:pt idx="147">
                  <c:v>3</c:v>
                </c:pt>
                <c:pt idx="148">
                  <c:v>3</c:v>
                </c:pt>
                <c:pt idx="149">
                  <c:v>6</c:v>
                </c:pt>
                <c:pt idx="150">
                  <c:v>5</c:v>
                </c:pt>
                <c:pt idx="151">
                  <c:v>4</c:v>
                </c:pt>
                <c:pt idx="152">
                  <c:v>2</c:v>
                </c:pt>
                <c:pt idx="153">
                  <c:v>1</c:v>
                </c:pt>
                <c:pt idx="155">
                  <c:v>4</c:v>
                </c:pt>
                <c:pt idx="156">
                  <c:v>14</c:v>
                </c:pt>
                <c:pt idx="157">
                  <c:v>5</c:v>
                </c:pt>
                <c:pt idx="159">
                  <c:v>7</c:v>
                </c:pt>
                <c:pt idx="160">
                  <c:v>3</c:v>
                </c:pt>
                <c:pt idx="161">
                  <c:v>7</c:v>
                </c:pt>
                <c:pt idx="162">
                  <c:v>1</c:v>
                </c:pt>
                <c:pt idx="163">
                  <c:v>6</c:v>
                </c:pt>
                <c:pt idx="164">
                  <c:v>15</c:v>
                </c:pt>
                <c:pt idx="166">
                  <c:v>3</c:v>
                </c:pt>
                <c:pt idx="167">
                  <c:v>15</c:v>
                </c:pt>
                <c:pt idx="168">
                  <c:v>2</c:v>
                </c:pt>
                <c:pt idx="169">
                  <c:v>4</c:v>
                </c:pt>
                <c:pt idx="170">
                  <c:v>6</c:v>
                </c:pt>
                <c:pt idx="171">
                  <c:v>7</c:v>
                </c:pt>
                <c:pt idx="172">
                  <c:v>4</c:v>
                </c:pt>
              </c:numCache>
            </c:numRef>
          </c:val>
          <c:extLst>
            <c:ext xmlns:c16="http://schemas.microsoft.com/office/drawing/2014/chart" uri="{C3380CC4-5D6E-409C-BE32-E72D297353CC}">
              <c16:uniqueId val="{00000000-50EA-4BF5-8105-50A6296C7AE5}"/>
            </c:ext>
          </c:extLst>
        </c:ser>
        <c:ser>
          <c:idx val="1"/>
          <c:order val="1"/>
          <c:tx>
            <c:strRef>
              <c:f>'Opponent Analysis(lm10)'!$C$3:$C$4</c:f>
              <c:strCache>
                <c:ptCount val="1"/>
                <c:pt idx="0">
                  <c:v>Lionel Messi</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B-ED93-42B9-9BA5-3AD1BBFD4B89}"/>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D-ED93-42B9-9BA5-3AD1BBFD4B89}"/>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F-ED93-42B9-9BA5-3AD1BBFD4B89}"/>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1-ED93-42B9-9BA5-3AD1BBFD4B89}"/>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3-ED93-42B9-9BA5-3AD1BBFD4B89}"/>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5-ED93-42B9-9BA5-3AD1BBFD4B89}"/>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7-ED93-42B9-9BA5-3AD1BBFD4B89}"/>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9-ED93-42B9-9BA5-3AD1BBFD4B89}"/>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B-ED93-42B9-9BA5-3AD1BBFD4B89}"/>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D-ED93-42B9-9BA5-3AD1BBFD4B89}"/>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F-ED93-42B9-9BA5-3AD1BBFD4B89}"/>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1-ED93-42B9-9BA5-3AD1BBFD4B89}"/>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3-ED93-42B9-9BA5-3AD1BBFD4B89}"/>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5-ED93-42B9-9BA5-3AD1BBFD4B89}"/>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7-ED93-42B9-9BA5-3AD1BBFD4B89}"/>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9-ED93-42B9-9BA5-3AD1BBFD4B89}"/>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B-ED93-42B9-9BA5-3AD1BBFD4B89}"/>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D-ED93-42B9-9BA5-3AD1BBFD4B89}"/>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F-ED93-42B9-9BA5-3AD1BBFD4B89}"/>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1-ED93-42B9-9BA5-3AD1BBFD4B89}"/>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3-ED93-42B9-9BA5-3AD1BBFD4B89}"/>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5-ED93-42B9-9BA5-3AD1BBFD4B89}"/>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7-ED93-42B9-9BA5-3AD1BBFD4B89}"/>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9-ED93-42B9-9BA5-3AD1BBFD4B89}"/>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B-ED93-42B9-9BA5-3AD1BBFD4B89}"/>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D-ED93-42B9-9BA5-3AD1BBFD4B89}"/>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F-ED93-42B9-9BA5-3AD1BBFD4B89}"/>
              </c:ext>
            </c:extLst>
          </c:dPt>
          <c:dPt>
            <c:idx val="27"/>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1-ED93-42B9-9BA5-3AD1BBFD4B89}"/>
              </c:ext>
            </c:extLst>
          </c:dPt>
          <c:dPt>
            <c:idx val="28"/>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3-ED93-42B9-9BA5-3AD1BBFD4B89}"/>
              </c:ext>
            </c:extLst>
          </c:dPt>
          <c:dPt>
            <c:idx val="29"/>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5-ED93-42B9-9BA5-3AD1BBFD4B89}"/>
              </c:ext>
            </c:extLst>
          </c:dPt>
          <c:dPt>
            <c:idx val="30"/>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7-ED93-42B9-9BA5-3AD1BBFD4B89}"/>
              </c:ext>
            </c:extLst>
          </c:dPt>
          <c:dPt>
            <c:idx val="31"/>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9-ED93-42B9-9BA5-3AD1BBFD4B89}"/>
              </c:ext>
            </c:extLst>
          </c:dPt>
          <c:dPt>
            <c:idx val="32"/>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B-ED93-42B9-9BA5-3AD1BBFD4B89}"/>
              </c:ext>
            </c:extLst>
          </c:dPt>
          <c:dPt>
            <c:idx val="33"/>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D-ED93-42B9-9BA5-3AD1BBFD4B89}"/>
              </c:ext>
            </c:extLst>
          </c:dPt>
          <c:dPt>
            <c:idx val="34"/>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F-ED93-42B9-9BA5-3AD1BBFD4B89}"/>
              </c:ext>
            </c:extLst>
          </c:dPt>
          <c:dPt>
            <c:idx val="35"/>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1-ED93-42B9-9BA5-3AD1BBFD4B89}"/>
              </c:ext>
            </c:extLst>
          </c:dPt>
          <c:dPt>
            <c:idx val="36"/>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3-ED93-42B9-9BA5-3AD1BBFD4B89}"/>
              </c:ext>
            </c:extLst>
          </c:dPt>
          <c:dPt>
            <c:idx val="37"/>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5-ED93-42B9-9BA5-3AD1BBFD4B89}"/>
              </c:ext>
            </c:extLst>
          </c:dPt>
          <c:dPt>
            <c:idx val="38"/>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7-ED93-42B9-9BA5-3AD1BBFD4B89}"/>
              </c:ext>
            </c:extLst>
          </c:dPt>
          <c:dPt>
            <c:idx val="39"/>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9-ED93-42B9-9BA5-3AD1BBFD4B89}"/>
              </c:ext>
            </c:extLst>
          </c:dPt>
          <c:dPt>
            <c:idx val="40"/>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B-ED93-42B9-9BA5-3AD1BBFD4B89}"/>
              </c:ext>
            </c:extLst>
          </c:dPt>
          <c:dPt>
            <c:idx val="41"/>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D-ED93-42B9-9BA5-3AD1BBFD4B89}"/>
              </c:ext>
            </c:extLst>
          </c:dPt>
          <c:dPt>
            <c:idx val="42"/>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F-ED93-42B9-9BA5-3AD1BBFD4B89}"/>
              </c:ext>
            </c:extLst>
          </c:dPt>
          <c:dPt>
            <c:idx val="43"/>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1-ED93-42B9-9BA5-3AD1BBFD4B89}"/>
              </c:ext>
            </c:extLst>
          </c:dPt>
          <c:dPt>
            <c:idx val="44"/>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3-ED93-42B9-9BA5-3AD1BBFD4B89}"/>
              </c:ext>
            </c:extLst>
          </c:dPt>
          <c:dPt>
            <c:idx val="45"/>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5-ED93-42B9-9BA5-3AD1BBFD4B89}"/>
              </c:ext>
            </c:extLst>
          </c:dPt>
          <c:dPt>
            <c:idx val="46"/>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7-ED93-42B9-9BA5-3AD1BBFD4B89}"/>
              </c:ext>
            </c:extLst>
          </c:dPt>
          <c:dPt>
            <c:idx val="47"/>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9-ED93-42B9-9BA5-3AD1BBFD4B89}"/>
              </c:ext>
            </c:extLst>
          </c:dPt>
          <c:dPt>
            <c:idx val="48"/>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B-ED93-42B9-9BA5-3AD1BBFD4B89}"/>
              </c:ext>
            </c:extLst>
          </c:dPt>
          <c:dPt>
            <c:idx val="49"/>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D-ED93-42B9-9BA5-3AD1BBFD4B89}"/>
              </c:ext>
            </c:extLst>
          </c:dPt>
          <c:dPt>
            <c:idx val="50"/>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F-ED93-42B9-9BA5-3AD1BBFD4B89}"/>
              </c:ext>
            </c:extLst>
          </c:dPt>
          <c:dPt>
            <c:idx val="51"/>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1-ED93-42B9-9BA5-3AD1BBFD4B89}"/>
              </c:ext>
            </c:extLst>
          </c:dPt>
          <c:dPt>
            <c:idx val="52"/>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3-ED93-42B9-9BA5-3AD1BBFD4B89}"/>
              </c:ext>
            </c:extLst>
          </c:dPt>
          <c:dPt>
            <c:idx val="53"/>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5-ED93-42B9-9BA5-3AD1BBFD4B89}"/>
              </c:ext>
            </c:extLst>
          </c:dPt>
          <c:dPt>
            <c:idx val="54"/>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7-ED93-42B9-9BA5-3AD1BBFD4B89}"/>
              </c:ext>
            </c:extLst>
          </c:dPt>
          <c:dPt>
            <c:idx val="55"/>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9-ED93-42B9-9BA5-3AD1BBFD4B89}"/>
              </c:ext>
            </c:extLst>
          </c:dPt>
          <c:dPt>
            <c:idx val="56"/>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B-ED93-42B9-9BA5-3AD1BBFD4B89}"/>
              </c:ext>
            </c:extLst>
          </c:dPt>
          <c:dPt>
            <c:idx val="57"/>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D-ED93-42B9-9BA5-3AD1BBFD4B89}"/>
              </c:ext>
            </c:extLst>
          </c:dPt>
          <c:dPt>
            <c:idx val="58"/>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F-ED93-42B9-9BA5-3AD1BBFD4B89}"/>
              </c:ext>
            </c:extLst>
          </c:dPt>
          <c:dPt>
            <c:idx val="59"/>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1-ED93-42B9-9BA5-3AD1BBFD4B89}"/>
              </c:ext>
            </c:extLst>
          </c:dPt>
          <c:dPt>
            <c:idx val="60"/>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3-ED93-42B9-9BA5-3AD1BBFD4B89}"/>
              </c:ext>
            </c:extLst>
          </c:dPt>
          <c:dPt>
            <c:idx val="61"/>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5-ED93-42B9-9BA5-3AD1BBFD4B89}"/>
              </c:ext>
            </c:extLst>
          </c:dPt>
          <c:dPt>
            <c:idx val="62"/>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7-ED93-42B9-9BA5-3AD1BBFD4B89}"/>
              </c:ext>
            </c:extLst>
          </c:dPt>
          <c:dPt>
            <c:idx val="63"/>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9-ED93-42B9-9BA5-3AD1BBFD4B89}"/>
              </c:ext>
            </c:extLst>
          </c:dPt>
          <c:dPt>
            <c:idx val="64"/>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B-ED93-42B9-9BA5-3AD1BBFD4B89}"/>
              </c:ext>
            </c:extLst>
          </c:dPt>
          <c:dPt>
            <c:idx val="65"/>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D-ED93-42B9-9BA5-3AD1BBFD4B89}"/>
              </c:ext>
            </c:extLst>
          </c:dPt>
          <c:dPt>
            <c:idx val="66"/>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F-ED93-42B9-9BA5-3AD1BBFD4B89}"/>
              </c:ext>
            </c:extLst>
          </c:dPt>
          <c:dPt>
            <c:idx val="67"/>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1-ED93-42B9-9BA5-3AD1BBFD4B89}"/>
              </c:ext>
            </c:extLst>
          </c:dPt>
          <c:dPt>
            <c:idx val="68"/>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3-ED93-42B9-9BA5-3AD1BBFD4B89}"/>
              </c:ext>
            </c:extLst>
          </c:dPt>
          <c:dPt>
            <c:idx val="69"/>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5-ED93-42B9-9BA5-3AD1BBFD4B89}"/>
              </c:ext>
            </c:extLst>
          </c:dPt>
          <c:dPt>
            <c:idx val="70"/>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7-ED93-42B9-9BA5-3AD1BBFD4B89}"/>
              </c:ext>
            </c:extLst>
          </c:dPt>
          <c:dPt>
            <c:idx val="71"/>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9-ED93-42B9-9BA5-3AD1BBFD4B89}"/>
              </c:ext>
            </c:extLst>
          </c:dPt>
          <c:dPt>
            <c:idx val="72"/>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B-ED93-42B9-9BA5-3AD1BBFD4B89}"/>
              </c:ext>
            </c:extLst>
          </c:dPt>
          <c:dPt>
            <c:idx val="73"/>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D-ED93-42B9-9BA5-3AD1BBFD4B89}"/>
              </c:ext>
            </c:extLst>
          </c:dPt>
          <c:dPt>
            <c:idx val="74"/>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F-ED93-42B9-9BA5-3AD1BBFD4B89}"/>
              </c:ext>
            </c:extLst>
          </c:dPt>
          <c:dPt>
            <c:idx val="75"/>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1-ED93-42B9-9BA5-3AD1BBFD4B89}"/>
              </c:ext>
            </c:extLst>
          </c:dPt>
          <c:dPt>
            <c:idx val="76"/>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3-ED93-42B9-9BA5-3AD1BBFD4B89}"/>
              </c:ext>
            </c:extLst>
          </c:dPt>
          <c:dPt>
            <c:idx val="77"/>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5-ED93-42B9-9BA5-3AD1BBFD4B89}"/>
              </c:ext>
            </c:extLst>
          </c:dPt>
          <c:dPt>
            <c:idx val="78"/>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7-ED93-42B9-9BA5-3AD1BBFD4B89}"/>
              </c:ext>
            </c:extLst>
          </c:dPt>
          <c:dPt>
            <c:idx val="79"/>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9-ED93-42B9-9BA5-3AD1BBFD4B89}"/>
              </c:ext>
            </c:extLst>
          </c:dPt>
          <c:dPt>
            <c:idx val="80"/>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B-ED93-42B9-9BA5-3AD1BBFD4B89}"/>
              </c:ext>
            </c:extLst>
          </c:dPt>
          <c:dPt>
            <c:idx val="81"/>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D-ED93-42B9-9BA5-3AD1BBFD4B89}"/>
              </c:ext>
            </c:extLst>
          </c:dPt>
          <c:dPt>
            <c:idx val="82"/>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F-ED93-42B9-9BA5-3AD1BBFD4B89}"/>
              </c:ext>
            </c:extLst>
          </c:dPt>
          <c:dPt>
            <c:idx val="83"/>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1-ED93-42B9-9BA5-3AD1BBFD4B89}"/>
              </c:ext>
            </c:extLst>
          </c:dPt>
          <c:dPt>
            <c:idx val="84"/>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3-ED93-42B9-9BA5-3AD1BBFD4B89}"/>
              </c:ext>
            </c:extLst>
          </c:dPt>
          <c:dPt>
            <c:idx val="85"/>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5-ED93-42B9-9BA5-3AD1BBFD4B89}"/>
              </c:ext>
            </c:extLst>
          </c:dPt>
          <c:dPt>
            <c:idx val="86"/>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7-ED93-42B9-9BA5-3AD1BBFD4B89}"/>
              </c:ext>
            </c:extLst>
          </c:dPt>
          <c:dPt>
            <c:idx val="87"/>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9-ED93-42B9-9BA5-3AD1BBFD4B89}"/>
              </c:ext>
            </c:extLst>
          </c:dPt>
          <c:dPt>
            <c:idx val="88"/>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B-ED93-42B9-9BA5-3AD1BBFD4B89}"/>
              </c:ext>
            </c:extLst>
          </c:dPt>
          <c:dPt>
            <c:idx val="89"/>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D-ED93-42B9-9BA5-3AD1BBFD4B89}"/>
              </c:ext>
            </c:extLst>
          </c:dPt>
          <c:dPt>
            <c:idx val="90"/>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F-ED93-42B9-9BA5-3AD1BBFD4B89}"/>
              </c:ext>
            </c:extLst>
          </c:dPt>
          <c:dPt>
            <c:idx val="91"/>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1-ED93-42B9-9BA5-3AD1BBFD4B89}"/>
              </c:ext>
            </c:extLst>
          </c:dPt>
          <c:dPt>
            <c:idx val="92"/>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3-ED93-42B9-9BA5-3AD1BBFD4B89}"/>
              </c:ext>
            </c:extLst>
          </c:dPt>
          <c:dPt>
            <c:idx val="93"/>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5-ED93-42B9-9BA5-3AD1BBFD4B89}"/>
              </c:ext>
            </c:extLst>
          </c:dPt>
          <c:dPt>
            <c:idx val="94"/>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7-ED93-42B9-9BA5-3AD1BBFD4B89}"/>
              </c:ext>
            </c:extLst>
          </c:dPt>
          <c:dPt>
            <c:idx val="95"/>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9-ED93-42B9-9BA5-3AD1BBFD4B89}"/>
              </c:ext>
            </c:extLst>
          </c:dPt>
          <c:dPt>
            <c:idx val="96"/>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B-ED93-42B9-9BA5-3AD1BBFD4B89}"/>
              </c:ext>
            </c:extLst>
          </c:dPt>
          <c:dPt>
            <c:idx val="97"/>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D-ED93-42B9-9BA5-3AD1BBFD4B89}"/>
              </c:ext>
            </c:extLst>
          </c:dPt>
          <c:dPt>
            <c:idx val="98"/>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F-ED93-42B9-9BA5-3AD1BBFD4B89}"/>
              </c:ext>
            </c:extLst>
          </c:dPt>
          <c:dPt>
            <c:idx val="99"/>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1-ED93-42B9-9BA5-3AD1BBFD4B89}"/>
              </c:ext>
            </c:extLst>
          </c:dPt>
          <c:dPt>
            <c:idx val="100"/>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3-ED93-42B9-9BA5-3AD1BBFD4B89}"/>
              </c:ext>
            </c:extLst>
          </c:dPt>
          <c:dPt>
            <c:idx val="101"/>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5-ED93-42B9-9BA5-3AD1BBFD4B89}"/>
              </c:ext>
            </c:extLst>
          </c:dPt>
          <c:dPt>
            <c:idx val="102"/>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7-ED93-42B9-9BA5-3AD1BBFD4B89}"/>
              </c:ext>
            </c:extLst>
          </c:dPt>
          <c:dPt>
            <c:idx val="103"/>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9-ED93-42B9-9BA5-3AD1BBFD4B89}"/>
              </c:ext>
            </c:extLst>
          </c:dPt>
          <c:dPt>
            <c:idx val="104"/>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B-ED93-42B9-9BA5-3AD1BBFD4B89}"/>
              </c:ext>
            </c:extLst>
          </c:dPt>
          <c:dPt>
            <c:idx val="105"/>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D-ED93-42B9-9BA5-3AD1BBFD4B89}"/>
              </c:ext>
            </c:extLst>
          </c:dPt>
          <c:dPt>
            <c:idx val="106"/>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F-ED93-42B9-9BA5-3AD1BBFD4B89}"/>
              </c:ext>
            </c:extLst>
          </c:dPt>
          <c:dPt>
            <c:idx val="107"/>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1-ED93-42B9-9BA5-3AD1BBFD4B89}"/>
              </c:ext>
            </c:extLst>
          </c:dPt>
          <c:dPt>
            <c:idx val="108"/>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3-ED93-42B9-9BA5-3AD1BBFD4B89}"/>
              </c:ext>
            </c:extLst>
          </c:dPt>
          <c:dPt>
            <c:idx val="109"/>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5-ED93-42B9-9BA5-3AD1BBFD4B89}"/>
              </c:ext>
            </c:extLst>
          </c:dPt>
          <c:dPt>
            <c:idx val="110"/>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7-ED93-42B9-9BA5-3AD1BBFD4B89}"/>
              </c:ext>
            </c:extLst>
          </c:dPt>
          <c:dPt>
            <c:idx val="11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9-ED93-42B9-9BA5-3AD1BBFD4B89}"/>
              </c:ext>
            </c:extLst>
          </c:dPt>
          <c:dPt>
            <c:idx val="112"/>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B-ED93-42B9-9BA5-3AD1BBFD4B89}"/>
              </c:ext>
            </c:extLst>
          </c:dPt>
          <c:dPt>
            <c:idx val="113"/>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D-ED93-42B9-9BA5-3AD1BBFD4B89}"/>
              </c:ext>
            </c:extLst>
          </c:dPt>
          <c:dPt>
            <c:idx val="114"/>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F-ED93-42B9-9BA5-3AD1BBFD4B89}"/>
              </c:ext>
            </c:extLst>
          </c:dPt>
          <c:dPt>
            <c:idx val="115"/>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1-ED93-42B9-9BA5-3AD1BBFD4B89}"/>
              </c:ext>
            </c:extLst>
          </c:dPt>
          <c:dPt>
            <c:idx val="116"/>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3-ED93-42B9-9BA5-3AD1BBFD4B89}"/>
              </c:ext>
            </c:extLst>
          </c:dPt>
          <c:dPt>
            <c:idx val="117"/>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5-ED93-42B9-9BA5-3AD1BBFD4B89}"/>
              </c:ext>
            </c:extLst>
          </c:dPt>
          <c:dPt>
            <c:idx val="118"/>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7-ED93-42B9-9BA5-3AD1BBFD4B89}"/>
              </c:ext>
            </c:extLst>
          </c:dPt>
          <c:dPt>
            <c:idx val="119"/>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9-ED93-42B9-9BA5-3AD1BBFD4B89}"/>
              </c:ext>
            </c:extLst>
          </c:dPt>
          <c:dPt>
            <c:idx val="120"/>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B-ED93-42B9-9BA5-3AD1BBFD4B89}"/>
              </c:ext>
            </c:extLst>
          </c:dPt>
          <c:dPt>
            <c:idx val="121"/>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D-ED93-42B9-9BA5-3AD1BBFD4B89}"/>
              </c:ext>
            </c:extLst>
          </c:dPt>
          <c:dPt>
            <c:idx val="122"/>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F-ED93-42B9-9BA5-3AD1BBFD4B89}"/>
              </c:ext>
            </c:extLst>
          </c:dPt>
          <c:dPt>
            <c:idx val="123"/>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1-ED93-42B9-9BA5-3AD1BBFD4B89}"/>
              </c:ext>
            </c:extLst>
          </c:dPt>
          <c:dPt>
            <c:idx val="124"/>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3-ED93-42B9-9BA5-3AD1BBFD4B89}"/>
              </c:ext>
            </c:extLst>
          </c:dPt>
          <c:dPt>
            <c:idx val="125"/>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5-ED93-42B9-9BA5-3AD1BBFD4B89}"/>
              </c:ext>
            </c:extLst>
          </c:dPt>
          <c:dPt>
            <c:idx val="126"/>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7-ED93-42B9-9BA5-3AD1BBFD4B89}"/>
              </c:ext>
            </c:extLst>
          </c:dPt>
          <c:dPt>
            <c:idx val="127"/>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9-ED93-42B9-9BA5-3AD1BBFD4B89}"/>
              </c:ext>
            </c:extLst>
          </c:dPt>
          <c:dPt>
            <c:idx val="128"/>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B-ED93-42B9-9BA5-3AD1BBFD4B89}"/>
              </c:ext>
            </c:extLst>
          </c:dPt>
          <c:dPt>
            <c:idx val="129"/>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D-ED93-42B9-9BA5-3AD1BBFD4B89}"/>
              </c:ext>
            </c:extLst>
          </c:dPt>
          <c:dPt>
            <c:idx val="130"/>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F-ED93-42B9-9BA5-3AD1BBFD4B89}"/>
              </c:ext>
            </c:extLst>
          </c:dPt>
          <c:dPt>
            <c:idx val="131"/>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1-ED93-42B9-9BA5-3AD1BBFD4B89}"/>
              </c:ext>
            </c:extLst>
          </c:dPt>
          <c:dPt>
            <c:idx val="132"/>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3-ED93-42B9-9BA5-3AD1BBFD4B89}"/>
              </c:ext>
            </c:extLst>
          </c:dPt>
          <c:dPt>
            <c:idx val="133"/>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5-ED93-42B9-9BA5-3AD1BBFD4B89}"/>
              </c:ext>
            </c:extLst>
          </c:dPt>
          <c:dPt>
            <c:idx val="134"/>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7-ED93-42B9-9BA5-3AD1BBFD4B89}"/>
              </c:ext>
            </c:extLst>
          </c:dPt>
          <c:dPt>
            <c:idx val="135"/>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9-ED93-42B9-9BA5-3AD1BBFD4B89}"/>
              </c:ext>
            </c:extLst>
          </c:dPt>
          <c:dPt>
            <c:idx val="136"/>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B-ED93-42B9-9BA5-3AD1BBFD4B89}"/>
              </c:ext>
            </c:extLst>
          </c:dPt>
          <c:dPt>
            <c:idx val="137"/>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D-ED93-42B9-9BA5-3AD1BBFD4B89}"/>
              </c:ext>
            </c:extLst>
          </c:dPt>
          <c:dPt>
            <c:idx val="138"/>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F-ED93-42B9-9BA5-3AD1BBFD4B89}"/>
              </c:ext>
            </c:extLst>
          </c:dPt>
          <c:dPt>
            <c:idx val="139"/>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1-ED93-42B9-9BA5-3AD1BBFD4B89}"/>
              </c:ext>
            </c:extLst>
          </c:dPt>
          <c:dPt>
            <c:idx val="140"/>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3-ED93-42B9-9BA5-3AD1BBFD4B89}"/>
              </c:ext>
            </c:extLst>
          </c:dPt>
          <c:dPt>
            <c:idx val="141"/>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5-ED93-42B9-9BA5-3AD1BBFD4B89}"/>
              </c:ext>
            </c:extLst>
          </c:dPt>
          <c:dPt>
            <c:idx val="142"/>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7-ED93-42B9-9BA5-3AD1BBFD4B89}"/>
              </c:ext>
            </c:extLst>
          </c:dPt>
          <c:dPt>
            <c:idx val="143"/>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9-ED93-42B9-9BA5-3AD1BBFD4B89}"/>
              </c:ext>
            </c:extLst>
          </c:dPt>
          <c:dPt>
            <c:idx val="144"/>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B-ED93-42B9-9BA5-3AD1BBFD4B89}"/>
              </c:ext>
            </c:extLst>
          </c:dPt>
          <c:dPt>
            <c:idx val="145"/>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D-ED93-42B9-9BA5-3AD1BBFD4B89}"/>
              </c:ext>
            </c:extLst>
          </c:dPt>
          <c:dPt>
            <c:idx val="146"/>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F-ED93-42B9-9BA5-3AD1BBFD4B89}"/>
              </c:ext>
            </c:extLst>
          </c:dPt>
          <c:dPt>
            <c:idx val="147"/>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1-ED93-42B9-9BA5-3AD1BBFD4B89}"/>
              </c:ext>
            </c:extLst>
          </c:dPt>
          <c:dPt>
            <c:idx val="148"/>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3-ED93-42B9-9BA5-3AD1BBFD4B89}"/>
              </c:ext>
            </c:extLst>
          </c:dPt>
          <c:dPt>
            <c:idx val="149"/>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5-ED93-42B9-9BA5-3AD1BBFD4B89}"/>
              </c:ext>
            </c:extLst>
          </c:dPt>
          <c:dPt>
            <c:idx val="150"/>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7-ED93-42B9-9BA5-3AD1BBFD4B89}"/>
              </c:ext>
            </c:extLst>
          </c:dPt>
          <c:dPt>
            <c:idx val="151"/>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9-ED93-42B9-9BA5-3AD1BBFD4B89}"/>
              </c:ext>
            </c:extLst>
          </c:dPt>
          <c:dPt>
            <c:idx val="152"/>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B-ED93-42B9-9BA5-3AD1BBFD4B89}"/>
              </c:ext>
            </c:extLst>
          </c:dPt>
          <c:dPt>
            <c:idx val="153"/>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D-ED93-42B9-9BA5-3AD1BBFD4B89}"/>
              </c:ext>
            </c:extLst>
          </c:dPt>
          <c:dPt>
            <c:idx val="154"/>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F-ED93-42B9-9BA5-3AD1BBFD4B89}"/>
              </c:ext>
            </c:extLst>
          </c:dPt>
          <c:dPt>
            <c:idx val="155"/>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1-ED93-42B9-9BA5-3AD1BBFD4B89}"/>
              </c:ext>
            </c:extLst>
          </c:dPt>
          <c:dPt>
            <c:idx val="156"/>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3-ED93-42B9-9BA5-3AD1BBFD4B89}"/>
              </c:ext>
            </c:extLst>
          </c:dPt>
          <c:dPt>
            <c:idx val="157"/>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5-ED93-42B9-9BA5-3AD1BBFD4B89}"/>
              </c:ext>
            </c:extLst>
          </c:dPt>
          <c:dPt>
            <c:idx val="158"/>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7-ED93-42B9-9BA5-3AD1BBFD4B89}"/>
              </c:ext>
            </c:extLst>
          </c:dPt>
          <c:dPt>
            <c:idx val="159"/>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9-ED93-42B9-9BA5-3AD1BBFD4B89}"/>
              </c:ext>
            </c:extLst>
          </c:dPt>
          <c:dPt>
            <c:idx val="160"/>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B-ED93-42B9-9BA5-3AD1BBFD4B89}"/>
              </c:ext>
            </c:extLst>
          </c:dPt>
          <c:dPt>
            <c:idx val="161"/>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D-ED93-42B9-9BA5-3AD1BBFD4B89}"/>
              </c:ext>
            </c:extLst>
          </c:dPt>
          <c:dPt>
            <c:idx val="162"/>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F-ED93-42B9-9BA5-3AD1BBFD4B89}"/>
              </c:ext>
            </c:extLst>
          </c:dPt>
          <c:dPt>
            <c:idx val="163"/>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1-ED93-42B9-9BA5-3AD1BBFD4B89}"/>
              </c:ext>
            </c:extLst>
          </c:dPt>
          <c:dPt>
            <c:idx val="164"/>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3-ED93-42B9-9BA5-3AD1BBFD4B89}"/>
              </c:ext>
            </c:extLst>
          </c:dPt>
          <c:dPt>
            <c:idx val="165"/>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5-ED93-42B9-9BA5-3AD1BBFD4B89}"/>
              </c:ext>
            </c:extLst>
          </c:dPt>
          <c:dPt>
            <c:idx val="166"/>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7-ED93-42B9-9BA5-3AD1BBFD4B89}"/>
              </c:ext>
            </c:extLst>
          </c:dPt>
          <c:dPt>
            <c:idx val="167"/>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9-ED93-42B9-9BA5-3AD1BBFD4B89}"/>
              </c:ext>
            </c:extLst>
          </c:dPt>
          <c:dPt>
            <c:idx val="168"/>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B-ED93-42B9-9BA5-3AD1BBFD4B89}"/>
              </c:ext>
            </c:extLst>
          </c:dPt>
          <c:dPt>
            <c:idx val="169"/>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D-ED93-42B9-9BA5-3AD1BBFD4B89}"/>
              </c:ext>
            </c:extLst>
          </c:dPt>
          <c:dPt>
            <c:idx val="170"/>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F-ED93-42B9-9BA5-3AD1BBFD4B89}"/>
              </c:ext>
            </c:extLst>
          </c:dPt>
          <c:dPt>
            <c:idx val="171"/>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B1-ED93-42B9-9BA5-3AD1BBFD4B89}"/>
              </c:ext>
            </c:extLst>
          </c:dPt>
          <c:dPt>
            <c:idx val="172"/>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B3-ED93-42B9-9BA5-3AD1BBFD4B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'Opponent Analysis(lm10)'!$A$5:$A$178</c:f>
              <c:strCache>
                <c:ptCount val="173"/>
                <c:pt idx="0">
                  <c:v>Abha Club</c:v>
                </c:pt>
                <c:pt idx="1">
                  <c:v>AC Ajaccio</c:v>
                </c:pt>
                <c:pt idx="2">
                  <c:v>AC Milan</c:v>
                </c:pt>
                <c:pt idx="3">
                  <c:v>ACF Fiorentina</c:v>
                </c:pt>
                <c:pt idx="4">
                  <c:v>AJ Auxerre</c:v>
                </c:pt>
                <c:pt idx="5">
                  <c:v>Ajax Amsterdam</c:v>
                </c:pt>
                <c:pt idx="6">
                  <c:v>Albacete Balompie</c:v>
                </c:pt>
                <c:pt idx="7">
                  <c:v>Al-Fateh</c:v>
                </c:pt>
                <c:pt idx="8">
                  <c:v>Al-Jazira (Abu Dhabi)</c:v>
                </c:pt>
                <c:pt idx="9">
                  <c:v>Al-Wehda FC</c:v>
                </c:pt>
                <c:pt idx="10">
                  <c:v>APOEL Nicosia</c:v>
                </c:pt>
                <c:pt idx="11">
                  <c:v>Arsenal FC</c:v>
                </c:pt>
                <c:pt idx="12">
                  <c:v>AS Roma</c:v>
                </c:pt>
                <c:pt idx="13">
                  <c:v>Aston Villa</c:v>
                </c:pt>
                <c:pt idx="14">
                  <c:v>Atalanta BC</c:v>
                </c:pt>
                <c:pt idx="15">
                  <c:v>Athletic Bilbao</c:v>
                </c:pt>
                <c:pt idx="16">
                  <c:v>Atletico de Madrid</c:v>
                </c:pt>
                <c:pt idx="17">
                  <c:v>BATE Borisov</c:v>
                </c:pt>
                <c:pt idx="18">
                  <c:v>Bayer 04 Leverkusen</c:v>
                </c:pt>
                <c:pt idx="19">
                  <c:v>Bayern Munich</c:v>
                </c:pt>
                <c:pt idx="20">
                  <c:v>Benidorm CD</c:v>
                </c:pt>
                <c:pt idx="21">
                  <c:v>Birmingham City</c:v>
                </c:pt>
                <c:pt idx="22">
                  <c:v>Blackburn Rovers</c:v>
                </c:pt>
                <c:pt idx="23">
                  <c:v>Boavista FC</c:v>
                </c:pt>
                <c:pt idx="24">
                  <c:v>Bologna FC 1909</c:v>
                </c:pt>
                <c:pt idx="25">
                  <c:v>Bolton Wanderers</c:v>
                </c:pt>
                <c:pt idx="26">
                  <c:v>Borussia Dortmund</c:v>
                </c:pt>
                <c:pt idx="27">
                  <c:v>Borussia MÃƒÂ¶nchengladbach</c:v>
                </c:pt>
                <c:pt idx="28">
                  <c:v>Brentford FC</c:v>
                </c:pt>
                <c:pt idx="29">
                  <c:v>Brighton &amp; Hove Albion</c:v>
                </c:pt>
                <c:pt idx="30">
                  <c:v>BSC Young Boys</c:v>
                </c:pt>
                <c:pt idx="31">
                  <c:v>Burnley FC</c:v>
                </c:pt>
                <c:pt idx="32">
                  <c:v>CA Osasuna</c:v>
                </c:pt>
                <c:pt idx="33">
                  <c:v>CA River Plate</c:v>
                </c:pt>
                <c:pt idx="34">
                  <c:v>Cadiz CF</c:v>
                </c:pt>
                <c:pt idx="35">
                  <c:v>CÃƒÂ³rdoba CF</c:v>
                </c:pt>
                <c:pt idx="36">
                  <c:v>Cagliari Calcio</c:v>
                </c:pt>
                <c:pt idx="37">
                  <c:v>CD Estarreja</c:v>
                </c:pt>
                <c:pt idx="38">
                  <c:v>CD Leganes</c:v>
                </c:pt>
                <c:pt idx="39">
                  <c:v>CD Numancia</c:v>
                </c:pt>
                <c:pt idx="40">
                  <c:v>CD Tenerife</c:v>
                </c:pt>
                <c:pt idx="41">
                  <c:v>Celta de Vigo</c:v>
                </c:pt>
                <c:pt idx="42">
                  <c:v>Celtic FC</c:v>
                </c:pt>
                <c:pt idx="43">
                  <c:v>CF America</c:v>
                </c:pt>
                <c:pt idx="44">
                  <c:v>CF Atlante</c:v>
                </c:pt>
                <c:pt idx="45">
                  <c:v>Charlton Athletic</c:v>
                </c:pt>
                <c:pt idx="46">
                  <c:v>Chelsea FC</c:v>
                </c:pt>
                <c:pt idx="47">
                  <c:v>Clermont Foot</c:v>
                </c:pt>
                <c:pt idx="48">
                  <c:v>Club Atletico de Ceuta</c:v>
                </c:pt>
                <c:pt idx="49">
                  <c:v>Club Brugge KV</c:v>
                </c:pt>
                <c:pt idx="50">
                  <c:v>Club Estudiantes de La Plata</c:v>
                </c:pt>
                <c:pt idx="51">
                  <c:v>CSKA Moscow</c:v>
                </c:pt>
                <c:pt idx="52">
                  <c:v>Cultural Leonesa</c:v>
                </c:pt>
                <c:pt idx="53">
                  <c:v>Damac FC</c:v>
                </c:pt>
                <c:pt idx="54">
                  <c:v>Debreceni VSC</c:v>
                </c:pt>
                <c:pt idx="55">
                  <c:v>Deportivo Alaves</c:v>
                </c:pt>
                <c:pt idx="56">
                  <c:v>Deportivo de La Coruaa</c:v>
                </c:pt>
                <c:pt idx="57">
                  <c:v>Deportivo de La CoruÃƒÂ±a</c:v>
                </c:pt>
                <c:pt idx="58">
                  <c:v>Derby County</c:v>
                </c:pt>
                <c:pt idx="59">
                  <c:v>Dynamo Kyiv</c:v>
                </c:pt>
                <c:pt idx="60">
                  <c:v>Elche CF</c:v>
                </c:pt>
                <c:pt idx="61">
                  <c:v>Empoli FC </c:v>
                </c:pt>
                <c:pt idx="62">
                  <c:v>ESTAC Troyes</c:v>
                </c:pt>
                <c:pt idx="63">
                  <c:v>Everton FC</c:v>
                </c:pt>
                <c:pt idx="64">
                  <c:v>Exeter City</c:v>
                </c:pt>
                <c:pt idx="65">
                  <c:v>FC Barcelona</c:v>
                </c:pt>
                <c:pt idx="66">
                  <c:v>FC Basel 1893</c:v>
                </c:pt>
                <c:pt idx="67">
                  <c:v>FC Copenhagen</c:v>
                </c:pt>
                <c:pt idx="68">
                  <c:v>FC Crotone</c:v>
                </c:pt>
                <c:pt idx="69">
                  <c:v>FC Internazionale</c:v>
                </c:pt>
                <c:pt idx="70">
                  <c:v>FC Lorient</c:v>
                </c:pt>
                <c:pt idx="71">
                  <c:v>FC Nantes</c:v>
                </c:pt>
                <c:pt idx="72">
                  <c:v>FC Oliveira do Hospital</c:v>
                </c:pt>
                <c:pt idx="73">
                  <c:v>FC Porto</c:v>
                </c:pt>
                <c:pt idx="74">
                  <c:v>FC Schalke 04</c:v>
                </c:pt>
                <c:pt idx="75">
                  <c:v>FC Sheriff</c:v>
                </c:pt>
                <c:pt idx="76">
                  <c:v>FC Toulouse</c:v>
                </c:pt>
                <c:pt idx="77">
                  <c:v>FC Viktoria Plzen</c:v>
                </c:pt>
                <c:pt idx="78">
                  <c:v>FC ZÃƒÂ¼rich</c:v>
                </c:pt>
                <c:pt idx="79">
                  <c:v>Ferencvarosi TC</c:v>
                </c:pt>
                <c:pt idx="80">
                  <c:v>Frosinone Calcio</c:v>
                </c:pt>
                <c:pt idx="81">
                  <c:v>Fulham FC</c:v>
                </c:pt>
                <c:pt idx="82">
                  <c:v>Galatasaray</c:v>
                </c:pt>
                <c:pt idx="83">
                  <c:v>Gamba Osaka</c:v>
                </c:pt>
                <c:pt idx="84">
                  <c:v>Genoa CFC</c:v>
                </c:pt>
                <c:pt idx="85">
                  <c:v>Getafe CF</c:v>
                </c:pt>
                <c:pt idx="86">
                  <c:v>Gimnastic de Tarragona</c:v>
                </c:pt>
                <c:pt idx="87">
                  <c:v>Girona FC</c:v>
                </c:pt>
                <c:pt idx="88">
                  <c:v>GrÃƒÂªmio Foot-Ball Porto Alegrense</c:v>
                </c:pt>
                <c:pt idx="89">
                  <c:v>Granada CF</c:v>
                </c:pt>
                <c:pt idx="90">
                  <c:v>Hellas Verona</c:v>
                </c:pt>
                <c:pt idx="91">
                  <c:v>Hercules CF</c:v>
                </c:pt>
                <c:pt idx="92">
                  <c:v>Hull City</c:v>
                </c:pt>
                <c:pt idx="93">
                  <c:v>Inter Milan</c:v>
                </c:pt>
                <c:pt idx="94">
                  <c:v>Juventus FC</c:v>
                </c:pt>
                <c:pt idx="95">
                  <c:v>Kashima Antlers</c:v>
                </c:pt>
                <c:pt idx="96">
                  <c:v>Levante UD</c:v>
                </c:pt>
                <c:pt idx="97">
                  <c:v>Liverpool FC</c:v>
                </c:pt>
                <c:pt idx="98">
                  <c:v>LOSC Lille</c:v>
                </c:pt>
                <c:pt idx="99">
                  <c:v>Ludogorets Razgrad</c:v>
                </c:pt>
                <c:pt idx="100">
                  <c:v>Maccabi Haifa</c:v>
                </c:pt>
                <c:pt idx="101">
                  <c:v>Malaga CF</c:v>
                </c:pt>
                <c:pt idx="102">
                  <c:v>MalmÃƒÂ¶ FF</c:v>
                </c:pt>
                <c:pt idx="103">
                  <c:v>Manchester City</c:v>
                </c:pt>
                <c:pt idx="104">
                  <c:v>Manchester United</c:v>
                </c:pt>
                <c:pt idx="105">
                  <c:v>Middlesbrough FC</c:v>
                </c:pt>
                <c:pt idx="106">
                  <c:v>Millwall FC</c:v>
                </c:pt>
                <c:pt idx="107">
                  <c:v>Montpellier</c:v>
                </c:pt>
                <c:pt idx="108">
                  <c:v>Montpellier HSC</c:v>
                </c:pt>
                <c:pt idx="109">
                  <c:v>Moreirense FC</c:v>
                </c:pt>
                <c:pt idx="110">
                  <c:v>Newcastle United</c:v>
                </c:pt>
                <c:pt idx="111">
                  <c:v>Norwich City</c:v>
                </c:pt>
                <c:pt idx="112">
                  <c:v>OGC Nice</c:v>
                </c:pt>
                <c:pt idx="113">
                  <c:v>Olympiacos Piraeus</c:v>
                </c:pt>
                <c:pt idx="114">
                  <c:v>Olympique Lyon</c:v>
                </c:pt>
                <c:pt idx="115">
                  <c:v>Olympique Marseille</c:v>
                </c:pt>
                <c:pt idx="116">
                  <c:v>Panathinaikos Athens</c:v>
                </c:pt>
                <c:pt idx="117">
                  <c:v>Paris Saint-Germain</c:v>
                </c:pt>
                <c:pt idx="118">
                  <c:v>Parma Calcio 1913</c:v>
                </c:pt>
                <c:pt idx="119">
                  <c:v>Portsmouth FC</c:v>
                </c:pt>
                <c:pt idx="120">
                  <c:v>PSV Eindhoven</c:v>
                </c:pt>
                <c:pt idx="121">
                  <c:v>Racing Santander</c:v>
                </c:pt>
                <c:pt idx="122">
                  <c:v>Rangers FC</c:v>
                </c:pt>
                <c:pt idx="123">
                  <c:v>Rayo Vallecano</c:v>
                </c:pt>
                <c:pt idx="124">
                  <c:v>RB Leipzig</c:v>
                </c:pt>
                <c:pt idx="125">
                  <c:v>RC Lens</c:v>
                </c:pt>
                <c:pt idx="126">
                  <c:v>RCD Espanyol Barcelona</c:v>
                </c:pt>
                <c:pt idx="127">
                  <c:v>RCD Mallorca</c:v>
                </c:pt>
                <c:pt idx="128">
                  <c:v>Reading FC</c:v>
                </c:pt>
                <c:pt idx="129">
                  <c:v>Real Betis Balompie</c:v>
                </c:pt>
                <c:pt idx="130">
                  <c:v>Real Madrid</c:v>
                </c:pt>
                <c:pt idx="131">
                  <c:v>Real Murcia CF</c:v>
                </c:pt>
                <c:pt idx="132">
                  <c:v>Real Sociedad</c:v>
                </c:pt>
                <c:pt idx="133">
                  <c:v>Real Valladolid CF</c:v>
                </c:pt>
                <c:pt idx="134">
                  <c:v>Real Zaragoza</c:v>
                </c:pt>
                <c:pt idx="135">
                  <c:v>Recreativo Huelva</c:v>
                </c:pt>
                <c:pt idx="136">
                  <c:v>Santos FC</c:v>
                </c:pt>
                <c:pt idx="137">
                  <c:v>SD Eibar</c:v>
                </c:pt>
                <c:pt idx="138">
                  <c:v>SD Huesca</c:v>
                </c:pt>
                <c:pt idx="139">
                  <c:v>SD Ponferradina</c:v>
                </c:pt>
                <c:pt idx="140">
                  <c:v>Sevilla FC</c:v>
                </c:pt>
                <c:pt idx="141">
                  <c:v>Shakhtar Donetsk</c:v>
                </c:pt>
                <c:pt idx="142">
                  <c:v>SK Slavia Prague</c:v>
                </c:pt>
                <c:pt idx="143">
                  <c:v>SL Benfica</c:v>
                </c:pt>
                <c:pt idx="144">
                  <c:v>Southampton FC</c:v>
                </c:pt>
                <c:pt idx="145">
                  <c:v>SPAL</c:v>
                </c:pt>
                <c:pt idx="146">
                  <c:v>Spartak Moscow</c:v>
                </c:pt>
                <c:pt idx="147">
                  <c:v>Spezia Calcio</c:v>
                </c:pt>
                <c:pt idx="148">
                  <c:v>Sporting CP</c:v>
                </c:pt>
                <c:pt idx="149">
                  <c:v>Sporting GijÃƒÂ³n</c:v>
                </c:pt>
                <c:pt idx="150">
                  <c:v>SS Lazio</c:v>
                </c:pt>
                <c:pt idx="151">
                  <c:v>SSC Napoli</c:v>
                </c:pt>
                <c:pt idx="152">
                  <c:v>Stoke City</c:v>
                </c:pt>
                <c:pt idx="153">
                  <c:v>Sunderland AFC</c:v>
                </c:pt>
                <c:pt idx="154">
                  <c:v>SV Werder Bremen</c:v>
                </c:pt>
                <c:pt idx="155">
                  <c:v>Torino FC</c:v>
                </c:pt>
                <c:pt idx="156">
                  <c:v>Tottenham Hotspur</c:v>
                </c:pt>
                <c:pt idx="157">
                  <c:v>UC Sampdoria</c:v>
                </c:pt>
                <c:pt idx="158">
                  <c:v>UD Almera</c:v>
                </c:pt>
                <c:pt idx="159">
                  <c:v>UD Almeria</c:v>
                </c:pt>
                <c:pt idx="160">
                  <c:v>UD Las Palmas</c:v>
                </c:pt>
                <c:pt idx="161">
                  <c:v>Udinese Calcio</c:v>
                </c:pt>
                <c:pt idx="162">
                  <c:v>US Lecce</c:v>
                </c:pt>
                <c:pt idx="163">
                  <c:v>US Sassuolo</c:v>
                </c:pt>
                <c:pt idx="164">
                  <c:v>Valencia CF</c:v>
                </c:pt>
                <c:pt idx="165">
                  <c:v>VfB Stuttgart</c:v>
                </c:pt>
                <c:pt idx="166">
                  <c:v>VfL Wolfsburg</c:v>
                </c:pt>
                <c:pt idx="167">
                  <c:v>Villarreal CF</c:v>
                </c:pt>
                <c:pt idx="168">
                  <c:v>Watford FC</c:v>
                </c:pt>
                <c:pt idx="169">
                  <c:v>West Bromwich Albion</c:v>
                </c:pt>
                <c:pt idx="170">
                  <c:v>West Ham United</c:v>
                </c:pt>
                <c:pt idx="171">
                  <c:v>Wigan Athletic</c:v>
                </c:pt>
                <c:pt idx="172">
                  <c:v>Xerez CD</c:v>
                </c:pt>
              </c:strCache>
            </c:strRef>
          </c:cat>
          <c:val>
            <c:numRef>
              <c:f>'Opponent Analysis(lm10)'!$C$5:$C$178</c:f>
              <c:numCache>
                <c:formatCode>General</c:formatCode>
                <c:ptCount val="173"/>
                <c:pt idx="1">
                  <c:v>1</c:v>
                </c:pt>
                <c:pt idx="2">
                  <c:v>8</c:v>
                </c:pt>
                <c:pt idx="5">
                  <c:v>6</c:v>
                </c:pt>
                <c:pt idx="6">
                  <c:v>1</c:v>
                </c:pt>
                <c:pt idx="10">
                  <c:v>3</c:v>
                </c:pt>
                <c:pt idx="11">
                  <c:v>9</c:v>
                </c:pt>
                <c:pt idx="12">
                  <c:v>2</c:v>
                </c:pt>
                <c:pt idx="15">
                  <c:v>29</c:v>
                </c:pt>
                <c:pt idx="16">
                  <c:v>32</c:v>
                </c:pt>
                <c:pt idx="17">
                  <c:v>2</c:v>
                </c:pt>
                <c:pt idx="18">
                  <c:v>7</c:v>
                </c:pt>
                <c:pt idx="19">
                  <c:v>4</c:v>
                </c:pt>
                <c:pt idx="20">
                  <c:v>1</c:v>
                </c:pt>
                <c:pt idx="26">
                  <c:v>1</c:v>
                </c:pt>
                <c:pt idx="27">
                  <c:v>1</c:v>
                </c:pt>
                <c:pt idx="32">
                  <c:v>25</c:v>
                </c:pt>
                <c:pt idx="33">
                  <c:v>1</c:v>
                </c:pt>
                <c:pt idx="34">
                  <c:v>1</c:v>
                </c:pt>
                <c:pt idx="35">
                  <c:v>6</c:v>
                </c:pt>
                <c:pt idx="38">
                  <c:v>11</c:v>
                </c:pt>
                <c:pt idx="39">
                  <c:v>2</c:v>
                </c:pt>
                <c:pt idx="40">
                  <c:v>5</c:v>
                </c:pt>
                <c:pt idx="41">
                  <c:v>14</c:v>
                </c:pt>
                <c:pt idx="42">
                  <c:v>8</c:v>
                </c:pt>
                <c:pt idx="44">
                  <c:v>1</c:v>
                </c:pt>
                <c:pt idx="46">
                  <c:v>3</c:v>
                </c:pt>
                <c:pt idx="47">
                  <c:v>4</c:v>
                </c:pt>
                <c:pt idx="48">
                  <c:v>1</c:v>
                </c:pt>
                <c:pt idx="49">
                  <c:v>2</c:v>
                </c:pt>
                <c:pt idx="50">
                  <c:v>1</c:v>
                </c:pt>
                <c:pt idx="52">
                  <c:v>1</c:v>
                </c:pt>
                <c:pt idx="55">
                  <c:v>13</c:v>
                </c:pt>
                <c:pt idx="56">
                  <c:v>20</c:v>
                </c:pt>
                <c:pt idx="59">
                  <c:v>3</c:v>
                </c:pt>
                <c:pt idx="60">
                  <c:v>7</c:v>
                </c:pt>
                <c:pt idx="62">
                  <c:v>1</c:v>
                </c:pt>
                <c:pt idx="66">
                  <c:v>2</c:v>
                </c:pt>
                <c:pt idx="67">
                  <c:v>3</c:v>
                </c:pt>
                <c:pt idx="70">
                  <c:v>1</c:v>
                </c:pt>
                <c:pt idx="71">
                  <c:v>4</c:v>
                </c:pt>
                <c:pt idx="73">
                  <c:v>1</c:v>
                </c:pt>
                <c:pt idx="76">
                  <c:v>1</c:v>
                </c:pt>
                <c:pt idx="77">
                  <c:v>3</c:v>
                </c:pt>
                <c:pt idx="79">
                  <c:v>1</c:v>
                </c:pt>
                <c:pt idx="85">
                  <c:v>21</c:v>
                </c:pt>
                <c:pt idx="86">
                  <c:v>2</c:v>
                </c:pt>
                <c:pt idx="87">
                  <c:v>4</c:v>
                </c:pt>
                <c:pt idx="89">
                  <c:v>15</c:v>
                </c:pt>
                <c:pt idx="91">
                  <c:v>2</c:v>
                </c:pt>
                <c:pt idx="94">
                  <c:v>3</c:v>
                </c:pt>
                <c:pt idx="96">
                  <c:v>24</c:v>
                </c:pt>
                <c:pt idx="97">
                  <c:v>2</c:v>
                </c:pt>
                <c:pt idx="98">
                  <c:v>3</c:v>
                </c:pt>
                <c:pt idx="100">
                  <c:v>3</c:v>
                </c:pt>
                <c:pt idx="101">
                  <c:v>13</c:v>
                </c:pt>
                <c:pt idx="103">
                  <c:v>7</c:v>
                </c:pt>
                <c:pt idx="104">
                  <c:v>4</c:v>
                </c:pt>
                <c:pt idx="107">
                  <c:v>2</c:v>
                </c:pt>
                <c:pt idx="108">
                  <c:v>1</c:v>
                </c:pt>
                <c:pt idx="112">
                  <c:v>1</c:v>
                </c:pt>
                <c:pt idx="113">
                  <c:v>1</c:v>
                </c:pt>
                <c:pt idx="114">
                  <c:v>6</c:v>
                </c:pt>
                <c:pt idx="115">
                  <c:v>1</c:v>
                </c:pt>
                <c:pt idx="116">
                  <c:v>4</c:v>
                </c:pt>
                <c:pt idx="117">
                  <c:v>6</c:v>
                </c:pt>
                <c:pt idx="120">
                  <c:v>4</c:v>
                </c:pt>
                <c:pt idx="121">
                  <c:v>12</c:v>
                </c:pt>
                <c:pt idx="122">
                  <c:v>1</c:v>
                </c:pt>
                <c:pt idx="123">
                  <c:v>18</c:v>
                </c:pt>
                <c:pt idx="124">
                  <c:v>2</c:v>
                </c:pt>
                <c:pt idx="125">
                  <c:v>1</c:v>
                </c:pt>
                <c:pt idx="126">
                  <c:v>25</c:v>
                </c:pt>
                <c:pt idx="127">
                  <c:v>16</c:v>
                </c:pt>
                <c:pt idx="129">
                  <c:v>26</c:v>
                </c:pt>
                <c:pt idx="130">
                  <c:v>26</c:v>
                </c:pt>
                <c:pt idx="132">
                  <c:v>18</c:v>
                </c:pt>
                <c:pt idx="133">
                  <c:v>8</c:v>
                </c:pt>
                <c:pt idx="134">
                  <c:v>14</c:v>
                </c:pt>
                <c:pt idx="135">
                  <c:v>3</c:v>
                </c:pt>
                <c:pt idx="136">
                  <c:v>2</c:v>
                </c:pt>
                <c:pt idx="137">
                  <c:v>20</c:v>
                </c:pt>
                <c:pt idx="138">
                  <c:v>4</c:v>
                </c:pt>
                <c:pt idx="140">
                  <c:v>38</c:v>
                </c:pt>
                <c:pt idx="141">
                  <c:v>3</c:v>
                </c:pt>
                <c:pt idx="142">
                  <c:v>1</c:v>
                </c:pt>
                <c:pt idx="143">
                  <c:v>1</c:v>
                </c:pt>
                <c:pt idx="146">
                  <c:v>4</c:v>
                </c:pt>
                <c:pt idx="148">
                  <c:v>1</c:v>
                </c:pt>
                <c:pt idx="149">
                  <c:v>6</c:v>
                </c:pt>
                <c:pt idx="151">
                  <c:v>1</c:v>
                </c:pt>
                <c:pt idx="154">
                  <c:v>1</c:v>
                </c:pt>
                <c:pt idx="156">
                  <c:v>2</c:v>
                </c:pt>
                <c:pt idx="158">
                  <c:v>13</c:v>
                </c:pt>
                <c:pt idx="160">
                  <c:v>4</c:v>
                </c:pt>
                <c:pt idx="164">
                  <c:v>31</c:v>
                </c:pt>
                <c:pt idx="165">
                  <c:v>3</c:v>
                </c:pt>
                <c:pt idx="167">
                  <c:v>16</c:v>
                </c:pt>
              </c:numCache>
            </c:numRef>
          </c:val>
          <c:extLst>
            <c:ext xmlns:c16="http://schemas.microsoft.com/office/drawing/2014/chart" uri="{C3380CC4-5D6E-409C-BE32-E72D297353CC}">
              <c16:uniqueId val="{000000C9-B275-4FF3-925D-A10A36625A65}"/>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[analysis.xlsm]Playing Position Analysis!PivotTable14</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Playing Position Analysis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'Playing Position Analysis'!$B$3:$B$4</c:f>
              <c:strCache>
                <c:ptCount val="1"/>
                <c:pt idx="0">
                  <c:v>AM</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Analysis'!$B$5:$B$7</c:f>
              <c:numCache>
                <c:formatCode>General</c:formatCode>
                <c:ptCount val="2"/>
                <c:pt idx="0">
                  <c:v>1</c:v>
                </c:pt>
                <c:pt idx="1">
                  <c:v>8</c:v>
                </c:pt>
              </c:numCache>
            </c:numRef>
          </c:val>
          <c:extLst>
            <c:ext xmlns:c16="http://schemas.microsoft.com/office/drawing/2014/chart" uri="{C3380CC4-5D6E-409C-BE32-E72D297353CC}">
              <c16:uniqueId val="{00000000-E0F9-4406-A19D-49C1B2448E45}"/>
            </c:ext>
          </c:extLst>
        </c:ser>
        <c:ser>
          <c:idx val="1"/>
          <c:order val="1"/>
          <c:tx>
            <c:strRef>
              <c:f>'Playing Position Analysis'!$C$3:$C$4</c:f>
              <c:strCache>
                <c:ptCount val="1"/>
                <c:pt idx="0">
                  <c:v>AM </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Analysis'!$C$5:$C$7</c:f>
              <c:numCache>
                <c:formatCode>General</c:formatCode>
                <c:ptCount val="2"/>
                <c:pt idx="1">
                  <c:v>7</c:v>
                </c:pt>
              </c:numCache>
            </c:numRef>
          </c:val>
          <c:extLst>
            <c:ext xmlns:c16="http://schemas.microsoft.com/office/drawing/2014/chart" uri="{C3380CC4-5D6E-409C-BE32-E72D297353CC}">
              <c16:uniqueId val="{0000002F-E0F9-4406-A19D-49C1B2448E45}"/>
            </c:ext>
          </c:extLst>
        </c:ser>
        <c:ser>
          <c:idx val="2"/>
          <c:order val="2"/>
          <c:tx>
            <c:strRef>
              <c:f>'Playing Position Analysis'!$D$3:$D$4</c:f>
              <c:strCache>
                <c:ptCount val="1"/>
                <c:pt idx="0">
                  <c:v>CF</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Analysis'!$D$5:$D$7</c:f>
              <c:numCache>
                <c:formatCode>General</c:formatCode>
                <c:ptCount val="2"/>
                <c:pt idx="0">
                  <c:v>217</c:v>
                </c:pt>
                <c:pt idx="1">
                  <c:v>276</c:v>
                </c:pt>
              </c:numCache>
            </c:numRef>
          </c:val>
          <c:extLst>
            <c:ext xmlns:c16="http://schemas.microsoft.com/office/drawing/2014/chart" uri="{C3380CC4-5D6E-409C-BE32-E72D297353CC}">
              <c16:uniqueId val="{00000030-E0F9-4406-A19D-49C1B2448E45}"/>
            </c:ext>
          </c:extLst>
        </c:ser>
        <c:ser>
          <c:idx val="3"/>
          <c:order val="3"/>
          <c:tx>
            <c:strRef>
              <c:f>'Playing Position Analysis'!$E$3:$E$4</c:f>
              <c:strCache>
                <c:ptCount val="1"/>
                <c:pt idx="0">
                  <c:v>CF </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Analysis'!$E$5:$E$7</c:f>
              <c:numCache>
                <c:formatCode>General</c:formatCode>
                <c:ptCount val="2"/>
                <c:pt idx="0">
                  <c:v>3</c:v>
                </c:pt>
                <c:pt idx="1">
                  <c:v>40</c:v>
                </c:pt>
              </c:numCache>
            </c:numRef>
          </c:val>
          <c:extLst>
            <c:ext xmlns:c16="http://schemas.microsoft.com/office/drawing/2014/chart" uri="{C3380CC4-5D6E-409C-BE32-E72D297353CC}">
              <c16:uniqueId val="{00000031-E0F9-4406-A19D-49C1B2448E45}"/>
            </c:ext>
          </c:extLst>
        </c:ser>
        <c:ser>
          <c:idx val="4"/>
          <c:order val="4"/>
          <c:tx>
            <c:strRef>
              <c:f>'Playing Position Analysis'!$F$3:$F$4</c:f>
              <c:strCache>
                <c:ptCount val="1"/>
                <c:pt idx="0">
                  <c:v>LW</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Analysis'!$F$5:$F$7</c:f>
              <c:numCache>
                <c:formatCode>General</c:formatCode>
                <c:ptCount val="2"/>
                <c:pt idx="0">
                  <c:v>359</c:v>
                </c:pt>
                <c:pt idx="1">
                  <c:v>1</c:v>
                </c:pt>
              </c:numCache>
            </c:numRef>
          </c:val>
          <c:extLst>
            <c:ext xmlns:c16="http://schemas.microsoft.com/office/drawing/2014/chart" uri="{C3380CC4-5D6E-409C-BE32-E72D297353CC}">
              <c16:uniqueId val="{00000032-E0F9-4406-A19D-49C1B2448E45}"/>
            </c:ext>
          </c:extLst>
        </c:ser>
        <c:ser>
          <c:idx val="5"/>
          <c:order val="5"/>
          <c:tx>
            <c:strRef>
              <c:f>'Playing Position Analysis'!$G$3:$G$4</c:f>
              <c:strCache>
                <c:ptCount val="1"/>
                <c:pt idx="0">
                  <c:v>LW </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Analysis'!$G$5:$G$7</c:f>
              <c:numCache>
                <c:formatCode>General</c:formatCode>
                <c:ptCount val="2"/>
                <c:pt idx="0">
                  <c:v>5</c:v>
                </c:pt>
              </c:numCache>
            </c:numRef>
          </c:val>
          <c:extLst>
            <c:ext xmlns:c16="http://schemas.microsoft.com/office/drawing/2014/chart" uri="{C3380CC4-5D6E-409C-BE32-E72D297353CC}">
              <c16:uniqueId val="{00000033-E0F9-4406-A19D-49C1B2448E45}"/>
            </c:ext>
          </c:extLst>
        </c:ser>
        <c:ser>
          <c:idx val="6"/>
          <c:order val="6"/>
          <c:tx>
            <c:strRef>
              <c:f>'Playing Position Analysis'!$H$3:$H$4</c:f>
              <c:strCache>
                <c:ptCount val="1"/>
                <c:pt idx="0">
                  <c:v>RW</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Analysis'!$H$5:$H$7</c:f>
              <c:numCache>
                <c:formatCode>General</c:formatCode>
                <c:ptCount val="2"/>
                <c:pt idx="0">
                  <c:v>125</c:v>
                </c:pt>
                <c:pt idx="1">
                  <c:v>221</c:v>
                </c:pt>
              </c:numCache>
            </c:numRef>
          </c:val>
          <c:extLst>
            <c:ext xmlns:c16="http://schemas.microsoft.com/office/drawing/2014/chart" uri="{C3380CC4-5D6E-409C-BE32-E72D297353CC}">
              <c16:uniqueId val="{00000045-E0F9-4406-A19D-49C1B2448E45}"/>
            </c:ext>
          </c:extLst>
        </c:ser>
        <c:ser>
          <c:idx val="7"/>
          <c:order val="7"/>
          <c:tx>
            <c:strRef>
              <c:f>'Playing Position Analysis'!$I$3:$I$4</c:f>
              <c:strCache>
                <c:ptCount val="1"/>
                <c:pt idx="0">
                  <c:v>RW </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Analysis'!$I$5:$I$7</c:f>
              <c:numCache>
                <c:formatCode>General</c:formatCode>
                <c:ptCount val="2"/>
                <c:pt idx="1">
                  <c:v>95</c:v>
                </c:pt>
              </c:numCache>
            </c:numRef>
          </c:val>
          <c:extLst>
            <c:ext xmlns:c16="http://schemas.microsoft.com/office/drawing/2014/chart" uri="{C3380CC4-5D6E-409C-BE32-E72D297353CC}">
              <c16:uniqueId val="{00000046-E0F9-4406-A19D-49C1B2448E45}"/>
            </c:ext>
          </c:extLst>
        </c:ser>
        <c:ser>
          <c:idx val="8"/>
          <c:order val="8"/>
          <c:tx>
            <c:strRef>
              <c:f>'Playing Position Analysis'!$J$3:$J$4</c:f>
              <c:strCache>
                <c:ptCount val="1"/>
                <c:pt idx="0">
                  <c:v>SS</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Analysis'!$J$5:$J$7</c:f>
              <c:numCache>
                <c:formatCode>General</c:formatCode>
                <c:ptCount val="2"/>
                <c:pt idx="1">
                  <c:v>23</c:v>
                </c:pt>
              </c:numCache>
            </c:numRef>
          </c:val>
          <c:extLst>
            <c:ext xmlns:c16="http://schemas.microsoft.com/office/drawing/2014/chart" uri="{C3380CC4-5D6E-409C-BE32-E72D297353CC}">
              <c16:uniqueId val="{00000047-E0F9-4406-A19D-49C1B2448E45}"/>
            </c:ext>
          </c:extLst>
        </c:ser>
        <c:ser>
          <c:idx val="9"/>
          <c:order val="9"/>
          <c:tx>
            <c:strRef>
              <c:f>'Playing Position Analysis'!$K$3:$K$4</c:f>
              <c:strCache>
                <c:ptCount val="1"/>
                <c:pt idx="0">
                  <c:v>SS </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Analysis'!$K$5:$K$7</c:f>
              <c:numCache>
                <c:formatCode>General</c:formatCode>
                <c:ptCount val="2"/>
                <c:pt idx="1">
                  <c:v>32</c:v>
                </c:pt>
              </c:numCache>
            </c:numRef>
          </c:val>
          <c:extLst>
            <c:ext xmlns:c16="http://schemas.microsoft.com/office/drawing/2014/chart" uri="{C3380CC4-5D6E-409C-BE32-E72D297353CC}">
              <c16:uniqueId val="{00000048-E0F9-4406-A19D-49C1B2448E45}"/>
            </c:ext>
          </c:extLst>
        </c:ser>
        <c:dLbls>
          <c:showLegendKey val="0"/>
          <c:showVal val="0"/>
          <c:showCatName val="0"/>
          <c:showSerName val="0"/>
          <c:showPercent val="0"/>
          <c:showBubbleSize val="0"/>
        </c:dLbls>
        <c:gapWidth val="100"/>
        <c:overlap val="-24"/>
        <c:axId val="446456863"/>
        <c:axId val="446458783"/>
      </c:barChart>
      <c:catAx>
        <c:axId val="44645686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Player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58783"/>
        <c:crosses val="autoZero"/>
        <c:auto val="1"/>
        <c:lblAlgn val="ctr"/>
        <c:lblOffset val="100"/>
        <c:noMultiLvlLbl val="0"/>
      </c:catAx>
      <c:valAx>
        <c:axId val="44645878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568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[analysis.xlsm]performance evaluation league!PivotTable1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Performance Evaluation across</a:t>
            </a:r>
            <a:r>
              <a:rPr lang="en-IN" baseline="0"/>
              <a:t> Leagues</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'performance evaluation league'!$B$3:$B$4</c:f>
              <c:strCache>
                <c:ptCount val="1"/>
                <c:pt idx="0">
                  <c:v>Cristiano Ronaldo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 league'!$A$5:$A$26</c:f>
              <c:strCache>
                <c:ptCount val="21"/>
                <c:pt idx="0">
                  <c:v>Champions League</c:v>
                </c:pt>
                <c:pt idx="1">
                  <c:v>Copa del Rey</c:v>
                </c:pt>
                <c:pt idx="2">
                  <c:v>EFL Cup</c:v>
                </c:pt>
                <c:pt idx="3">
                  <c:v>Europa League</c:v>
                </c:pt>
                <c:pt idx="4">
                  <c:v>FA Cup</c:v>
                </c:pt>
                <c:pt idx="5">
                  <c:v>FIFA Club World Cup</c:v>
                </c:pt>
                <c:pt idx="6">
                  <c:v>Italy Cup</c:v>
                </c:pt>
                <c:pt idx="7">
                  <c:v>LaLiga</c:v>
                </c:pt>
                <c:pt idx="8">
                  <c:v>Liga Portugal</c:v>
                </c:pt>
                <c:pt idx="9">
                  <c:v>Ligue 1</c:v>
                </c:pt>
                <c:pt idx="10">
                  <c:v>Premier League</c:v>
                </c:pt>
                <c:pt idx="11">
                  <c:v>Saudi Pro League</c:v>
                </c:pt>
                <c:pt idx="12">
                  <c:v>Serie A</c:v>
                </c:pt>
                <c:pt idx="13">
                  <c:v>Supercopa</c:v>
                </c:pt>
                <c:pt idx="14">
                  <c:v>Supercoppa Italiana</c:v>
                </c:pt>
                <c:pt idx="15">
                  <c:v>Taca de Portugal Placard</c:v>
                </c:pt>
                <c:pt idx="16">
                  <c:v>TrophÃ©e des Champions</c:v>
                </c:pt>
                <c:pt idx="17">
                  <c:v>Trophï¿½e des Champions</c:v>
                </c:pt>
                <c:pt idx="18">
                  <c:v>UEFA Champions League</c:v>
                </c:pt>
                <c:pt idx="19">
                  <c:v>UEFA Champions League Qualifying</c:v>
                </c:pt>
                <c:pt idx="20">
                  <c:v>UEFA Super Cup</c:v>
                </c:pt>
              </c:strCache>
            </c:strRef>
          </c:cat>
          <c:val>
            <c:numRef>
              <c:f>'performance evaluation league'!$B$5:$B$26</c:f>
              <c:numCache>
                <c:formatCode>General</c:formatCode>
                <c:ptCount val="21"/>
                <c:pt idx="1">
                  <c:v>22</c:v>
                </c:pt>
                <c:pt idx="2">
                  <c:v>4</c:v>
                </c:pt>
                <c:pt idx="3">
                  <c:v>2</c:v>
                </c:pt>
                <c:pt idx="4">
                  <c:v>13</c:v>
                </c:pt>
                <c:pt idx="5">
                  <c:v>7</c:v>
                </c:pt>
                <c:pt idx="6">
                  <c:v>4</c:v>
                </c:pt>
                <c:pt idx="7">
                  <c:v>311</c:v>
                </c:pt>
                <c:pt idx="8">
                  <c:v>3</c:v>
                </c:pt>
                <c:pt idx="10">
                  <c:v>103</c:v>
                </c:pt>
                <c:pt idx="11">
                  <c:v>9</c:v>
                </c:pt>
                <c:pt idx="12">
                  <c:v>81</c:v>
                </c:pt>
                <c:pt idx="13">
                  <c:v>4</c:v>
                </c:pt>
                <c:pt idx="14">
                  <c:v>2</c:v>
                </c:pt>
                <c:pt idx="15">
                  <c:v>2</c:v>
                </c:pt>
                <c:pt idx="18">
                  <c:v>140</c:v>
                </c:pt>
                <c:pt idx="19">
                  <c:v>1</c:v>
                </c:pt>
                <c:pt idx="20">
                  <c:v>2</c:v>
                </c:pt>
              </c:numCache>
            </c:numRef>
          </c:val>
          <c:extLst>
            <c:ext xmlns:c16="http://schemas.microsoft.com/office/drawing/2014/chart" uri="{C3380CC4-5D6E-409C-BE32-E72D297353CC}">
              <c16:uniqueId val="{00000000-0F2B-40C2-BAD4-1E97B4F17723}"/>
            </c:ext>
          </c:extLst>
        </c:ser>
        <c:ser>
          <c:idx val="1"/>
          <c:order val="1"/>
          <c:tx>
            <c:strRef>
              <c:f>'performance evaluation league'!$C$3:$C$4</c:f>
              <c:strCache>
                <c:ptCount val="1"/>
                <c:pt idx="0">
                  <c:v>Lionel Messi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 league'!$A$5:$A$26</c:f>
              <c:strCache>
                <c:ptCount val="21"/>
                <c:pt idx="0">
                  <c:v>Champions League</c:v>
                </c:pt>
                <c:pt idx="1">
                  <c:v>Copa del Rey</c:v>
                </c:pt>
                <c:pt idx="2">
                  <c:v>EFL Cup</c:v>
                </c:pt>
                <c:pt idx="3">
                  <c:v>Europa League</c:v>
                </c:pt>
                <c:pt idx="4">
                  <c:v>FA Cup</c:v>
                </c:pt>
                <c:pt idx="5">
                  <c:v>FIFA Club World Cup</c:v>
                </c:pt>
                <c:pt idx="6">
                  <c:v>Italy Cup</c:v>
                </c:pt>
                <c:pt idx="7">
                  <c:v>LaLiga</c:v>
                </c:pt>
                <c:pt idx="8">
                  <c:v>Liga Portugal</c:v>
                </c:pt>
                <c:pt idx="9">
                  <c:v>Ligue 1</c:v>
                </c:pt>
                <c:pt idx="10">
                  <c:v>Premier League</c:v>
                </c:pt>
                <c:pt idx="11">
                  <c:v>Saudi Pro League</c:v>
                </c:pt>
                <c:pt idx="12">
                  <c:v>Serie A</c:v>
                </c:pt>
                <c:pt idx="13">
                  <c:v>Supercopa</c:v>
                </c:pt>
                <c:pt idx="14">
                  <c:v>Supercoppa Italiana</c:v>
                </c:pt>
                <c:pt idx="15">
                  <c:v>Taca de Portugal Placard</c:v>
                </c:pt>
                <c:pt idx="16">
                  <c:v>TrophÃ©e des Champions</c:v>
                </c:pt>
                <c:pt idx="17">
                  <c:v>Trophï¿½e des Champions</c:v>
                </c:pt>
                <c:pt idx="18">
                  <c:v>UEFA Champions League</c:v>
                </c:pt>
                <c:pt idx="19">
                  <c:v>UEFA Champions League Qualifying</c:v>
                </c:pt>
                <c:pt idx="20">
                  <c:v>UEFA Super Cup</c:v>
                </c:pt>
              </c:strCache>
            </c:strRef>
          </c:cat>
          <c:val>
            <c:numRef>
              <c:f>'performance evaluation league'!$C$5:$C$26</c:f>
              <c:numCache>
                <c:formatCode>General</c:formatCode>
                <c:ptCount val="21"/>
                <c:pt idx="0">
                  <c:v>1</c:v>
                </c:pt>
                <c:pt idx="1">
                  <c:v>56</c:v>
                </c:pt>
                <c:pt idx="5">
                  <c:v>5</c:v>
                </c:pt>
                <c:pt idx="7">
                  <c:v>474</c:v>
                </c:pt>
                <c:pt idx="9">
                  <c:v>20</c:v>
                </c:pt>
                <c:pt idx="13">
                  <c:v>14</c:v>
                </c:pt>
                <c:pt idx="16">
                  <c:v>1</c:v>
                </c:pt>
                <c:pt idx="17">
                  <c:v>1</c:v>
                </c:pt>
                <c:pt idx="18">
                  <c:v>128</c:v>
                </c:pt>
                <c:pt idx="20">
                  <c:v>3</c:v>
                </c:pt>
              </c:numCache>
            </c:numRef>
          </c:val>
          <c:extLst>
            <c:ext xmlns:c16="http://schemas.microsoft.com/office/drawing/2014/chart" uri="{C3380CC4-5D6E-409C-BE32-E72D297353CC}">
              <c16:uniqueId val="{00000009-0F2B-40C2-BAD4-1E97B4F17723}"/>
            </c:ext>
          </c:extLst>
        </c:ser>
        <c:dLbls>
          <c:showLegendKey val="0"/>
          <c:showVal val="0"/>
          <c:showCatName val="0"/>
          <c:showSerName val="0"/>
          <c:showPercent val="0"/>
          <c:showBubbleSize val="0"/>
        </c:dLbls>
        <c:gapWidth val="115"/>
        <c:overlap val="-20"/>
        <c:axId val="458535023"/>
        <c:axId val="458546063"/>
      </c:barChart>
      <c:catAx>
        <c:axId val="458535023"/>
        <c:scaling>
          <c:orientation val="minMax"/>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League</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8546063"/>
        <c:crosses val="autoZero"/>
        <c:auto val="1"/>
        <c:lblAlgn val="ctr"/>
        <c:lblOffset val="100"/>
        <c:noMultiLvlLbl val="0"/>
      </c:catAx>
      <c:valAx>
        <c:axId val="458546063"/>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85350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[analysis.xlsm]Performance Evaluation matchday!PivotTable2</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Performance Evaluation based on Matchday</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'Performance Evaluation matchday'!$B$3:$B$4</c:f>
              <c:strCache>
                <c:ptCount val="1"/>
                <c:pt idx="0">
                  <c:v>Cristiano Ronaldo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 matchday'!$A$5:$A$57</c:f>
              <c:strCache>
                <c:ptCount val="5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3rd round</c:v>
                </c:pt>
                <c:pt idx="39">
                  <c:v>4th round</c:v>
                </c:pt>
                <c:pt idx="40">
                  <c:v>5th round</c:v>
                </c:pt>
                <c:pt idx="41">
                  <c:v>6th round</c:v>
                </c:pt>
                <c:pt idx="42">
                  <c:v>Fifth Round</c:v>
                </c:pt>
                <c:pt idx="43">
                  <c:v>Final</c:v>
                </c:pt>
                <c:pt idx="44">
                  <c:v>Fourth Round</c:v>
                </c:pt>
                <c:pt idx="45">
                  <c:v>Group Stage</c:v>
                </c:pt>
                <c:pt idx="46">
                  <c:v>last 16</c:v>
                </c:pt>
                <c:pt idx="47">
                  <c:v>Quarter-Finals</c:v>
                </c:pt>
                <c:pt idx="48">
                  <c:v>Round of 16</c:v>
                </c:pt>
                <c:pt idx="49">
                  <c:v>Semi-Finals</c:v>
                </c:pt>
                <c:pt idx="50">
                  <c:v>Sixth Round</c:v>
                </c:pt>
                <c:pt idx="51">
                  <c:v>Third Round</c:v>
                </c:pt>
              </c:strCache>
            </c:strRef>
          </c:cat>
          <c:val>
            <c:numRef>
              <c:f>'Performance Evaluation matchday'!$B$5:$B$57</c:f>
              <c:numCache>
                <c:formatCode>General</c:formatCode>
                <c:ptCount val="52"/>
                <c:pt idx="0">
                  <c:v>6</c:v>
                </c:pt>
                <c:pt idx="1">
                  <c:v>7</c:v>
                </c:pt>
                <c:pt idx="2">
                  <c:v>14</c:v>
                </c:pt>
                <c:pt idx="3">
                  <c:v>11</c:v>
                </c:pt>
                <c:pt idx="4">
                  <c:v>9</c:v>
                </c:pt>
                <c:pt idx="5">
                  <c:v>18</c:v>
                </c:pt>
                <c:pt idx="6">
                  <c:v>8</c:v>
                </c:pt>
                <c:pt idx="7">
                  <c:v>18</c:v>
                </c:pt>
                <c:pt idx="8">
                  <c:v>13</c:v>
                </c:pt>
                <c:pt idx="9">
                  <c:v>13</c:v>
                </c:pt>
                <c:pt idx="10">
                  <c:v>12</c:v>
                </c:pt>
                <c:pt idx="11">
                  <c:v>15</c:v>
                </c:pt>
                <c:pt idx="12">
                  <c:v>16</c:v>
                </c:pt>
                <c:pt idx="13">
                  <c:v>14</c:v>
                </c:pt>
                <c:pt idx="14">
                  <c:v>14</c:v>
                </c:pt>
                <c:pt idx="15">
                  <c:v>14</c:v>
                </c:pt>
                <c:pt idx="16">
                  <c:v>13</c:v>
                </c:pt>
                <c:pt idx="17">
                  <c:v>19</c:v>
                </c:pt>
                <c:pt idx="18">
                  <c:v>10</c:v>
                </c:pt>
                <c:pt idx="19">
                  <c:v>17</c:v>
                </c:pt>
                <c:pt idx="20">
                  <c:v>15</c:v>
                </c:pt>
                <c:pt idx="21">
                  <c:v>15</c:v>
                </c:pt>
                <c:pt idx="22">
                  <c:v>18</c:v>
                </c:pt>
                <c:pt idx="23">
                  <c:v>13</c:v>
                </c:pt>
                <c:pt idx="24">
                  <c:v>15</c:v>
                </c:pt>
                <c:pt idx="25">
                  <c:v>10</c:v>
                </c:pt>
                <c:pt idx="26">
                  <c:v>15</c:v>
                </c:pt>
                <c:pt idx="27">
                  <c:v>14</c:v>
                </c:pt>
                <c:pt idx="28">
                  <c:v>20</c:v>
                </c:pt>
                <c:pt idx="29">
                  <c:v>11</c:v>
                </c:pt>
                <c:pt idx="30">
                  <c:v>13</c:v>
                </c:pt>
                <c:pt idx="31">
                  <c:v>8</c:v>
                </c:pt>
                <c:pt idx="32">
                  <c:v>10</c:v>
                </c:pt>
                <c:pt idx="33">
                  <c:v>12</c:v>
                </c:pt>
                <c:pt idx="34">
                  <c:v>15</c:v>
                </c:pt>
                <c:pt idx="35">
                  <c:v>13</c:v>
                </c:pt>
                <c:pt idx="36">
                  <c:v>16</c:v>
                </c:pt>
                <c:pt idx="37">
                  <c:v>13</c:v>
                </c:pt>
                <c:pt idx="38">
                  <c:v>1</c:v>
                </c:pt>
                <c:pt idx="39">
                  <c:v>2</c:v>
                </c:pt>
                <c:pt idx="41">
                  <c:v>1</c:v>
                </c:pt>
                <c:pt idx="42">
                  <c:v>4</c:v>
                </c:pt>
                <c:pt idx="43">
                  <c:v>20</c:v>
                </c:pt>
                <c:pt idx="44">
                  <c:v>3</c:v>
                </c:pt>
                <c:pt idx="45">
                  <c:v>75</c:v>
                </c:pt>
                <c:pt idx="46">
                  <c:v>34</c:v>
                </c:pt>
                <c:pt idx="47">
                  <c:v>31</c:v>
                </c:pt>
                <c:pt idx="48">
                  <c:v>1</c:v>
                </c:pt>
                <c:pt idx="49">
                  <c:v>26</c:v>
                </c:pt>
                <c:pt idx="50">
                  <c:v>2</c:v>
                </c:pt>
                <c:pt idx="51">
                  <c:v>3</c:v>
                </c:pt>
              </c:numCache>
            </c:numRef>
          </c:val>
          <c:extLst>
            <c:ext xmlns:c16="http://schemas.microsoft.com/office/drawing/2014/chart" uri="{C3380CC4-5D6E-409C-BE32-E72D297353CC}">
              <c16:uniqueId val="{00000000-3035-4D95-B47A-8B37FED1845E}"/>
            </c:ext>
          </c:extLst>
        </c:ser>
        <c:ser>
          <c:idx val="1"/>
          <c:order val="1"/>
          <c:tx>
            <c:strRef>
              <c:f>'Performance Evaluation matchday'!$C$3:$C$4</c:f>
              <c:strCache>
                <c:ptCount val="1"/>
                <c:pt idx="0">
                  <c:v>Lionel Messi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 matchday'!$A$5:$A$57</c:f>
              <c:strCache>
                <c:ptCount val="5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3rd round</c:v>
                </c:pt>
                <c:pt idx="39">
                  <c:v>4th round</c:v>
                </c:pt>
                <c:pt idx="40">
                  <c:v>5th round</c:v>
                </c:pt>
                <c:pt idx="41">
                  <c:v>6th round</c:v>
                </c:pt>
                <c:pt idx="42">
                  <c:v>Fifth Round</c:v>
                </c:pt>
                <c:pt idx="43">
                  <c:v>Final</c:v>
                </c:pt>
                <c:pt idx="44">
                  <c:v>Fourth Round</c:v>
                </c:pt>
                <c:pt idx="45">
                  <c:v>Group Stage</c:v>
                </c:pt>
                <c:pt idx="46">
                  <c:v>last 16</c:v>
                </c:pt>
                <c:pt idx="47">
                  <c:v>Quarter-Finals</c:v>
                </c:pt>
                <c:pt idx="48">
                  <c:v>Round of 16</c:v>
                </c:pt>
                <c:pt idx="49">
                  <c:v>Semi-Finals</c:v>
                </c:pt>
                <c:pt idx="50">
                  <c:v>Sixth Round</c:v>
                </c:pt>
                <c:pt idx="51">
                  <c:v>Third Round</c:v>
                </c:pt>
              </c:strCache>
            </c:strRef>
          </c:cat>
          <c:val>
            <c:numRef>
              <c:f>'Performance Evaluation matchday'!$C$5:$C$57</c:f>
              <c:numCache>
                <c:formatCode>General</c:formatCode>
                <c:ptCount val="52"/>
                <c:pt idx="0">
                  <c:v>21</c:v>
                </c:pt>
                <c:pt idx="1">
                  <c:v>11</c:v>
                </c:pt>
                <c:pt idx="2">
                  <c:v>16</c:v>
                </c:pt>
                <c:pt idx="3">
                  <c:v>15</c:v>
                </c:pt>
                <c:pt idx="4">
                  <c:v>8</c:v>
                </c:pt>
                <c:pt idx="5">
                  <c:v>10</c:v>
                </c:pt>
                <c:pt idx="6">
                  <c:v>7</c:v>
                </c:pt>
                <c:pt idx="7">
                  <c:v>13</c:v>
                </c:pt>
                <c:pt idx="8">
                  <c:v>13</c:v>
                </c:pt>
                <c:pt idx="9">
                  <c:v>3</c:v>
                </c:pt>
                <c:pt idx="10">
                  <c:v>12</c:v>
                </c:pt>
                <c:pt idx="11">
                  <c:v>13</c:v>
                </c:pt>
                <c:pt idx="12">
                  <c:v>16</c:v>
                </c:pt>
                <c:pt idx="13">
                  <c:v>10</c:v>
                </c:pt>
                <c:pt idx="14">
                  <c:v>14</c:v>
                </c:pt>
                <c:pt idx="15">
                  <c:v>13</c:v>
                </c:pt>
                <c:pt idx="16">
                  <c:v>9</c:v>
                </c:pt>
                <c:pt idx="17">
                  <c:v>12</c:v>
                </c:pt>
                <c:pt idx="18">
                  <c:v>15</c:v>
                </c:pt>
                <c:pt idx="19">
                  <c:v>15</c:v>
                </c:pt>
                <c:pt idx="20">
                  <c:v>18</c:v>
                </c:pt>
                <c:pt idx="21">
                  <c:v>13</c:v>
                </c:pt>
                <c:pt idx="22">
                  <c:v>11</c:v>
                </c:pt>
                <c:pt idx="23">
                  <c:v>16</c:v>
                </c:pt>
                <c:pt idx="24">
                  <c:v>21</c:v>
                </c:pt>
                <c:pt idx="25">
                  <c:v>18</c:v>
                </c:pt>
                <c:pt idx="26">
                  <c:v>17</c:v>
                </c:pt>
                <c:pt idx="27">
                  <c:v>18</c:v>
                </c:pt>
                <c:pt idx="28">
                  <c:v>12</c:v>
                </c:pt>
                <c:pt idx="29">
                  <c:v>9</c:v>
                </c:pt>
                <c:pt idx="30">
                  <c:v>13</c:v>
                </c:pt>
                <c:pt idx="31">
                  <c:v>8</c:v>
                </c:pt>
                <c:pt idx="32">
                  <c:v>10</c:v>
                </c:pt>
                <c:pt idx="33">
                  <c:v>17</c:v>
                </c:pt>
                <c:pt idx="34">
                  <c:v>13</c:v>
                </c:pt>
                <c:pt idx="35">
                  <c:v>9</c:v>
                </c:pt>
                <c:pt idx="36">
                  <c:v>13</c:v>
                </c:pt>
                <c:pt idx="37">
                  <c:v>12</c:v>
                </c:pt>
                <c:pt idx="39">
                  <c:v>1</c:v>
                </c:pt>
                <c:pt idx="40">
                  <c:v>1</c:v>
                </c:pt>
                <c:pt idx="42">
                  <c:v>1</c:v>
                </c:pt>
                <c:pt idx="43">
                  <c:v>33</c:v>
                </c:pt>
                <c:pt idx="45">
                  <c:v>80</c:v>
                </c:pt>
                <c:pt idx="46">
                  <c:v>45</c:v>
                </c:pt>
                <c:pt idx="47">
                  <c:v>23</c:v>
                </c:pt>
                <c:pt idx="48">
                  <c:v>6</c:v>
                </c:pt>
                <c:pt idx="49">
                  <c:v>19</c:v>
                </c:pt>
              </c:numCache>
            </c:numRef>
          </c:val>
          <c:extLst>
            <c:ext xmlns:c16="http://schemas.microsoft.com/office/drawing/2014/chart" uri="{C3380CC4-5D6E-409C-BE32-E72D297353CC}">
              <c16:uniqueId val="{00000009-3035-4D95-B47A-8B37FED1845E}"/>
            </c:ext>
          </c:extLst>
        </c:ser>
        <c:dLbls>
          <c:showLegendKey val="0"/>
          <c:showVal val="0"/>
          <c:showCatName val="0"/>
          <c:showSerName val="0"/>
          <c:showPercent val="0"/>
          <c:showBubbleSize val="0"/>
        </c:dLbls>
        <c:gapWidth val="100"/>
        <c:overlap val="-24"/>
        <c:axId val="458555663"/>
        <c:axId val="458559983"/>
      </c:barChart>
      <c:catAx>
        <c:axId val="45855566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Matchday</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8559983"/>
        <c:crosses val="autoZero"/>
        <c:auto val="1"/>
        <c:lblAlgn val="ctr"/>
        <c:lblOffset val="100"/>
        <c:noMultiLvlLbl val="0"/>
      </c:catAx>
      <c:valAx>
        <c:axId val="45855998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85556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[analysis.xlsm]Performance Evaluation!PivotTable1</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Performance Evaluation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'Performance Evaluation'!$B$3</c:f>
              <c:strCache>
                <c:ptCount val="1"/>
                <c:pt idx="0">
                  <c:v>Total Solo Goals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Evaluation'!$A$4:$A$6</c:f>
              <c:strCache>
                <c:ptCount val="2"/>
                <c:pt idx="0">
                  <c:v>Cristiano Ronaldo</c:v>
                </c:pt>
                <c:pt idx="1">
                  <c:v>Lionel Messi</c:v>
                </c:pt>
              </c:strCache>
            </c:strRef>
          </c:cat>
          <c:val>
            <c:numRef>
              <c:f>'Performance Evaluation'!$B$4:$B$6</c:f>
              <c:numCache>
                <c:formatCode>General</c:formatCode>
                <c:ptCount val="2"/>
                <c:pt idx="0">
                  <c:v>246</c:v>
                </c:pt>
                <c:pt idx="1">
                  <c:v>214</c:v>
                </c:pt>
              </c:numCache>
            </c:numRef>
          </c:val>
          <c:extLst>
            <c:ext xmlns:c16="http://schemas.microsoft.com/office/drawing/2014/chart" uri="{C3380CC4-5D6E-409C-BE32-E72D297353CC}">
              <c16:uniqueId val="{00000000-219B-4171-9C1D-7E56E7FD105B}"/>
            </c:ext>
          </c:extLst>
        </c:ser>
        <c:ser>
          <c:idx val="1"/>
          <c:order val="1"/>
          <c:tx>
            <c:strRef>
              <c:f>'Performance Evaluation'!$C$3</c:f>
              <c:strCache>
                <c:ptCount val="1"/>
                <c:pt idx="0">
                  <c:v>Total Goals by assists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Evaluation'!$A$4:$A$6</c:f>
              <c:strCache>
                <c:ptCount val="2"/>
                <c:pt idx="0">
                  <c:v>Cristiano Ronaldo</c:v>
                </c:pt>
                <c:pt idx="1">
                  <c:v>Lionel Messi</c:v>
                </c:pt>
              </c:strCache>
            </c:strRef>
          </c:cat>
          <c:val>
            <c:numRef>
              <c:f>'Performance Evaluation'!$C$4:$C$6</c:f>
              <c:numCache>
                <c:formatCode>General</c:formatCode>
                <c:ptCount val="2"/>
                <c:pt idx="0">
                  <c:v>464</c:v>
                </c:pt>
                <c:pt idx="1">
                  <c:v>489</c:v>
                </c:pt>
              </c:numCache>
            </c:numRef>
          </c:val>
          <c:extLst>
            <c:ext xmlns:c16="http://schemas.microsoft.com/office/drawing/2014/chart" uri="{C3380CC4-5D6E-409C-BE32-E72D297353CC}">
              <c16:uniqueId val="{00000001-219B-4171-9C1D-7E56E7FD105B}"/>
            </c:ext>
          </c:extLst>
        </c:ser>
        <c:dLbls>
          <c:showLegendKey val="0"/>
          <c:showVal val="0"/>
          <c:showCatName val="0"/>
          <c:showSerName val="0"/>
          <c:showPercent val="0"/>
          <c:showBubbleSize val="0"/>
        </c:dLbls>
        <c:gapWidth val="100"/>
        <c:overlap val="-24"/>
        <c:axId val="83743647"/>
        <c:axId val="83744127"/>
      </c:barChart>
      <c:catAx>
        <c:axId val="83743647"/>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Player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3744127"/>
        <c:crosses val="autoZero"/>
        <c:auto val="1"/>
        <c:lblAlgn val="ctr"/>
        <c:lblOffset val="100"/>
        <c:noMultiLvlLbl val="0"/>
      </c:catAx>
      <c:valAx>
        <c:axId val="83744127"/>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37436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[analysis.xlsm]performance evaluation league!PivotTable1</c:name>
    <c:fmtId val="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Performance Evaluation across</a:t>
            </a:r>
            <a:r>
              <a:rPr lang="en-IN" baseline="0"/>
              <a:t> Leagues</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square"/>
          <c:size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'performance evaluation league'!$B$3:$B$4</c:f>
              <c:strCache>
                <c:ptCount val="1"/>
                <c:pt idx="0">
                  <c:v>Cristiano Ronaldo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 league'!$A$5:$A$26</c:f>
              <c:strCache>
                <c:ptCount val="21"/>
                <c:pt idx="0">
                  <c:v>Champions League</c:v>
                </c:pt>
                <c:pt idx="1">
                  <c:v>Copa del Rey</c:v>
                </c:pt>
                <c:pt idx="2">
                  <c:v>EFL Cup</c:v>
                </c:pt>
                <c:pt idx="3">
                  <c:v>Europa League</c:v>
                </c:pt>
                <c:pt idx="4">
                  <c:v>FA Cup</c:v>
                </c:pt>
                <c:pt idx="5">
                  <c:v>FIFA Club World Cup</c:v>
                </c:pt>
                <c:pt idx="6">
                  <c:v>Italy Cup</c:v>
                </c:pt>
                <c:pt idx="7">
                  <c:v>LaLiga</c:v>
                </c:pt>
                <c:pt idx="8">
                  <c:v>Liga Portugal</c:v>
                </c:pt>
                <c:pt idx="9">
                  <c:v>Ligue 1</c:v>
                </c:pt>
                <c:pt idx="10">
                  <c:v>Premier League</c:v>
                </c:pt>
                <c:pt idx="11">
                  <c:v>Saudi Pro League</c:v>
                </c:pt>
                <c:pt idx="12">
                  <c:v>Serie A</c:v>
                </c:pt>
                <c:pt idx="13">
                  <c:v>Supercopa</c:v>
                </c:pt>
                <c:pt idx="14">
                  <c:v>Supercoppa Italiana</c:v>
                </c:pt>
                <c:pt idx="15">
                  <c:v>Taca de Portugal Placard</c:v>
                </c:pt>
                <c:pt idx="16">
                  <c:v>TrophÃ©e des Champions</c:v>
                </c:pt>
                <c:pt idx="17">
                  <c:v>Trophï¿½e des Champions</c:v>
                </c:pt>
                <c:pt idx="18">
                  <c:v>UEFA Champions League</c:v>
                </c:pt>
                <c:pt idx="19">
                  <c:v>UEFA Champions League Qualifying</c:v>
                </c:pt>
                <c:pt idx="20">
                  <c:v>UEFA Super Cup</c:v>
                </c:pt>
              </c:strCache>
            </c:strRef>
          </c:cat>
          <c:val>
            <c:numRef>
              <c:f>'performance evaluation league'!$B$5:$B$26</c:f>
              <c:numCache>
                <c:formatCode>General</c:formatCode>
                <c:ptCount val="21"/>
                <c:pt idx="1">
                  <c:v>22</c:v>
                </c:pt>
                <c:pt idx="2">
                  <c:v>4</c:v>
                </c:pt>
                <c:pt idx="3">
                  <c:v>2</c:v>
                </c:pt>
                <c:pt idx="4">
                  <c:v>13</c:v>
                </c:pt>
                <c:pt idx="5">
                  <c:v>7</c:v>
                </c:pt>
                <c:pt idx="6">
                  <c:v>4</c:v>
                </c:pt>
                <c:pt idx="7">
                  <c:v>311</c:v>
                </c:pt>
                <c:pt idx="8">
                  <c:v>3</c:v>
                </c:pt>
                <c:pt idx="10">
                  <c:v>103</c:v>
                </c:pt>
                <c:pt idx="11">
                  <c:v>9</c:v>
                </c:pt>
                <c:pt idx="12">
                  <c:v>81</c:v>
                </c:pt>
                <c:pt idx="13">
                  <c:v>4</c:v>
                </c:pt>
                <c:pt idx="14">
                  <c:v>2</c:v>
                </c:pt>
                <c:pt idx="15">
                  <c:v>2</c:v>
                </c:pt>
                <c:pt idx="18">
                  <c:v>140</c:v>
                </c:pt>
                <c:pt idx="19">
                  <c:v>1</c:v>
                </c:pt>
                <c:pt idx="20">
                  <c:v>2</c:v>
                </c:pt>
              </c:numCache>
            </c:numRef>
          </c:val>
          <c:extLst>
            <c:ext xmlns:c16="http://schemas.microsoft.com/office/drawing/2014/chart" uri="{C3380CC4-5D6E-409C-BE32-E72D297353CC}">
              <c16:uniqueId val="{00000000-BC16-4D93-821B-825E0801FA6F}"/>
            </c:ext>
          </c:extLst>
        </c:ser>
        <c:ser>
          <c:idx val="1"/>
          <c:order val="1"/>
          <c:tx>
            <c:strRef>
              <c:f>'performance evaluation league'!$C$3:$C$4</c:f>
              <c:strCache>
                <c:ptCount val="1"/>
                <c:pt idx="0">
                  <c:v>Lionel Messi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 league'!$A$5:$A$26</c:f>
              <c:strCache>
                <c:ptCount val="21"/>
                <c:pt idx="0">
                  <c:v>Champions League</c:v>
                </c:pt>
                <c:pt idx="1">
                  <c:v>Copa del Rey</c:v>
                </c:pt>
                <c:pt idx="2">
                  <c:v>EFL Cup</c:v>
                </c:pt>
                <c:pt idx="3">
                  <c:v>Europa League</c:v>
                </c:pt>
                <c:pt idx="4">
                  <c:v>FA Cup</c:v>
                </c:pt>
                <c:pt idx="5">
                  <c:v>FIFA Club World Cup</c:v>
                </c:pt>
                <c:pt idx="6">
                  <c:v>Italy Cup</c:v>
                </c:pt>
                <c:pt idx="7">
                  <c:v>LaLiga</c:v>
                </c:pt>
                <c:pt idx="8">
                  <c:v>Liga Portugal</c:v>
                </c:pt>
                <c:pt idx="9">
                  <c:v>Ligue 1</c:v>
                </c:pt>
                <c:pt idx="10">
                  <c:v>Premier League</c:v>
                </c:pt>
                <c:pt idx="11">
                  <c:v>Saudi Pro League</c:v>
                </c:pt>
                <c:pt idx="12">
                  <c:v>Serie A</c:v>
                </c:pt>
                <c:pt idx="13">
                  <c:v>Supercopa</c:v>
                </c:pt>
                <c:pt idx="14">
                  <c:v>Supercoppa Italiana</c:v>
                </c:pt>
                <c:pt idx="15">
                  <c:v>Taca de Portugal Placard</c:v>
                </c:pt>
                <c:pt idx="16">
                  <c:v>TrophÃ©e des Champions</c:v>
                </c:pt>
                <c:pt idx="17">
                  <c:v>Trophï¿½e des Champions</c:v>
                </c:pt>
                <c:pt idx="18">
                  <c:v>UEFA Champions League</c:v>
                </c:pt>
                <c:pt idx="19">
                  <c:v>UEFA Champions League Qualifying</c:v>
                </c:pt>
                <c:pt idx="20">
                  <c:v>UEFA Super Cup</c:v>
                </c:pt>
              </c:strCache>
            </c:strRef>
          </c:cat>
          <c:val>
            <c:numRef>
              <c:f>'performance evaluation league'!$C$5:$C$26</c:f>
              <c:numCache>
                <c:formatCode>General</c:formatCode>
                <c:ptCount val="21"/>
                <c:pt idx="0">
                  <c:v>1</c:v>
                </c:pt>
                <c:pt idx="1">
                  <c:v>56</c:v>
                </c:pt>
                <c:pt idx="5">
                  <c:v>5</c:v>
                </c:pt>
                <c:pt idx="7">
                  <c:v>474</c:v>
                </c:pt>
                <c:pt idx="9">
                  <c:v>20</c:v>
                </c:pt>
                <c:pt idx="13">
                  <c:v>14</c:v>
                </c:pt>
                <c:pt idx="16">
                  <c:v>1</c:v>
                </c:pt>
                <c:pt idx="17">
                  <c:v>1</c:v>
                </c:pt>
                <c:pt idx="18">
                  <c:v>128</c:v>
                </c:pt>
                <c:pt idx="20">
                  <c:v>3</c:v>
                </c:pt>
              </c:numCache>
            </c:numRef>
          </c:val>
          <c:extLst>
            <c:ext xmlns:c16="http://schemas.microsoft.com/office/drawing/2014/chart" uri="{C3380CC4-5D6E-409C-BE32-E72D297353CC}">
              <c16:uniqueId val="{00000009-BC16-4D93-821B-825E0801FA6F}"/>
            </c:ext>
          </c:extLst>
        </c:ser>
        <c:dLbls>
          <c:showLegendKey val="0"/>
          <c:showVal val="0"/>
          <c:showCatName val="0"/>
          <c:showSerName val="0"/>
          <c:showPercent val="0"/>
          <c:showBubbleSize val="0"/>
        </c:dLbls>
        <c:gapWidth val="115"/>
        <c:overlap val="-20"/>
        <c:axId val="458535023"/>
        <c:axId val="458546063"/>
      </c:barChart>
      <c:catAx>
        <c:axId val="458535023"/>
        <c:scaling>
          <c:orientation val="minMax"/>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League</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8546063"/>
        <c:crosses val="autoZero"/>
        <c:auto val="1"/>
        <c:lblAlgn val="ctr"/>
        <c:lblOffset val="100"/>
        <c:noMultiLvlLbl val="0"/>
      </c:catAx>
      <c:valAx>
        <c:axId val="458546063"/>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85350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[analysis.xlsm]Consistency Measurement yr!PivotTable6</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Trend of Consistency Over Years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'Consistency Measurement yr'!$B$3:$B$4</c:f>
              <c:strCache>
                <c:ptCount val="1"/>
                <c:pt idx="0">
                  <c:v>Cristiano Ronaldo</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'Consistency Measurement yr'!$A$5:$A$27</c:f>
              <c:strCache>
                <c:ptCount val="22"/>
                <c:pt idx="0">
                  <c:v>2002</c:v>
                </c:pt>
                <c:pt idx="1">
                  <c:v>2003</c:v>
                </c:pt>
                <c:pt idx="2">
                  <c:v>2004</c:v>
                </c:pt>
                <c:pt idx="3">
                  <c:v>2005</c:v>
                </c:pt>
                <c:pt idx="4">
                  <c:v>2006</c:v>
                </c:pt>
                <c:pt idx="5">
                  <c:v>2007</c:v>
                </c:pt>
                <c:pt idx="6">
                  <c:v>2008</c:v>
                </c:pt>
                <c:pt idx="7">
                  <c:v>2009</c:v>
                </c:pt>
                <c:pt idx="8">
                  <c:v>2010</c:v>
                </c:pt>
                <c:pt idx="9">
                  <c:v>2011</c:v>
                </c:pt>
                <c:pt idx="10">
                  <c:v>2012</c:v>
                </c:pt>
                <c:pt idx="11">
                  <c:v>2013</c:v>
                </c:pt>
                <c:pt idx="12">
                  <c:v>2014</c:v>
                </c:pt>
                <c:pt idx="13">
                  <c:v>2015</c:v>
                </c:pt>
                <c:pt idx="14">
                  <c:v>2016</c:v>
                </c:pt>
                <c:pt idx="15">
                  <c:v>2017</c:v>
                </c:pt>
                <c:pt idx="16">
                  <c:v>2018</c:v>
                </c:pt>
                <c:pt idx="17">
                  <c:v>2019</c:v>
                </c:pt>
                <c:pt idx="18">
                  <c:v>2020</c:v>
                </c:pt>
                <c:pt idx="19">
                  <c:v>2021</c:v>
                </c:pt>
                <c:pt idx="20">
                  <c:v>2022</c:v>
                </c:pt>
                <c:pt idx="21">
                  <c:v>2023</c:v>
                </c:pt>
              </c:strCache>
            </c:strRef>
          </c:cat>
          <c:val>
            <c:numRef>
              <c:f>'Consistency Measurement yr'!$B$5:$B$27</c:f>
              <c:numCache>
                <c:formatCode>General</c:formatCode>
                <c:ptCount val="22"/>
                <c:pt idx="0">
                  <c:v>5</c:v>
                </c:pt>
                <c:pt idx="1">
                  <c:v>1</c:v>
                </c:pt>
                <c:pt idx="2">
                  <c:v>6</c:v>
                </c:pt>
                <c:pt idx="3">
                  <c:v>13</c:v>
                </c:pt>
                <c:pt idx="4">
                  <c:v>19</c:v>
                </c:pt>
                <c:pt idx="5">
                  <c:v>29</c:v>
                </c:pt>
                <c:pt idx="6">
                  <c:v>34</c:v>
                </c:pt>
                <c:pt idx="7">
                  <c:v>29</c:v>
                </c:pt>
                <c:pt idx="8">
                  <c:v>45</c:v>
                </c:pt>
                <c:pt idx="9">
                  <c:v>53</c:v>
                </c:pt>
                <c:pt idx="10">
                  <c:v>58</c:v>
                </c:pt>
                <c:pt idx="11">
                  <c:v>59</c:v>
                </c:pt>
                <c:pt idx="12">
                  <c:v>56</c:v>
                </c:pt>
                <c:pt idx="13">
                  <c:v>54</c:v>
                </c:pt>
                <c:pt idx="14">
                  <c:v>42</c:v>
                </c:pt>
                <c:pt idx="15">
                  <c:v>42</c:v>
                </c:pt>
                <c:pt idx="16">
                  <c:v>43</c:v>
                </c:pt>
                <c:pt idx="17">
                  <c:v>25</c:v>
                </c:pt>
                <c:pt idx="18">
                  <c:v>41</c:v>
                </c:pt>
                <c:pt idx="19">
                  <c:v>34</c:v>
                </c:pt>
                <c:pt idx="20">
                  <c:v>13</c:v>
                </c:pt>
                <c:pt idx="21">
                  <c:v>9</c:v>
                </c:pt>
              </c:numCache>
            </c:numRef>
          </c:val>
          <c:smooth val="0"/>
          <c:extLst>
            <c:ext xmlns:c16="http://schemas.microsoft.com/office/drawing/2014/chart" uri="{C3380CC4-5D6E-409C-BE32-E72D297353CC}">
              <c16:uniqueId val="{00000004-B001-451A-837E-D1376638BBEA}"/>
            </c:ext>
          </c:extLst>
        </c:ser>
        <c:ser>
          <c:idx val="1"/>
          <c:order val="1"/>
          <c:tx>
            <c:strRef>
              <c:f>'Consistency Measurement yr'!$C$3:$C$4</c:f>
              <c:strCache>
                <c:ptCount val="1"/>
                <c:pt idx="0">
                  <c:v>Lionel Messi</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'Consistency Measurement yr'!$A$5:$A$27</c:f>
              <c:strCache>
                <c:ptCount val="22"/>
                <c:pt idx="0">
                  <c:v>2002</c:v>
                </c:pt>
                <c:pt idx="1">
                  <c:v>2003</c:v>
                </c:pt>
                <c:pt idx="2">
                  <c:v>2004</c:v>
                </c:pt>
                <c:pt idx="3">
                  <c:v>2005</c:v>
                </c:pt>
                <c:pt idx="4">
                  <c:v>2006</c:v>
                </c:pt>
                <c:pt idx="5">
                  <c:v>2007</c:v>
                </c:pt>
                <c:pt idx="6">
                  <c:v>2008</c:v>
                </c:pt>
                <c:pt idx="7">
                  <c:v>2009</c:v>
                </c:pt>
                <c:pt idx="8">
                  <c:v>2010</c:v>
                </c:pt>
                <c:pt idx="9">
                  <c:v>2011</c:v>
                </c:pt>
                <c:pt idx="10">
                  <c:v>2012</c:v>
                </c:pt>
                <c:pt idx="11">
                  <c:v>2013</c:v>
                </c:pt>
                <c:pt idx="12">
                  <c:v>2014</c:v>
                </c:pt>
                <c:pt idx="13">
                  <c:v>2015</c:v>
                </c:pt>
                <c:pt idx="14">
                  <c:v>2016</c:v>
                </c:pt>
                <c:pt idx="15">
                  <c:v>2017</c:v>
                </c:pt>
                <c:pt idx="16">
                  <c:v>2018</c:v>
                </c:pt>
                <c:pt idx="17">
                  <c:v>2019</c:v>
                </c:pt>
                <c:pt idx="18">
                  <c:v>2020</c:v>
                </c:pt>
                <c:pt idx="19">
                  <c:v>2021</c:v>
                </c:pt>
                <c:pt idx="20">
                  <c:v>2022</c:v>
                </c:pt>
                <c:pt idx="21">
                  <c:v>2023</c:v>
                </c:pt>
              </c:strCache>
            </c:strRef>
          </c:cat>
          <c:val>
            <c:numRef>
              <c:f>'Consistency Measurement yr'!$C$5:$C$27</c:f>
              <c:numCache>
                <c:formatCode>General</c:formatCode>
                <c:ptCount val="22"/>
                <c:pt idx="3">
                  <c:v>3</c:v>
                </c:pt>
                <c:pt idx="4">
                  <c:v>10</c:v>
                </c:pt>
                <c:pt idx="5">
                  <c:v>25</c:v>
                </c:pt>
                <c:pt idx="6">
                  <c:v>20</c:v>
                </c:pt>
                <c:pt idx="7">
                  <c:v>38</c:v>
                </c:pt>
                <c:pt idx="8">
                  <c:v>58</c:v>
                </c:pt>
                <c:pt idx="9">
                  <c:v>55</c:v>
                </c:pt>
                <c:pt idx="10">
                  <c:v>79</c:v>
                </c:pt>
                <c:pt idx="11">
                  <c:v>39</c:v>
                </c:pt>
                <c:pt idx="12">
                  <c:v>50</c:v>
                </c:pt>
                <c:pt idx="13">
                  <c:v>48</c:v>
                </c:pt>
                <c:pt idx="14">
                  <c:v>51</c:v>
                </c:pt>
                <c:pt idx="15">
                  <c:v>50</c:v>
                </c:pt>
                <c:pt idx="16">
                  <c:v>47</c:v>
                </c:pt>
                <c:pt idx="17">
                  <c:v>45</c:v>
                </c:pt>
                <c:pt idx="18">
                  <c:v>26</c:v>
                </c:pt>
                <c:pt idx="19">
                  <c:v>34</c:v>
                </c:pt>
                <c:pt idx="20">
                  <c:v>20</c:v>
                </c:pt>
                <c:pt idx="21">
                  <c:v>5</c:v>
                </c:pt>
              </c:numCache>
            </c:numRef>
          </c:val>
          <c:smooth val="0"/>
          <c:extLst>
            <c:ext xmlns:c16="http://schemas.microsoft.com/office/drawing/2014/chart" uri="{C3380CC4-5D6E-409C-BE32-E72D297353CC}">
              <c16:uniqueId val="{0000000D-B001-451A-837E-D1376638BBEA}"/>
            </c:ext>
          </c:extLst>
        </c:ser>
        <c:dLbls>
          <c:showLegendKey val="0"/>
          <c:showVal val="0"/>
          <c:showCatName val="0"/>
          <c:showSerName val="0"/>
          <c:showPercent val="0"/>
          <c:showBubbleSize val="0"/>
        </c:dLbls>
        <c:marker val="1"/>
        <c:smooth val="0"/>
        <c:axId val="446457343"/>
        <c:axId val="446473183"/>
      </c:lineChart>
      <c:catAx>
        <c:axId val="44645734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Year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73183"/>
        <c:crosses val="autoZero"/>
        <c:auto val="1"/>
        <c:lblAlgn val="ctr"/>
        <c:lblOffset val="100"/>
        <c:noMultiLvlLbl val="0"/>
      </c:catAx>
      <c:valAx>
        <c:axId val="44647318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573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[analysis.xlsm]Playing Position Analysis!PivotTable14</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Playing Position Analysis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w="9525">
              <a:solidFill>
                <a:schemeClr val="accent3">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w="9525">
              <a:solidFill>
                <a:schemeClr val="accent4">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'Playing Position Analysis'!$B$3:$B$4</c:f>
              <c:strCache>
                <c:ptCount val="1"/>
                <c:pt idx="0">
                  <c:v>AM</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Analysis'!$B$5:$B$7</c:f>
              <c:numCache>
                <c:formatCode>General</c:formatCode>
                <c:ptCount val="2"/>
                <c:pt idx="0">
                  <c:v>1</c:v>
                </c:pt>
                <c:pt idx="1">
                  <c:v>8</c:v>
                </c:pt>
              </c:numCache>
            </c:numRef>
          </c:val>
          <c:extLst>
            <c:ext xmlns:c16="http://schemas.microsoft.com/office/drawing/2014/chart" uri="{C3380CC4-5D6E-409C-BE32-E72D297353CC}">
              <c16:uniqueId val="{00000000-90BC-463B-B31B-7C63EA11BFE0}"/>
            </c:ext>
          </c:extLst>
        </c:ser>
        <c:ser>
          <c:idx val="1"/>
          <c:order val="1"/>
          <c:tx>
            <c:strRef>
              <c:f>'Playing Position Analysis'!$C$3:$C$4</c:f>
              <c:strCache>
                <c:ptCount val="1"/>
                <c:pt idx="0">
                  <c:v>AM </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Analysis'!$C$5:$C$7</c:f>
              <c:numCache>
                <c:formatCode>General</c:formatCode>
                <c:ptCount val="2"/>
                <c:pt idx="1">
                  <c:v>7</c:v>
                </c:pt>
              </c:numCache>
            </c:numRef>
          </c:val>
          <c:extLst>
            <c:ext xmlns:c16="http://schemas.microsoft.com/office/drawing/2014/chart" uri="{C3380CC4-5D6E-409C-BE32-E72D297353CC}">
              <c16:uniqueId val="{0000002F-90BC-463B-B31B-7C63EA11BFE0}"/>
            </c:ext>
          </c:extLst>
        </c:ser>
        <c:ser>
          <c:idx val="2"/>
          <c:order val="2"/>
          <c:tx>
            <c:strRef>
              <c:f>'Playing Position Analysis'!$D$3:$D$4</c:f>
              <c:strCache>
                <c:ptCount val="1"/>
                <c:pt idx="0">
                  <c:v>CF</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Analysis'!$D$5:$D$7</c:f>
              <c:numCache>
                <c:formatCode>General</c:formatCode>
                <c:ptCount val="2"/>
                <c:pt idx="0">
                  <c:v>217</c:v>
                </c:pt>
                <c:pt idx="1">
                  <c:v>276</c:v>
                </c:pt>
              </c:numCache>
            </c:numRef>
          </c:val>
          <c:extLst>
            <c:ext xmlns:c16="http://schemas.microsoft.com/office/drawing/2014/chart" uri="{C3380CC4-5D6E-409C-BE32-E72D297353CC}">
              <c16:uniqueId val="{00000030-90BC-463B-B31B-7C63EA11BFE0}"/>
            </c:ext>
          </c:extLst>
        </c:ser>
        <c:ser>
          <c:idx val="3"/>
          <c:order val="3"/>
          <c:tx>
            <c:strRef>
              <c:f>'Playing Position Analysis'!$E$3:$E$4</c:f>
              <c:strCache>
                <c:ptCount val="1"/>
                <c:pt idx="0">
                  <c:v>CF </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Analysis'!$E$5:$E$7</c:f>
              <c:numCache>
                <c:formatCode>General</c:formatCode>
                <c:ptCount val="2"/>
                <c:pt idx="0">
                  <c:v>3</c:v>
                </c:pt>
                <c:pt idx="1">
                  <c:v>40</c:v>
                </c:pt>
              </c:numCache>
            </c:numRef>
          </c:val>
          <c:extLst>
            <c:ext xmlns:c16="http://schemas.microsoft.com/office/drawing/2014/chart" uri="{C3380CC4-5D6E-409C-BE32-E72D297353CC}">
              <c16:uniqueId val="{00000031-90BC-463B-B31B-7C63EA11BFE0}"/>
            </c:ext>
          </c:extLst>
        </c:ser>
        <c:ser>
          <c:idx val="4"/>
          <c:order val="4"/>
          <c:tx>
            <c:strRef>
              <c:f>'Playing Position Analysis'!$F$3:$F$4</c:f>
              <c:strCache>
                <c:ptCount val="1"/>
                <c:pt idx="0">
                  <c:v>LW</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Analysis'!$F$5:$F$7</c:f>
              <c:numCache>
                <c:formatCode>General</c:formatCode>
                <c:ptCount val="2"/>
                <c:pt idx="0">
                  <c:v>359</c:v>
                </c:pt>
                <c:pt idx="1">
                  <c:v>1</c:v>
                </c:pt>
              </c:numCache>
            </c:numRef>
          </c:val>
          <c:extLst>
            <c:ext xmlns:c16="http://schemas.microsoft.com/office/drawing/2014/chart" uri="{C3380CC4-5D6E-409C-BE32-E72D297353CC}">
              <c16:uniqueId val="{00000032-90BC-463B-B31B-7C63EA11BFE0}"/>
            </c:ext>
          </c:extLst>
        </c:ser>
        <c:ser>
          <c:idx val="5"/>
          <c:order val="5"/>
          <c:tx>
            <c:strRef>
              <c:f>'Playing Position Analysis'!$G$3:$G$4</c:f>
              <c:strCache>
                <c:ptCount val="1"/>
                <c:pt idx="0">
                  <c:v>LW </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Analysis'!$G$5:$G$7</c:f>
              <c:numCache>
                <c:formatCode>General</c:formatCode>
                <c:ptCount val="2"/>
                <c:pt idx="0">
                  <c:v>5</c:v>
                </c:pt>
              </c:numCache>
            </c:numRef>
          </c:val>
          <c:extLst>
            <c:ext xmlns:c16="http://schemas.microsoft.com/office/drawing/2014/chart" uri="{C3380CC4-5D6E-409C-BE32-E72D297353CC}">
              <c16:uniqueId val="{00000033-90BC-463B-B31B-7C63EA11BFE0}"/>
            </c:ext>
          </c:extLst>
        </c:ser>
        <c:ser>
          <c:idx val="6"/>
          <c:order val="6"/>
          <c:tx>
            <c:strRef>
              <c:f>'Playing Position Analysis'!$H$3:$H$4</c:f>
              <c:strCache>
                <c:ptCount val="1"/>
                <c:pt idx="0">
                  <c:v>RW</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Analysis'!$H$5:$H$7</c:f>
              <c:numCache>
                <c:formatCode>General</c:formatCode>
                <c:ptCount val="2"/>
                <c:pt idx="0">
                  <c:v>125</c:v>
                </c:pt>
                <c:pt idx="1">
                  <c:v>221</c:v>
                </c:pt>
              </c:numCache>
            </c:numRef>
          </c:val>
          <c:extLst>
            <c:ext xmlns:c16="http://schemas.microsoft.com/office/drawing/2014/chart" uri="{C3380CC4-5D6E-409C-BE32-E72D297353CC}">
              <c16:uniqueId val="{00000045-90BC-463B-B31B-7C63EA11BFE0}"/>
            </c:ext>
          </c:extLst>
        </c:ser>
        <c:ser>
          <c:idx val="7"/>
          <c:order val="7"/>
          <c:tx>
            <c:strRef>
              <c:f>'Playing Position Analysis'!$I$3:$I$4</c:f>
              <c:strCache>
                <c:ptCount val="1"/>
                <c:pt idx="0">
                  <c:v>RW </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Analysis'!$I$5:$I$7</c:f>
              <c:numCache>
                <c:formatCode>General</c:formatCode>
                <c:ptCount val="2"/>
                <c:pt idx="1">
                  <c:v>95</c:v>
                </c:pt>
              </c:numCache>
            </c:numRef>
          </c:val>
          <c:extLst>
            <c:ext xmlns:c16="http://schemas.microsoft.com/office/drawing/2014/chart" uri="{C3380CC4-5D6E-409C-BE32-E72D297353CC}">
              <c16:uniqueId val="{00000046-90BC-463B-B31B-7C63EA11BFE0}"/>
            </c:ext>
          </c:extLst>
        </c:ser>
        <c:ser>
          <c:idx val="8"/>
          <c:order val="8"/>
          <c:tx>
            <c:strRef>
              <c:f>'Playing Position Analysis'!$J$3:$J$4</c:f>
              <c:strCache>
                <c:ptCount val="1"/>
                <c:pt idx="0">
                  <c:v>SS</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Analysis'!$J$5:$J$7</c:f>
              <c:numCache>
                <c:formatCode>General</c:formatCode>
                <c:ptCount val="2"/>
                <c:pt idx="1">
                  <c:v>23</c:v>
                </c:pt>
              </c:numCache>
            </c:numRef>
          </c:val>
          <c:extLst>
            <c:ext xmlns:c16="http://schemas.microsoft.com/office/drawing/2014/chart" uri="{C3380CC4-5D6E-409C-BE32-E72D297353CC}">
              <c16:uniqueId val="{00000047-90BC-463B-B31B-7C63EA11BFE0}"/>
            </c:ext>
          </c:extLst>
        </c:ser>
        <c:ser>
          <c:idx val="9"/>
          <c:order val="9"/>
          <c:tx>
            <c:strRef>
              <c:f>'Playing Position Analysis'!$K$3:$K$4</c:f>
              <c:strCache>
                <c:ptCount val="1"/>
                <c:pt idx="0">
                  <c:v>SS </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Analysis'!$K$5:$K$7</c:f>
              <c:numCache>
                <c:formatCode>General</c:formatCode>
                <c:ptCount val="2"/>
                <c:pt idx="1">
                  <c:v>32</c:v>
                </c:pt>
              </c:numCache>
            </c:numRef>
          </c:val>
          <c:extLst>
            <c:ext xmlns:c16="http://schemas.microsoft.com/office/drawing/2014/chart" uri="{C3380CC4-5D6E-409C-BE32-E72D297353CC}">
              <c16:uniqueId val="{00000048-90BC-463B-B31B-7C63EA11BFE0}"/>
            </c:ext>
          </c:extLst>
        </c:ser>
        <c:dLbls>
          <c:showLegendKey val="0"/>
          <c:showVal val="0"/>
          <c:showCatName val="0"/>
          <c:showSerName val="0"/>
          <c:showPercent val="0"/>
          <c:showBubbleSize val="0"/>
        </c:dLbls>
        <c:gapWidth val="100"/>
        <c:overlap val="-24"/>
        <c:axId val="446456863"/>
        <c:axId val="446458783"/>
      </c:barChart>
      <c:catAx>
        <c:axId val="44645686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Player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58783"/>
        <c:crosses val="autoZero"/>
        <c:auto val="1"/>
        <c:lblAlgn val="ctr"/>
        <c:lblOffset val="100"/>
        <c:noMultiLvlLbl val="0"/>
      </c:catAx>
      <c:valAx>
        <c:axId val="44645878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568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[analysis.xlsm]Time Analysis!PivotTable10</c:name>
    <c:fmtId val="1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Clutch</a:t>
            </a:r>
            <a:r>
              <a:rPr lang="en-IN" baseline="0"/>
              <a:t> Performer</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'Time Analysis'!$B$3:$B$4</c:f>
              <c:strCache>
                <c:ptCount val="1"/>
                <c:pt idx="0">
                  <c:v>Cristiano Ronaldo</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'Time Analysis'!$A$5:$A$113</c:f>
              <c:strCache>
                <c:ptCount val="10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97</c:v>
                </c:pt>
                <c:pt idx="91">
                  <c:v>103</c:v>
                </c:pt>
                <c:pt idx="92">
                  <c:v>104</c:v>
                </c:pt>
                <c:pt idx="93">
                  <c:v>105</c:v>
                </c:pt>
                <c:pt idx="94">
                  <c:v>109</c:v>
                </c:pt>
                <c:pt idx="95">
                  <c:v>110</c:v>
                </c:pt>
                <c:pt idx="96">
                  <c:v>120</c:v>
                </c:pt>
                <c:pt idx="97">
                  <c:v>45+1</c:v>
                </c:pt>
                <c:pt idx="98">
                  <c:v>45+2</c:v>
                </c:pt>
                <c:pt idx="99">
                  <c:v>45+4</c:v>
                </c:pt>
                <c:pt idx="100">
                  <c:v>45+7</c:v>
                </c:pt>
                <c:pt idx="101">
                  <c:v>90+1</c:v>
                </c:pt>
                <c:pt idx="102">
                  <c:v>90+2</c:v>
                </c:pt>
                <c:pt idx="103">
                  <c:v>90+3</c:v>
                </c:pt>
                <c:pt idx="104">
                  <c:v>90+4</c:v>
                </c:pt>
                <c:pt idx="105">
                  <c:v>90+5</c:v>
                </c:pt>
                <c:pt idx="106">
                  <c:v>90+6</c:v>
                </c:pt>
                <c:pt idx="107">
                  <c:v>90+7</c:v>
                </c:pt>
              </c:strCache>
            </c:strRef>
          </c:cat>
          <c:val>
            <c:numRef>
              <c:f>'Time Analysis'!$B$5:$B$113</c:f>
              <c:numCache>
                <c:formatCode>General</c:formatCode>
                <c:ptCount val="108"/>
                <c:pt idx="0">
                  <c:v>1</c:v>
                </c:pt>
                <c:pt idx="1">
                  <c:v>6</c:v>
                </c:pt>
                <c:pt idx="2">
                  <c:v>8</c:v>
                </c:pt>
                <c:pt idx="3">
                  <c:v>4</c:v>
                </c:pt>
                <c:pt idx="4">
                  <c:v>3</c:v>
                </c:pt>
                <c:pt idx="5">
                  <c:v>7</c:v>
                </c:pt>
                <c:pt idx="6">
                  <c:v>2</c:v>
                </c:pt>
                <c:pt idx="7">
                  <c:v>5</c:v>
                </c:pt>
                <c:pt idx="8">
                  <c:v>5</c:v>
                </c:pt>
                <c:pt idx="9">
                  <c:v>10</c:v>
                </c:pt>
                <c:pt idx="10">
                  <c:v>6</c:v>
                </c:pt>
                <c:pt idx="11">
                  <c:v>9</c:v>
                </c:pt>
                <c:pt idx="12">
                  <c:v>10</c:v>
                </c:pt>
                <c:pt idx="13">
                  <c:v>9</c:v>
                </c:pt>
                <c:pt idx="14">
                  <c:v>4</c:v>
                </c:pt>
                <c:pt idx="15">
                  <c:v>4</c:v>
                </c:pt>
                <c:pt idx="16">
                  <c:v>5</c:v>
                </c:pt>
                <c:pt idx="17">
                  <c:v>7</c:v>
                </c:pt>
                <c:pt idx="18">
                  <c:v>6</c:v>
                </c:pt>
                <c:pt idx="19">
                  <c:v>6</c:v>
                </c:pt>
                <c:pt idx="20">
                  <c:v>5</c:v>
                </c:pt>
                <c:pt idx="21">
                  <c:v>8</c:v>
                </c:pt>
                <c:pt idx="22">
                  <c:v>15</c:v>
                </c:pt>
                <c:pt idx="23">
                  <c:v>7</c:v>
                </c:pt>
                <c:pt idx="24">
                  <c:v>11</c:v>
                </c:pt>
                <c:pt idx="25">
                  <c:v>12</c:v>
                </c:pt>
                <c:pt idx="26">
                  <c:v>7</c:v>
                </c:pt>
                <c:pt idx="27">
                  <c:v>6</c:v>
                </c:pt>
                <c:pt idx="28">
                  <c:v>5</c:v>
                </c:pt>
                <c:pt idx="29">
                  <c:v>8</c:v>
                </c:pt>
                <c:pt idx="30">
                  <c:v>5</c:v>
                </c:pt>
                <c:pt idx="31">
                  <c:v>8</c:v>
                </c:pt>
                <c:pt idx="32">
                  <c:v>3</c:v>
                </c:pt>
                <c:pt idx="33">
                  <c:v>9</c:v>
                </c:pt>
                <c:pt idx="34">
                  <c:v>10</c:v>
                </c:pt>
                <c:pt idx="35">
                  <c:v>5</c:v>
                </c:pt>
                <c:pt idx="36">
                  <c:v>5</c:v>
                </c:pt>
                <c:pt idx="37">
                  <c:v>10</c:v>
                </c:pt>
                <c:pt idx="38">
                  <c:v>8</c:v>
                </c:pt>
                <c:pt idx="39">
                  <c:v>4</c:v>
                </c:pt>
                <c:pt idx="40">
                  <c:v>6</c:v>
                </c:pt>
                <c:pt idx="41">
                  <c:v>4</c:v>
                </c:pt>
                <c:pt idx="42">
                  <c:v>8</c:v>
                </c:pt>
                <c:pt idx="43">
                  <c:v>9</c:v>
                </c:pt>
                <c:pt idx="44">
                  <c:v>15</c:v>
                </c:pt>
                <c:pt idx="45">
                  <c:v>2</c:v>
                </c:pt>
                <c:pt idx="46">
                  <c:v>5</c:v>
                </c:pt>
                <c:pt idx="47">
                  <c:v>6</c:v>
                </c:pt>
                <c:pt idx="48">
                  <c:v>11</c:v>
                </c:pt>
                <c:pt idx="49">
                  <c:v>9</c:v>
                </c:pt>
                <c:pt idx="50">
                  <c:v>8</c:v>
                </c:pt>
                <c:pt idx="51">
                  <c:v>8</c:v>
                </c:pt>
                <c:pt idx="52">
                  <c:v>8</c:v>
                </c:pt>
                <c:pt idx="53">
                  <c:v>7</c:v>
                </c:pt>
                <c:pt idx="54">
                  <c:v>8</c:v>
                </c:pt>
                <c:pt idx="55">
                  <c:v>4</c:v>
                </c:pt>
                <c:pt idx="56">
                  <c:v>9</c:v>
                </c:pt>
                <c:pt idx="57">
                  <c:v>9</c:v>
                </c:pt>
                <c:pt idx="58">
                  <c:v>10</c:v>
                </c:pt>
                <c:pt idx="59">
                  <c:v>6</c:v>
                </c:pt>
                <c:pt idx="60">
                  <c:v>9</c:v>
                </c:pt>
                <c:pt idx="61">
                  <c:v>10</c:v>
                </c:pt>
                <c:pt idx="62">
                  <c:v>4</c:v>
                </c:pt>
                <c:pt idx="63">
                  <c:v>11</c:v>
                </c:pt>
                <c:pt idx="64">
                  <c:v>10</c:v>
                </c:pt>
                <c:pt idx="65">
                  <c:v>3</c:v>
                </c:pt>
                <c:pt idx="66">
                  <c:v>8</c:v>
                </c:pt>
                <c:pt idx="67">
                  <c:v>10</c:v>
                </c:pt>
                <c:pt idx="68">
                  <c:v>9</c:v>
                </c:pt>
                <c:pt idx="69">
                  <c:v>14</c:v>
                </c:pt>
                <c:pt idx="70">
                  <c:v>6</c:v>
                </c:pt>
                <c:pt idx="71">
                  <c:v>2</c:v>
                </c:pt>
                <c:pt idx="72">
                  <c:v>7</c:v>
                </c:pt>
                <c:pt idx="73">
                  <c:v>6</c:v>
                </c:pt>
                <c:pt idx="74">
                  <c:v>4</c:v>
                </c:pt>
                <c:pt idx="75">
                  <c:v>14</c:v>
                </c:pt>
                <c:pt idx="76">
                  <c:v>5</c:v>
                </c:pt>
                <c:pt idx="77">
                  <c:v>11</c:v>
                </c:pt>
                <c:pt idx="78">
                  <c:v>8</c:v>
                </c:pt>
                <c:pt idx="79">
                  <c:v>8</c:v>
                </c:pt>
                <c:pt idx="80">
                  <c:v>12</c:v>
                </c:pt>
                <c:pt idx="81">
                  <c:v>12</c:v>
                </c:pt>
                <c:pt idx="82">
                  <c:v>5</c:v>
                </c:pt>
                <c:pt idx="83">
                  <c:v>8</c:v>
                </c:pt>
                <c:pt idx="84">
                  <c:v>3</c:v>
                </c:pt>
                <c:pt idx="85">
                  <c:v>7</c:v>
                </c:pt>
                <c:pt idx="86">
                  <c:v>8</c:v>
                </c:pt>
                <c:pt idx="87">
                  <c:v>9</c:v>
                </c:pt>
                <c:pt idx="88">
                  <c:v>15</c:v>
                </c:pt>
                <c:pt idx="89">
                  <c:v>17</c:v>
                </c:pt>
                <c:pt idx="90">
                  <c:v>1</c:v>
                </c:pt>
                <c:pt idx="91">
                  <c:v>1</c:v>
                </c:pt>
                <c:pt idx="92">
                  <c:v>1</c:v>
                </c:pt>
                <c:pt idx="93">
                  <c:v>1</c:v>
                </c:pt>
                <c:pt idx="94">
                  <c:v>1</c:v>
                </c:pt>
                <c:pt idx="96">
                  <c:v>1</c:v>
                </c:pt>
                <c:pt idx="97">
                  <c:v>5</c:v>
                </c:pt>
                <c:pt idx="98">
                  <c:v>1</c:v>
                </c:pt>
                <c:pt idx="100">
                  <c:v>1</c:v>
                </c:pt>
                <c:pt idx="101">
                  <c:v>7</c:v>
                </c:pt>
                <c:pt idx="102">
                  <c:v>5</c:v>
                </c:pt>
                <c:pt idx="103">
                  <c:v>3</c:v>
                </c:pt>
                <c:pt idx="104">
                  <c:v>2</c:v>
                </c:pt>
                <c:pt idx="105">
                  <c:v>2</c:v>
                </c:pt>
                <c:pt idx="106">
                  <c:v>2</c:v>
                </c:pt>
                <c:pt idx="107">
                  <c:v>1</c:v>
                </c:pt>
              </c:numCache>
            </c:numRef>
          </c:val>
          <c:smooth val="0"/>
          <c:extLst>
            <c:ext xmlns:c16="http://schemas.microsoft.com/office/drawing/2014/chart" uri="{C3380CC4-5D6E-409C-BE32-E72D297353CC}">
              <c16:uniqueId val="{00000000-8FF2-463B-A049-D8AC220FD0C5}"/>
            </c:ext>
          </c:extLst>
        </c:ser>
        <c:ser>
          <c:idx val="1"/>
          <c:order val="1"/>
          <c:tx>
            <c:strRef>
              <c:f>'Time Analysis'!$C$3:$C$4</c:f>
              <c:strCache>
                <c:ptCount val="1"/>
                <c:pt idx="0">
                  <c:v>Lionel Messi</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'Time Analysis'!$A$5:$A$113</c:f>
              <c:strCache>
                <c:ptCount val="10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97</c:v>
                </c:pt>
                <c:pt idx="91">
                  <c:v>103</c:v>
                </c:pt>
                <c:pt idx="92">
                  <c:v>104</c:v>
                </c:pt>
                <c:pt idx="93">
                  <c:v>105</c:v>
                </c:pt>
                <c:pt idx="94">
                  <c:v>109</c:v>
                </c:pt>
                <c:pt idx="95">
                  <c:v>110</c:v>
                </c:pt>
                <c:pt idx="96">
                  <c:v>120</c:v>
                </c:pt>
                <c:pt idx="97">
                  <c:v>45+1</c:v>
                </c:pt>
                <c:pt idx="98">
                  <c:v>45+2</c:v>
                </c:pt>
                <c:pt idx="99">
                  <c:v>45+4</c:v>
                </c:pt>
                <c:pt idx="100">
                  <c:v>45+7</c:v>
                </c:pt>
                <c:pt idx="101">
                  <c:v>90+1</c:v>
                </c:pt>
                <c:pt idx="102">
                  <c:v>90+2</c:v>
                </c:pt>
                <c:pt idx="103">
                  <c:v>90+3</c:v>
                </c:pt>
                <c:pt idx="104">
                  <c:v>90+4</c:v>
                </c:pt>
                <c:pt idx="105">
                  <c:v>90+5</c:v>
                </c:pt>
                <c:pt idx="106">
                  <c:v>90+6</c:v>
                </c:pt>
                <c:pt idx="107">
                  <c:v>90+7</c:v>
                </c:pt>
              </c:strCache>
            </c:strRef>
          </c:cat>
          <c:val>
            <c:numRef>
              <c:f>'Time Analysis'!$C$5:$C$113</c:f>
              <c:numCache>
                <c:formatCode>General</c:formatCode>
                <c:ptCount val="108"/>
                <c:pt idx="2">
                  <c:v>4</c:v>
                </c:pt>
                <c:pt idx="3">
                  <c:v>4</c:v>
                </c:pt>
                <c:pt idx="4">
                  <c:v>8</c:v>
                </c:pt>
                <c:pt idx="5">
                  <c:v>2</c:v>
                </c:pt>
                <c:pt idx="6">
                  <c:v>3</c:v>
                </c:pt>
                <c:pt idx="7">
                  <c:v>5</c:v>
                </c:pt>
                <c:pt idx="8">
                  <c:v>4</c:v>
                </c:pt>
                <c:pt idx="9">
                  <c:v>3</c:v>
                </c:pt>
                <c:pt idx="10">
                  <c:v>8</c:v>
                </c:pt>
                <c:pt idx="11">
                  <c:v>7</c:v>
                </c:pt>
                <c:pt idx="12">
                  <c:v>8</c:v>
                </c:pt>
                <c:pt idx="13">
                  <c:v>2</c:v>
                </c:pt>
                <c:pt idx="14">
                  <c:v>9</c:v>
                </c:pt>
                <c:pt idx="15">
                  <c:v>10</c:v>
                </c:pt>
                <c:pt idx="16">
                  <c:v>6</c:v>
                </c:pt>
                <c:pt idx="17">
                  <c:v>9</c:v>
                </c:pt>
                <c:pt idx="18">
                  <c:v>5</c:v>
                </c:pt>
                <c:pt idx="19">
                  <c:v>8</c:v>
                </c:pt>
                <c:pt idx="20">
                  <c:v>9</c:v>
                </c:pt>
                <c:pt idx="21">
                  <c:v>7</c:v>
                </c:pt>
                <c:pt idx="22">
                  <c:v>10</c:v>
                </c:pt>
                <c:pt idx="23">
                  <c:v>6</c:v>
                </c:pt>
                <c:pt idx="24">
                  <c:v>10</c:v>
                </c:pt>
                <c:pt idx="25">
                  <c:v>8</c:v>
                </c:pt>
                <c:pt idx="26">
                  <c:v>7</c:v>
                </c:pt>
                <c:pt idx="27">
                  <c:v>9</c:v>
                </c:pt>
                <c:pt idx="28">
                  <c:v>4</c:v>
                </c:pt>
                <c:pt idx="29">
                  <c:v>8</c:v>
                </c:pt>
                <c:pt idx="30">
                  <c:v>10</c:v>
                </c:pt>
                <c:pt idx="31">
                  <c:v>5</c:v>
                </c:pt>
                <c:pt idx="32">
                  <c:v>9</c:v>
                </c:pt>
                <c:pt idx="33">
                  <c:v>5</c:v>
                </c:pt>
                <c:pt idx="34">
                  <c:v>5</c:v>
                </c:pt>
                <c:pt idx="35">
                  <c:v>8</c:v>
                </c:pt>
                <c:pt idx="36">
                  <c:v>8</c:v>
                </c:pt>
                <c:pt idx="37">
                  <c:v>11</c:v>
                </c:pt>
                <c:pt idx="38">
                  <c:v>8</c:v>
                </c:pt>
                <c:pt idx="39">
                  <c:v>5</c:v>
                </c:pt>
                <c:pt idx="40">
                  <c:v>7</c:v>
                </c:pt>
                <c:pt idx="41">
                  <c:v>11</c:v>
                </c:pt>
                <c:pt idx="42">
                  <c:v>10</c:v>
                </c:pt>
                <c:pt idx="43">
                  <c:v>7</c:v>
                </c:pt>
                <c:pt idx="44">
                  <c:v>12</c:v>
                </c:pt>
                <c:pt idx="45">
                  <c:v>2</c:v>
                </c:pt>
                <c:pt idx="46">
                  <c:v>3</c:v>
                </c:pt>
                <c:pt idx="47">
                  <c:v>3</c:v>
                </c:pt>
                <c:pt idx="48">
                  <c:v>5</c:v>
                </c:pt>
                <c:pt idx="49">
                  <c:v>8</c:v>
                </c:pt>
                <c:pt idx="50">
                  <c:v>10</c:v>
                </c:pt>
                <c:pt idx="51">
                  <c:v>4</c:v>
                </c:pt>
                <c:pt idx="52">
                  <c:v>4</c:v>
                </c:pt>
                <c:pt idx="53">
                  <c:v>5</c:v>
                </c:pt>
                <c:pt idx="54">
                  <c:v>14</c:v>
                </c:pt>
                <c:pt idx="55">
                  <c:v>8</c:v>
                </c:pt>
                <c:pt idx="56">
                  <c:v>5</c:v>
                </c:pt>
                <c:pt idx="57">
                  <c:v>11</c:v>
                </c:pt>
                <c:pt idx="58">
                  <c:v>10</c:v>
                </c:pt>
                <c:pt idx="59">
                  <c:v>9</c:v>
                </c:pt>
                <c:pt idx="60">
                  <c:v>9</c:v>
                </c:pt>
                <c:pt idx="61">
                  <c:v>6</c:v>
                </c:pt>
                <c:pt idx="62">
                  <c:v>11</c:v>
                </c:pt>
                <c:pt idx="63">
                  <c:v>9</c:v>
                </c:pt>
                <c:pt idx="64">
                  <c:v>8</c:v>
                </c:pt>
                <c:pt idx="65">
                  <c:v>4</c:v>
                </c:pt>
                <c:pt idx="66">
                  <c:v>8</c:v>
                </c:pt>
                <c:pt idx="67">
                  <c:v>7</c:v>
                </c:pt>
                <c:pt idx="68">
                  <c:v>9</c:v>
                </c:pt>
                <c:pt idx="69">
                  <c:v>5</c:v>
                </c:pt>
                <c:pt idx="70">
                  <c:v>5</c:v>
                </c:pt>
                <c:pt idx="71">
                  <c:v>8</c:v>
                </c:pt>
                <c:pt idx="72">
                  <c:v>10</c:v>
                </c:pt>
                <c:pt idx="73">
                  <c:v>10</c:v>
                </c:pt>
                <c:pt idx="74">
                  <c:v>12</c:v>
                </c:pt>
                <c:pt idx="75">
                  <c:v>8</c:v>
                </c:pt>
                <c:pt idx="76">
                  <c:v>9</c:v>
                </c:pt>
                <c:pt idx="77">
                  <c:v>13</c:v>
                </c:pt>
                <c:pt idx="78">
                  <c:v>7</c:v>
                </c:pt>
                <c:pt idx="79">
                  <c:v>12</c:v>
                </c:pt>
                <c:pt idx="80">
                  <c:v>5</c:v>
                </c:pt>
                <c:pt idx="81">
                  <c:v>11</c:v>
                </c:pt>
                <c:pt idx="82">
                  <c:v>7</c:v>
                </c:pt>
                <c:pt idx="83">
                  <c:v>6</c:v>
                </c:pt>
                <c:pt idx="84">
                  <c:v>10</c:v>
                </c:pt>
                <c:pt idx="85">
                  <c:v>13</c:v>
                </c:pt>
                <c:pt idx="86">
                  <c:v>13</c:v>
                </c:pt>
                <c:pt idx="87">
                  <c:v>8</c:v>
                </c:pt>
                <c:pt idx="88">
                  <c:v>9</c:v>
                </c:pt>
                <c:pt idx="89">
                  <c:v>12</c:v>
                </c:pt>
                <c:pt idx="95">
                  <c:v>1</c:v>
                </c:pt>
                <c:pt idx="97">
                  <c:v>3</c:v>
                </c:pt>
                <c:pt idx="98">
                  <c:v>2</c:v>
                </c:pt>
                <c:pt idx="99">
                  <c:v>1</c:v>
                </c:pt>
                <c:pt idx="101">
                  <c:v>10</c:v>
                </c:pt>
                <c:pt idx="102">
                  <c:v>10</c:v>
                </c:pt>
                <c:pt idx="103">
                  <c:v>3</c:v>
                </c:pt>
                <c:pt idx="104">
                  <c:v>3</c:v>
                </c:pt>
                <c:pt idx="105">
                  <c:v>1</c:v>
                </c:pt>
              </c:numCache>
            </c:numRef>
          </c:val>
          <c:smooth val="0"/>
          <c:extLst>
            <c:ext xmlns:c16="http://schemas.microsoft.com/office/drawing/2014/chart" uri="{C3380CC4-5D6E-409C-BE32-E72D297353CC}">
              <c16:uniqueId val="{00000009-8FF2-463B-A049-D8AC220FD0C5}"/>
            </c:ext>
          </c:extLst>
        </c:ser>
        <c:dLbls>
          <c:showLegendKey val="0"/>
          <c:showVal val="0"/>
          <c:showCatName val="0"/>
          <c:showSerName val="0"/>
          <c:showPercent val="0"/>
          <c:showBubbleSize val="0"/>
        </c:dLbls>
        <c:marker val="1"/>
        <c:smooth val="0"/>
        <c:axId val="515571711"/>
        <c:axId val="515598591"/>
      </c:lineChart>
      <c:catAx>
        <c:axId val="515571711"/>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Minute</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598591"/>
        <c:crosses val="autoZero"/>
        <c:auto val="1"/>
        <c:lblAlgn val="ctr"/>
        <c:lblOffset val="100"/>
        <c:noMultiLvlLbl val="0"/>
      </c:catAx>
      <c:valAx>
        <c:axId val="515598591"/>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5717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[analysis.xlsm]Opponent Analysis!PivotTable11</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Favourite</a:t>
            </a:r>
            <a:r>
              <a:rPr lang="en-IN" baseline="0"/>
              <a:t> Opponent</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'Opponent Analysis'!$B$3:$B$4</c:f>
              <c:strCache>
                <c:ptCount val="1"/>
                <c:pt idx="0">
                  <c:v>Cristiano Ronaldo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'Opponent Analysis'!$A$5:$A$178</c:f>
              <c:strCache>
                <c:ptCount val="173"/>
                <c:pt idx="0">
                  <c:v>Sevilla FC</c:v>
                </c:pt>
                <c:pt idx="1">
                  <c:v>Atletico de Madrid</c:v>
                </c:pt>
                <c:pt idx="2">
                  <c:v>Getafe CF</c:v>
                </c:pt>
                <c:pt idx="3">
                  <c:v>Celta de Vigo</c:v>
                </c:pt>
                <c:pt idx="4">
                  <c:v>FC Barcelona</c:v>
                </c:pt>
                <c:pt idx="5">
                  <c:v>Malaga CF</c:v>
                </c:pt>
                <c:pt idx="6">
                  <c:v>Athletic Bilbao</c:v>
                </c:pt>
                <c:pt idx="7">
                  <c:v>RCD Espanyol Barcelona</c:v>
                </c:pt>
                <c:pt idx="8">
                  <c:v>Real Sociedad</c:v>
                </c:pt>
                <c:pt idx="9">
                  <c:v>Valencia CF</c:v>
                </c:pt>
                <c:pt idx="10">
                  <c:v>Villarreal CF</c:v>
                </c:pt>
                <c:pt idx="11">
                  <c:v>Levante UD</c:v>
                </c:pt>
                <c:pt idx="12">
                  <c:v>Tottenham Hotspur</c:v>
                </c:pt>
                <c:pt idx="13">
                  <c:v>Deportivo de La CoruÃƒÂ±a</c:v>
                </c:pt>
                <c:pt idx="14">
                  <c:v>CA Osasuna</c:v>
                </c:pt>
                <c:pt idx="15">
                  <c:v>Rayo Vallecano</c:v>
                </c:pt>
                <c:pt idx="16">
                  <c:v>Granada CF</c:v>
                </c:pt>
                <c:pt idx="17">
                  <c:v>AS Roma</c:v>
                </c:pt>
                <c:pt idx="18">
                  <c:v>Juventus FC</c:v>
                </c:pt>
                <c:pt idx="19">
                  <c:v>Ajax Amsterdam</c:v>
                </c:pt>
                <c:pt idx="20">
                  <c:v>Arsenal FC</c:v>
                </c:pt>
                <c:pt idx="21">
                  <c:v>Bayern Munich</c:v>
                </c:pt>
                <c:pt idx="22">
                  <c:v>Aston Villa</c:v>
                </c:pt>
                <c:pt idx="23">
                  <c:v>Cagliari Calcio</c:v>
                </c:pt>
                <c:pt idx="24">
                  <c:v>Newcastle United</c:v>
                </c:pt>
                <c:pt idx="25">
                  <c:v>Udinese Calcio</c:v>
                </c:pt>
                <c:pt idx="26">
                  <c:v>Fulham FC</c:v>
                </c:pt>
                <c:pt idx="27">
                  <c:v>Wigan Athletic</c:v>
                </c:pt>
                <c:pt idx="28">
                  <c:v>Real Zaragoza</c:v>
                </c:pt>
                <c:pt idx="29">
                  <c:v>SD Eibar</c:v>
                </c:pt>
                <c:pt idx="30">
                  <c:v>Elche CF</c:v>
                </c:pt>
                <c:pt idx="31">
                  <c:v>UD Almeria</c:v>
                </c:pt>
                <c:pt idx="32">
                  <c:v>FC Schalke 04</c:v>
                </c:pt>
                <c:pt idx="33">
                  <c:v>RCD Mallorca</c:v>
                </c:pt>
                <c:pt idx="34">
                  <c:v>Borussia Dortmund</c:v>
                </c:pt>
                <c:pt idx="35">
                  <c:v>Sporting GijÃƒÂ³n</c:v>
                </c:pt>
                <c:pt idx="36">
                  <c:v>Bolton Wanderers</c:v>
                </c:pt>
                <c:pt idx="37">
                  <c:v>Atalanta BC</c:v>
                </c:pt>
                <c:pt idx="38">
                  <c:v>APOEL Nicosia</c:v>
                </c:pt>
                <c:pt idx="39">
                  <c:v>AC Milan</c:v>
                </c:pt>
                <c:pt idx="40">
                  <c:v>Real Betis Balompie</c:v>
                </c:pt>
                <c:pt idx="41">
                  <c:v>US Sassuolo</c:v>
                </c:pt>
                <c:pt idx="42">
                  <c:v>West Ham United</c:v>
                </c:pt>
                <c:pt idx="43">
                  <c:v>Galatasaray</c:v>
                </c:pt>
                <c:pt idx="44">
                  <c:v>Olympique Lyon</c:v>
                </c:pt>
                <c:pt idx="45">
                  <c:v>Parma Calcio 1913</c:v>
                </c:pt>
                <c:pt idx="46">
                  <c:v>Portsmouth FC</c:v>
                </c:pt>
                <c:pt idx="47">
                  <c:v>Everton FC</c:v>
                </c:pt>
                <c:pt idx="48">
                  <c:v>Racing Santander</c:v>
                </c:pt>
                <c:pt idx="49">
                  <c:v>MalmÃƒÂ¶ FF</c:v>
                </c:pt>
                <c:pt idx="50">
                  <c:v>Middlesbrough FC</c:v>
                </c:pt>
                <c:pt idx="51">
                  <c:v>Deportivo Alaves</c:v>
                </c:pt>
                <c:pt idx="52">
                  <c:v>UC Sampdoria</c:v>
                </c:pt>
                <c:pt idx="53">
                  <c:v>Shakhtar Donetsk</c:v>
                </c:pt>
                <c:pt idx="54">
                  <c:v>Genoa CFC</c:v>
                </c:pt>
                <c:pt idx="55">
                  <c:v>Manchester City</c:v>
                </c:pt>
                <c:pt idx="56">
                  <c:v>SS Lazio</c:v>
                </c:pt>
                <c:pt idx="57">
                  <c:v>Reading FC</c:v>
                </c:pt>
                <c:pt idx="58">
                  <c:v>Al-Wehda FC</c:v>
                </c:pt>
                <c:pt idx="59">
                  <c:v>Inter Milan</c:v>
                </c:pt>
                <c:pt idx="60">
                  <c:v>Olympique Marseille</c:v>
                </c:pt>
                <c:pt idx="61">
                  <c:v>Derby County</c:v>
                </c:pt>
                <c:pt idx="62">
                  <c:v>Dynamo Kyiv</c:v>
                </c:pt>
                <c:pt idx="63">
                  <c:v>Norwich City</c:v>
                </c:pt>
                <c:pt idx="64">
                  <c:v>West Bromwich Albion</c:v>
                </c:pt>
                <c:pt idx="65">
                  <c:v>SSC Napoli</c:v>
                </c:pt>
                <c:pt idx="66">
                  <c:v>Xerez CD</c:v>
                </c:pt>
                <c:pt idx="67">
                  <c:v>Torino FC</c:v>
                </c:pt>
                <c:pt idx="68">
                  <c:v>Girona FC</c:v>
                </c:pt>
                <c:pt idx="69">
                  <c:v>VfL Wolfsburg</c:v>
                </c:pt>
                <c:pt idx="70">
                  <c:v>Spezia Calcio</c:v>
                </c:pt>
                <c:pt idx="71">
                  <c:v>Damac FC</c:v>
                </c:pt>
                <c:pt idx="72">
                  <c:v>ACF Fiorentina</c:v>
                </c:pt>
                <c:pt idx="73">
                  <c:v>Blackburn Rovers</c:v>
                </c:pt>
                <c:pt idx="74">
                  <c:v>Hellas Verona</c:v>
                </c:pt>
                <c:pt idx="75">
                  <c:v>CSKA Moscow</c:v>
                </c:pt>
                <c:pt idx="76">
                  <c:v>Kashima Antlers</c:v>
                </c:pt>
                <c:pt idx="77">
                  <c:v>SPAL</c:v>
                </c:pt>
                <c:pt idx="78">
                  <c:v>Liverpool FC</c:v>
                </c:pt>
                <c:pt idx="79">
                  <c:v>Sporting CP</c:v>
                </c:pt>
                <c:pt idx="80">
                  <c:v>Manchester United</c:v>
                </c:pt>
                <c:pt idx="81">
                  <c:v>UD Las Palmas</c:v>
                </c:pt>
                <c:pt idx="82">
                  <c:v>FC Copenhagen</c:v>
                </c:pt>
                <c:pt idx="83">
                  <c:v>Real Valladolid CF</c:v>
                </c:pt>
                <c:pt idx="84">
                  <c:v>Paris Saint-Germain</c:v>
                </c:pt>
                <c:pt idx="85">
                  <c:v>Empoli FC </c:v>
                </c:pt>
                <c:pt idx="86">
                  <c:v>Southampton FC</c:v>
                </c:pt>
                <c:pt idx="87">
                  <c:v>Watford FC</c:v>
                </c:pt>
                <c:pt idx="88">
                  <c:v>Hull City</c:v>
                </c:pt>
                <c:pt idx="89">
                  <c:v>Stoke City</c:v>
                </c:pt>
                <c:pt idx="90">
                  <c:v>FC Sheriff</c:v>
                </c:pt>
                <c:pt idx="91">
                  <c:v>Frosinone Calcio</c:v>
                </c:pt>
                <c:pt idx="92">
                  <c:v>Ludogorets Razgrad</c:v>
                </c:pt>
                <c:pt idx="93">
                  <c:v>Hercules CF</c:v>
                </c:pt>
                <c:pt idx="94">
                  <c:v>FC ZÃƒÂ¼rich</c:v>
                </c:pt>
                <c:pt idx="95">
                  <c:v>Bayer 04 Leverkusen</c:v>
                </c:pt>
                <c:pt idx="96">
                  <c:v>Moreirense FC</c:v>
                </c:pt>
                <c:pt idx="97">
                  <c:v>Birmingham City</c:v>
                </c:pt>
                <c:pt idx="98">
                  <c:v>FC Crotone</c:v>
                </c:pt>
                <c:pt idx="99">
                  <c:v>Bologna FC 1909</c:v>
                </c:pt>
                <c:pt idx="100">
                  <c:v>Chelsea FC</c:v>
                </c:pt>
                <c:pt idx="101">
                  <c:v>FC Basel 1893</c:v>
                </c:pt>
                <c:pt idx="102">
                  <c:v>Al-Fateh</c:v>
                </c:pt>
                <c:pt idx="103">
                  <c:v>Charlton Athletic</c:v>
                </c:pt>
                <c:pt idx="104">
                  <c:v>US Lecce</c:v>
                </c:pt>
                <c:pt idx="105">
                  <c:v>Real Murcia CF</c:v>
                </c:pt>
                <c:pt idx="106">
                  <c:v>Ferencvarosi TC</c:v>
                </c:pt>
                <c:pt idx="107">
                  <c:v>AJ Auxerre</c:v>
                </c:pt>
                <c:pt idx="108">
                  <c:v>FC Internazionale</c:v>
                </c:pt>
                <c:pt idx="109">
                  <c:v>CD Estarreja</c:v>
                </c:pt>
                <c:pt idx="110">
                  <c:v>Exeter City</c:v>
                </c:pt>
                <c:pt idx="111">
                  <c:v>Millwall FC</c:v>
                </c:pt>
                <c:pt idx="112">
                  <c:v>Al-Jazira (Abu Dhabi)</c:v>
                </c:pt>
                <c:pt idx="113">
                  <c:v>Brentford FC</c:v>
                </c:pt>
                <c:pt idx="114">
                  <c:v>Sunderland AFC</c:v>
                </c:pt>
                <c:pt idx="115">
                  <c:v>Debreceni VSC</c:v>
                </c:pt>
                <c:pt idx="116">
                  <c:v>GrÃƒÂªmio Foot-Ball Porto Alegrense</c:v>
                </c:pt>
                <c:pt idx="117">
                  <c:v>Burnley FC</c:v>
                </c:pt>
                <c:pt idx="118">
                  <c:v>BSC Young Boys</c:v>
                </c:pt>
                <c:pt idx="119">
                  <c:v>Brighton &amp; Hove Albion</c:v>
                </c:pt>
                <c:pt idx="120">
                  <c:v>Boavista FC</c:v>
                </c:pt>
                <c:pt idx="121">
                  <c:v>Abha Club</c:v>
                </c:pt>
                <c:pt idx="122">
                  <c:v>FC Porto</c:v>
                </c:pt>
                <c:pt idx="123">
                  <c:v>FC Oliveira do Hospital</c:v>
                </c:pt>
                <c:pt idx="124">
                  <c:v>CÃƒÂ³rdoba CF</c:v>
                </c:pt>
                <c:pt idx="125">
                  <c:v>CD Tenerife</c:v>
                </c:pt>
                <c:pt idx="126">
                  <c:v>Gamba Osaka</c:v>
                </c:pt>
                <c:pt idx="127">
                  <c:v>SD Ponferradina</c:v>
                </c:pt>
                <c:pt idx="128">
                  <c:v>CF America</c:v>
                </c:pt>
                <c:pt idx="129">
                  <c:v>Maccabi Haifa</c:v>
                </c:pt>
                <c:pt idx="130">
                  <c:v>BATE Borisov</c:v>
                </c:pt>
                <c:pt idx="131">
                  <c:v>FC Toulouse</c:v>
                </c:pt>
                <c:pt idx="132">
                  <c:v>Real Madrid</c:v>
                </c:pt>
                <c:pt idx="133">
                  <c:v>LOSC Lille</c:v>
                </c:pt>
                <c:pt idx="134">
                  <c:v>AC Ajaccio</c:v>
                </c:pt>
                <c:pt idx="135">
                  <c:v>Cadiz CF</c:v>
                </c:pt>
                <c:pt idx="136">
                  <c:v>Club Estudiantes de La Plata</c:v>
                </c:pt>
                <c:pt idx="137">
                  <c:v>Deportivo de La Coruaa</c:v>
                </c:pt>
                <c:pt idx="138">
                  <c:v>Albacete Balompie</c:v>
                </c:pt>
                <c:pt idx="139">
                  <c:v>SV Werder Bremen</c:v>
                </c:pt>
                <c:pt idx="140">
                  <c:v>Borussia MÃƒÂ¶nchengladbach</c:v>
                </c:pt>
                <c:pt idx="141">
                  <c:v>UD Almera</c:v>
                </c:pt>
                <c:pt idx="142">
                  <c:v>Recreativo Huelva</c:v>
                </c:pt>
                <c:pt idx="143">
                  <c:v>CF Atlante</c:v>
                </c:pt>
                <c:pt idx="144">
                  <c:v>Santos FC</c:v>
                </c:pt>
                <c:pt idx="145">
                  <c:v>RB Leipzig</c:v>
                </c:pt>
                <c:pt idx="146">
                  <c:v>Cultural Leonesa</c:v>
                </c:pt>
                <c:pt idx="147">
                  <c:v>Club Atletico de Ceuta</c:v>
                </c:pt>
                <c:pt idx="148">
                  <c:v>SD Huesca</c:v>
                </c:pt>
                <c:pt idx="149">
                  <c:v>FC Lorient</c:v>
                </c:pt>
                <c:pt idx="150">
                  <c:v>FC Viktoria Plzen</c:v>
                </c:pt>
                <c:pt idx="151">
                  <c:v>Panathinaikos Athens</c:v>
                </c:pt>
                <c:pt idx="152">
                  <c:v>Montpellier</c:v>
                </c:pt>
                <c:pt idx="153">
                  <c:v>Benidorm CD</c:v>
                </c:pt>
                <c:pt idx="154">
                  <c:v>Montpellier HSC</c:v>
                </c:pt>
                <c:pt idx="155">
                  <c:v>Celtic FC</c:v>
                </c:pt>
                <c:pt idx="156">
                  <c:v>SK Slavia Prague</c:v>
                </c:pt>
                <c:pt idx="157">
                  <c:v>FC Nantes</c:v>
                </c:pt>
                <c:pt idx="158">
                  <c:v>SL Benfica</c:v>
                </c:pt>
                <c:pt idx="159">
                  <c:v>ESTAC Troyes</c:v>
                </c:pt>
                <c:pt idx="160">
                  <c:v>CA River Plate</c:v>
                </c:pt>
                <c:pt idx="161">
                  <c:v>Rangers FC</c:v>
                </c:pt>
                <c:pt idx="162">
                  <c:v>CD Leganes</c:v>
                </c:pt>
                <c:pt idx="163">
                  <c:v>VfB Stuttgart</c:v>
                </c:pt>
                <c:pt idx="164">
                  <c:v>Spartak Moscow</c:v>
                </c:pt>
                <c:pt idx="165">
                  <c:v>RC Lens</c:v>
                </c:pt>
                <c:pt idx="166">
                  <c:v>CD Numancia</c:v>
                </c:pt>
                <c:pt idx="167">
                  <c:v>Clermont Foot</c:v>
                </c:pt>
                <c:pt idx="168">
                  <c:v>OGC Nice</c:v>
                </c:pt>
                <c:pt idx="169">
                  <c:v>Club Brugge KV</c:v>
                </c:pt>
                <c:pt idx="170">
                  <c:v>Olympiacos Piraeus</c:v>
                </c:pt>
                <c:pt idx="171">
                  <c:v>PSV Eindhoven</c:v>
                </c:pt>
                <c:pt idx="172">
                  <c:v>Gimnastic de Tarragona</c:v>
                </c:pt>
              </c:strCache>
            </c:strRef>
          </c:cat>
          <c:val>
            <c:numRef>
              <c:f>'Opponent Analysis'!$B$5:$B$178</c:f>
              <c:numCache>
                <c:formatCode>General</c:formatCode>
                <c:ptCount val="173"/>
                <c:pt idx="0">
                  <c:v>27</c:v>
                </c:pt>
                <c:pt idx="1">
                  <c:v>25</c:v>
                </c:pt>
                <c:pt idx="2">
                  <c:v>23</c:v>
                </c:pt>
                <c:pt idx="3">
                  <c:v>20</c:v>
                </c:pt>
                <c:pt idx="4">
                  <c:v>20</c:v>
                </c:pt>
                <c:pt idx="5">
                  <c:v>17</c:v>
                </c:pt>
                <c:pt idx="6">
                  <c:v>17</c:v>
                </c:pt>
                <c:pt idx="7">
                  <c:v>15</c:v>
                </c:pt>
                <c:pt idx="8">
                  <c:v>15</c:v>
                </c:pt>
                <c:pt idx="9">
                  <c:v>15</c:v>
                </c:pt>
                <c:pt idx="10">
                  <c:v>15</c:v>
                </c:pt>
                <c:pt idx="11">
                  <c:v>14</c:v>
                </c:pt>
                <c:pt idx="12">
                  <c:v>14</c:v>
                </c:pt>
                <c:pt idx="13">
                  <c:v>13</c:v>
                </c:pt>
                <c:pt idx="14">
                  <c:v>12</c:v>
                </c:pt>
                <c:pt idx="15">
                  <c:v>12</c:v>
                </c:pt>
                <c:pt idx="16">
                  <c:v>12</c:v>
                </c:pt>
                <c:pt idx="17">
                  <c:v>10</c:v>
                </c:pt>
                <c:pt idx="18">
                  <c:v>10</c:v>
                </c:pt>
                <c:pt idx="19">
                  <c:v>9</c:v>
                </c:pt>
                <c:pt idx="20">
                  <c:v>9</c:v>
                </c:pt>
                <c:pt idx="21">
                  <c:v>9</c:v>
                </c:pt>
                <c:pt idx="22">
                  <c:v>9</c:v>
                </c:pt>
                <c:pt idx="23">
                  <c:v>8</c:v>
                </c:pt>
                <c:pt idx="24">
                  <c:v>8</c:v>
                </c:pt>
                <c:pt idx="25">
                  <c:v>7</c:v>
                </c:pt>
                <c:pt idx="26">
                  <c:v>7</c:v>
                </c:pt>
                <c:pt idx="27">
                  <c:v>7</c:v>
                </c:pt>
                <c:pt idx="28">
                  <c:v>7</c:v>
                </c:pt>
                <c:pt idx="29">
                  <c:v>7</c:v>
                </c:pt>
                <c:pt idx="30">
                  <c:v>7</c:v>
                </c:pt>
                <c:pt idx="31">
                  <c:v>7</c:v>
                </c:pt>
                <c:pt idx="32">
                  <c:v>7</c:v>
                </c:pt>
                <c:pt idx="33">
                  <c:v>7</c:v>
                </c:pt>
                <c:pt idx="34">
                  <c:v>7</c:v>
                </c:pt>
                <c:pt idx="35">
                  <c:v>6</c:v>
                </c:pt>
                <c:pt idx="36">
                  <c:v>6</c:v>
                </c:pt>
                <c:pt idx="37">
                  <c:v>6</c:v>
                </c:pt>
                <c:pt idx="38">
                  <c:v>6</c:v>
                </c:pt>
                <c:pt idx="39">
                  <c:v>6</c:v>
                </c:pt>
                <c:pt idx="40">
                  <c:v>6</c:v>
                </c:pt>
                <c:pt idx="41">
                  <c:v>6</c:v>
                </c:pt>
                <c:pt idx="42">
                  <c:v>6</c:v>
                </c:pt>
                <c:pt idx="43">
                  <c:v>6</c:v>
                </c:pt>
                <c:pt idx="44">
                  <c:v>6</c:v>
                </c:pt>
                <c:pt idx="45">
                  <c:v>6</c:v>
                </c:pt>
                <c:pt idx="46">
                  <c:v>6</c:v>
                </c:pt>
                <c:pt idx="47">
                  <c:v>6</c:v>
                </c:pt>
                <c:pt idx="48">
                  <c:v>6</c:v>
                </c:pt>
                <c:pt idx="49">
                  <c:v>6</c:v>
                </c:pt>
                <c:pt idx="50">
                  <c:v>5</c:v>
                </c:pt>
                <c:pt idx="51">
                  <c:v>5</c:v>
                </c:pt>
                <c:pt idx="52">
                  <c:v>5</c:v>
                </c:pt>
                <c:pt idx="53">
                  <c:v>5</c:v>
                </c:pt>
                <c:pt idx="54">
                  <c:v>5</c:v>
                </c:pt>
                <c:pt idx="55">
                  <c:v>5</c:v>
                </c:pt>
                <c:pt idx="56">
                  <c:v>5</c:v>
                </c:pt>
                <c:pt idx="57">
                  <c:v>4</c:v>
                </c:pt>
                <c:pt idx="58">
                  <c:v>4</c:v>
                </c:pt>
                <c:pt idx="59">
                  <c:v>4</c:v>
                </c:pt>
                <c:pt idx="60">
                  <c:v>4</c:v>
                </c:pt>
                <c:pt idx="61">
                  <c:v>4</c:v>
                </c:pt>
                <c:pt idx="62">
                  <c:v>4</c:v>
                </c:pt>
                <c:pt idx="63">
                  <c:v>4</c:v>
                </c:pt>
                <c:pt idx="64">
                  <c:v>4</c:v>
                </c:pt>
                <c:pt idx="65">
                  <c:v>4</c:v>
                </c:pt>
                <c:pt idx="66">
                  <c:v>4</c:v>
                </c:pt>
                <c:pt idx="67">
                  <c:v>4</c:v>
                </c:pt>
                <c:pt idx="68">
                  <c:v>4</c:v>
                </c:pt>
                <c:pt idx="69">
                  <c:v>3</c:v>
                </c:pt>
                <c:pt idx="70">
                  <c:v>3</c:v>
                </c:pt>
                <c:pt idx="71">
                  <c:v>3</c:v>
                </c:pt>
                <c:pt idx="72">
                  <c:v>3</c:v>
                </c:pt>
                <c:pt idx="73">
                  <c:v>3</c:v>
                </c:pt>
                <c:pt idx="74">
                  <c:v>3</c:v>
                </c:pt>
                <c:pt idx="75">
                  <c:v>3</c:v>
                </c:pt>
                <c:pt idx="76">
                  <c:v>3</c:v>
                </c:pt>
                <c:pt idx="77">
                  <c:v>3</c:v>
                </c:pt>
                <c:pt idx="78">
                  <c:v>3</c:v>
                </c:pt>
                <c:pt idx="79">
                  <c:v>3</c:v>
                </c:pt>
                <c:pt idx="80">
                  <c:v>3</c:v>
                </c:pt>
                <c:pt idx="81">
                  <c:v>3</c:v>
                </c:pt>
                <c:pt idx="82">
                  <c:v>3</c:v>
                </c:pt>
                <c:pt idx="83">
                  <c:v>3</c:v>
                </c:pt>
                <c:pt idx="84">
                  <c:v>3</c:v>
                </c:pt>
                <c:pt idx="85">
                  <c:v>2</c:v>
                </c:pt>
                <c:pt idx="86">
                  <c:v>2</c:v>
                </c:pt>
                <c:pt idx="87">
                  <c:v>2</c:v>
                </c:pt>
                <c:pt idx="88">
                  <c:v>2</c:v>
                </c:pt>
                <c:pt idx="89">
                  <c:v>2</c:v>
                </c:pt>
                <c:pt idx="90">
                  <c:v>2</c:v>
                </c:pt>
                <c:pt idx="91">
                  <c:v>2</c:v>
                </c:pt>
                <c:pt idx="92">
                  <c:v>2</c:v>
                </c:pt>
                <c:pt idx="93">
                  <c:v>2</c:v>
                </c:pt>
                <c:pt idx="94">
                  <c:v>2</c:v>
                </c:pt>
                <c:pt idx="95">
                  <c:v>2</c:v>
                </c:pt>
                <c:pt idx="96">
                  <c:v>2</c:v>
                </c:pt>
                <c:pt idx="97">
                  <c:v>2</c:v>
                </c:pt>
                <c:pt idx="98">
                  <c:v>2</c:v>
                </c:pt>
                <c:pt idx="99">
                  <c:v>2</c:v>
                </c:pt>
                <c:pt idx="100">
                  <c:v>2</c:v>
                </c:pt>
                <c:pt idx="101">
                  <c:v>2</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numCache>
            </c:numRef>
          </c:val>
          <c:extLst>
            <c:ext xmlns:c16="http://schemas.microsoft.com/office/drawing/2014/chart" uri="{C3380CC4-5D6E-409C-BE32-E72D297353CC}">
              <c16:uniqueId val="{00000000-3654-41C8-812D-EAE882D28A1E}"/>
            </c:ext>
          </c:extLst>
        </c:ser>
        <c:ser>
          <c:idx val="1"/>
          <c:order val="1"/>
          <c:tx>
            <c:strRef>
              <c:f>'Opponent Analysis'!$C$3:$C$4</c:f>
              <c:strCache>
                <c:ptCount val="1"/>
                <c:pt idx="0">
                  <c:v>Lionel Messi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'Opponent Analysis'!$A$5:$A$178</c:f>
              <c:strCache>
                <c:ptCount val="173"/>
                <c:pt idx="0">
                  <c:v>Sevilla FC</c:v>
                </c:pt>
                <c:pt idx="1">
                  <c:v>Atletico de Madrid</c:v>
                </c:pt>
                <c:pt idx="2">
                  <c:v>Getafe CF</c:v>
                </c:pt>
                <c:pt idx="3">
                  <c:v>Celta de Vigo</c:v>
                </c:pt>
                <c:pt idx="4">
                  <c:v>FC Barcelona</c:v>
                </c:pt>
                <c:pt idx="5">
                  <c:v>Malaga CF</c:v>
                </c:pt>
                <c:pt idx="6">
                  <c:v>Athletic Bilbao</c:v>
                </c:pt>
                <c:pt idx="7">
                  <c:v>RCD Espanyol Barcelona</c:v>
                </c:pt>
                <c:pt idx="8">
                  <c:v>Real Sociedad</c:v>
                </c:pt>
                <c:pt idx="9">
                  <c:v>Valencia CF</c:v>
                </c:pt>
                <c:pt idx="10">
                  <c:v>Villarreal CF</c:v>
                </c:pt>
                <c:pt idx="11">
                  <c:v>Levante UD</c:v>
                </c:pt>
                <c:pt idx="12">
                  <c:v>Tottenham Hotspur</c:v>
                </c:pt>
                <c:pt idx="13">
                  <c:v>Deportivo de La CoruÃƒÂ±a</c:v>
                </c:pt>
                <c:pt idx="14">
                  <c:v>CA Osasuna</c:v>
                </c:pt>
                <c:pt idx="15">
                  <c:v>Rayo Vallecano</c:v>
                </c:pt>
                <c:pt idx="16">
                  <c:v>Granada CF</c:v>
                </c:pt>
                <c:pt idx="17">
                  <c:v>AS Roma</c:v>
                </c:pt>
                <c:pt idx="18">
                  <c:v>Juventus FC</c:v>
                </c:pt>
                <c:pt idx="19">
                  <c:v>Ajax Amsterdam</c:v>
                </c:pt>
                <c:pt idx="20">
                  <c:v>Arsenal FC</c:v>
                </c:pt>
                <c:pt idx="21">
                  <c:v>Bayern Munich</c:v>
                </c:pt>
                <c:pt idx="22">
                  <c:v>Aston Villa</c:v>
                </c:pt>
                <c:pt idx="23">
                  <c:v>Cagliari Calcio</c:v>
                </c:pt>
                <c:pt idx="24">
                  <c:v>Newcastle United</c:v>
                </c:pt>
                <c:pt idx="25">
                  <c:v>Udinese Calcio</c:v>
                </c:pt>
                <c:pt idx="26">
                  <c:v>Fulham FC</c:v>
                </c:pt>
                <c:pt idx="27">
                  <c:v>Wigan Athletic</c:v>
                </c:pt>
                <c:pt idx="28">
                  <c:v>Real Zaragoza</c:v>
                </c:pt>
                <c:pt idx="29">
                  <c:v>SD Eibar</c:v>
                </c:pt>
                <c:pt idx="30">
                  <c:v>Elche CF</c:v>
                </c:pt>
                <c:pt idx="31">
                  <c:v>UD Almeria</c:v>
                </c:pt>
                <c:pt idx="32">
                  <c:v>FC Schalke 04</c:v>
                </c:pt>
                <c:pt idx="33">
                  <c:v>RCD Mallorca</c:v>
                </c:pt>
                <c:pt idx="34">
                  <c:v>Borussia Dortmund</c:v>
                </c:pt>
                <c:pt idx="35">
                  <c:v>Sporting GijÃƒÂ³n</c:v>
                </c:pt>
                <c:pt idx="36">
                  <c:v>Bolton Wanderers</c:v>
                </c:pt>
                <c:pt idx="37">
                  <c:v>Atalanta BC</c:v>
                </c:pt>
                <c:pt idx="38">
                  <c:v>APOEL Nicosia</c:v>
                </c:pt>
                <c:pt idx="39">
                  <c:v>AC Milan</c:v>
                </c:pt>
                <c:pt idx="40">
                  <c:v>Real Betis Balompie</c:v>
                </c:pt>
                <c:pt idx="41">
                  <c:v>US Sassuolo</c:v>
                </c:pt>
                <c:pt idx="42">
                  <c:v>West Ham United</c:v>
                </c:pt>
                <c:pt idx="43">
                  <c:v>Galatasaray</c:v>
                </c:pt>
                <c:pt idx="44">
                  <c:v>Olympique Lyon</c:v>
                </c:pt>
                <c:pt idx="45">
                  <c:v>Parma Calcio 1913</c:v>
                </c:pt>
                <c:pt idx="46">
                  <c:v>Portsmouth FC</c:v>
                </c:pt>
                <c:pt idx="47">
                  <c:v>Everton FC</c:v>
                </c:pt>
                <c:pt idx="48">
                  <c:v>Racing Santander</c:v>
                </c:pt>
                <c:pt idx="49">
                  <c:v>MalmÃƒÂ¶ FF</c:v>
                </c:pt>
                <c:pt idx="50">
                  <c:v>Middlesbrough FC</c:v>
                </c:pt>
                <c:pt idx="51">
                  <c:v>Deportivo Alaves</c:v>
                </c:pt>
                <c:pt idx="52">
                  <c:v>UC Sampdoria</c:v>
                </c:pt>
                <c:pt idx="53">
                  <c:v>Shakhtar Donetsk</c:v>
                </c:pt>
                <c:pt idx="54">
                  <c:v>Genoa CFC</c:v>
                </c:pt>
                <c:pt idx="55">
                  <c:v>Manchester City</c:v>
                </c:pt>
                <c:pt idx="56">
                  <c:v>SS Lazio</c:v>
                </c:pt>
                <c:pt idx="57">
                  <c:v>Reading FC</c:v>
                </c:pt>
                <c:pt idx="58">
                  <c:v>Al-Wehda FC</c:v>
                </c:pt>
                <c:pt idx="59">
                  <c:v>Inter Milan</c:v>
                </c:pt>
                <c:pt idx="60">
                  <c:v>Olympique Marseille</c:v>
                </c:pt>
                <c:pt idx="61">
                  <c:v>Derby County</c:v>
                </c:pt>
                <c:pt idx="62">
                  <c:v>Dynamo Kyiv</c:v>
                </c:pt>
                <c:pt idx="63">
                  <c:v>Norwich City</c:v>
                </c:pt>
                <c:pt idx="64">
                  <c:v>West Bromwich Albion</c:v>
                </c:pt>
                <c:pt idx="65">
                  <c:v>SSC Napoli</c:v>
                </c:pt>
                <c:pt idx="66">
                  <c:v>Xerez CD</c:v>
                </c:pt>
                <c:pt idx="67">
                  <c:v>Torino FC</c:v>
                </c:pt>
                <c:pt idx="68">
                  <c:v>Girona FC</c:v>
                </c:pt>
                <c:pt idx="69">
                  <c:v>VfL Wolfsburg</c:v>
                </c:pt>
                <c:pt idx="70">
                  <c:v>Spezia Calcio</c:v>
                </c:pt>
                <c:pt idx="71">
                  <c:v>Damac FC</c:v>
                </c:pt>
                <c:pt idx="72">
                  <c:v>ACF Fiorentina</c:v>
                </c:pt>
                <c:pt idx="73">
                  <c:v>Blackburn Rovers</c:v>
                </c:pt>
                <c:pt idx="74">
                  <c:v>Hellas Verona</c:v>
                </c:pt>
                <c:pt idx="75">
                  <c:v>CSKA Moscow</c:v>
                </c:pt>
                <c:pt idx="76">
                  <c:v>Kashima Antlers</c:v>
                </c:pt>
                <c:pt idx="77">
                  <c:v>SPAL</c:v>
                </c:pt>
                <c:pt idx="78">
                  <c:v>Liverpool FC</c:v>
                </c:pt>
                <c:pt idx="79">
                  <c:v>Sporting CP</c:v>
                </c:pt>
                <c:pt idx="80">
                  <c:v>Manchester United</c:v>
                </c:pt>
                <c:pt idx="81">
                  <c:v>UD Las Palmas</c:v>
                </c:pt>
                <c:pt idx="82">
                  <c:v>FC Copenhagen</c:v>
                </c:pt>
                <c:pt idx="83">
                  <c:v>Real Valladolid CF</c:v>
                </c:pt>
                <c:pt idx="84">
                  <c:v>Paris Saint-Germain</c:v>
                </c:pt>
                <c:pt idx="85">
                  <c:v>Empoli FC </c:v>
                </c:pt>
                <c:pt idx="86">
                  <c:v>Southampton FC</c:v>
                </c:pt>
                <c:pt idx="87">
                  <c:v>Watford FC</c:v>
                </c:pt>
                <c:pt idx="88">
                  <c:v>Hull City</c:v>
                </c:pt>
                <c:pt idx="89">
                  <c:v>Stoke City</c:v>
                </c:pt>
                <c:pt idx="90">
                  <c:v>FC Sheriff</c:v>
                </c:pt>
                <c:pt idx="91">
                  <c:v>Frosinone Calcio</c:v>
                </c:pt>
                <c:pt idx="92">
                  <c:v>Ludogorets Razgrad</c:v>
                </c:pt>
                <c:pt idx="93">
                  <c:v>Hercules CF</c:v>
                </c:pt>
                <c:pt idx="94">
                  <c:v>FC ZÃƒÂ¼rich</c:v>
                </c:pt>
                <c:pt idx="95">
                  <c:v>Bayer 04 Leverkusen</c:v>
                </c:pt>
                <c:pt idx="96">
                  <c:v>Moreirense FC</c:v>
                </c:pt>
                <c:pt idx="97">
                  <c:v>Birmingham City</c:v>
                </c:pt>
                <c:pt idx="98">
                  <c:v>FC Crotone</c:v>
                </c:pt>
                <c:pt idx="99">
                  <c:v>Bologna FC 1909</c:v>
                </c:pt>
                <c:pt idx="100">
                  <c:v>Chelsea FC</c:v>
                </c:pt>
                <c:pt idx="101">
                  <c:v>FC Basel 1893</c:v>
                </c:pt>
                <c:pt idx="102">
                  <c:v>Al-Fateh</c:v>
                </c:pt>
                <c:pt idx="103">
                  <c:v>Charlton Athletic</c:v>
                </c:pt>
                <c:pt idx="104">
                  <c:v>US Lecce</c:v>
                </c:pt>
                <c:pt idx="105">
                  <c:v>Real Murcia CF</c:v>
                </c:pt>
                <c:pt idx="106">
                  <c:v>Ferencvarosi TC</c:v>
                </c:pt>
                <c:pt idx="107">
                  <c:v>AJ Auxerre</c:v>
                </c:pt>
                <c:pt idx="108">
                  <c:v>FC Internazionale</c:v>
                </c:pt>
                <c:pt idx="109">
                  <c:v>CD Estarreja</c:v>
                </c:pt>
                <c:pt idx="110">
                  <c:v>Exeter City</c:v>
                </c:pt>
                <c:pt idx="111">
                  <c:v>Millwall FC</c:v>
                </c:pt>
                <c:pt idx="112">
                  <c:v>Al-Jazira (Abu Dhabi)</c:v>
                </c:pt>
                <c:pt idx="113">
                  <c:v>Brentford FC</c:v>
                </c:pt>
                <c:pt idx="114">
                  <c:v>Sunderland AFC</c:v>
                </c:pt>
                <c:pt idx="115">
                  <c:v>Debreceni VSC</c:v>
                </c:pt>
                <c:pt idx="116">
                  <c:v>GrÃƒÂªmio Foot-Ball Porto Alegrense</c:v>
                </c:pt>
                <c:pt idx="117">
                  <c:v>Burnley FC</c:v>
                </c:pt>
                <c:pt idx="118">
                  <c:v>BSC Young Boys</c:v>
                </c:pt>
                <c:pt idx="119">
                  <c:v>Brighton &amp; Hove Albion</c:v>
                </c:pt>
                <c:pt idx="120">
                  <c:v>Boavista FC</c:v>
                </c:pt>
                <c:pt idx="121">
                  <c:v>Abha Club</c:v>
                </c:pt>
                <c:pt idx="122">
                  <c:v>FC Porto</c:v>
                </c:pt>
                <c:pt idx="123">
                  <c:v>FC Oliveira do Hospital</c:v>
                </c:pt>
                <c:pt idx="124">
                  <c:v>CÃƒÂ³rdoba CF</c:v>
                </c:pt>
                <c:pt idx="125">
                  <c:v>CD Tenerife</c:v>
                </c:pt>
                <c:pt idx="126">
                  <c:v>Gamba Osaka</c:v>
                </c:pt>
                <c:pt idx="127">
                  <c:v>SD Ponferradina</c:v>
                </c:pt>
                <c:pt idx="128">
                  <c:v>CF America</c:v>
                </c:pt>
                <c:pt idx="129">
                  <c:v>Maccabi Haifa</c:v>
                </c:pt>
                <c:pt idx="130">
                  <c:v>BATE Borisov</c:v>
                </c:pt>
                <c:pt idx="131">
                  <c:v>FC Toulouse</c:v>
                </c:pt>
                <c:pt idx="132">
                  <c:v>Real Madrid</c:v>
                </c:pt>
                <c:pt idx="133">
                  <c:v>LOSC Lille</c:v>
                </c:pt>
                <c:pt idx="134">
                  <c:v>AC Ajaccio</c:v>
                </c:pt>
                <c:pt idx="135">
                  <c:v>Cadiz CF</c:v>
                </c:pt>
                <c:pt idx="136">
                  <c:v>Club Estudiantes de La Plata</c:v>
                </c:pt>
                <c:pt idx="137">
                  <c:v>Deportivo de La Coruaa</c:v>
                </c:pt>
                <c:pt idx="138">
                  <c:v>Albacete Balompie</c:v>
                </c:pt>
                <c:pt idx="139">
                  <c:v>SV Werder Bremen</c:v>
                </c:pt>
                <c:pt idx="140">
                  <c:v>Borussia MÃƒÂ¶nchengladbach</c:v>
                </c:pt>
                <c:pt idx="141">
                  <c:v>UD Almera</c:v>
                </c:pt>
                <c:pt idx="142">
                  <c:v>Recreativo Huelva</c:v>
                </c:pt>
                <c:pt idx="143">
                  <c:v>CF Atlante</c:v>
                </c:pt>
                <c:pt idx="144">
                  <c:v>Santos FC</c:v>
                </c:pt>
                <c:pt idx="145">
                  <c:v>RB Leipzig</c:v>
                </c:pt>
                <c:pt idx="146">
                  <c:v>Cultural Leonesa</c:v>
                </c:pt>
                <c:pt idx="147">
                  <c:v>Club Atletico de Ceuta</c:v>
                </c:pt>
                <c:pt idx="148">
                  <c:v>SD Huesca</c:v>
                </c:pt>
                <c:pt idx="149">
                  <c:v>FC Lorient</c:v>
                </c:pt>
                <c:pt idx="150">
                  <c:v>FC Viktoria Plzen</c:v>
                </c:pt>
                <c:pt idx="151">
                  <c:v>Panathinaikos Athens</c:v>
                </c:pt>
                <c:pt idx="152">
                  <c:v>Montpellier</c:v>
                </c:pt>
                <c:pt idx="153">
                  <c:v>Benidorm CD</c:v>
                </c:pt>
                <c:pt idx="154">
                  <c:v>Montpellier HSC</c:v>
                </c:pt>
                <c:pt idx="155">
                  <c:v>Celtic FC</c:v>
                </c:pt>
                <c:pt idx="156">
                  <c:v>SK Slavia Prague</c:v>
                </c:pt>
                <c:pt idx="157">
                  <c:v>FC Nantes</c:v>
                </c:pt>
                <c:pt idx="158">
                  <c:v>SL Benfica</c:v>
                </c:pt>
                <c:pt idx="159">
                  <c:v>ESTAC Troyes</c:v>
                </c:pt>
                <c:pt idx="160">
                  <c:v>CA River Plate</c:v>
                </c:pt>
                <c:pt idx="161">
                  <c:v>Rangers FC</c:v>
                </c:pt>
                <c:pt idx="162">
                  <c:v>CD Leganes</c:v>
                </c:pt>
                <c:pt idx="163">
                  <c:v>VfB Stuttgart</c:v>
                </c:pt>
                <c:pt idx="164">
                  <c:v>Spartak Moscow</c:v>
                </c:pt>
                <c:pt idx="165">
                  <c:v>RC Lens</c:v>
                </c:pt>
                <c:pt idx="166">
                  <c:v>CD Numancia</c:v>
                </c:pt>
                <c:pt idx="167">
                  <c:v>Clermont Foot</c:v>
                </c:pt>
                <c:pt idx="168">
                  <c:v>OGC Nice</c:v>
                </c:pt>
                <c:pt idx="169">
                  <c:v>Club Brugge KV</c:v>
                </c:pt>
                <c:pt idx="170">
                  <c:v>Olympiacos Piraeus</c:v>
                </c:pt>
                <c:pt idx="171">
                  <c:v>PSV Eindhoven</c:v>
                </c:pt>
                <c:pt idx="172">
                  <c:v>Gimnastic de Tarragona</c:v>
                </c:pt>
              </c:strCache>
            </c:strRef>
          </c:cat>
          <c:val>
            <c:numRef>
              <c:f>'Opponent Analysis'!$C$5:$C$178</c:f>
              <c:numCache>
                <c:formatCode>General</c:formatCode>
                <c:ptCount val="173"/>
                <c:pt idx="0">
                  <c:v>38</c:v>
                </c:pt>
                <c:pt idx="1">
                  <c:v>32</c:v>
                </c:pt>
                <c:pt idx="2">
                  <c:v>21</c:v>
                </c:pt>
                <c:pt idx="3">
                  <c:v>14</c:v>
                </c:pt>
                <c:pt idx="5">
                  <c:v>13</c:v>
                </c:pt>
                <c:pt idx="6">
                  <c:v>29</c:v>
                </c:pt>
                <c:pt idx="7">
                  <c:v>25</c:v>
                </c:pt>
                <c:pt idx="8">
                  <c:v>18</c:v>
                </c:pt>
                <c:pt idx="9">
                  <c:v>31</c:v>
                </c:pt>
                <c:pt idx="10">
                  <c:v>16</c:v>
                </c:pt>
                <c:pt idx="11">
                  <c:v>24</c:v>
                </c:pt>
                <c:pt idx="12">
                  <c:v>2</c:v>
                </c:pt>
                <c:pt idx="14">
                  <c:v>25</c:v>
                </c:pt>
                <c:pt idx="15">
                  <c:v>18</c:v>
                </c:pt>
                <c:pt idx="16">
                  <c:v>15</c:v>
                </c:pt>
                <c:pt idx="17">
                  <c:v>2</c:v>
                </c:pt>
                <c:pt idx="18">
                  <c:v>3</c:v>
                </c:pt>
                <c:pt idx="19">
                  <c:v>6</c:v>
                </c:pt>
                <c:pt idx="20">
                  <c:v>9</c:v>
                </c:pt>
                <c:pt idx="21">
                  <c:v>4</c:v>
                </c:pt>
                <c:pt idx="28">
                  <c:v>14</c:v>
                </c:pt>
                <c:pt idx="29">
                  <c:v>20</c:v>
                </c:pt>
                <c:pt idx="30">
                  <c:v>7</c:v>
                </c:pt>
                <c:pt idx="33">
                  <c:v>16</c:v>
                </c:pt>
                <c:pt idx="34">
                  <c:v>1</c:v>
                </c:pt>
                <c:pt idx="35">
                  <c:v>6</c:v>
                </c:pt>
                <c:pt idx="38">
                  <c:v>3</c:v>
                </c:pt>
                <c:pt idx="39">
                  <c:v>8</c:v>
                </c:pt>
                <c:pt idx="40">
                  <c:v>26</c:v>
                </c:pt>
                <c:pt idx="44">
                  <c:v>6</c:v>
                </c:pt>
                <c:pt idx="48">
                  <c:v>12</c:v>
                </c:pt>
                <c:pt idx="51">
                  <c:v>13</c:v>
                </c:pt>
                <c:pt idx="53">
                  <c:v>3</c:v>
                </c:pt>
                <c:pt idx="55">
                  <c:v>7</c:v>
                </c:pt>
                <c:pt idx="60">
                  <c:v>1</c:v>
                </c:pt>
                <c:pt idx="62">
                  <c:v>3</c:v>
                </c:pt>
                <c:pt idx="65">
                  <c:v>1</c:v>
                </c:pt>
                <c:pt idx="68">
                  <c:v>4</c:v>
                </c:pt>
                <c:pt idx="78">
                  <c:v>2</c:v>
                </c:pt>
                <c:pt idx="79">
                  <c:v>1</c:v>
                </c:pt>
                <c:pt idx="80">
                  <c:v>4</c:v>
                </c:pt>
                <c:pt idx="81">
                  <c:v>4</c:v>
                </c:pt>
                <c:pt idx="82">
                  <c:v>3</c:v>
                </c:pt>
                <c:pt idx="83">
                  <c:v>8</c:v>
                </c:pt>
                <c:pt idx="84">
                  <c:v>6</c:v>
                </c:pt>
                <c:pt idx="93">
                  <c:v>2</c:v>
                </c:pt>
                <c:pt idx="95">
                  <c:v>7</c:v>
                </c:pt>
                <c:pt idx="100">
                  <c:v>3</c:v>
                </c:pt>
                <c:pt idx="101">
                  <c:v>2</c:v>
                </c:pt>
                <c:pt idx="106">
                  <c:v>1</c:v>
                </c:pt>
                <c:pt idx="122">
                  <c:v>1</c:v>
                </c:pt>
                <c:pt idx="124">
                  <c:v>6</c:v>
                </c:pt>
                <c:pt idx="125">
                  <c:v>5</c:v>
                </c:pt>
                <c:pt idx="129">
                  <c:v>3</c:v>
                </c:pt>
                <c:pt idx="130">
                  <c:v>2</c:v>
                </c:pt>
                <c:pt idx="131">
                  <c:v>1</c:v>
                </c:pt>
                <c:pt idx="132">
                  <c:v>26</c:v>
                </c:pt>
                <c:pt idx="133">
                  <c:v>3</c:v>
                </c:pt>
                <c:pt idx="134">
                  <c:v>1</c:v>
                </c:pt>
                <c:pt idx="135">
                  <c:v>1</c:v>
                </c:pt>
                <c:pt idx="136">
                  <c:v>1</c:v>
                </c:pt>
                <c:pt idx="137">
                  <c:v>20</c:v>
                </c:pt>
                <c:pt idx="138">
                  <c:v>1</c:v>
                </c:pt>
                <c:pt idx="139">
                  <c:v>1</c:v>
                </c:pt>
                <c:pt idx="140">
                  <c:v>1</c:v>
                </c:pt>
                <c:pt idx="141">
                  <c:v>13</c:v>
                </c:pt>
                <c:pt idx="142">
                  <c:v>3</c:v>
                </c:pt>
                <c:pt idx="143">
                  <c:v>1</c:v>
                </c:pt>
                <c:pt idx="144">
                  <c:v>2</c:v>
                </c:pt>
                <c:pt idx="145">
                  <c:v>2</c:v>
                </c:pt>
                <c:pt idx="146">
                  <c:v>1</c:v>
                </c:pt>
                <c:pt idx="147">
                  <c:v>1</c:v>
                </c:pt>
                <c:pt idx="148">
                  <c:v>4</c:v>
                </c:pt>
                <c:pt idx="149">
                  <c:v>1</c:v>
                </c:pt>
                <c:pt idx="150">
                  <c:v>3</c:v>
                </c:pt>
                <c:pt idx="151">
                  <c:v>4</c:v>
                </c:pt>
                <c:pt idx="152">
                  <c:v>2</c:v>
                </c:pt>
                <c:pt idx="153">
                  <c:v>1</c:v>
                </c:pt>
                <c:pt idx="154">
                  <c:v>1</c:v>
                </c:pt>
                <c:pt idx="155">
                  <c:v>8</c:v>
                </c:pt>
                <c:pt idx="156">
                  <c:v>1</c:v>
                </c:pt>
                <c:pt idx="157">
                  <c:v>4</c:v>
                </c:pt>
                <c:pt idx="158">
                  <c:v>1</c:v>
                </c:pt>
                <c:pt idx="159">
                  <c:v>1</c:v>
                </c:pt>
                <c:pt idx="160">
                  <c:v>1</c:v>
                </c:pt>
                <c:pt idx="161">
                  <c:v>1</c:v>
                </c:pt>
                <c:pt idx="162">
                  <c:v>11</c:v>
                </c:pt>
                <c:pt idx="163">
                  <c:v>3</c:v>
                </c:pt>
                <c:pt idx="164">
                  <c:v>4</c:v>
                </c:pt>
                <c:pt idx="165">
                  <c:v>1</c:v>
                </c:pt>
                <c:pt idx="166">
                  <c:v>2</c:v>
                </c:pt>
                <c:pt idx="167">
                  <c:v>4</c:v>
                </c:pt>
                <c:pt idx="168">
                  <c:v>1</c:v>
                </c:pt>
                <c:pt idx="169">
                  <c:v>2</c:v>
                </c:pt>
                <c:pt idx="170">
                  <c:v>1</c:v>
                </c:pt>
                <c:pt idx="171">
                  <c:v>4</c:v>
                </c:pt>
                <c:pt idx="172">
                  <c:v>2</c:v>
                </c:pt>
              </c:numCache>
            </c:numRef>
          </c:val>
          <c:extLst>
            <c:ext xmlns:c16="http://schemas.microsoft.com/office/drawing/2014/chart" uri="{C3380CC4-5D6E-409C-BE32-E72D297353CC}">
              <c16:uniqueId val="{00000009-3654-41C8-812D-EAE882D28A1E}"/>
            </c:ext>
          </c:extLst>
        </c:ser>
        <c:dLbls>
          <c:showLegendKey val="0"/>
          <c:showVal val="0"/>
          <c:showCatName val="0"/>
          <c:showSerName val="0"/>
          <c:showPercent val="0"/>
          <c:showBubbleSize val="0"/>
        </c:dLbls>
        <c:gapWidth val="100"/>
        <c:overlap val="-24"/>
        <c:axId val="515600991"/>
        <c:axId val="515560191"/>
      </c:barChart>
      <c:catAx>
        <c:axId val="515600991"/>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Opponent</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560191"/>
        <c:crosses val="autoZero"/>
        <c:auto val="1"/>
        <c:lblAlgn val="ctr"/>
        <c:lblOffset val="100"/>
        <c:noMultiLvlLbl val="0"/>
      </c:catAx>
      <c:valAx>
        <c:axId val="515560191"/>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6009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[analysis.xlsm]Scoring Technique Analysis!PivotTable7</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Scoring Technique Analysis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'Scoring Technique Analysis'!$B$3:$B$4</c:f>
              <c:strCache>
                <c:ptCount val="1"/>
                <c:pt idx="0">
                  <c:v>Cristiano Ronaldo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'Scoring Technique Analysis'!$A$5:$A$17</c:f>
              <c:strCache>
                <c:ptCount val="12"/>
                <c:pt idx="0">
                  <c:v>Chest</c:v>
                </c:pt>
                <c:pt idx="1">
                  <c:v>Counter attack goal</c:v>
                </c:pt>
                <c:pt idx="2">
                  <c:v>Deflected shot on goal</c:v>
                </c:pt>
                <c:pt idx="3">
                  <c:v>Direct free kick</c:v>
                </c:pt>
                <c:pt idx="4">
                  <c:v>Header</c:v>
                </c:pt>
                <c:pt idx="5">
                  <c:v>Left-footed shot</c:v>
                </c:pt>
                <c:pt idx="6">
                  <c:v>Long distance kick</c:v>
                </c:pt>
                <c:pt idx="7">
                  <c:v>Penalty</c:v>
                </c:pt>
                <c:pt idx="8">
                  <c:v>Penalty rebound</c:v>
                </c:pt>
                <c:pt idx="9">
                  <c:v>Right-footed shot</c:v>
                </c:pt>
                <c:pt idx="10">
                  <c:v>Solo run</c:v>
                </c:pt>
                <c:pt idx="11">
                  <c:v>Tap-in</c:v>
                </c:pt>
              </c:strCache>
            </c:strRef>
          </c:cat>
          <c:val>
            <c:numRef>
              <c:f>'Scoring Technique Analysis'!$B$5:$B$17</c:f>
              <c:numCache>
                <c:formatCode>General</c:formatCode>
                <c:ptCount val="12"/>
                <c:pt idx="1">
                  <c:v>6</c:v>
                </c:pt>
                <c:pt idx="2">
                  <c:v>2</c:v>
                </c:pt>
                <c:pt idx="3">
                  <c:v>53</c:v>
                </c:pt>
                <c:pt idx="4">
                  <c:v>112</c:v>
                </c:pt>
                <c:pt idx="5">
                  <c:v>118</c:v>
                </c:pt>
                <c:pt idx="6">
                  <c:v>9</c:v>
                </c:pt>
                <c:pt idx="7">
                  <c:v>133</c:v>
                </c:pt>
                <c:pt idx="8">
                  <c:v>6</c:v>
                </c:pt>
                <c:pt idx="9">
                  <c:v>255</c:v>
                </c:pt>
                <c:pt idx="10">
                  <c:v>2</c:v>
                </c:pt>
                <c:pt idx="11">
                  <c:v>14</c:v>
                </c:pt>
              </c:numCache>
            </c:numRef>
          </c:val>
          <c:extLst>
            <c:ext xmlns:c16="http://schemas.microsoft.com/office/drawing/2014/chart" uri="{C3380CC4-5D6E-409C-BE32-E72D297353CC}">
              <c16:uniqueId val="{0000003F-FB3B-4150-95EA-0760277BEB4B}"/>
            </c:ext>
          </c:extLst>
        </c:ser>
        <c:ser>
          <c:idx val="1"/>
          <c:order val="1"/>
          <c:tx>
            <c:strRef>
              <c:f>'Scoring Technique Analysis'!$C$3:$C$4</c:f>
              <c:strCache>
                <c:ptCount val="1"/>
                <c:pt idx="0">
                  <c:v>Lionel Messi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'Scoring Technique Analysis'!$A$5:$A$17</c:f>
              <c:strCache>
                <c:ptCount val="12"/>
                <c:pt idx="0">
                  <c:v>Chest</c:v>
                </c:pt>
                <c:pt idx="1">
                  <c:v>Counter attack goal</c:v>
                </c:pt>
                <c:pt idx="2">
                  <c:v>Deflected shot on goal</c:v>
                </c:pt>
                <c:pt idx="3">
                  <c:v>Direct free kick</c:v>
                </c:pt>
                <c:pt idx="4">
                  <c:v>Header</c:v>
                </c:pt>
                <c:pt idx="5">
                  <c:v>Left-footed shot</c:v>
                </c:pt>
                <c:pt idx="6">
                  <c:v>Long distance kick</c:v>
                </c:pt>
                <c:pt idx="7">
                  <c:v>Penalty</c:v>
                </c:pt>
                <c:pt idx="8">
                  <c:v>Penalty rebound</c:v>
                </c:pt>
                <c:pt idx="9">
                  <c:v>Right-footed shot</c:v>
                </c:pt>
                <c:pt idx="10">
                  <c:v>Solo run</c:v>
                </c:pt>
                <c:pt idx="11">
                  <c:v>Tap-in</c:v>
                </c:pt>
              </c:strCache>
            </c:strRef>
          </c:cat>
          <c:val>
            <c:numRef>
              <c:f>'Scoring Technique Analysis'!$C$5:$C$17</c:f>
              <c:numCache>
                <c:formatCode>General</c:formatCode>
                <c:ptCount val="12"/>
                <c:pt idx="0">
                  <c:v>1</c:v>
                </c:pt>
                <c:pt idx="1">
                  <c:v>1</c:v>
                </c:pt>
                <c:pt idx="2">
                  <c:v>2</c:v>
                </c:pt>
                <c:pt idx="3">
                  <c:v>52</c:v>
                </c:pt>
                <c:pt idx="4">
                  <c:v>24</c:v>
                </c:pt>
                <c:pt idx="5">
                  <c:v>436</c:v>
                </c:pt>
                <c:pt idx="6">
                  <c:v>1</c:v>
                </c:pt>
                <c:pt idx="7">
                  <c:v>84</c:v>
                </c:pt>
                <c:pt idx="8">
                  <c:v>3</c:v>
                </c:pt>
                <c:pt idx="9">
                  <c:v>86</c:v>
                </c:pt>
                <c:pt idx="10">
                  <c:v>4</c:v>
                </c:pt>
                <c:pt idx="11">
                  <c:v>9</c:v>
                </c:pt>
              </c:numCache>
            </c:numRef>
          </c:val>
          <c:extLst>
            <c:ext xmlns:c16="http://schemas.microsoft.com/office/drawing/2014/chart" uri="{C3380CC4-5D6E-409C-BE32-E72D297353CC}">
              <c16:uniqueId val="{00000041-FB3B-4150-95EA-0760277BEB4B}"/>
            </c:ext>
          </c:extLst>
        </c:ser>
        <c:dLbls>
          <c:showLegendKey val="0"/>
          <c:showVal val="0"/>
          <c:showCatName val="0"/>
          <c:showSerName val="0"/>
          <c:showPercent val="0"/>
          <c:showBubbleSize val="0"/>
        </c:dLbls>
        <c:gapWidth val="100"/>
        <c:axId val="446490463"/>
        <c:axId val="446484703"/>
      </c:barChart>
      <c:catAx>
        <c:axId val="44649046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 Type</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84703"/>
        <c:crosses val="autoZero"/>
        <c:auto val="1"/>
        <c:lblAlgn val="ctr"/>
        <c:lblOffset val="100"/>
        <c:noMultiLvlLbl val="0"/>
      </c:catAx>
      <c:valAx>
        <c:axId val="44648470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904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[analysis.xlsm]Impact Analysis!PivotTable3</c:name>
    <c:fmtId val="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Impact</a:t>
            </a:r>
            <a:r>
              <a:rPr lang="en-IN" baseline="0"/>
              <a:t> Analysis</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'Impact Analysis'!$B$3:$B$4</c:f>
              <c:strCache>
                <c:ptCount val="1"/>
                <c:pt idx="0">
                  <c:v>Lose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'Impact Analysis'!$A$5:$A$7</c:f>
              <c:strCache>
                <c:ptCount val="2"/>
                <c:pt idx="0">
                  <c:v>Cristiano Ronaldo</c:v>
                </c:pt>
                <c:pt idx="1">
                  <c:v>Lionel Messi</c:v>
                </c:pt>
              </c:strCache>
            </c:strRef>
          </c:cat>
          <c:val>
            <c:numRef>
              <c:f>'Impact Analysis'!$B$5:$B$7</c:f>
              <c:numCache>
                <c:formatCode>General</c:formatCode>
                <c:ptCount val="2"/>
                <c:pt idx="0">
                  <c:v>264</c:v>
                </c:pt>
                <c:pt idx="1">
                  <c:v>254</c:v>
                </c:pt>
              </c:numCache>
            </c:numRef>
          </c:val>
          <c:extLst>
            <c:ext xmlns:c16="http://schemas.microsoft.com/office/drawing/2014/chart" uri="{C3380CC4-5D6E-409C-BE32-E72D297353CC}">
              <c16:uniqueId val="{00000000-8EF4-4EB7-9571-D0CE635F6096}"/>
            </c:ext>
          </c:extLst>
        </c:ser>
        <c:ser>
          <c:idx val="1"/>
          <c:order val="1"/>
          <c:tx>
            <c:strRef>
              <c:f>'Impact Analysis'!$C$3:$C$4</c:f>
              <c:strCache>
                <c:ptCount val="1"/>
                <c:pt idx="0">
                  <c:v>Tie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'Impact Analysis'!$A$5:$A$7</c:f>
              <c:strCache>
                <c:ptCount val="2"/>
                <c:pt idx="0">
                  <c:v>Cristiano Ronaldo</c:v>
                </c:pt>
                <c:pt idx="1">
                  <c:v>Lionel Messi</c:v>
                </c:pt>
              </c:strCache>
            </c:strRef>
          </c:cat>
          <c:val>
            <c:numRef>
              <c:f>'Impact Analysis'!$C$5:$C$7</c:f>
              <c:numCache>
                <c:formatCode>General</c:formatCode>
                <c:ptCount val="2"/>
                <c:pt idx="0">
                  <c:v>51</c:v>
                </c:pt>
                <c:pt idx="1">
                  <c:v>55</c:v>
                </c:pt>
              </c:numCache>
            </c:numRef>
          </c:val>
          <c:extLst>
            <c:ext xmlns:c16="http://schemas.microsoft.com/office/drawing/2014/chart" uri="{C3380CC4-5D6E-409C-BE32-E72D297353CC}">
              <c16:uniqueId val="{00000008-8EF4-4EB7-9571-D0CE635F6096}"/>
            </c:ext>
          </c:extLst>
        </c:ser>
        <c:ser>
          <c:idx val="2"/>
          <c:order val="2"/>
          <c:tx>
            <c:strRef>
              <c:f>'Impact Analysis'!$D$3:$D$4</c:f>
              <c:strCache>
                <c:ptCount val="1"/>
                <c:pt idx="0">
                  <c:v>Win</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'Impact Analysis'!$A$5:$A$7</c:f>
              <c:strCache>
                <c:ptCount val="2"/>
                <c:pt idx="0">
                  <c:v>Cristiano Ronaldo</c:v>
                </c:pt>
                <c:pt idx="1">
                  <c:v>Lionel Messi</c:v>
                </c:pt>
              </c:strCache>
            </c:strRef>
          </c:cat>
          <c:val>
            <c:numRef>
              <c:f>'Impact Analysis'!$D$5:$D$7</c:f>
              <c:numCache>
                <c:formatCode>General</c:formatCode>
                <c:ptCount val="2"/>
                <c:pt idx="0">
                  <c:v>395</c:v>
                </c:pt>
                <c:pt idx="1">
                  <c:v>394</c:v>
                </c:pt>
              </c:numCache>
            </c:numRef>
          </c:val>
          <c:extLst>
            <c:ext xmlns:c16="http://schemas.microsoft.com/office/drawing/2014/chart" uri="{C3380CC4-5D6E-409C-BE32-E72D297353CC}">
              <c16:uniqueId val="{00000009-8EF4-4EB7-9571-D0CE635F6096}"/>
            </c:ext>
          </c:extLst>
        </c:ser>
        <c:dLbls>
          <c:showLegendKey val="0"/>
          <c:showVal val="0"/>
          <c:showCatName val="0"/>
          <c:showSerName val="0"/>
          <c:showPercent val="0"/>
          <c:showBubbleSize val="0"/>
        </c:dLbls>
        <c:gapWidth val="100"/>
        <c:overlap val="-24"/>
        <c:axId val="446462143"/>
        <c:axId val="446453023"/>
      </c:barChart>
      <c:catAx>
        <c:axId val="44646214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Players</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53023"/>
        <c:crosses val="autoZero"/>
        <c:auto val="1"/>
        <c:lblAlgn val="ctr"/>
        <c:lblOffset val="100"/>
        <c:noMultiLvlLbl val="0"/>
      </c:catAx>
      <c:valAx>
        <c:axId val="44645302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621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4.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7.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chart" Target="../charts/chart13.xml"/></Relationships>
</file>

<file path=xl/drawings/_rels/drawing15.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chart" Target="../charts/chart14.xml"/></Relationships>
</file>

<file path=xl/drawings/_rels/drawing16.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chart" Target="../charts/chart15.xml"/></Relationships>
</file>

<file path=xl/drawings/_rels/drawing17.xml.rels><?xml version="1.0" encoding="UTF-8" standalone="yes"?>
<Relationships xmlns="http://schemas.openxmlformats.org/package/2006/relationships"><Relationship Id="rId8" Type="http://schemas.openxmlformats.org/officeDocument/2006/relationships/chart" Target="../charts/chart19.xml"/><Relationship Id="rId13" Type="http://schemas.openxmlformats.org/officeDocument/2006/relationships/hyperlink" Target="#'Scoring Technique Analysis'!A1"/><Relationship Id="rId3" Type="http://schemas.openxmlformats.org/officeDocument/2006/relationships/hyperlink" Target="#'performance evaluation league'!A1"/><Relationship Id="rId7" Type="http://schemas.openxmlformats.org/officeDocument/2006/relationships/hyperlink" Target="#'Playing Position Analysis'!A1"/><Relationship Id="rId12" Type="http://schemas.openxmlformats.org/officeDocument/2006/relationships/chart" Target="../charts/chart21.xml"/><Relationship Id="rId2" Type="http://schemas.openxmlformats.org/officeDocument/2006/relationships/chart" Target="../charts/chart16.xml"/><Relationship Id="rId16" Type="http://schemas.openxmlformats.org/officeDocument/2006/relationships/chart" Target="../charts/chart23.xml"/><Relationship Id="rId1" Type="http://schemas.openxmlformats.org/officeDocument/2006/relationships/hyperlink" Target="#'Performance Evaluation'!A1"/><Relationship Id="rId6" Type="http://schemas.openxmlformats.org/officeDocument/2006/relationships/chart" Target="../charts/chart18.xml"/><Relationship Id="rId11" Type="http://schemas.openxmlformats.org/officeDocument/2006/relationships/hyperlink" Target="#'Opponent Analysis'!A1"/><Relationship Id="rId5" Type="http://schemas.openxmlformats.org/officeDocument/2006/relationships/hyperlink" Target="#'Consistency Measurement yr'!A1"/><Relationship Id="rId15" Type="http://schemas.openxmlformats.org/officeDocument/2006/relationships/hyperlink" Target="#'Impact Analysis'!A1"/><Relationship Id="rId10" Type="http://schemas.openxmlformats.org/officeDocument/2006/relationships/chart" Target="../charts/chart20.xml"/><Relationship Id="rId4" Type="http://schemas.openxmlformats.org/officeDocument/2006/relationships/chart" Target="../charts/chart17.xml"/><Relationship Id="rId9" Type="http://schemas.openxmlformats.org/officeDocument/2006/relationships/hyperlink" Target="#'Time Analysis'!A1"/><Relationship Id="rId14" Type="http://schemas.openxmlformats.org/officeDocument/2006/relationships/chart" Target="../charts/chart22.xml"/></Relationships>
</file>

<file path=xl/drawings/drawing1.xml><?xml version="1.0" encoding="utf-8"?>
<xdr:wsDr xmlns:xdr="http://schemas.openxmlformats.org/drawingml/2006/spreadsheetDrawing" xmlns:a="http://schemas.openxmlformats.org/drawingml/2006/main">
  <xdr:twoCellAnchor>
    <xdr:from>
      <xdr:col>0</xdr:col>
      <xdr:colOff>68580</xdr:colOff>
      <xdr:row>18</xdr:row>
      <xdr:rowOff>0</xdr:rowOff>
    </xdr:from>
    <xdr:to>
      <xdr:col>0</xdr:col>
      <xdr:colOff>4191000</xdr:colOff>
      <xdr:row>21</xdr:row>
      <xdr:rowOff>7620</xdr:rowOff>
    </xdr:to>
    <xdr:sp macro="[0]!show_dashboard" textlink="">
      <xdr:nvSpPr>
        <xdr:cNvPr id="2" name="Rectangle: Diagonal Corners Rounded 1">
          <a:extLst>
            <a:ext uri="{FF2B5EF4-FFF2-40B4-BE49-F238E27FC236}">
              <a16:creationId xmlns:a16="http://schemas.microsoft.com/office/drawing/2014/main" id="{F279B756-AD29-1FAC-8F94-4076D90FEBDA}"/>
            </a:ext>
          </a:extLst>
        </xdr:cNvPr>
        <xdr:cNvSpPr/>
      </xdr:nvSpPr>
      <xdr:spPr>
        <a:xfrm>
          <a:off x="68580" y="4183380"/>
          <a:ext cx="4122420" cy="693420"/>
        </a:xfrm>
        <a:prstGeom prst="round2Diag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IN" sz="2600" b="1" i="1"/>
            <a:t>SHOW</a:t>
          </a:r>
          <a:r>
            <a:rPr lang="en-IN" sz="2600" b="1" i="1" baseline="0"/>
            <a:t> DASHBOARD</a:t>
          </a:r>
          <a:endParaRPr lang="en-IN" sz="2600" b="1" i="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977219</xdr:colOff>
      <xdr:row>1</xdr:row>
      <xdr:rowOff>104376</xdr:rowOff>
    </xdr:from>
    <xdr:to>
      <xdr:col>10</xdr:col>
      <xdr:colOff>655673</xdr:colOff>
      <xdr:row>13</xdr:row>
      <xdr:rowOff>104377</xdr:rowOff>
    </xdr:to>
    <xdr:graphicFrame macro="">
      <xdr:nvGraphicFramePr>
        <xdr:cNvPr id="2" name="Chart 1">
          <a:extLst>
            <a:ext uri="{FF2B5EF4-FFF2-40B4-BE49-F238E27FC236}">
              <a16:creationId xmlns:a16="http://schemas.microsoft.com/office/drawing/2014/main" id="{5FC09924-FB97-5EBB-2F59-5DEDB843B3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141763</xdr:colOff>
      <xdr:row>2</xdr:row>
      <xdr:rowOff>8861</xdr:rowOff>
    </xdr:from>
    <xdr:to>
      <xdr:col>15</xdr:col>
      <xdr:colOff>629089</xdr:colOff>
      <xdr:row>4</xdr:row>
      <xdr:rowOff>62024</xdr:rowOff>
    </xdr:to>
    <xdr:sp macro="[0]!Perf_conc" textlink="">
      <xdr:nvSpPr>
        <xdr:cNvPr id="3" name="Rectangle: Diagonal Corners Rounded 2">
          <a:extLst>
            <a:ext uri="{FF2B5EF4-FFF2-40B4-BE49-F238E27FC236}">
              <a16:creationId xmlns:a16="http://schemas.microsoft.com/office/drawing/2014/main" id="{89340917-FCDD-6980-8A0D-AA147107377D}"/>
            </a:ext>
          </a:extLst>
        </xdr:cNvPr>
        <xdr:cNvSpPr/>
      </xdr:nvSpPr>
      <xdr:spPr>
        <a:xfrm>
          <a:off x="13281833" y="469605"/>
          <a:ext cx="2064489" cy="513907"/>
        </a:xfrm>
        <a:prstGeom prst="round2Diag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b"/>
        <a:lstStyle/>
        <a:p>
          <a:pPr algn="ctr"/>
          <a:r>
            <a:rPr lang="en-IN" sz="2800" b="1"/>
            <a:t>Conclusion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857250</xdr:colOff>
      <xdr:row>8</xdr:row>
      <xdr:rowOff>156210</xdr:rowOff>
    </xdr:from>
    <xdr:to>
      <xdr:col>11</xdr:col>
      <xdr:colOff>476250</xdr:colOff>
      <xdr:row>20</xdr:row>
      <xdr:rowOff>156210</xdr:rowOff>
    </xdr:to>
    <xdr:graphicFrame macro="">
      <xdr:nvGraphicFramePr>
        <xdr:cNvPr id="2" name="Chart 1">
          <a:extLst>
            <a:ext uri="{FF2B5EF4-FFF2-40B4-BE49-F238E27FC236}">
              <a16:creationId xmlns:a16="http://schemas.microsoft.com/office/drawing/2014/main" id="{1E8DECFD-2A3A-0E7A-5486-70E7D18447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712838</xdr:colOff>
      <xdr:row>9</xdr:row>
      <xdr:rowOff>180258</xdr:rowOff>
    </xdr:from>
    <xdr:to>
      <xdr:col>16</xdr:col>
      <xdr:colOff>401335</xdr:colOff>
      <xdr:row>12</xdr:row>
      <xdr:rowOff>16301</xdr:rowOff>
    </xdr:to>
    <xdr:pic macro="[0]!Perf_ev_conc">
      <xdr:nvPicPr>
        <xdr:cNvPr id="4" name="Picture 3">
          <a:extLst>
            <a:ext uri="{FF2B5EF4-FFF2-40B4-BE49-F238E27FC236}">
              <a16:creationId xmlns:a16="http://schemas.microsoft.com/office/drawing/2014/main" id="{E2C93101-A921-DA0C-677B-D14D392EA413}"/>
            </a:ext>
          </a:extLst>
        </xdr:cNvPr>
        <xdr:cNvPicPr>
          <a:picLocks noChangeAspect="1"/>
        </xdr:cNvPicPr>
      </xdr:nvPicPr>
      <xdr:blipFill>
        <a:blip xmlns:r="http://schemas.openxmlformats.org/officeDocument/2006/relationships" r:embed="rId2"/>
        <a:stretch>
          <a:fillRect/>
        </a:stretch>
      </xdr:blipFill>
      <xdr:spPr>
        <a:xfrm>
          <a:off x="14174838" y="2245032"/>
          <a:ext cx="2072820" cy="52430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937266</xdr:colOff>
      <xdr:row>8</xdr:row>
      <xdr:rowOff>34290</xdr:rowOff>
    </xdr:from>
    <xdr:to>
      <xdr:col>6</xdr:col>
      <xdr:colOff>754386</xdr:colOff>
      <xdr:row>20</xdr:row>
      <xdr:rowOff>34290</xdr:rowOff>
    </xdr:to>
    <xdr:graphicFrame macro="">
      <xdr:nvGraphicFramePr>
        <xdr:cNvPr id="2" name="Chart 1">
          <a:extLst>
            <a:ext uri="{FF2B5EF4-FFF2-40B4-BE49-F238E27FC236}">
              <a16:creationId xmlns:a16="http://schemas.microsoft.com/office/drawing/2014/main" id="{E5AF50EB-E59A-3863-CB04-8D7ACE6594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9</xdr:row>
      <xdr:rowOff>0</xdr:rowOff>
    </xdr:from>
    <xdr:to>
      <xdr:col>12</xdr:col>
      <xdr:colOff>487860</xdr:colOff>
      <xdr:row>11</xdr:row>
      <xdr:rowOff>67101</xdr:rowOff>
    </xdr:to>
    <xdr:pic macro="[0]!impact_conc">
      <xdr:nvPicPr>
        <xdr:cNvPr id="3" name="Picture 2">
          <a:extLst>
            <a:ext uri="{FF2B5EF4-FFF2-40B4-BE49-F238E27FC236}">
              <a16:creationId xmlns:a16="http://schemas.microsoft.com/office/drawing/2014/main" id="{873169F8-5777-E891-B3E0-0A95FEF3E4CB}"/>
            </a:ext>
          </a:extLst>
        </xdr:cNvPr>
        <xdr:cNvPicPr>
          <a:picLocks noChangeAspect="1"/>
        </xdr:cNvPicPr>
      </xdr:nvPicPr>
      <xdr:blipFill>
        <a:blip xmlns:r="http://schemas.openxmlformats.org/officeDocument/2006/relationships" r:embed="rId2"/>
        <a:stretch>
          <a:fillRect/>
        </a:stretch>
      </xdr:blipFill>
      <xdr:spPr>
        <a:xfrm>
          <a:off x="8176260" y="2057400"/>
          <a:ext cx="2072820" cy="52430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480060</xdr:colOff>
      <xdr:row>13</xdr:row>
      <xdr:rowOff>163830</xdr:rowOff>
    </xdr:from>
    <xdr:to>
      <xdr:col>7</xdr:col>
      <xdr:colOff>129540</xdr:colOff>
      <xdr:row>25</xdr:row>
      <xdr:rowOff>163830</xdr:rowOff>
    </xdr:to>
    <xdr:graphicFrame macro="">
      <xdr:nvGraphicFramePr>
        <xdr:cNvPr id="2" name="Chart 1">
          <a:extLst>
            <a:ext uri="{FF2B5EF4-FFF2-40B4-BE49-F238E27FC236}">
              <a16:creationId xmlns:a16="http://schemas.microsoft.com/office/drawing/2014/main" id="{4CA7881A-EEA9-BDD5-2D5D-798F4B9505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0</xdr:colOff>
      <xdr:row>15</xdr:row>
      <xdr:rowOff>0</xdr:rowOff>
    </xdr:from>
    <xdr:to>
      <xdr:col>11</xdr:col>
      <xdr:colOff>487860</xdr:colOff>
      <xdr:row>17</xdr:row>
      <xdr:rowOff>67101</xdr:rowOff>
    </xdr:to>
    <xdr:pic macro="[0]!impact_club_conc">
      <xdr:nvPicPr>
        <xdr:cNvPr id="3" name="Picture 2">
          <a:extLst>
            <a:ext uri="{FF2B5EF4-FFF2-40B4-BE49-F238E27FC236}">
              <a16:creationId xmlns:a16="http://schemas.microsoft.com/office/drawing/2014/main" id="{74D88D99-9C58-3AF2-7A1D-902B032B6DA6}"/>
            </a:ext>
          </a:extLst>
        </xdr:cNvPr>
        <xdr:cNvPicPr>
          <a:picLocks noChangeAspect="1"/>
        </xdr:cNvPicPr>
      </xdr:nvPicPr>
      <xdr:blipFill>
        <a:blip xmlns:r="http://schemas.openxmlformats.org/officeDocument/2006/relationships" r:embed="rId2"/>
        <a:stretch>
          <a:fillRect/>
        </a:stretch>
      </xdr:blipFill>
      <xdr:spPr>
        <a:xfrm>
          <a:off x="10469880" y="3429000"/>
          <a:ext cx="2072820" cy="52430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639284</xdr:colOff>
      <xdr:row>4</xdr:row>
      <xdr:rowOff>34290</xdr:rowOff>
    </xdr:from>
    <xdr:to>
      <xdr:col>13</xdr:col>
      <xdr:colOff>441164</xdr:colOff>
      <xdr:row>16</xdr:row>
      <xdr:rowOff>34290</xdr:rowOff>
    </xdr:to>
    <xdr:graphicFrame macro="">
      <xdr:nvGraphicFramePr>
        <xdr:cNvPr id="2" name="Chart 1">
          <a:extLst>
            <a:ext uri="{FF2B5EF4-FFF2-40B4-BE49-F238E27FC236}">
              <a16:creationId xmlns:a16="http://schemas.microsoft.com/office/drawing/2014/main" id="{F7E168DE-CFF9-3E07-E370-5A5D9305FAB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510540</xdr:colOff>
      <xdr:row>4</xdr:row>
      <xdr:rowOff>0</xdr:rowOff>
    </xdr:from>
    <xdr:to>
      <xdr:col>18</xdr:col>
      <xdr:colOff>205920</xdr:colOff>
      <xdr:row>6</xdr:row>
      <xdr:rowOff>67101</xdr:rowOff>
    </xdr:to>
    <xdr:pic macro="[0]!consis_conc">
      <xdr:nvPicPr>
        <xdr:cNvPr id="3" name="Picture 2">
          <a:extLst>
            <a:ext uri="{FF2B5EF4-FFF2-40B4-BE49-F238E27FC236}">
              <a16:creationId xmlns:a16="http://schemas.microsoft.com/office/drawing/2014/main" id="{2C00DFE6-553F-9587-DC3B-A536C13070FD}"/>
            </a:ext>
          </a:extLst>
        </xdr:cNvPr>
        <xdr:cNvPicPr>
          <a:picLocks noChangeAspect="1"/>
        </xdr:cNvPicPr>
      </xdr:nvPicPr>
      <xdr:blipFill>
        <a:blip xmlns:r="http://schemas.openxmlformats.org/officeDocument/2006/relationships" r:embed="rId2"/>
        <a:stretch>
          <a:fillRect/>
        </a:stretch>
      </xdr:blipFill>
      <xdr:spPr>
        <a:xfrm>
          <a:off x="12854940" y="914400"/>
          <a:ext cx="2072820" cy="52430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388626</xdr:colOff>
      <xdr:row>2</xdr:row>
      <xdr:rowOff>26670</xdr:rowOff>
    </xdr:from>
    <xdr:to>
      <xdr:col>18</xdr:col>
      <xdr:colOff>114300</xdr:colOff>
      <xdr:row>17</xdr:row>
      <xdr:rowOff>76200</xdr:rowOff>
    </xdr:to>
    <xdr:graphicFrame macro="">
      <xdr:nvGraphicFramePr>
        <xdr:cNvPr id="2" name="Chart 1">
          <a:extLst>
            <a:ext uri="{FF2B5EF4-FFF2-40B4-BE49-F238E27FC236}">
              <a16:creationId xmlns:a16="http://schemas.microsoft.com/office/drawing/2014/main" id="{A96CED84-D413-1134-221D-E406C1634C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0</xdr:colOff>
      <xdr:row>4</xdr:row>
      <xdr:rowOff>0</xdr:rowOff>
    </xdr:from>
    <xdr:to>
      <xdr:col>21</xdr:col>
      <xdr:colOff>487860</xdr:colOff>
      <xdr:row>6</xdr:row>
      <xdr:rowOff>73198</xdr:rowOff>
    </xdr:to>
    <xdr:pic macro="[0]!scor_tech_conc">
      <xdr:nvPicPr>
        <xdr:cNvPr id="4" name="Picture 3">
          <a:extLst>
            <a:ext uri="{FF2B5EF4-FFF2-40B4-BE49-F238E27FC236}">
              <a16:creationId xmlns:a16="http://schemas.microsoft.com/office/drawing/2014/main" id="{42E3C72C-C35F-2976-D7F7-6C8B337B4F93}"/>
            </a:ext>
          </a:extLst>
        </xdr:cNvPr>
        <xdr:cNvPicPr>
          <a:picLocks noChangeAspect="1"/>
        </xdr:cNvPicPr>
      </xdr:nvPicPr>
      <xdr:blipFill>
        <a:blip xmlns:r="http://schemas.openxmlformats.org/officeDocument/2006/relationships" r:embed="rId2"/>
        <a:stretch>
          <a:fillRect/>
        </a:stretch>
      </xdr:blipFill>
      <xdr:spPr>
        <a:xfrm>
          <a:off x="16794480" y="914400"/>
          <a:ext cx="2072820" cy="530398"/>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6</xdr:col>
      <xdr:colOff>213366</xdr:colOff>
      <xdr:row>2</xdr:row>
      <xdr:rowOff>140970</xdr:rowOff>
    </xdr:from>
    <xdr:to>
      <xdr:col>14</xdr:col>
      <xdr:colOff>182886</xdr:colOff>
      <xdr:row>14</xdr:row>
      <xdr:rowOff>140970</xdr:rowOff>
    </xdr:to>
    <xdr:graphicFrame macro="">
      <xdr:nvGraphicFramePr>
        <xdr:cNvPr id="2" name="Chart 1">
          <a:extLst>
            <a:ext uri="{FF2B5EF4-FFF2-40B4-BE49-F238E27FC236}">
              <a16:creationId xmlns:a16="http://schemas.microsoft.com/office/drawing/2014/main" id="{04A4FEA7-0A14-1203-5CEF-6EF9C13F55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845826</xdr:colOff>
      <xdr:row>6</xdr:row>
      <xdr:rowOff>194310</xdr:rowOff>
    </xdr:from>
    <xdr:to>
      <xdr:col>11</xdr:col>
      <xdr:colOff>632466</xdr:colOff>
      <xdr:row>18</xdr:row>
      <xdr:rowOff>194310</xdr:rowOff>
    </xdr:to>
    <xdr:graphicFrame macro="">
      <xdr:nvGraphicFramePr>
        <xdr:cNvPr id="2" name="Chart 1">
          <a:extLst>
            <a:ext uri="{FF2B5EF4-FFF2-40B4-BE49-F238E27FC236}">
              <a16:creationId xmlns:a16="http://schemas.microsoft.com/office/drawing/2014/main" id="{CD551623-4F28-317F-3225-20EFA4948C9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548644</xdr:colOff>
      <xdr:row>2</xdr:row>
      <xdr:rowOff>87629</xdr:rowOff>
    </xdr:from>
    <xdr:to>
      <xdr:col>25</xdr:col>
      <xdr:colOff>493058</xdr:colOff>
      <xdr:row>38</xdr:row>
      <xdr:rowOff>104588</xdr:rowOff>
    </xdr:to>
    <xdr:graphicFrame macro="">
      <xdr:nvGraphicFramePr>
        <xdr:cNvPr id="2" name="Chart 1">
          <a:extLst>
            <a:ext uri="{FF2B5EF4-FFF2-40B4-BE49-F238E27FC236}">
              <a16:creationId xmlns:a16="http://schemas.microsoft.com/office/drawing/2014/main" id="{49211B2F-D7DB-B3C7-65DA-5ED8B498E9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28</xdr:col>
      <xdr:colOff>0</xdr:colOff>
      <xdr:row>6</xdr:row>
      <xdr:rowOff>0</xdr:rowOff>
    </xdr:from>
    <xdr:to>
      <xdr:col>31</xdr:col>
      <xdr:colOff>485320</xdr:colOff>
      <xdr:row>8</xdr:row>
      <xdr:rowOff>64731</xdr:rowOff>
    </xdr:to>
    <xdr:pic macro="[0]!time_analy_conc">
      <xdr:nvPicPr>
        <xdr:cNvPr id="4" name="Picture 3">
          <a:extLst>
            <a:ext uri="{FF2B5EF4-FFF2-40B4-BE49-F238E27FC236}">
              <a16:creationId xmlns:a16="http://schemas.microsoft.com/office/drawing/2014/main" id="{581743A8-B434-2A66-DBC4-A11E54FABBBC}"/>
            </a:ext>
          </a:extLst>
        </xdr:cNvPr>
        <xdr:cNvPicPr>
          <a:picLocks noChangeAspect="1"/>
        </xdr:cNvPicPr>
      </xdr:nvPicPr>
      <xdr:blipFill>
        <a:blip xmlns:r="http://schemas.openxmlformats.org/officeDocument/2006/relationships" r:embed="rId2"/>
        <a:stretch>
          <a:fillRect/>
        </a:stretch>
      </xdr:blipFill>
      <xdr:spPr>
        <a:xfrm>
          <a:off x="23717250" y="1397000"/>
          <a:ext cx="2072820" cy="530398"/>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4</xdr:col>
      <xdr:colOff>320046</xdr:colOff>
      <xdr:row>4</xdr:row>
      <xdr:rowOff>34290</xdr:rowOff>
    </xdr:from>
    <xdr:to>
      <xdr:col>13</xdr:col>
      <xdr:colOff>541026</xdr:colOff>
      <xdr:row>16</xdr:row>
      <xdr:rowOff>34290</xdr:rowOff>
    </xdr:to>
    <xdr:graphicFrame macro="">
      <xdr:nvGraphicFramePr>
        <xdr:cNvPr id="2" name="Chart 1">
          <a:extLst>
            <a:ext uri="{FF2B5EF4-FFF2-40B4-BE49-F238E27FC236}">
              <a16:creationId xmlns:a16="http://schemas.microsoft.com/office/drawing/2014/main" id="{1FB37D2C-578A-5A17-5D44-133A95856C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411079</xdr:colOff>
      <xdr:row>4</xdr:row>
      <xdr:rowOff>20052</xdr:rowOff>
    </xdr:from>
    <xdr:to>
      <xdr:col>19</xdr:col>
      <xdr:colOff>107662</xdr:colOff>
      <xdr:row>6</xdr:row>
      <xdr:rowOff>89239</xdr:rowOff>
    </xdr:to>
    <xdr:pic macro="[0]!opp_conc">
      <xdr:nvPicPr>
        <xdr:cNvPr id="3" name="Picture 2">
          <a:extLst>
            <a:ext uri="{FF2B5EF4-FFF2-40B4-BE49-F238E27FC236}">
              <a16:creationId xmlns:a16="http://schemas.microsoft.com/office/drawing/2014/main" id="{53378E12-40E4-5B19-8A6B-B287E976FC73}"/>
            </a:ext>
          </a:extLst>
        </xdr:cNvPr>
        <xdr:cNvPicPr>
          <a:picLocks noChangeAspect="1"/>
        </xdr:cNvPicPr>
      </xdr:nvPicPr>
      <xdr:blipFill>
        <a:blip xmlns:r="http://schemas.openxmlformats.org/officeDocument/2006/relationships" r:embed="rId2"/>
        <a:stretch>
          <a:fillRect/>
        </a:stretch>
      </xdr:blipFill>
      <xdr:spPr>
        <a:xfrm>
          <a:off x="15169816" y="942473"/>
          <a:ext cx="2072820" cy="53039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3</xdr:col>
      <xdr:colOff>845826</xdr:colOff>
      <xdr:row>2</xdr:row>
      <xdr:rowOff>87630</xdr:rowOff>
    </xdr:from>
    <xdr:to>
      <xdr:col>13</xdr:col>
      <xdr:colOff>152406</xdr:colOff>
      <xdr:row>14</xdr:row>
      <xdr:rowOff>87630</xdr:rowOff>
    </xdr:to>
    <xdr:graphicFrame macro="">
      <xdr:nvGraphicFramePr>
        <xdr:cNvPr id="2" name="Chart 1">
          <a:extLst>
            <a:ext uri="{FF2B5EF4-FFF2-40B4-BE49-F238E27FC236}">
              <a16:creationId xmlns:a16="http://schemas.microsoft.com/office/drawing/2014/main" id="{9B908117-39A3-38F6-5DFB-4E0F6F7FF9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4</xdr:col>
      <xdr:colOff>144786</xdr:colOff>
      <xdr:row>4</xdr:row>
      <xdr:rowOff>217170</xdr:rowOff>
    </xdr:from>
    <xdr:to>
      <xdr:col>12</xdr:col>
      <xdr:colOff>624846</xdr:colOff>
      <xdr:row>16</xdr:row>
      <xdr:rowOff>217170</xdr:rowOff>
    </xdr:to>
    <xdr:graphicFrame macro="">
      <xdr:nvGraphicFramePr>
        <xdr:cNvPr id="2" name="Chart 1">
          <a:extLst>
            <a:ext uri="{FF2B5EF4-FFF2-40B4-BE49-F238E27FC236}">
              <a16:creationId xmlns:a16="http://schemas.microsoft.com/office/drawing/2014/main" id="{09454AC1-51B6-303A-BBF3-DE05A29641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579126</xdr:colOff>
      <xdr:row>2</xdr:row>
      <xdr:rowOff>72390</xdr:rowOff>
    </xdr:from>
    <xdr:to>
      <xdr:col>21</xdr:col>
      <xdr:colOff>266700</xdr:colOff>
      <xdr:row>14</xdr:row>
      <xdr:rowOff>72390</xdr:rowOff>
    </xdr:to>
    <xdr:graphicFrame macro="">
      <xdr:nvGraphicFramePr>
        <xdr:cNvPr id="2" name="Chart 1">
          <a:extLst>
            <a:ext uri="{FF2B5EF4-FFF2-40B4-BE49-F238E27FC236}">
              <a16:creationId xmlns:a16="http://schemas.microsoft.com/office/drawing/2014/main" id="{B6AB3AE4-EED3-F211-8426-F579E5BBC4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23</xdr:col>
      <xdr:colOff>0</xdr:colOff>
      <xdr:row>3</xdr:row>
      <xdr:rowOff>0</xdr:rowOff>
    </xdr:from>
    <xdr:to>
      <xdr:col>25</xdr:col>
      <xdr:colOff>493956</xdr:colOff>
      <xdr:row>5</xdr:row>
      <xdr:rowOff>73198</xdr:rowOff>
    </xdr:to>
    <xdr:pic macro="[0]!pl_ps_conc">
      <xdr:nvPicPr>
        <xdr:cNvPr id="3" name="Picture 2">
          <a:extLst>
            <a:ext uri="{FF2B5EF4-FFF2-40B4-BE49-F238E27FC236}">
              <a16:creationId xmlns:a16="http://schemas.microsoft.com/office/drawing/2014/main" id="{0756DA7B-4347-B18F-A53F-5116B451620D}"/>
            </a:ext>
          </a:extLst>
        </xdr:cNvPr>
        <xdr:cNvPicPr>
          <a:picLocks noChangeAspect="1"/>
        </xdr:cNvPicPr>
      </xdr:nvPicPr>
      <xdr:blipFill>
        <a:blip xmlns:r="http://schemas.openxmlformats.org/officeDocument/2006/relationships" r:embed="rId2"/>
        <a:stretch>
          <a:fillRect/>
        </a:stretch>
      </xdr:blipFill>
      <xdr:spPr>
        <a:xfrm>
          <a:off x="15133320" y="685800"/>
          <a:ext cx="2078916" cy="530398"/>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4</xdr:col>
      <xdr:colOff>544830</xdr:colOff>
      <xdr:row>5</xdr:row>
      <xdr:rowOff>171450</xdr:rowOff>
    </xdr:from>
    <xdr:to>
      <xdr:col>13</xdr:col>
      <xdr:colOff>643890</xdr:colOff>
      <xdr:row>24</xdr:row>
      <xdr:rowOff>152400</xdr:rowOff>
    </xdr:to>
    <xdr:graphicFrame macro="">
      <xdr:nvGraphicFramePr>
        <xdr:cNvPr id="2" name="Chart 1">
          <a:extLst>
            <a:ext uri="{FF2B5EF4-FFF2-40B4-BE49-F238E27FC236}">
              <a16:creationId xmlns:a16="http://schemas.microsoft.com/office/drawing/2014/main" id="{136DE657-9FCC-2C71-4A06-7983F792F0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0</xdr:colOff>
      <xdr:row>7</xdr:row>
      <xdr:rowOff>0</xdr:rowOff>
    </xdr:from>
    <xdr:to>
      <xdr:col>18</xdr:col>
      <xdr:colOff>496301</xdr:colOff>
      <xdr:row>9</xdr:row>
      <xdr:rowOff>61475</xdr:rowOff>
    </xdr:to>
    <xdr:pic macro="[0]!per_ev_le_conc">
      <xdr:nvPicPr>
        <xdr:cNvPr id="3" name="Picture 2">
          <a:extLst>
            <a:ext uri="{FF2B5EF4-FFF2-40B4-BE49-F238E27FC236}">
              <a16:creationId xmlns:a16="http://schemas.microsoft.com/office/drawing/2014/main" id="{72CB5570-E332-FD62-210E-A0447D4A254F}"/>
            </a:ext>
          </a:extLst>
        </xdr:cNvPr>
        <xdr:cNvPicPr>
          <a:picLocks noChangeAspect="1"/>
        </xdr:cNvPicPr>
      </xdr:nvPicPr>
      <xdr:blipFill>
        <a:blip xmlns:r="http://schemas.openxmlformats.org/officeDocument/2006/relationships" r:embed="rId2"/>
        <a:stretch>
          <a:fillRect/>
        </a:stretch>
      </xdr:blipFill>
      <xdr:spPr>
        <a:xfrm>
          <a:off x="15327923" y="1641231"/>
          <a:ext cx="2078916" cy="530398"/>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95250</xdr:colOff>
      <xdr:row>5</xdr:row>
      <xdr:rowOff>171450</xdr:rowOff>
    </xdr:from>
    <xdr:to>
      <xdr:col>17</xdr:col>
      <xdr:colOff>708660</xdr:colOff>
      <xdr:row>25</xdr:row>
      <xdr:rowOff>53340</xdr:rowOff>
    </xdr:to>
    <xdr:graphicFrame macro="">
      <xdr:nvGraphicFramePr>
        <xdr:cNvPr id="2" name="Chart 1">
          <a:extLst>
            <a:ext uri="{FF2B5EF4-FFF2-40B4-BE49-F238E27FC236}">
              <a16:creationId xmlns:a16="http://schemas.microsoft.com/office/drawing/2014/main" id="{7B61BA5E-ACE0-61A4-2E96-344444A1FC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21</xdr:col>
      <xdr:colOff>547352</xdr:colOff>
      <xdr:row>6</xdr:row>
      <xdr:rowOff>107324</xdr:rowOff>
    </xdr:from>
    <xdr:to>
      <xdr:col>24</xdr:col>
      <xdr:colOff>243676</xdr:colOff>
      <xdr:row>8</xdr:row>
      <xdr:rowOff>186962</xdr:rowOff>
    </xdr:to>
    <xdr:pic macro="[0]!per_ev_matc_conc">
      <xdr:nvPicPr>
        <xdr:cNvPr id="3" name="Picture 2">
          <a:extLst>
            <a:ext uri="{FF2B5EF4-FFF2-40B4-BE49-F238E27FC236}">
              <a16:creationId xmlns:a16="http://schemas.microsoft.com/office/drawing/2014/main" id="{73D821F4-BE32-8F1B-674A-D69944281285}"/>
            </a:ext>
          </a:extLst>
        </xdr:cNvPr>
        <xdr:cNvPicPr>
          <a:picLocks noChangeAspect="1"/>
        </xdr:cNvPicPr>
      </xdr:nvPicPr>
      <xdr:blipFill>
        <a:blip xmlns:r="http://schemas.openxmlformats.org/officeDocument/2006/relationships" r:embed="rId2"/>
        <a:stretch>
          <a:fillRect/>
        </a:stretch>
      </xdr:blipFill>
      <xdr:spPr>
        <a:xfrm>
          <a:off x="17676253" y="1459606"/>
          <a:ext cx="2078916" cy="530398"/>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20</xdr:col>
      <xdr:colOff>598807</xdr:colOff>
      <xdr:row>3</xdr:row>
      <xdr:rowOff>103734</xdr:rowOff>
    </xdr:from>
    <xdr:ext cx="184731" cy="937629"/>
    <xdr:sp macro="" textlink="">
      <xdr:nvSpPr>
        <xdr:cNvPr id="3" name="Rectangle 2">
          <a:extLst>
            <a:ext uri="{FF2B5EF4-FFF2-40B4-BE49-F238E27FC236}">
              <a16:creationId xmlns:a16="http://schemas.microsoft.com/office/drawing/2014/main" id="{78DBD5C4-AA3B-558A-F09B-DA27B63719E3}"/>
            </a:ext>
          </a:extLst>
        </xdr:cNvPr>
        <xdr:cNvSpPr/>
      </xdr:nvSpPr>
      <xdr:spPr>
        <a:xfrm>
          <a:off x="16424961" y="807119"/>
          <a:ext cx="184731" cy="937629"/>
        </a:xfrm>
        <a:prstGeom prst="rect">
          <a:avLst/>
        </a:prstGeom>
        <a:noFill/>
      </xdr:spPr>
      <xdr:txBody>
        <a:bodyPr wrap="none" lIns="91440" tIns="45720" rIns="91440" bIns="45720" anchor="b">
          <a:spAutoFit/>
        </a:bodyPr>
        <a:lstStyle/>
        <a:p>
          <a:pPr lvl="0" algn="ctr"/>
          <a:endParaRPr lang="en-US" sz="5400" b="1" i="1" cap="none" spc="0">
            <a:ln w="9525">
              <a:solidFill>
                <a:schemeClr val="bg1"/>
              </a:solidFill>
              <a:prstDash val="solid"/>
            </a:ln>
            <a:solidFill>
              <a:schemeClr val="accent5"/>
            </a:solidFill>
            <a:effectLst>
              <a:outerShdw blurRad="12700" dist="38100" dir="2700000" algn="tl" rotWithShape="0">
                <a:schemeClr val="accent5">
                  <a:lumMod val="60000"/>
                  <a:lumOff val="40000"/>
                </a:schemeClr>
              </a:outerShdw>
            </a:effectLst>
          </a:endParaRPr>
        </a:p>
      </xdr:txBody>
    </xdr:sp>
    <xdr:clientData/>
  </xdr:oneCellAnchor>
  <xdr:twoCellAnchor>
    <xdr:from>
      <xdr:col>4</xdr:col>
      <xdr:colOff>57150</xdr:colOff>
      <xdr:row>13</xdr:row>
      <xdr:rowOff>38100</xdr:rowOff>
    </xdr:from>
    <xdr:to>
      <xdr:col>14</xdr:col>
      <xdr:colOff>209550</xdr:colOff>
      <xdr:row>33</xdr:row>
      <xdr:rowOff>95250</xdr:rowOff>
    </xdr:to>
    <xdr:graphicFrame macro="">
      <xdr:nvGraphicFramePr>
        <xdr:cNvPr id="4" name="Chart 3">
          <a:hlinkClick xmlns:r="http://schemas.openxmlformats.org/officeDocument/2006/relationships" r:id="rId1"/>
          <a:extLst>
            <a:ext uri="{FF2B5EF4-FFF2-40B4-BE49-F238E27FC236}">
              <a16:creationId xmlns:a16="http://schemas.microsoft.com/office/drawing/2014/main" id="{54E59489-552F-404A-9FB3-0D15C290AE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38100</xdr:colOff>
      <xdr:row>12</xdr:row>
      <xdr:rowOff>190500</xdr:rowOff>
    </xdr:from>
    <xdr:to>
      <xdr:col>26</xdr:col>
      <xdr:colOff>209550</xdr:colOff>
      <xdr:row>33</xdr:row>
      <xdr:rowOff>95250</xdr:rowOff>
    </xdr:to>
    <xdr:graphicFrame macro="">
      <xdr:nvGraphicFramePr>
        <xdr:cNvPr id="5" name="Chart 4">
          <a:hlinkClick xmlns:r="http://schemas.openxmlformats.org/officeDocument/2006/relationships" r:id="rId3"/>
          <a:extLst>
            <a:ext uri="{FF2B5EF4-FFF2-40B4-BE49-F238E27FC236}">
              <a16:creationId xmlns:a16="http://schemas.microsoft.com/office/drawing/2014/main" id="{451AEBD2-37A4-473A-BA73-88508F7DE0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715240</xdr:colOff>
      <xdr:row>13</xdr:row>
      <xdr:rowOff>19050</xdr:rowOff>
    </xdr:from>
    <xdr:to>
      <xdr:col>38</xdr:col>
      <xdr:colOff>38100</xdr:colOff>
      <xdr:row>33</xdr:row>
      <xdr:rowOff>57150</xdr:rowOff>
    </xdr:to>
    <xdr:graphicFrame macro="">
      <xdr:nvGraphicFramePr>
        <xdr:cNvPr id="6" name="Chart 5">
          <a:hlinkClick xmlns:r="http://schemas.openxmlformats.org/officeDocument/2006/relationships" r:id="rId5"/>
          <a:extLst>
            <a:ext uri="{FF2B5EF4-FFF2-40B4-BE49-F238E27FC236}">
              <a16:creationId xmlns:a16="http://schemas.microsoft.com/office/drawing/2014/main" id="{434253DF-809C-4D9E-A0C7-41FD2B3ED4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65033</xdr:colOff>
      <xdr:row>36</xdr:row>
      <xdr:rowOff>131380</xdr:rowOff>
    </xdr:from>
    <xdr:to>
      <xdr:col>14</xdr:col>
      <xdr:colOff>198382</xdr:colOff>
      <xdr:row>56</xdr:row>
      <xdr:rowOff>157655</xdr:rowOff>
    </xdr:to>
    <xdr:graphicFrame macro="">
      <xdr:nvGraphicFramePr>
        <xdr:cNvPr id="7" name="Chart 6">
          <a:hlinkClick xmlns:r="http://schemas.openxmlformats.org/officeDocument/2006/relationships" r:id="rId7"/>
          <a:extLst>
            <a:ext uri="{FF2B5EF4-FFF2-40B4-BE49-F238E27FC236}">
              <a16:creationId xmlns:a16="http://schemas.microsoft.com/office/drawing/2014/main" id="{1C8504B5-FDAB-47A1-8C79-5806763844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16</xdr:col>
      <xdr:colOff>39414</xdr:colOff>
      <xdr:row>36</xdr:row>
      <xdr:rowOff>118241</xdr:rowOff>
    </xdr:from>
    <xdr:to>
      <xdr:col>26</xdr:col>
      <xdr:colOff>210207</xdr:colOff>
      <xdr:row>56</xdr:row>
      <xdr:rowOff>170793</xdr:rowOff>
    </xdr:to>
    <xdr:graphicFrame macro="">
      <xdr:nvGraphicFramePr>
        <xdr:cNvPr id="8" name="Chart 7">
          <a:hlinkClick xmlns:r="http://schemas.openxmlformats.org/officeDocument/2006/relationships" r:id="rId9"/>
          <a:extLst>
            <a:ext uri="{FF2B5EF4-FFF2-40B4-BE49-F238E27FC236}">
              <a16:creationId xmlns:a16="http://schemas.microsoft.com/office/drawing/2014/main" id="{50B05EFA-A594-4A82-A22F-FD048C06F2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27</xdr:col>
      <xdr:colOff>748862</xdr:colOff>
      <xdr:row>36</xdr:row>
      <xdr:rowOff>105103</xdr:rowOff>
    </xdr:from>
    <xdr:to>
      <xdr:col>37</xdr:col>
      <xdr:colOff>762000</xdr:colOff>
      <xdr:row>56</xdr:row>
      <xdr:rowOff>170792</xdr:rowOff>
    </xdr:to>
    <xdr:graphicFrame macro="">
      <xdr:nvGraphicFramePr>
        <xdr:cNvPr id="9" name="Chart 8">
          <a:hlinkClick xmlns:r="http://schemas.openxmlformats.org/officeDocument/2006/relationships" r:id="rId11"/>
          <a:extLst>
            <a:ext uri="{FF2B5EF4-FFF2-40B4-BE49-F238E27FC236}">
              <a16:creationId xmlns:a16="http://schemas.microsoft.com/office/drawing/2014/main" id="{1D5EA32E-8A42-4527-B4D4-1E1304D4F3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xdr:col>
      <xdr:colOff>65690</xdr:colOff>
      <xdr:row>60</xdr:row>
      <xdr:rowOff>13138</xdr:rowOff>
    </xdr:from>
    <xdr:to>
      <xdr:col>14</xdr:col>
      <xdr:colOff>183930</xdr:colOff>
      <xdr:row>79</xdr:row>
      <xdr:rowOff>210207</xdr:rowOff>
    </xdr:to>
    <xdr:graphicFrame macro="">
      <xdr:nvGraphicFramePr>
        <xdr:cNvPr id="10" name="Chart 9">
          <a:hlinkClick xmlns:r="http://schemas.openxmlformats.org/officeDocument/2006/relationships" r:id="rId13"/>
          <a:extLst>
            <a:ext uri="{FF2B5EF4-FFF2-40B4-BE49-F238E27FC236}">
              <a16:creationId xmlns:a16="http://schemas.microsoft.com/office/drawing/2014/main" id="{56C209CB-AA5E-4B7F-A274-7F1FF98FF8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16</xdr:col>
      <xdr:colOff>26257</xdr:colOff>
      <xdr:row>60</xdr:row>
      <xdr:rowOff>13139</xdr:rowOff>
    </xdr:from>
    <xdr:to>
      <xdr:col>26</xdr:col>
      <xdr:colOff>249620</xdr:colOff>
      <xdr:row>79</xdr:row>
      <xdr:rowOff>210208</xdr:rowOff>
    </xdr:to>
    <xdr:graphicFrame macro="">
      <xdr:nvGraphicFramePr>
        <xdr:cNvPr id="11" name="Chart 10">
          <a:hlinkClick xmlns:r="http://schemas.openxmlformats.org/officeDocument/2006/relationships" r:id="rId15"/>
          <a:extLst>
            <a:ext uri="{FF2B5EF4-FFF2-40B4-BE49-F238E27FC236}">
              <a16:creationId xmlns:a16="http://schemas.microsoft.com/office/drawing/2014/main" id="{3C9FFD6A-8634-4786-9057-7D1852A5CE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oneCell">
    <xdr:from>
      <xdr:col>42</xdr:col>
      <xdr:colOff>213556</xdr:colOff>
      <xdr:row>69</xdr:row>
      <xdr:rowOff>59200</xdr:rowOff>
    </xdr:from>
    <xdr:to>
      <xdr:col>57</xdr:col>
      <xdr:colOff>558800</xdr:colOff>
      <xdr:row>77</xdr:row>
      <xdr:rowOff>0</xdr:rowOff>
    </xdr:to>
    <mc:AlternateContent xmlns:mc="http://schemas.openxmlformats.org/markup-compatibility/2006" xmlns:tsle="http://schemas.microsoft.com/office/drawing/2012/timeslicer">
      <mc:Choice Requires="tsle">
        <xdr:graphicFrame macro="">
          <xdr:nvGraphicFramePr>
            <xdr:cNvPr id="22" name="Date">
              <a:extLst>
                <a:ext uri="{FF2B5EF4-FFF2-40B4-BE49-F238E27FC236}">
                  <a16:creationId xmlns:a16="http://schemas.microsoft.com/office/drawing/2014/main" id="{3B0EC52A-A40E-2F33-3D7B-D4C976BDB22A}"/>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33284356" y="15832600"/>
              <a:ext cx="12156244" cy="1769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42</xdr:col>
      <xdr:colOff>269373</xdr:colOff>
      <xdr:row>16</xdr:row>
      <xdr:rowOff>125148</xdr:rowOff>
    </xdr:from>
    <xdr:to>
      <xdr:col>48</xdr:col>
      <xdr:colOff>324423</xdr:colOff>
      <xdr:row>28</xdr:row>
      <xdr:rowOff>50799</xdr:rowOff>
    </xdr:to>
    <mc:AlternateContent xmlns:mc="http://schemas.openxmlformats.org/markup-compatibility/2006" xmlns:a14="http://schemas.microsoft.com/office/drawing/2010/main">
      <mc:Choice Requires="a14">
        <xdr:graphicFrame macro="">
          <xdr:nvGraphicFramePr>
            <xdr:cNvPr id="12" name="Player">
              <a:extLst>
                <a:ext uri="{FF2B5EF4-FFF2-40B4-BE49-F238E27FC236}">
                  <a16:creationId xmlns:a16="http://schemas.microsoft.com/office/drawing/2014/main" id="{6E702A51-9EC2-8D46-FAB4-D308F8B4CFE1}"/>
                </a:ext>
              </a:extLst>
            </xdr:cNvPr>
            <xdr:cNvGraphicFramePr/>
          </xdr:nvGraphicFramePr>
          <xdr:xfrm>
            <a:off x="0" y="0"/>
            <a:ext cx="0" cy="0"/>
          </xdr:xfrm>
          <a:graphic>
            <a:graphicData uri="http://schemas.microsoft.com/office/drawing/2010/slicer">
              <sle:slicer xmlns:sle="http://schemas.microsoft.com/office/drawing/2010/slicer" name="Player"/>
            </a:graphicData>
          </a:graphic>
        </xdr:graphicFrame>
      </mc:Choice>
      <mc:Fallback xmlns="">
        <xdr:sp macro="" textlink="">
          <xdr:nvSpPr>
            <xdr:cNvPr id="0" name=""/>
            <xdr:cNvSpPr>
              <a:spLocks noTextEdit="1"/>
            </xdr:cNvSpPr>
          </xdr:nvSpPr>
          <xdr:spPr>
            <a:xfrm>
              <a:off x="33340173" y="3782748"/>
              <a:ext cx="5052650" cy="266885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42</xdr:col>
      <xdr:colOff>248420</xdr:colOff>
      <xdr:row>30</xdr:row>
      <xdr:rowOff>43612</xdr:rowOff>
    </xdr:from>
    <xdr:to>
      <xdr:col>47</xdr:col>
      <xdr:colOff>203201</xdr:colOff>
      <xdr:row>48</xdr:row>
      <xdr:rowOff>203200</xdr:rowOff>
    </xdr:to>
    <mc:AlternateContent xmlns:mc="http://schemas.openxmlformats.org/markup-compatibility/2006" xmlns:a14="http://schemas.microsoft.com/office/drawing/2010/main">
      <mc:Choice Requires="a14">
        <xdr:graphicFrame macro="">
          <xdr:nvGraphicFramePr>
            <xdr:cNvPr id="13" name="Competition">
              <a:extLst>
                <a:ext uri="{FF2B5EF4-FFF2-40B4-BE49-F238E27FC236}">
                  <a16:creationId xmlns:a16="http://schemas.microsoft.com/office/drawing/2014/main" id="{E3543570-A7A3-4D96-4754-1C3E6F2D35CE}"/>
                </a:ext>
              </a:extLst>
            </xdr:cNvPr>
            <xdr:cNvGraphicFramePr/>
          </xdr:nvGraphicFramePr>
          <xdr:xfrm>
            <a:off x="0" y="0"/>
            <a:ext cx="0" cy="0"/>
          </xdr:xfrm>
          <a:graphic>
            <a:graphicData uri="http://schemas.microsoft.com/office/drawing/2010/slicer">
              <sle:slicer xmlns:sle="http://schemas.microsoft.com/office/drawing/2010/slicer" name="Competition"/>
            </a:graphicData>
          </a:graphic>
        </xdr:graphicFrame>
      </mc:Choice>
      <mc:Fallback xmlns="">
        <xdr:sp macro="" textlink="">
          <xdr:nvSpPr>
            <xdr:cNvPr id="0" name=""/>
            <xdr:cNvSpPr>
              <a:spLocks noTextEdit="1"/>
            </xdr:cNvSpPr>
          </xdr:nvSpPr>
          <xdr:spPr>
            <a:xfrm>
              <a:off x="33319220" y="6901612"/>
              <a:ext cx="3891781" cy="427438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47</xdr:col>
      <xdr:colOff>535894</xdr:colOff>
      <xdr:row>30</xdr:row>
      <xdr:rowOff>25580</xdr:rowOff>
    </xdr:from>
    <xdr:to>
      <xdr:col>50</xdr:col>
      <xdr:colOff>457200</xdr:colOff>
      <xdr:row>49</xdr:row>
      <xdr:rowOff>16934</xdr:rowOff>
    </xdr:to>
    <mc:AlternateContent xmlns:mc="http://schemas.openxmlformats.org/markup-compatibility/2006" xmlns:a14="http://schemas.microsoft.com/office/drawing/2010/main">
      <mc:Choice Requires="a14">
        <xdr:graphicFrame macro="">
          <xdr:nvGraphicFramePr>
            <xdr:cNvPr id="14" name="Matchday">
              <a:extLst>
                <a:ext uri="{FF2B5EF4-FFF2-40B4-BE49-F238E27FC236}">
                  <a16:creationId xmlns:a16="http://schemas.microsoft.com/office/drawing/2014/main" id="{14C50CA0-26CE-693A-655C-D11DA130F6A4}"/>
                </a:ext>
              </a:extLst>
            </xdr:cNvPr>
            <xdr:cNvGraphicFramePr/>
          </xdr:nvGraphicFramePr>
          <xdr:xfrm>
            <a:off x="0" y="0"/>
            <a:ext cx="0" cy="0"/>
          </xdr:xfrm>
          <a:graphic>
            <a:graphicData uri="http://schemas.microsoft.com/office/drawing/2010/slicer">
              <sle:slicer xmlns:sle="http://schemas.microsoft.com/office/drawing/2010/slicer" name="Matchday"/>
            </a:graphicData>
          </a:graphic>
        </xdr:graphicFrame>
      </mc:Choice>
      <mc:Fallback xmlns="">
        <xdr:sp macro="" textlink="">
          <xdr:nvSpPr>
            <xdr:cNvPr id="0" name=""/>
            <xdr:cNvSpPr>
              <a:spLocks noTextEdit="1"/>
            </xdr:cNvSpPr>
          </xdr:nvSpPr>
          <xdr:spPr>
            <a:xfrm>
              <a:off x="37543694" y="6883580"/>
              <a:ext cx="2283506" cy="433475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42</xdr:col>
      <xdr:colOff>208596</xdr:colOff>
      <xdr:row>52</xdr:row>
      <xdr:rowOff>42015</xdr:rowOff>
    </xdr:from>
    <xdr:to>
      <xdr:col>44</xdr:col>
      <xdr:colOff>461783</xdr:colOff>
      <xdr:row>65</xdr:row>
      <xdr:rowOff>190729</xdr:rowOff>
    </xdr:to>
    <mc:AlternateContent xmlns:mc="http://schemas.openxmlformats.org/markup-compatibility/2006" xmlns:a14="http://schemas.microsoft.com/office/drawing/2010/main">
      <mc:Choice Requires="a14">
        <xdr:graphicFrame macro="">
          <xdr:nvGraphicFramePr>
            <xdr:cNvPr id="15" name="Club">
              <a:extLst>
                <a:ext uri="{FF2B5EF4-FFF2-40B4-BE49-F238E27FC236}">
                  <a16:creationId xmlns:a16="http://schemas.microsoft.com/office/drawing/2014/main" id="{41B920FA-7220-C73D-56DA-37F9089878F6}"/>
                </a:ext>
              </a:extLst>
            </xdr:cNvPr>
            <xdr:cNvGraphicFramePr/>
          </xdr:nvGraphicFramePr>
          <xdr:xfrm>
            <a:off x="0" y="0"/>
            <a:ext cx="0" cy="0"/>
          </xdr:xfrm>
          <a:graphic>
            <a:graphicData uri="http://schemas.microsoft.com/office/drawing/2010/slicer">
              <sle:slicer xmlns:sle="http://schemas.microsoft.com/office/drawing/2010/slicer" name="Club"/>
            </a:graphicData>
          </a:graphic>
        </xdr:graphicFrame>
      </mc:Choice>
      <mc:Fallback xmlns="">
        <xdr:sp macro="" textlink="">
          <xdr:nvSpPr>
            <xdr:cNvPr id="0" name=""/>
            <xdr:cNvSpPr>
              <a:spLocks noTextEdit="1"/>
            </xdr:cNvSpPr>
          </xdr:nvSpPr>
          <xdr:spPr>
            <a:xfrm>
              <a:off x="33279396" y="11929215"/>
              <a:ext cx="1827987" cy="312051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45</xdr:col>
      <xdr:colOff>10448</xdr:colOff>
      <xdr:row>52</xdr:row>
      <xdr:rowOff>47566</xdr:rowOff>
    </xdr:from>
    <xdr:to>
      <xdr:col>47</xdr:col>
      <xdr:colOff>262696</xdr:colOff>
      <xdr:row>66</xdr:row>
      <xdr:rowOff>0</xdr:rowOff>
    </xdr:to>
    <mc:AlternateContent xmlns:mc="http://schemas.openxmlformats.org/markup-compatibility/2006" xmlns:a14="http://schemas.microsoft.com/office/drawing/2010/main">
      <mc:Choice Requires="a14">
        <xdr:graphicFrame macro="">
          <xdr:nvGraphicFramePr>
            <xdr:cNvPr id="16" name="Opponent">
              <a:extLst>
                <a:ext uri="{FF2B5EF4-FFF2-40B4-BE49-F238E27FC236}">
                  <a16:creationId xmlns:a16="http://schemas.microsoft.com/office/drawing/2014/main" id="{9737DBCA-1FEE-3FBE-29B4-8D4982C5333F}"/>
                </a:ext>
              </a:extLst>
            </xdr:cNvPr>
            <xdr:cNvGraphicFramePr/>
          </xdr:nvGraphicFramePr>
          <xdr:xfrm>
            <a:off x="0" y="0"/>
            <a:ext cx="0" cy="0"/>
          </xdr:xfrm>
          <a:graphic>
            <a:graphicData uri="http://schemas.microsoft.com/office/drawing/2010/slicer">
              <sle:slicer xmlns:sle="http://schemas.microsoft.com/office/drawing/2010/slicer" name="Opponent"/>
            </a:graphicData>
          </a:graphic>
        </xdr:graphicFrame>
      </mc:Choice>
      <mc:Fallback xmlns="">
        <xdr:sp macro="" textlink="">
          <xdr:nvSpPr>
            <xdr:cNvPr id="0" name=""/>
            <xdr:cNvSpPr>
              <a:spLocks noTextEdit="1"/>
            </xdr:cNvSpPr>
          </xdr:nvSpPr>
          <xdr:spPr>
            <a:xfrm>
              <a:off x="35443448" y="11934766"/>
              <a:ext cx="1827048" cy="315283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51</xdr:col>
      <xdr:colOff>222596</xdr:colOff>
      <xdr:row>30</xdr:row>
      <xdr:rowOff>108757</xdr:rowOff>
    </xdr:from>
    <xdr:to>
      <xdr:col>53</xdr:col>
      <xdr:colOff>643467</xdr:colOff>
      <xdr:row>38</xdr:row>
      <xdr:rowOff>120224</xdr:rowOff>
    </xdr:to>
    <mc:AlternateContent xmlns:mc="http://schemas.openxmlformats.org/markup-compatibility/2006" xmlns:a14="http://schemas.microsoft.com/office/drawing/2010/main">
      <mc:Choice Requires="a14">
        <xdr:graphicFrame macro="">
          <xdr:nvGraphicFramePr>
            <xdr:cNvPr id="17" name="Win/Lose">
              <a:extLst>
                <a:ext uri="{FF2B5EF4-FFF2-40B4-BE49-F238E27FC236}">
                  <a16:creationId xmlns:a16="http://schemas.microsoft.com/office/drawing/2014/main" id="{1F79F970-9473-D150-6F92-8F43DCECD5A8}"/>
                </a:ext>
              </a:extLst>
            </xdr:cNvPr>
            <xdr:cNvGraphicFramePr/>
          </xdr:nvGraphicFramePr>
          <xdr:xfrm>
            <a:off x="0" y="0"/>
            <a:ext cx="0" cy="0"/>
          </xdr:xfrm>
          <a:graphic>
            <a:graphicData uri="http://schemas.microsoft.com/office/drawing/2010/slicer">
              <sle:slicer xmlns:sle="http://schemas.microsoft.com/office/drawing/2010/slicer" name="Win/Lose"/>
            </a:graphicData>
          </a:graphic>
        </xdr:graphicFrame>
      </mc:Choice>
      <mc:Fallback xmlns="">
        <xdr:sp macro="" textlink="">
          <xdr:nvSpPr>
            <xdr:cNvPr id="0" name=""/>
            <xdr:cNvSpPr>
              <a:spLocks noTextEdit="1"/>
            </xdr:cNvSpPr>
          </xdr:nvSpPr>
          <xdr:spPr>
            <a:xfrm>
              <a:off x="40379996" y="6966757"/>
              <a:ext cx="1995671" cy="184026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54</xdr:col>
      <xdr:colOff>58919</xdr:colOff>
      <xdr:row>29</xdr:row>
      <xdr:rowOff>225223</xdr:rowOff>
    </xdr:from>
    <xdr:to>
      <xdr:col>57</xdr:col>
      <xdr:colOff>541867</xdr:colOff>
      <xdr:row>39</xdr:row>
      <xdr:rowOff>16933</xdr:rowOff>
    </xdr:to>
    <mc:AlternateContent xmlns:mc="http://schemas.openxmlformats.org/markup-compatibility/2006" xmlns:a14="http://schemas.microsoft.com/office/drawing/2010/main">
      <mc:Choice Requires="a14">
        <xdr:graphicFrame macro="">
          <xdr:nvGraphicFramePr>
            <xdr:cNvPr id="18" name="Playing_Position">
              <a:extLst>
                <a:ext uri="{FF2B5EF4-FFF2-40B4-BE49-F238E27FC236}">
                  <a16:creationId xmlns:a16="http://schemas.microsoft.com/office/drawing/2014/main" id="{0E87275D-E15A-4C14-3CE6-5109ED0006A6}"/>
                </a:ext>
              </a:extLst>
            </xdr:cNvPr>
            <xdr:cNvGraphicFramePr/>
          </xdr:nvGraphicFramePr>
          <xdr:xfrm>
            <a:off x="0" y="0"/>
            <a:ext cx="0" cy="0"/>
          </xdr:xfrm>
          <a:graphic>
            <a:graphicData uri="http://schemas.microsoft.com/office/drawing/2010/slicer">
              <sle:slicer xmlns:sle="http://schemas.microsoft.com/office/drawing/2010/slicer" name="Playing_Position"/>
            </a:graphicData>
          </a:graphic>
        </xdr:graphicFrame>
      </mc:Choice>
      <mc:Fallback xmlns="">
        <xdr:sp macro="" textlink="">
          <xdr:nvSpPr>
            <xdr:cNvPr id="0" name=""/>
            <xdr:cNvSpPr>
              <a:spLocks noTextEdit="1"/>
            </xdr:cNvSpPr>
          </xdr:nvSpPr>
          <xdr:spPr>
            <a:xfrm>
              <a:off x="42578519" y="6854623"/>
              <a:ext cx="2845148" cy="207771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51</xdr:col>
      <xdr:colOff>250237</xdr:colOff>
      <xdr:row>40</xdr:row>
      <xdr:rowOff>131767</xdr:rowOff>
    </xdr:from>
    <xdr:to>
      <xdr:col>53</xdr:col>
      <xdr:colOff>677333</xdr:colOff>
      <xdr:row>66</xdr:row>
      <xdr:rowOff>0</xdr:rowOff>
    </xdr:to>
    <mc:AlternateContent xmlns:mc="http://schemas.openxmlformats.org/markup-compatibility/2006" xmlns:a14="http://schemas.microsoft.com/office/drawing/2010/main">
      <mc:Choice Requires="a14">
        <xdr:graphicFrame macro="">
          <xdr:nvGraphicFramePr>
            <xdr:cNvPr id="19" name="Minute">
              <a:extLst>
                <a:ext uri="{FF2B5EF4-FFF2-40B4-BE49-F238E27FC236}">
                  <a16:creationId xmlns:a16="http://schemas.microsoft.com/office/drawing/2014/main" id="{EFC9AA27-384E-A510-6B66-06B931B5E87D}"/>
                </a:ext>
              </a:extLst>
            </xdr:cNvPr>
            <xdr:cNvGraphicFramePr/>
          </xdr:nvGraphicFramePr>
          <xdr:xfrm>
            <a:off x="0" y="0"/>
            <a:ext cx="0" cy="0"/>
          </xdr:xfrm>
          <a:graphic>
            <a:graphicData uri="http://schemas.microsoft.com/office/drawing/2010/slicer">
              <sle:slicer xmlns:sle="http://schemas.microsoft.com/office/drawing/2010/slicer" name="Minute"/>
            </a:graphicData>
          </a:graphic>
        </xdr:graphicFrame>
      </mc:Choice>
      <mc:Fallback xmlns="">
        <xdr:sp macro="" textlink="">
          <xdr:nvSpPr>
            <xdr:cNvPr id="0" name=""/>
            <xdr:cNvSpPr>
              <a:spLocks noTextEdit="1"/>
            </xdr:cNvSpPr>
          </xdr:nvSpPr>
          <xdr:spPr>
            <a:xfrm>
              <a:off x="40407637" y="9275767"/>
              <a:ext cx="2001896" cy="581183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47</xdr:col>
      <xdr:colOff>531935</xdr:colOff>
      <xdr:row>52</xdr:row>
      <xdr:rowOff>5481</xdr:rowOff>
    </xdr:from>
    <xdr:to>
      <xdr:col>51</xdr:col>
      <xdr:colOff>50799</xdr:colOff>
      <xdr:row>65</xdr:row>
      <xdr:rowOff>203200</xdr:rowOff>
    </xdr:to>
    <mc:AlternateContent xmlns:mc="http://schemas.openxmlformats.org/markup-compatibility/2006" xmlns:a14="http://schemas.microsoft.com/office/drawing/2010/main">
      <mc:Choice Requires="a14">
        <xdr:graphicFrame macro="">
          <xdr:nvGraphicFramePr>
            <xdr:cNvPr id="20" name="Type">
              <a:extLst>
                <a:ext uri="{FF2B5EF4-FFF2-40B4-BE49-F238E27FC236}">
                  <a16:creationId xmlns:a16="http://schemas.microsoft.com/office/drawing/2014/main" id="{DAE08EE0-7001-363A-481E-F7F8254DE0DD}"/>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37539735" y="11892681"/>
              <a:ext cx="2668464" cy="31695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54</xdr:col>
      <xdr:colOff>52571</xdr:colOff>
      <xdr:row>40</xdr:row>
      <xdr:rowOff>130776</xdr:rowOff>
    </xdr:from>
    <xdr:to>
      <xdr:col>57</xdr:col>
      <xdr:colOff>558800</xdr:colOff>
      <xdr:row>65</xdr:row>
      <xdr:rowOff>220134</xdr:rowOff>
    </xdr:to>
    <mc:AlternateContent xmlns:mc="http://schemas.openxmlformats.org/markup-compatibility/2006" xmlns:a14="http://schemas.microsoft.com/office/drawing/2010/main">
      <mc:Choice Requires="a14">
        <xdr:graphicFrame macro="">
          <xdr:nvGraphicFramePr>
            <xdr:cNvPr id="21" name="Goal_assist">
              <a:extLst>
                <a:ext uri="{FF2B5EF4-FFF2-40B4-BE49-F238E27FC236}">
                  <a16:creationId xmlns:a16="http://schemas.microsoft.com/office/drawing/2014/main" id="{DB349750-4227-E7F8-34B5-C9E2AA83A603}"/>
                </a:ext>
              </a:extLst>
            </xdr:cNvPr>
            <xdr:cNvGraphicFramePr/>
          </xdr:nvGraphicFramePr>
          <xdr:xfrm>
            <a:off x="0" y="0"/>
            <a:ext cx="0" cy="0"/>
          </xdr:xfrm>
          <a:graphic>
            <a:graphicData uri="http://schemas.microsoft.com/office/drawing/2010/slicer">
              <sle:slicer xmlns:sle="http://schemas.microsoft.com/office/drawing/2010/slicer" name="Goal_assist"/>
            </a:graphicData>
          </a:graphic>
        </xdr:graphicFrame>
      </mc:Choice>
      <mc:Fallback xmlns="">
        <xdr:sp macro="" textlink="">
          <xdr:nvSpPr>
            <xdr:cNvPr id="0" name=""/>
            <xdr:cNvSpPr>
              <a:spLocks noTextEdit="1"/>
            </xdr:cNvSpPr>
          </xdr:nvSpPr>
          <xdr:spPr>
            <a:xfrm>
              <a:off x="42572171" y="9274776"/>
              <a:ext cx="2868429" cy="580435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3</xdr:col>
      <xdr:colOff>411383</xdr:colOff>
      <xdr:row>3</xdr:row>
      <xdr:rowOff>45984</xdr:rowOff>
    </xdr:from>
    <xdr:ext cx="39900924" cy="1219436"/>
    <xdr:sp macro="" textlink="">
      <xdr:nvSpPr>
        <xdr:cNvPr id="23" name="Rectangle 22">
          <a:extLst>
            <a:ext uri="{FF2B5EF4-FFF2-40B4-BE49-F238E27FC236}">
              <a16:creationId xmlns:a16="http://schemas.microsoft.com/office/drawing/2014/main" id="{E944BFFC-01B7-BC1A-B056-2983FB700351}"/>
            </a:ext>
          </a:extLst>
        </xdr:cNvPr>
        <xdr:cNvSpPr/>
      </xdr:nvSpPr>
      <xdr:spPr>
        <a:xfrm>
          <a:off x="2776211" y="755432"/>
          <a:ext cx="39900924" cy="1219436"/>
        </a:xfrm>
        <a:prstGeom prst="rect">
          <a:avLst/>
        </a:prstGeom>
        <a:noFill/>
      </xdr:spPr>
      <xdr:txBody>
        <a:bodyPr wrap="none" lIns="91440" tIns="45720" rIns="91440" bIns="45720">
          <a:spAutoFit/>
        </a:bodyPr>
        <a:lstStyle/>
        <a:p>
          <a:pPr algn="ctr"/>
          <a:r>
            <a:rPr lang="en-US" sz="7200" b="1" i="1" cap="none" spc="0">
              <a:ln w="0"/>
              <a:solidFill>
                <a:schemeClr val="accent2"/>
              </a:solidFill>
              <a:effectLst>
                <a:reflection blurRad="6350" stA="53000" endA="300" endPos="35500" dir="5400000" sy="-90000" algn="bl" rotWithShape="0"/>
              </a:effectLst>
            </a:rPr>
            <a:t>Goal Titans Compared: A Data-Driven Analysis of Cristiano Ronaldo and Lionel Messi in League Matches</a:t>
          </a:r>
        </a:p>
      </xdr:txBody>
    </xdr:sp>
    <xdr:clientData/>
  </xdr:one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lpu\4th%20sem\INT217\Project\Project\Analysis\messi%20vs%20ronaldo.xlsx" TargetMode="External"/><Relationship Id="rId1" Type="http://schemas.openxmlformats.org/officeDocument/2006/relationships/externalLinkPath" Target="/lpu/4th%20sem/INT217/Project/Project/Analysis/messi%20vs%20ronaldo.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original dataset"/>
      <sheetName val="miss check"/>
      <sheetName val="cleaned data"/>
      <sheetName val="cleaned data miss check"/>
      <sheetName val="data prep for analysis"/>
      <sheetName val="Performance Evaluation"/>
      <sheetName val="Performance Evaluation(club)"/>
      <sheetName val="Impact Analysis"/>
      <sheetName val="Impact analysis club(ronaldo)"/>
      <sheetName val="Impact analysis club(messi)"/>
      <sheetName val="Consistency Measurement over yr"/>
      <sheetName val="Scoring Technique Analysis"/>
      <sheetName val="Scoring Technique ronaldo"/>
      <sheetName val="Scoring Technique messi"/>
      <sheetName val="Time Analysis"/>
      <sheetName val="Opponent Analysis"/>
      <sheetName val="Opponent analysis(cr7)"/>
      <sheetName val="Opponent Analysis(lm10)"/>
      <sheetName val="Playing Position Analysis"/>
      <sheetName val="Performance Evaluation(league)"/>
      <sheetName val="Performance Evaluatio(Matchday)"/>
      <sheetName val="Dashboard"/>
      <sheetName val="messi vs ronald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sank Lakimsetti" refreshedDate="45380.683456134262" createdVersion="8" refreshedVersion="8" minRefreshableVersion="3" recordCount="1413" xr:uid="{7A72D529-421F-474B-B4D1-1B484F3DEE82}">
  <cacheSource type="worksheet">
    <worksheetSource ref="A1:R1414" sheet="data prep for analysis"/>
  </cacheSource>
  <cacheFields count="21">
    <cacheField name="Player" numFmtId="0">
      <sharedItems count="2">
        <s v="Cristiano Ronaldo"/>
        <s v="Lionel Messi"/>
      </sharedItems>
    </cacheField>
    <cacheField name="Season" numFmtId="0">
      <sharedItems containsDate="1" containsMixedTypes="1" minDate="2013-12-01T00:00:00" maxDate="2024-12-12T00:00:00"/>
    </cacheField>
    <cacheField name="Competition" numFmtId="0">
      <sharedItems count="21">
        <s v="Liga Portugal"/>
        <s v="Taca de Portugal Placard"/>
        <s v="Premier League"/>
        <s v="FA Cup"/>
        <s v="LaLiga"/>
        <s v="UEFA Champions League Qualifying"/>
        <s v="UEFA Champions League"/>
        <s v="EFL Cup"/>
        <s v="Copa del Rey"/>
        <s v="FIFA Club World Cup"/>
        <s v="Supercopa"/>
        <s v="UEFA Super Cup"/>
        <s v="Serie A"/>
        <s v="Supercoppa Italiana"/>
        <s v="Italy Cup"/>
        <s v="Ligue 1"/>
        <s v="Trophï¿½e des Champions"/>
        <s v="TrophÃ©e des Champions"/>
        <s v="Champions League"/>
        <s v="Europa League"/>
        <s v="Saudi Pro League"/>
      </sharedItems>
    </cacheField>
    <cacheField name="Matchday" numFmtId="0">
      <sharedItems containsMixedTypes="1" containsNumber="1" containsInteger="1" minValue="1" maxValue="38" count="52">
        <n v="6"/>
        <n v="8"/>
        <s v="Fourth Round"/>
        <s v="Fifth Round"/>
        <n v="11"/>
        <n v="29"/>
        <n v="32"/>
        <n v="38"/>
        <s v="Final"/>
        <n v="16"/>
        <s v="Third Round"/>
        <n v="24"/>
        <n v="25"/>
        <s v="Sixth Round"/>
        <n v="30"/>
        <s v="Semi-Finals"/>
        <n v="34"/>
        <s v="3rd round"/>
        <s v="Group Stage"/>
        <n v="13"/>
        <s v="Round of 16"/>
        <n v="20"/>
        <n v="19"/>
        <n v="21"/>
        <s v="Quarter-Finals"/>
        <n v="26"/>
        <n v="28"/>
        <n v="1"/>
        <n v="2"/>
        <n v="10"/>
        <n v="15"/>
        <n v="17"/>
        <n v="23"/>
        <n v="27"/>
        <s v="6th round"/>
        <n v="37"/>
        <n v="35"/>
        <n v="4"/>
        <n v="5"/>
        <n v="9"/>
        <n v="7"/>
        <n v="12"/>
        <n v="18"/>
        <n v="22"/>
        <s v="last 16"/>
        <n v="31"/>
        <n v="33"/>
        <n v="3"/>
        <n v="36"/>
        <s v="5th round"/>
        <s v="4th round"/>
        <n v="14"/>
      </sharedItems>
    </cacheField>
    <cacheField name="Date" numFmtId="14">
      <sharedItems containsSemiMixedTypes="0" containsNonDate="0" containsDate="1" containsString="0" minDate="2002-10-07T00:00:00" maxDate="2023-03-19T00:00:00" count="821">
        <d v="2002-10-07T00:00:00"/>
        <d v="2002-10-26T00:00:00"/>
        <d v="2002-11-24T00:00:00"/>
        <d v="2002-12-18T00:00:00"/>
        <d v="2003-11-01T00:00:00"/>
        <d v="2004-02-14T00:00:00"/>
        <d v="2004-03-20T00:00:00"/>
        <d v="2004-04-10T00:00:00"/>
        <d v="2004-05-15T00:00:00"/>
        <d v="2004-05-22T00:00:00"/>
        <d v="2004-12-04T00:00:00"/>
        <d v="2005-01-19T00:00:00"/>
        <d v="2005-01-22T00:00:00"/>
        <d v="2005-02-01T00:00:00"/>
        <d v="2005-02-19T00:00:00"/>
        <d v="2005-03-12T00:00:00"/>
        <d v="2005-03-19T00:00:00"/>
        <d v="2005-04-17T00:00:00"/>
        <d v="2005-05-01T00:00:00"/>
        <d v="2005-08-09T00:00:00"/>
        <d v="2005-10-29T00:00:00"/>
        <d v="2005-11-02T00:00:00"/>
        <d v="2005-11-27T00:00:00"/>
        <d v="2005-11-30T00:00:00"/>
        <d v="2005-12-31T00:00:00"/>
        <d v="2006-01-15T00:00:00"/>
        <d v="2006-01-22T00:00:00"/>
        <d v="2006-01-29T00:00:00"/>
        <d v="2006-02-01T00:00:00"/>
        <d v="2006-02-04T00:00:00"/>
        <d v="2006-02-11T00:00:00"/>
        <d v="2006-02-18T00:00:00"/>
        <d v="2006-02-26T00:00:00"/>
        <d v="2006-03-06T00:00:00"/>
        <d v="2006-05-07T00:00:00"/>
        <d v="2006-08-20T00:00:00"/>
        <d v="2006-08-28T00:00:00"/>
        <d v="2006-09-09T00:00:00"/>
        <d v="2006-09-23T00:00:00"/>
        <d v="2006-09-27T00:00:00"/>
        <d v="2006-10-15T00:00:00"/>
        <d v="2006-10-28T00:00:00"/>
        <d v="2006-11-04T00:00:00"/>
        <d v="2006-11-29T00:00:00"/>
        <d v="2006-12-09T00:00:00"/>
        <d v="2006-12-23T00:00:00"/>
        <d v="2006-12-26T00:00:00"/>
        <d v="2006-12-30T00:00:00"/>
        <d v="2007-01-13T00:00:00"/>
        <d v="2007-01-31T00:00:00"/>
        <d v="2007-02-03T00:00:00"/>
        <d v="2007-02-24T00:00:00"/>
        <d v="2007-03-10T00:00:00"/>
        <d v="2007-03-17T00:00:00"/>
        <d v="2007-03-19T00:00:00"/>
        <d v="2007-03-31T00:00:00"/>
        <d v="2007-04-10T00:00:00"/>
        <d v="2007-04-14T00:00:00"/>
        <d v="2007-04-18T00:00:00"/>
        <d v="2007-04-24T00:00:00"/>
        <d v="2007-05-05T00:00:00"/>
        <d v="2007-05-20T00:00:00"/>
        <d v="2007-06-09T00:00:00"/>
        <d v="2007-06-17T00:00:00"/>
        <d v="2007-09-19T00:00:00"/>
        <d v="2007-09-22T00:00:00"/>
        <d v="2007-09-26T00:00:00"/>
        <d v="2007-09-29T00:00:00"/>
        <d v="2007-10-02T00:00:00"/>
        <d v="2007-10-06T00:00:00"/>
        <d v="2007-10-07T00:00:00"/>
        <d v="2007-10-23T00:00:00"/>
        <d v="2007-10-28T00:00:00"/>
        <d v="2007-11-03T00:00:00"/>
        <d v="2007-11-07T00:00:00"/>
        <d v="2007-11-11T00:00:00"/>
        <d v="2007-11-24T00:00:00"/>
        <d v="2007-11-27T00:00:00"/>
        <d v="2007-12-03T00:00:00"/>
        <d v="2007-12-08T00:00:00"/>
        <d v="2007-12-23T00:00:00"/>
        <d v="2007-12-26T00:00:00"/>
        <d v="2007-12-29T00:00:00"/>
        <d v="2008-01-05T00:00:00"/>
        <d v="2008-01-12T00:00:00"/>
        <d v="2008-01-19T00:00:00"/>
        <d v="2008-01-27T00:00:00"/>
        <d v="2008-01-30T00:00:00"/>
        <d v="2008-02-20T00:00:00"/>
        <d v="2008-02-23T00:00:00"/>
        <d v="2008-02-24T00:00:00"/>
        <d v="2008-03-04T00:00:00"/>
        <d v="2008-03-15T00:00:00"/>
        <d v="2008-03-19T00:00:00"/>
        <d v="2008-03-23T00:00:00"/>
        <d v="2008-03-29T00:00:00"/>
        <d v="2008-04-01T00:00:00"/>
        <d v="2008-04-06T00:00:00"/>
        <d v="2008-04-13T00:00:00"/>
        <d v="2008-05-03T00:00:00"/>
        <d v="2008-05-04T00:00:00"/>
        <d v="2008-05-11T00:00:00"/>
        <d v="2008-05-21T00:00:00"/>
        <d v="2008-09-13T00:00:00"/>
        <d v="2008-09-21T00:00:00"/>
        <d v="2008-09-23T00:00:00"/>
        <d v="2008-09-27T00:00:00"/>
        <d v="2008-10-01T00:00:00"/>
        <d v="2008-10-04T00:00:00"/>
        <d v="2008-10-18T00:00:00"/>
        <d v="2008-10-22T00:00:00"/>
        <d v="2008-10-29T00:00:00"/>
        <d v="2008-11-01T00:00:00"/>
        <d v="2008-11-04T00:00:00"/>
        <d v="2008-11-12T00:00:00"/>
        <d v="2008-11-15T00:00:00"/>
        <d v="2008-11-16T00:00:00"/>
        <d v="2008-11-26T00:00:00"/>
        <d v="2008-11-29T00:00:00"/>
        <d v="2008-12-13T00:00:00"/>
        <d v="2008-12-18T00:00:00"/>
        <d v="2009-01-06T00:00:00"/>
        <d v="2009-01-11T00:00:00"/>
        <d v="2009-01-17T00:00:00"/>
        <d v="2009-01-20T00:00:00"/>
        <d v="2009-01-24T00:00:00"/>
        <d v="2009-01-27T00:00:00"/>
        <d v="2009-01-31T00:00:00"/>
        <d v="2009-02-01T00:00:00"/>
        <d v="2009-02-15T00:00:00"/>
        <d v="2009-02-21T00:00:00"/>
        <d v="2009-03-01T00:00:00"/>
        <d v="2009-03-04T00:00:00"/>
        <d v="2009-03-07T00:00:00"/>
        <d v="2009-03-11T00:00:00"/>
        <d v="2009-03-14T00:00:00"/>
        <d v="2009-03-22T00:00:00"/>
        <d v="2009-04-05T00:00:00"/>
        <d v="2009-04-08T00:00:00"/>
        <d v="2009-04-15T00:00:00"/>
        <d v="2009-04-18T00:00:00"/>
        <d v="2009-04-25T00:00:00"/>
        <d v="2009-05-02T00:00:00"/>
        <d v="2009-05-05T00:00:00"/>
        <d v="2009-05-10T00:00:00"/>
        <d v="2009-05-13T00:00:00"/>
        <d v="2009-05-27T00:00:00"/>
        <d v="2009-08-23T00:00:00"/>
        <d v="2009-08-29T00:00:00"/>
        <d v="2009-09-12T00:00:00"/>
        <d v="2009-09-15T00:00:00"/>
        <d v="2009-09-19T00:00:00"/>
        <d v="2009-09-20T00:00:00"/>
        <d v="2009-09-22T00:00:00"/>
        <d v="2009-09-23T00:00:00"/>
        <d v="2009-09-29T00:00:00"/>
        <d v="2009-09-30T00:00:00"/>
        <d v="2009-10-25T00:00:00"/>
        <d v="2009-11-07T00:00:00"/>
        <d v="2009-11-10T00:00:00"/>
        <d v="2009-12-05T00:00:00"/>
        <d v="2009-12-08T00:00:00"/>
        <d v="2009-12-09T00:00:00"/>
        <d v="2009-12-16T00:00:00"/>
        <d v="2009-12-19T00:00:00"/>
        <d v="2010-01-10T00:00:00"/>
        <d v="2010-01-16T00:00:00"/>
        <d v="2010-01-23T00:00:00"/>
        <d v="2010-01-24T00:00:00"/>
        <d v="2010-02-06T00:00:00"/>
        <d v="2010-02-13T00:00:00"/>
        <d v="2010-02-21T00:00:00"/>
        <d v="2010-02-27T00:00:00"/>
        <d v="2010-03-06T00:00:00"/>
        <d v="2010-03-10T00:00:00"/>
        <d v="2010-03-14T00:00:00"/>
        <d v="2010-03-17T00:00:00"/>
        <d v="2010-03-21T00:00:00"/>
        <d v="2010-03-25T00:00:00"/>
        <d v="2010-04-03T00:00:00"/>
        <d v="2010-04-04T00:00:00"/>
        <d v="2010-04-06T00:00:00"/>
        <d v="2010-04-10T00:00:00"/>
        <d v="2010-04-15T00:00:00"/>
        <d v="2010-04-18T00:00:00"/>
        <d v="2010-05-01T00:00:00"/>
        <d v="2010-05-02T00:00:00"/>
        <d v="2010-05-04T00:00:00"/>
        <d v="2010-05-05T00:00:00"/>
        <d v="2010-05-08T00:00:00"/>
        <d v="2010-05-16T00:00:00"/>
        <d v="2010-08-21T00:00:00"/>
        <d v="2010-08-29T00:00:00"/>
        <d v="2010-09-14T00:00:00"/>
        <d v="2010-09-19T00:00:00"/>
        <d v="2010-09-21T00:00:00"/>
        <d v="2010-10-03T00:00:00"/>
        <d v="2010-10-16T00:00:00"/>
        <d v="2010-10-19T00:00:00"/>
        <d v="2010-10-20T00:00:00"/>
        <d v="2010-10-23T00:00:00"/>
        <d v="2010-10-30T00:00:00"/>
        <d v="2010-11-02T00:00:00"/>
        <d v="2010-11-07T00:00:00"/>
        <d v="2010-11-10T00:00:00"/>
        <d v="2010-11-13T00:00:00"/>
        <d v="2010-11-20T00:00:00"/>
        <d v="2010-11-23T00:00:00"/>
        <d v="2010-11-24T00:00:00"/>
        <d v="2010-12-04T00:00:00"/>
        <d v="2010-12-08T00:00:00"/>
        <d v="2010-12-12T00:00:00"/>
        <d v="2010-12-22T00:00:00"/>
        <d v="2011-01-03T00:00:00"/>
        <d v="2011-01-08T00:00:00"/>
        <d v="2011-01-09T00:00:00"/>
        <d v="2011-01-12T00:00:00"/>
        <d v="2011-01-13T00:00:00"/>
        <d v="2011-01-19T00:00:00"/>
        <d v="2011-01-20T00:00:00"/>
        <d v="2011-01-22T00:00:00"/>
        <d v="2011-01-26T00:00:00"/>
        <d v="2011-01-29T00:00:00"/>
        <d v="2011-02-05T00:00:00"/>
        <d v="2011-02-06T00:00:00"/>
        <d v="2011-02-20T00:00:00"/>
        <d v="2011-02-26T00:00:00"/>
        <d v="2011-03-02T00:00:00"/>
        <d v="2011-03-03T00:00:00"/>
        <d v="2011-03-08T00:00:00"/>
        <d v="2011-04-05T00:00:00"/>
        <d v="2011-04-09T00:00:00"/>
        <d v="2011-04-12T00:00:00"/>
        <d v="2011-04-13T00:00:00"/>
        <d v="2011-04-16T00:00:00"/>
        <d v="2011-04-20T00:00:00"/>
        <d v="2011-04-23T00:00:00"/>
        <d v="2011-04-27T00:00:00"/>
        <d v="2011-05-07T00:00:00"/>
        <d v="2011-05-10T00:00:00"/>
        <d v="2011-05-15T00:00:00"/>
        <d v="2011-05-21T00:00:00"/>
        <d v="2011-05-28T00:00:00"/>
        <d v="2011-08-14T00:00:00"/>
        <d v="2011-08-17T00:00:00"/>
        <d v="2011-08-26T00:00:00"/>
        <d v="2011-08-28T00:00:00"/>
        <d v="2011-08-29T00:00:00"/>
        <d v="2011-09-10T00:00:00"/>
        <d v="2011-09-17T00:00:00"/>
        <d v="2011-09-24T00:00:00"/>
        <d v="2011-09-27T00:00:00"/>
        <d v="2011-09-28T00:00:00"/>
        <d v="2011-10-15T00:00:00"/>
        <d v="2011-10-22T00:00:00"/>
        <d v="2011-10-29T00:00:00"/>
        <d v="2011-11-01T00:00:00"/>
        <d v="2011-11-02T00:00:00"/>
        <d v="2011-11-06T00:00:00"/>
        <d v="2011-11-19T00:00:00"/>
        <d v="2011-11-23T00:00:00"/>
        <d v="2011-11-26T00:00:00"/>
        <d v="2011-11-29T00:00:00"/>
        <d v="2011-12-03T00:00:00"/>
        <d v="2011-12-13T00:00:00"/>
        <d v="2011-12-17T00:00:00"/>
        <d v="2011-12-18T00:00:00"/>
        <d v="2012-01-04T00:00:00"/>
        <d v="2012-01-07T00:00:00"/>
        <d v="2012-01-15T00:00:00"/>
        <d v="2012-01-18T00:00:00"/>
        <d v="2012-01-22T00:00:00"/>
        <d v="2012-01-25T00:00:00"/>
        <d v="2012-01-28T00:00:00"/>
        <d v="2012-02-04T00:00:00"/>
        <d v="2012-02-12T00:00:00"/>
        <d v="2012-02-14T00:00:00"/>
        <d v="2012-02-18T00:00:00"/>
        <d v="2012-02-19T00:00:00"/>
        <d v="2012-02-21T00:00:00"/>
        <d v="2012-02-26T00:00:00"/>
        <d v="2012-03-04T00:00:00"/>
        <d v="2012-03-07T00:00:00"/>
        <d v="2012-03-10T00:00:00"/>
        <d v="2012-03-11T00:00:00"/>
        <d v="2012-03-14T00:00:00"/>
        <d v="2012-03-17T00:00:00"/>
        <d v="2012-03-20T00:00:00"/>
        <d v="2012-03-21T00:00:00"/>
        <d v="2012-03-24T00:00:00"/>
        <d v="2012-03-31T00:00:00"/>
        <d v="2012-04-03T00:00:00"/>
        <d v="2012-04-04T00:00:00"/>
        <d v="2012-04-07T00:00:00"/>
        <d v="2012-04-10T00:00:00"/>
        <d v="2012-04-11T00:00:00"/>
        <d v="2012-04-14T00:00:00"/>
        <d v="2012-04-21T00:00:00"/>
        <d v="2012-04-25T00:00:00"/>
        <d v="2012-04-29T00:00:00"/>
        <d v="2012-05-02T00:00:00"/>
        <d v="2012-05-05T00:00:00"/>
        <d v="2012-05-13T00:00:00"/>
        <d v="2012-05-25T00:00:00"/>
        <d v="2012-08-19T00:00:00"/>
        <d v="2012-08-23T00:00:00"/>
        <d v="2012-08-26T00:00:00"/>
        <d v="2012-08-29T00:00:00"/>
        <d v="2012-09-02T00:00:00"/>
        <d v="2012-09-15T00:00:00"/>
        <d v="2012-09-18T00:00:00"/>
        <d v="2012-09-19T00:00:00"/>
        <d v="2012-09-24T00:00:00"/>
        <d v="2012-09-30T00:00:00"/>
        <d v="2012-10-03T00:00:00"/>
        <d v="2012-10-07T00:00:00"/>
        <d v="2012-10-20T00:00:00"/>
        <d v="2012-10-24T00:00:00"/>
        <d v="2012-10-27T00:00:00"/>
        <d v="2012-10-28T00:00:00"/>
        <d v="2012-11-07T00:00:00"/>
        <d v="2012-11-11T00:00:00"/>
        <d v="2012-11-17T00:00:00"/>
        <d v="2012-11-20T00:00:00"/>
        <d v="2012-11-25T00:00:00"/>
        <d v="2012-12-01T00:00:00"/>
        <d v="2012-12-04T00:00:00"/>
        <d v="2012-12-09T00:00:00"/>
        <d v="2012-12-12T00:00:00"/>
        <d v="2012-12-16T00:00:00"/>
        <d v="2012-12-22T00:00:00"/>
        <d v="2013-01-06T00:00:00"/>
        <d v="2013-01-09T00:00:00"/>
        <d v="2013-01-13T00:00:00"/>
        <d v="2013-01-16T00:00:00"/>
        <d v="2013-01-19T00:00:00"/>
        <d v="2013-01-20T00:00:00"/>
        <d v="2013-01-24T00:00:00"/>
        <d v="2013-01-27T00:00:00"/>
        <d v="2013-02-03T00:00:00"/>
        <d v="2013-02-09T00:00:00"/>
        <d v="2013-02-10T00:00:00"/>
        <d v="2013-02-13T00:00:00"/>
        <d v="2013-02-16T00:00:00"/>
        <d v="2013-02-23T00:00:00"/>
        <d v="2013-02-26T00:00:00"/>
        <d v="2013-03-02T00:00:00"/>
        <d v="2013-03-05T00:00:00"/>
        <d v="2013-03-09T00:00:00"/>
        <d v="2013-03-10T00:00:00"/>
        <d v="2013-03-12T00:00:00"/>
        <d v="2013-03-16T00:00:00"/>
        <d v="2013-03-17T00:00:00"/>
        <d v="2013-03-30T00:00:00"/>
        <d v="2013-04-02T00:00:00"/>
        <d v="2013-04-03T00:00:00"/>
        <d v="2013-04-06T00:00:00"/>
        <d v="2013-04-09T00:00:00"/>
        <d v="2013-04-14T00:00:00"/>
        <d v="2013-04-24T00:00:00"/>
        <d v="2013-04-27T00:00:00"/>
        <d v="2013-05-04T00:00:00"/>
        <d v="2013-05-05T00:00:00"/>
        <d v="2013-05-08T00:00:00"/>
        <d v="2013-05-17T00:00:00"/>
        <d v="2013-08-18T00:00:00"/>
        <d v="2013-09-01T00:00:00"/>
        <d v="2013-09-14T00:00:00"/>
        <d v="2013-09-17T00:00:00"/>
        <d v="2013-09-18T00:00:00"/>
        <d v="2013-09-22T00:00:00"/>
        <d v="2013-09-24T00:00:00"/>
        <d v="2013-09-25T00:00:00"/>
        <d v="2013-09-28T00:00:00"/>
        <d v="2013-10-02T00:00:00"/>
        <d v="2013-10-05T00:00:00"/>
        <d v="2013-10-19T00:00:00"/>
        <d v="2013-10-22T00:00:00"/>
        <d v="2013-10-23T00:00:00"/>
        <d v="2013-10-30T00:00:00"/>
        <d v="2013-11-02T00:00:00"/>
        <d v="2013-11-05T00:00:00"/>
        <d v="2013-11-06T00:00:00"/>
        <d v="2013-11-09T00:00:00"/>
        <d v="2013-11-23T00:00:00"/>
        <d v="2013-12-10T00:00:00"/>
        <d v="2013-12-22T00:00:00"/>
        <d v="2014-01-06T00:00:00"/>
        <d v="2014-01-08T00:00:00"/>
        <d v="2014-01-15T00:00:00"/>
        <d v="2014-01-16T00:00:00"/>
        <d v="2014-01-18T00:00:00"/>
        <d v="2014-01-25T00:00:00"/>
        <d v="2014-02-01T00:00:00"/>
        <d v="2014-02-09T00:00:00"/>
        <d v="2014-02-11T00:00:00"/>
        <d v="2014-02-12T00:00:00"/>
        <d v="2014-02-15T00:00:00"/>
        <d v="2014-02-18T00:00:00"/>
        <d v="2014-02-22T00:00:00"/>
        <d v="2014-02-26T00:00:00"/>
        <d v="2014-03-02T00:00:00"/>
        <d v="2014-03-09T00:00:00"/>
        <d v="2014-03-12T00:00:00"/>
        <d v="2014-03-15T00:00:00"/>
        <d v="2014-03-16T00:00:00"/>
        <d v="2014-03-18T00:00:00"/>
        <d v="2014-03-23T00:00:00"/>
        <d v="2014-03-26T00:00:00"/>
        <d v="2014-03-29T00:00:00"/>
        <d v="2014-04-02T00:00:00"/>
        <d v="2014-04-05T00:00:00"/>
        <d v="2014-04-20T00:00:00"/>
        <d v="2014-04-26T00:00:00"/>
        <d v="2014-04-27T00:00:00"/>
        <d v="2014-04-29T00:00:00"/>
        <d v="2014-05-03T00:00:00"/>
        <d v="2014-05-04T00:00:00"/>
        <d v="2014-05-24T00:00:00"/>
        <d v="2014-08-12T00:00:00"/>
        <d v="2014-08-24T00:00:00"/>
        <d v="2014-08-25T00:00:00"/>
        <d v="2014-09-13T00:00:00"/>
        <d v="2014-09-16T00:00:00"/>
        <d v="2014-09-20T00:00:00"/>
        <d v="2014-09-21T00:00:00"/>
        <d v="2014-09-23T00:00:00"/>
        <d v="2014-09-27T00:00:00"/>
        <d v="2014-09-30T00:00:00"/>
        <d v="2014-10-01T00:00:00"/>
        <d v="2014-10-04T00:00:00"/>
        <d v="2014-10-05T00:00:00"/>
        <d v="2014-10-18T00:00:00"/>
        <d v="2014-10-21T00:00:00"/>
        <d v="2014-10-22T00:00:00"/>
        <d v="2014-10-25T00:00:00"/>
        <d v="2014-11-01T00:00:00"/>
        <d v="2014-11-05T00:00:00"/>
        <d v="2014-11-08T00:00:00"/>
        <d v="2014-11-22T00:00:00"/>
        <d v="2014-11-25T00:00:00"/>
        <d v="2014-11-26T00:00:00"/>
        <d v="2014-12-06T00:00:00"/>
        <d v="2014-12-07T00:00:00"/>
        <d v="2014-12-09T00:00:00"/>
        <d v="2014-12-10T00:00:00"/>
        <d v="2014-12-12T00:00:00"/>
        <d v="2014-12-20T00:00:00"/>
        <d v="2015-01-04T00:00:00"/>
        <d v="2015-01-08T00:00:00"/>
        <d v="2015-01-11T00:00:00"/>
        <d v="2015-01-15T00:00:00"/>
        <d v="2015-01-18T00:00:00"/>
        <d v="2015-01-21T00:00:00"/>
        <d v="2015-01-24T00:00:00"/>
        <d v="2015-02-01T00:00:00"/>
        <d v="2015-02-08T00:00:00"/>
        <d v="2015-02-11T00:00:00"/>
        <d v="2015-02-15T00:00:00"/>
        <d v="2015-02-18T00:00:00"/>
        <d v="2015-02-22T00:00:00"/>
        <d v="2015-02-28T00:00:00"/>
        <d v="2015-03-01T00:00:00"/>
        <d v="2015-03-08T00:00:00"/>
        <d v="2015-03-10T00:00:00"/>
        <d v="2015-03-14T00:00:00"/>
        <d v="2015-03-22T00:00:00"/>
        <d v="2015-04-05T00:00:00"/>
        <d v="2015-04-08T00:00:00"/>
        <d v="2015-04-11T00:00:00"/>
        <d v="2015-04-18T00:00:00"/>
        <d v="2015-04-25T00:00:00"/>
        <d v="2015-04-28T00:00:00"/>
        <d v="2015-05-02T00:00:00"/>
        <d v="2015-05-05T00:00:00"/>
        <d v="2015-05-06T00:00:00"/>
        <d v="2015-05-13T00:00:00"/>
        <d v="2015-05-17T00:00:00"/>
        <d v="2015-05-23T00:00:00"/>
        <d v="2015-05-30T00:00:00"/>
        <d v="2015-08-11T00:00:00"/>
        <d v="2015-08-17T00:00:00"/>
        <d v="2015-09-12T00:00:00"/>
        <d v="2015-09-15T00:00:00"/>
        <d v="2015-09-20T00:00:00"/>
        <d v="2015-09-30T00:00:00"/>
        <d v="2015-10-17T00:00:00"/>
        <d v="2015-10-24T00:00:00"/>
        <d v="2015-10-31T00:00:00"/>
        <d v="2015-11-24T00:00:00"/>
        <d v="2015-11-25T00:00:00"/>
        <d v="2015-11-28T00:00:00"/>
        <d v="2015-11-29T00:00:00"/>
        <d v="2015-12-05T00:00:00"/>
        <d v="2015-12-08T00:00:00"/>
        <d v="2015-12-09T00:00:00"/>
        <d v="2015-12-12T00:00:00"/>
        <d v="2015-12-20T00:00:00"/>
        <d v="2015-12-30T00:00:00"/>
        <d v="2016-01-06T00:00:00"/>
        <d v="2016-01-09T00:00:00"/>
        <d v="2016-01-17T00:00:00"/>
        <d v="2016-01-23T00:00:00"/>
        <d v="2016-01-30T00:00:00"/>
        <d v="2016-01-31T00:00:00"/>
        <d v="2016-02-03T00:00:00"/>
        <d v="2016-02-13T00:00:00"/>
        <d v="2016-02-14T00:00:00"/>
        <d v="2016-02-17T00:00:00"/>
        <d v="2016-02-21T00:00:00"/>
        <d v="2016-02-23T00:00:00"/>
        <d v="2016-02-28T00:00:00"/>
        <d v="2016-03-02T00:00:00"/>
        <d v="2016-03-03T00:00:00"/>
        <d v="2016-03-05T00:00:00"/>
        <d v="2016-03-06T00:00:00"/>
        <d v="2016-03-08T00:00:00"/>
        <d v="2016-03-12T00:00:00"/>
        <d v="2016-03-16T00:00:00"/>
        <d v="2016-03-20T00:00:00"/>
        <d v="2016-04-02T00:00:00"/>
        <d v="2016-04-09T00:00:00"/>
        <d v="2016-04-12T00:00:00"/>
        <d v="2016-04-16T00:00:00"/>
        <d v="2016-04-17T00:00:00"/>
        <d v="2016-04-20T00:00:00"/>
        <d v="2016-04-23T00:00:00"/>
        <d v="2016-05-08T00:00:00"/>
        <d v="2016-05-14T00:00:00"/>
        <d v="2016-08-17T00:00:00"/>
        <d v="2016-08-20T00:00:00"/>
        <d v="2016-09-10T00:00:00"/>
        <d v="2016-09-13T00:00:00"/>
        <d v="2016-09-14T00:00:00"/>
        <d v="2016-09-17T00:00:00"/>
        <d v="2016-09-27T00:00:00"/>
        <d v="2016-10-15T00:00:00"/>
        <d v="2016-10-19T00:00:00"/>
        <d v="2016-10-22T00:00:00"/>
        <d v="2016-10-29T00:00:00"/>
        <d v="2016-11-01T00:00:00"/>
        <d v="2016-11-06T00:00:00"/>
        <d v="2016-11-19T00:00:00"/>
        <d v="2016-11-23T00:00:00"/>
        <d v="2016-11-26T00:00:00"/>
        <d v="2016-11-27T00:00:00"/>
        <d v="2016-12-06T00:00:00"/>
        <d v="2016-12-10T00:00:00"/>
        <d v="2016-12-15T00:00:00"/>
        <d v="2016-12-18T00:00:00"/>
        <d v="2017-01-05T00:00:00"/>
        <d v="2017-01-07T00:00:00"/>
        <d v="2017-01-08T00:00:00"/>
        <d v="2017-01-11T00:00:00"/>
        <d v="2017-01-14T00:00:00"/>
        <d v="2017-01-15T00:00:00"/>
        <d v="2017-01-22T00:00:00"/>
        <d v="2017-01-25T00:00:00"/>
        <d v="2017-01-26T00:00:00"/>
        <d v="2017-01-29T00:00:00"/>
        <d v="2017-02-01T00:00:00"/>
        <d v="2017-02-04T00:00:00"/>
        <d v="2017-02-11T00:00:00"/>
        <d v="2017-02-19T00:00:00"/>
        <d v="2017-02-22T00:00:00"/>
        <d v="2017-02-26T00:00:00"/>
        <d v="2017-03-01T00:00:00"/>
        <d v="2017-03-04T00:00:00"/>
        <d v="2017-03-08T00:00:00"/>
        <d v="2017-03-12T00:00:00"/>
        <d v="2017-03-19T00:00:00"/>
        <d v="2017-04-05T00:00:00"/>
        <d v="2017-04-12T00:00:00"/>
        <d v="2017-04-15T00:00:00"/>
        <d v="2017-04-18T00:00:00"/>
        <d v="2017-04-23T00:00:00"/>
        <d v="2017-04-26T00:00:00"/>
        <d v="2017-04-29T00:00:00"/>
        <d v="2017-05-02T00:00:00"/>
        <d v="2017-05-06T00:00:00"/>
        <d v="2017-05-14T00:00:00"/>
        <d v="2017-05-17T00:00:00"/>
        <d v="2017-05-21T00:00:00"/>
        <d v="2017-05-27T00:00:00"/>
        <d v="2017-06-03T00:00:00"/>
        <d v="2017-08-13T00:00:00"/>
        <d v="2017-08-26T00:00:00"/>
        <d v="2017-09-09T00:00:00"/>
        <d v="2017-09-12T00:00:00"/>
        <d v="2017-09-13T00:00:00"/>
        <d v="2017-09-19T00:00:00"/>
        <d v="2017-09-26T00:00:00"/>
        <d v="2017-10-01T00:00:00"/>
        <d v="2017-10-14T00:00:00"/>
        <d v="2017-10-17T00:00:00"/>
        <d v="2017-10-18T00:00:00"/>
        <d v="2017-10-28T00:00:00"/>
        <d v="2017-11-01T00:00:00"/>
        <d v="2017-11-21T00:00:00"/>
        <d v="2017-11-25T00:00:00"/>
        <d v="2017-12-02T00:00:00"/>
        <d v="2017-12-06T00:00:00"/>
        <d v="2017-12-09T00:00:00"/>
        <d v="2017-12-10T00:00:00"/>
        <d v="2017-12-13T00:00:00"/>
        <d v="2017-12-16T00:00:00"/>
        <d v="2017-12-23T00:00:00"/>
        <d v="2018-01-07T00:00:00"/>
        <d v="2018-01-11T00:00:00"/>
        <d v="2018-01-14T00:00:00"/>
        <d v="2018-01-21T00:00:00"/>
        <d v="2018-01-25T00:00:00"/>
        <d v="2018-01-27T00:00:00"/>
        <d v="2018-01-28T00:00:00"/>
        <d v="2018-02-10T00:00:00"/>
        <d v="2018-02-14T00:00:00"/>
        <d v="2018-02-18T00:00:00"/>
        <d v="2018-02-20T00:00:00"/>
        <d v="2018-02-24T00:00:00"/>
        <d v="2018-03-01T00:00:00"/>
        <d v="2018-03-03T00:00:00"/>
        <d v="2018-03-04T00:00:00"/>
        <d v="2018-03-06T00:00:00"/>
        <d v="2018-03-10T00:00:00"/>
        <d v="2018-03-14T00:00:00"/>
        <d v="2018-03-18T00:00:00"/>
        <d v="2018-03-31T00:00:00"/>
        <d v="2018-04-03T00:00:00"/>
        <d v="2018-04-07T00:00:00"/>
        <d v="2018-04-08T00:00:00"/>
        <d v="2018-04-11T00:00:00"/>
        <d v="2018-04-18T00:00:00"/>
        <d v="2018-04-21T00:00:00"/>
        <d v="2018-04-29T00:00:00"/>
        <d v="2018-05-06T00:00:00"/>
        <d v="2018-05-09T00:00:00"/>
        <d v="2018-05-19T00:00:00"/>
        <d v="2018-08-18T00:00:00"/>
        <d v="2018-09-02T00:00:00"/>
        <d v="2018-09-16T00:00:00"/>
        <d v="2018-09-18T00:00:00"/>
        <d v="2018-09-23T00:00:00"/>
        <d v="2018-10-03T00:00:00"/>
        <d v="2018-10-06T00:00:00"/>
        <d v="2018-10-07T00:00:00"/>
        <d v="2018-10-20T00:00:00"/>
        <d v="2018-10-27T00:00:00"/>
        <d v="2018-11-07T00:00:00"/>
        <d v="2018-11-11T00:00:00"/>
        <d v="2018-11-24T00:00:00"/>
        <d v="2018-11-28T00:00:00"/>
        <d v="2018-12-01T00:00:00"/>
        <d v="2018-12-08T00:00:00"/>
        <d v="2018-12-15T00:00:00"/>
        <d v="2018-12-16T00:00:00"/>
        <d v="2018-12-22T00:00:00"/>
        <d v="2018-12-26T00:00:00"/>
        <d v="2018-12-29T00:00:00"/>
        <d v="2019-01-06T00:00:00"/>
        <d v="2019-01-13T00:00:00"/>
        <d v="2019-01-16T00:00:00"/>
        <d v="2019-01-17T00:00:00"/>
        <d v="2019-01-20T00:00:00"/>
        <d v="2019-01-27T00:00:00"/>
        <d v="2019-01-30T00:00:00"/>
        <d v="2019-02-02T00:00:00"/>
        <d v="2019-02-10T00:00:00"/>
        <d v="2019-02-15T00:00:00"/>
        <d v="2019-02-16T00:00:00"/>
        <d v="2019-02-23T00:00:00"/>
        <d v="2019-03-09T00:00:00"/>
        <d v="2019-03-12T00:00:00"/>
        <d v="2019-03-13T00:00:00"/>
        <d v="2019-03-17T00:00:00"/>
        <d v="2019-03-30T00:00:00"/>
        <d v="2019-04-02T00:00:00"/>
        <d v="2019-04-06T00:00:00"/>
        <d v="2019-04-10T00:00:00"/>
        <d v="2019-04-16T00:00:00"/>
        <d v="2019-04-27T00:00:00"/>
        <d v="2019-05-01T00:00:00"/>
        <d v="2019-05-03T00:00:00"/>
        <d v="2019-05-19T00:00:00"/>
        <d v="2019-05-25T00:00:00"/>
        <d v="2019-08-31T00:00:00"/>
        <d v="2019-09-21T00:00:00"/>
        <d v="2019-09-28T00:00:00"/>
        <d v="2019-10-01T00:00:00"/>
        <d v="2019-10-06T00:00:00"/>
        <d v="2019-10-19T00:00:00"/>
        <d v="2019-10-23T00:00:00"/>
        <d v="2019-10-29T00:00:00"/>
        <d v="2019-10-30T00:00:00"/>
        <d v="2019-11-02T00:00:00"/>
        <d v="2019-11-09T00:00:00"/>
        <d v="2019-11-27T00:00:00"/>
        <d v="2019-12-01T00:00:00"/>
        <d v="2019-12-07T00:00:00"/>
        <d v="2019-12-11T00:00:00"/>
        <d v="2019-12-15T00:00:00"/>
        <d v="2019-12-18T00:00:00"/>
        <d v="2019-12-21T00:00:00"/>
        <d v="2020-01-06T00:00:00"/>
        <d v="2020-01-09T00:00:00"/>
        <d v="2020-01-12T00:00:00"/>
        <d v="2020-01-19T00:00:00"/>
        <d v="2020-01-22T00:00:00"/>
        <d v="2020-01-26T00:00:00"/>
        <d v="2020-01-30T00:00:00"/>
        <d v="2020-02-02T00:00:00"/>
        <d v="2020-02-08T00:00:00"/>
        <d v="2020-02-13T00:00:00"/>
        <d v="2020-02-22T00:00:00"/>
        <d v="2020-03-07T00:00:00"/>
        <d v="2020-06-13T00:00:00"/>
        <d v="2020-06-16T00:00:00"/>
        <d v="2020-06-22T00:00:00"/>
        <d v="2020-06-26T00:00:00"/>
        <d v="2020-06-30T00:00:00"/>
        <d v="2020-07-04T00:00:00"/>
        <d v="2020-07-07T00:00:00"/>
        <d v="2020-07-11T00:00:00"/>
        <d v="2020-07-16T00:00:00"/>
        <d v="2020-07-19T00:00:00"/>
        <d v="2020-07-20T00:00:00"/>
        <d v="2020-07-26T00:00:00"/>
        <d v="2020-08-07T00:00:00"/>
        <d v="2020-08-08T00:00:00"/>
        <d v="2020-09-20T00:00:00"/>
        <d v="2020-09-27T00:00:00"/>
        <d v="2020-10-20T00:00:00"/>
        <d v="2020-10-28T00:00:00"/>
        <d v="2020-11-01T00:00:00"/>
        <d v="2020-11-04T00:00:00"/>
        <d v="2020-11-07T00:00:00"/>
        <d v="2020-11-08T00:00:00"/>
        <d v="2020-11-21T00:00:00"/>
        <d v="2020-11-24T00:00:00"/>
        <d v="2020-11-29T00:00:00"/>
        <d v="2020-12-02T00:00:00"/>
        <d v="2020-12-08T00:00:00"/>
        <d v="2020-12-13T00:00:00"/>
        <d v="2020-12-19T00:00:00"/>
        <d v="2020-12-22T00:00:00"/>
        <d v="2021-01-03T00:00:00"/>
        <d v="2021-01-06T00:00:00"/>
        <d v="2021-01-09T00:00:00"/>
        <d v="2021-01-10T00:00:00"/>
        <d v="2021-01-20T00:00:00"/>
        <d v="2021-01-27T00:00:00"/>
        <d v="2021-01-31T00:00:00"/>
        <d v="2021-02-02T00:00:00"/>
        <d v="2021-02-06T00:00:00"/>
        <d v="2021-02-07T00:00:00"/>
        <d v="2021-02-13T00:00:00"/>
        <d v="2021-02-16T00:00:00"/>
        <d v="2021-02-21T00:00:00"/>
        <d v="2021-02-22T00:00:00"/>
        <d v="2021-02-24T00:00:00"/>
        <d v="2021-02-27T00:00:00"/>
        <d v="2021-03-02T00:00:00"/>
        <d v="2021-03-10T00:00:00"/>
        <d v="2021-03-14T00:00:00"/>
        <d v="2021-03-15T00:00:00"/>
        <d v="2021-03-21T00:00:00"/>
        <d v="2021-04-03T00:00:00"/>
        <d v="2021-04-07T00:00:00"/>
        <d v="2021-04-17T00:00:00"/>
        <d v="2021-04-22T00:00:00"/>
        <d v="2021-04-29T00:00:00"/>
        <d v="2021-05-02T00:00:00"/>
        <d v="2021-05-11T00:00:00"/>
        <d v="2021-05-12T00:00:00"/>
        <d v="2021-05-15T00:00:00"/>
        <d v="2021-05-16T00:00:00"/>
        <d v="2021-09-11T00:00:00"/>
        <d v="2021-09-14T00:00:00"/>
        <d v="2021-09-19T00:00:00"/>
        <d v="2021-09-28T00:00:00"/>
        <d v="2021-09-29T00:00:00"/>
        <d v="2021-10-19T00:00:00"/>
        <d v="2021-10-20T00:00:00"/>
        <d v="2021-10-30T00:00:00"/>
        <d v="2021-11-02T00:00:00"/>
        <d v="2021-11-20T00:00:00"/>
        <d v="2021-11-23T00:00:00"/>
        <d v="2021-12-02T00:00:00"/>
        <d v="2021-12-07T00:00:00"/>
        <d v="2021-12-11T00:00:00"/>
        <d v="2021-12-30T00:00:00"/>
        <d v="2022-02-06T00:00:00"/>
        <d v="2022-02-15T00:00:00"/>
        <d v="2022-03-12T00:00:00"/>
        <d v="2022-04-03T00:00:00"/>
        <d v="2022-04-16T00:00:00"/>
        <d v="2022-04-23T00:00:00"/>
        <d v="2022-04-28T00:00:00"/>
        <d v="2022-05-02T00:00:00"/>
        <d v="2022-05-14T00:00:00"/>
        <d v="2022-07-31T00:00:00"/>
        <d v="2022-08-06T00:00:00"/>
        <d v="2022-08-21T00:00:00"/>
        <d v="2022-09-14T00:00:00"/>
        <d v="2022-09-15T00:00:00"/>
        <d v="2022-09-18T00:00:00"/>
        <d v="2022-10-01T00:00:00"/>
        <d v="2022-10-05T00:00:00"/>
        <d v="2022-10-09T00:00:00"/>
        <d v="2022-10-21T00:00:00"/>
        <d v="2022-10-25T00:00:00"/>
        <d v="2022-10-27T00:00:00"/>
        <d v="2022-10-29T00:00:00"/>
        <d v="2023-02-01T00:00:00"/>
        <d v="2023-02-03T00:00:00"/>
        <d v="2023-02-04T00:00:00"/>
        <d v="2023-02-09T00:00:00"/>
        <d v="2023-02-19T00:00:00"/>
        <d v="2023-02-25T00:00:00"/>
        <d v="2023-02-26T00:00:00"/>
        <d v="2023-03-04T00:00:00"/>
        <d v="2023-03-18T00:00:00"/>
      </sharedItems>
      <fieldGroup par="20"/>
    </cacheField>
    <cacheField name="Venue" numFmtId="0">
      <sharedItems/>
    </cacheField>
    <cacheField name="Club" numFmtId="0">
      <sharedItems count="7">
        <s v="Sporting CP"/>
        <s v="Manchester United"/>
        <s v="FC Barcelona"/>
        <s v="Real Madrid"/>
        <s v="Juventus FC"/>
        <s v="Paris Saint-Germain"/>
        <s v="Al-Nassr FC"/>
      </sharedItems>
    </cacheField>
    <cacheField name="Opponent" numFmtId="0">
      <sharedItems count="173">
        <s v="Moreirense FC"/>
        <s v="Boavista FC"/>
        <s v="CD Estarreja"/>
        <s v="FC Oliveira do Hospital"/>
        <s v="Portsmouth FC"/>
        <s v="Manchester City"/>
        <s v="Tottenham Hotspur"/>
        <s v="Birmingham City"/>
        <s v="Aston Villa"/>
        <s v="Millwall FC"/>
        <s v="Southampton FC"/>
        <s v="Exeter City"/>
        <s v="Arsenal FC"/>
        <s v="Everton FC"/>
        <s v="Fulham FC"/>
        <s v="Newcastle United"/>
        <s v="Albacete Balompie"/>
        <s v="Debreceni VSC"/>
        <s v="Middlesbrough FC"/>
        <s v="Panathinaikos Athens"/>
        <s v="Racing Santander"/>
        <s v="West Bromwich Albion"/>
        <s v="Bolton Wanderers"/>
        <s v="Athletic Bilbao"/>
        <s v="Deportivo Alaves"/>
        <s v="RCD Mallorca"/>
        <s v="Real Zaragoza"/>
        <s v="Real Betis Balompie"/>
        <s v="Wigan Athletic"/>
        <s v="Charlton Athletic"/>
        <s v="Celta de Vigo"/>
        <s v="CA Osasuna"/>
        <s v="Reading FC"/>
        <s v="SV Werder Bremen"/>
        <s v="Sevilla FC"/>
        <s v="Watford FC"/>
        <s v="Real Madrid"/>
        <s v="Recreativo Huelva"/>
        <s v="Deportivo de La Coruaa"/>
        <s v="AS Roma"/>
        <s v="Getafe CF"/>
        <s v="AC Milan"/>
        <s v="Atletico de Madrid"/>
        <s v="RCD Espanyol Barcelona"/>
        <s v="Gimnastic de Tarragona"/>
        <s v="Sporting CP"/>
        <s v="Olympique Lyon"/>
        <s v="Levante UD"/>
        <s v="VfB Stuttgart"/>
        <s v="Dynamo Kyiv"/>
        <s v="UD Almera"/>
        <s v="Rangers FC"/>
        <s v="Blackburn Rovers"/>
        <s v="Derby County"/>
        <s v="Sunderland AFC"/>
        <s v="West Ham United"/>
        <s v="Celtic FC"/>
        <s v="Liverpool FC"/>
        <s v="Valencia CF"/>
        <s v="Chelsea FC"/>
        <s v="Sporting GijÃƒÂ³n"/>
        <s v="Shakhtar Donetsk"/>
        <s v="FC Basel 1893"/>
        <s v="Malaga CF"/>
        <s v="Hull City"/>
        <s v="Benidorm CD"/>
        <s v="Stoke City"/>
        <s v="Gamba Osaka"/>
        <s v="CD Numancia"/>
        <s v="FC Internazionale"/>
        <s v="Bayern Munich"/>
        <s v="FC Porto"/>
        <s v="Manchester United"/>
        <s v="Deportivo de La CoruÃƒÂ±a"/>
        <s v="FC ZÃƒÂ¼rich"/>
        <s v="Xerez CD"/>
        <s v="Villarreal CF"/>
        <s v="Olympique Marseille"/>
        <s v="Cultural Leonesa"/>
        <s v="UD Almeria"/>
        <s v="CF Atlante"/>
        <s v="Club Estudiantes de La Plata"/>
        <s v="CD Tenerife"/>
        <s v="Real Valladolid CF"/>
        <s v="FC Copenhagen"/>
        <s v="Hercules CF"/>
        <s v="Real Murcia CF"/>
        <s v="Club Atletico de Ceuta"/>
        <s v="Ajax Amsterdam"/>
        <s v="AJ Auxerre"/>
        <s v="Real Sociedad"/>
        <s v="FC Barcelona"/>
        <s v="Rayo Vallecano"/>
        <s v="BATE Borisov"/>
        <s v="FC Viktoria Plzen"/>
        <s v="SD Ponferradina"/>
        <s v="Santos FC"/>
        <s v="Granada CF"/>
        <s v="Bayer 04 Leverkusen"/>
        <s v="CSKA Moscow"/>
        <s v="APOEL Nicosia"/>
        <s v="Spartak Moscow"/>
        <s v="Borussia Dortmund"/>
        <s v="CÃƒÂ³rdoba CF"/>
        <s v="Paris Saint-Germain"/>
        <s v="Galatasaray"/>
        <s v="Elche CF"/>
        <s v="Juventus FC"/>
        <s v="FC Schalke 04"/>
        <s v="Ludogorets Razgrad"/>
        <s v="SD Eibar"/>
        <s v="MalmÃƒÂ¶ FF"/>
        <s v="UD Las Palmas"/>
        <s v="CA River Plate"/>
        <s v="VfL Wolfsburg"/>
        <s v="CD Leganes"/>
        <s v="Borussia MÃƒÂ¶nchengladbach"/>
        <s v="CF America"/>
        <s v="Kashima Antlers"/>
        <s v="Olympiacos Piraeus"/>
        <s v="Al-Jazira (Abu Dhabi)"/>
        <s v="GrÃƒÂªmio Foot-Ball Porto Alegrense"/>
        <s v="Girona FC"/>
        <s v="SD Huesca"/>
        <s v="US Sassuolo"/>
        <s v="PSV Eindhoven"/>
        <s v="Frosinone Calcio"/>
        <s v="Udinese Calcio"/>
        <s v="Genoa CFC"/>
        <s v="Empoli FC "/>
        <s v="SPAL"/>
        <s v="ACF Fiorentina"/>
        <s v="Torino FC"/>
        <s v="Atalanta BC"/>
        <s v="UC Sampdoria"/>
        <s v="SS Lazio"/>
        <s v="Parma Calcio 1913"/>
        <s v="Inter Milan"/>
        <s v="SSC Napoli"/>
        <s v="Hellas Verona"/>
        <s v="Bologna FC 1909"/>
        <s v="SK Slavia Prague"/>
        <s v="Cagliari Calcio"/>
        <s v="US Lecce"/>
        <s v="Ferencvarosi TC"/>
        <s v="Spezia Calcio"/>
        <s v="Cadiz CF"/>
        <s v="FC Crotone"/>
        <s v="BSC Young Boys"/>
        <s v="RB Leipzig"/>
        <s v="FC Nantes"/>
        <s v="Club Brugge KV"/>
        <s v="Norwich City"/>
        <s v="Burnley FC"/>
        <s v="LOSC Lille"/>
        <s v="Brighton &amp; Hove Albion"/>
        <s v="FC Lorient"/>
        <s v="RC Lens"/>
        <s v="Brentford FC"/>
        <s v="Montpellier"/>
        <s v="Clermont Foot"/>
        <s v="Maccabi Haifa"/>
        <s v="FC Sheriff"/>
        <s v="OGC Nice"/>
        <s v="SL Benfica"/>
        <s v="AC Ajaccio"/>
        <s v="ESTAC Troyes"/>
        <s v="Montpellier HSC"/>
        <s v="Al-Fateh"/>
        <s v="FC Toulouse"/>
        <s v="Al-Wehda FC"/>
        <s v="Damac FC"/>
        <s v="Abha Club"/>
      </sharedItems>
    </cacheField>
    <cacheField name="Result" numFmtId="20">
      <sharedItems containsSemiMixedTypes="0" containsNonDate="0" containsDate="1" containsString="0" minDate="1899-12-30T00:01:00" maxDate="1899-12-30T10:02:00"/>
    </cacheField>
    <cacheField name="Home Team Score" numFmtId="164">
      <sharedItems containsMixedTypes="1" containsNumber="1" containsInteger="1" minValue="0" maxValue="6"/>
    </cacheField>
    <cacheField name="Away Team Score" numFmtId="164">
      <sharedItems containsMixedTypes="1" containsNumber="1" containsInteger="1" minValue="1" maxValue="5"/>
    </cacheField>
    <cacheField name="Win/Lose" numFmtId="164">
      <sharedItems count="3">
        <s v="Win"/>
        <s v="Lose"/>
        <s v="Tie"/>
      </sharedItems>
    </cacheField>
    <cacheField name="Playing_Position" numFmtId="0">
      <sharedItems count="10">
        <s v="LW"/>
        <s v="RW"/>
        <s v="CF"/>
        <s v="SS"/>
        <s v="LW "/>
        <s v="CF "/>
        <s v="AM"/>
        <s v="RW "/>
        <s v="AM "/>
        <s v="SS "/>
      </sharedItems>
    </cacheField>
    <cacheField name="Minute" numFmtId="0">
      <sharedItems containsMixedTypes="1" containsNumber="1" containsInteger="1" minValue="1" maxValue="120" count="108">
        <n v="34"/>
        <s v="90+5"/>
        <n v="88"/>
        <n v="67"/>
        <n v="13"/>
        <n v="80"/>
        <n v="74"/>
        <n v="89"/>
        <n v="60"/>
        <n v="4"/>
        <n v="44"/>
        <n v="87"/>
        <n v="9"/>
        <n v="8"/>
        <n v="54"/>
        <n v="58"/>
        <s v="45+1"/>
        <n v="21"/>
        <n v="76"/>
        <s v="90+1"/>
        <n v="63"/>
        <n v="90"/>
        <n v="51"/>
        <n v="12"/>
        <n v="68"/>
        <n v="50"/>
        <n v="82"/>
        <n v="83"/>
        <n v="75"/>
        <n v="42"/>
        <n v="14"/>
        <n v="38"/>
        <n v="45"/>
        <n v="84"/>
        <n v="59"/>
        <n v="23"/>
        <n v="19"/>
        <n v="36"/>
        <n v="73"/>
        <n v="10"/>
        <n v="39"/>
        <n v="85"/>
        <n v="47"/>
        <n v="77"/>
        <n v="28"/>
        <n v="11"/>
        <n v="86"/>
        <n v="49"/>
        <n v="29"/>
        <n v="5"/>
        <n v="57"/>
        <n v="43"/>
        <n v="62"/>
        <n v="72"/>
        <n v="79"/>
        <n v="66"/>
        <n v="41"/>
        <n v="35"/>
        <n v="81"/>
        <s v="90+3"/>
        <n v="22"/>
        <n v="48"/>
        <n v="70"/>
        <s v="90+2"/>
        <n v="69"/>
        <n v="18"/>
        <n v="56"/>
        <n v="16"/>
        <n v="53"/>
        <n v="3"/>
        <n v="24"/>
        <n v="32"/>
        <n v="26"/>
        <n v="25"/>
        <n v="30"/>
        <n v="61"/>
        <n v="78"/>
        <n v="65"/>
        <n v="31"/>
        <n v="40"/>
        <n v="6"/>
        <n v="17"/>
        <n v="55"/>
        <n v="27"/>
        <n v="15"/>
        <n v="1"/>
        <n v="2"/>
        <n v="64"/>
        <n v="110"/>
        <n v="7"/>
        <n v="71"/>
        <n v="37"/>
        <n v="20"/>
        <n v="46"/>
        <n v="33"/>
        <n v="52"/>
        <n v="103"/>
        <s v="45+2"/>
        <s v="90+4"/>
        <s v="90+6"/>
        <n v="120"/>
        <n v="104"/>
        <n v="97"/>
        <n v="105"/>
        <n v="109"/>
        <s v="90+7"/>
        <s v="45+7"/>
        <s v="45+4"/>
      </sharedItems>
    </cacheField>
    <cacheField name="At_score" numFmtId="20">
      <sharedItems containsSemiMixedTypes="0" containsNonDate="0" containsDate="1" containsString="0" minDate="1899-12-30T00:01:00" maxDate="1899-12-30T09:01:00"/>
    </cacheField>
    <cacheField name="Type" numFmtId="0">
      <sharedItems count="12">
        <s v="Solo run"/>
        <s v="Header"/>
        <s v="Right-footed shot"/>
        <s v="Left-footed shot"/>
        <s v="Direct free kick"/>
        <s v="Tap-in"/>
        <s v="Penalty"/>
        <s v="Penalty rebound"/>
        <s v="Deflected shot on goal"/>
        <s v="Counter attack goal"/>
        <s v="Long distance kick"/>
        <s v="Chest"/>
      </sharedItems>
    </cacheField>
    <cacheField name="Goal_assist" numFmtId="0">
      <sharedItems containsBlank="1" count="160">
        <m/>
        <s v="Rui Jorge"/>
        <s v="Carlos Martins"/>
        <s v="Cesar Prates"/>
        <s v="Ryan Giggs"/>
        <s v="Gary Neville"/>
        <s v="Paul Scholes"/>
        <s v="Louis Saha"/>
        <s v="Ruud van Nistelrooy"/>
        <s v="Roy Keane"/>
        <s v="Ronaldinho Gaacho"/>
        <s v="Samuel Etoo"/>
        <s v="Wayne Rooney"/>
        <s v="Mark van Bommel"/>
        <s v="Sylvinho"/>
        <s v="Ludovic Giuly"/>
        <s v="Andres Iniesta"/>
        <s v="John OShea"/>
        <s v="Deco"/>
        <s v="Xavi"/>
        <s v="Ji-sung Park"/>
        <s v="Ole Gunnar Solskjaer"/>
        <s v="Michael Carrick"/>
        <s v="Giovanni van Bronckhorst"/>
        <s v="Gianluca Zambrotta"/>
        <s v="Wes Brown"/>
        <s v="Thierry Henry"/>
        <s v="Patrice Evra"/>
        <s v="Carlos Tevez"/>
        <s v="Nemanja VidicÃ¢â‚¬Å½"/>
        <s v="Nani"/>
        <s v="Edwin van der Sar"/>
        <s v="Owen Hargreaves"/>
        <s v="Bojan Krkic"/>
        <s v="Dani Alves"/>
        <s v="Dimitar Berbatov"/>
        <s v="Aleksandr Hleb"/>
        <s v="Gerard Pique"/>
        <s v="Anderson"/>
        <s v="Zlatan Ibrahimovic"/>
        <s v="Guti"/>
        <s v="Esteban Granero"/>
        <s v="Pepe"/>
        <s v="Karim Benzema"/>
        <s v="Pedro"/>
        <s v="Gonzalo Higuain"/>
        <s v="Lassana Diarra"/>
        <s v="Ezequiel Garay"/>
        <s v="Ãƒâ€°ric Abidal"/>
        <s v="Kaka"/>
        <s v="Yaya Toure"/>
        <s v="Seydou Keita"/>
        <s v="Marcelo"/>
        <s v="Sergio Ramos"/>
        <s v="Maxwell"/>
        <s v="Mesut Ozil"/>
        <s v="Xabi Alonso"/>
        <s v="Angel Di Maria"/>
        <s v="David Villa"/>
        <s v="Thiago"/>
        <s v="Adriano"/>
        <s v="Sergio Canales"/>
        <s v="Sami Khedira"/>
        <s v="Ibrahim Afellay"/>
        <s v="Sergio Busquets"/>
        <s v="Cesc Fabregas"/>
        <s v="alvaro Arbeloa"/>
        <s v="Alexis Sanchez"/>
        <s v="Fabio CoentrÃƒÂ£o"/>
        <s v="Cristian Tello"/>
        <s v="Isaac Cuenca"/>
        <s v="Jordi Alba"/>
        <s v="Jose CallejÃƒÂ³n"/>
        <s v="Marta Montoya"/>
        <s v="Luka Modric"/>
        <s v="Neymar"/>
        <s v="Isco"/>
        <s v="Gareth Bale"/>
        <s v="Daniel Carvajal"/>
        <s v="Alex Song"/>
        <s v="Antonio A05a"/>
        <s v="James Rodriguez"/>
        <s v="Marc Bartra"/>
        <s v="Rafinha"/>
        <s v="Luis Suarez"/>
        <s v="Ivan Rakitic"/>
        <s v="Toni Kroos"/>
        <s v="Chicharito"/>
        <s v="Lucas Vazquez"/>
        <s v="Danilo"/>
        <s v="Arda Turan"/>
        <s v="Jese"/>
        <s v="Munir El Haddadi"/>
        <s v="Lucas Digne"/>
        <s v="Sergi Roberto"/>
        <s v="alvaro Morata"/>
        <s v="Nacho Fernandez"/>
        <s v="Mateo Kovacic"/>
        <s v="Javier Mascherano"/>
        <s v="Marco Asensio"/>
        <s v="Casemiro"/>
        <s v="Paco Alcacer"/>
        <s v="Aleix Vidal"/>
        <s v="Paulinho"/>
        <s v="Denis Suarez"/>
        <s v="Borja Mayoral"/>
        <s v="Ousmane Dembele"/>
        <s v="Philippe Coutinho"/>
        <s v="Emre Can"/>
        <s v="Arturo Vidal"/>
        <s v="Mario Mandzukic"/>
        <s v="Blaise Matuidi"/>
        <s v="Leonardo Bonucci"/>
        <s v="Miralem Pjanic"/>
        <s v="Giorgio Chiellini"/>
        <s v="Paulo Dybala"/>
        <s v="Nelson Semedo"/>
        <s v="Federico Bernardeschi"/>
        <s v="JoÃƒÂ£o Cancelo"/>
        <s v="Malcom"/>
        <s v="Leonardo Spinazzola"/>
        <s v="Clement Lenglet"/>
        <s v="Douglas Costa"/>
        <s v="Antoine Griezmann"/>
        <s v="Arthur"/>
        <s v="Rodrigo Bentancur"/>
        <s v="Alex Sandro"/>
        <s v="Frenkie de Jong"/>
        <s v="Juan Cuadrado"/>
        <s v="Riqui Puig"/>
        <s v="Aaron Ramsey"/>
        <s v="Merih Demiral"/>
        <s v="Francisco TrincÃƒÂ£o"/>
        <s v="Pedri"/>
        <s v="Martin Braithwaite"/>
        <s v="Ilaix Moriba"/>
        <s v="Federico Chiesa"/>
        <s v="Adrien Rabiot"/>
        <s v="Luke Shaw"/>
        <s v="Bruno Fernandes"/>
        <s v="Kylian Mbappe"/>
        <s v="Jesse Lingard"/>
        <s v="Mason Greenwood"/>
        <s v="Marcus Rashford"/>
        <s v="Scott McTominay"/>
        <s v="Alex Telles"/>
        <s v="Jadon Sancho"/>
        <s v="Fred"/>
        <s v="Anthony Elanga"/>
        <s v="Nemanja MatiÃ„â€¡"/>
        <s v="Kylian MbappÃ©"/>
        <s v="Leandro Paredes"/>
        <s v="Nuno Mendes"/>
        <s v="FabiÃ¡n Ruiz"/>
        <s v="Achraf Hakimi"/>
        <s v="Abdulrahman Ghareeb"/>
        <s v="Sami Al-Najei"/>
        <s v="_x0009_"/>
        <s v="Ayman Yahya"/>
        <s v="Sultan Al-Ghannam"/>
      </sharedItems>
    </cacheField>
    <cacheField name="Solo Goals" numFmtId="0">
      <sharedItems containsSemiMixedTypes="0" containsString="0" containsNumber="1" containsInteger="1" minValue="0" maxValue="1"/>
    </cacheField>
    <cacheField name="Months (Date)" numFmtId="0" databaseField="0">
      <fieldGroup base="4">
        <rangePr groupBy="months" startDate="2002-10-07T00:00:00" endDate="2023-03-19T00:00:00"/>
        <groupItems count="14">
          <s v="&lt;07-10-2002"/>
          <s v="Jan"/>
          <s v="Feb"/>
          <s v="Mar"/>
          <s v="Apr"/>
          <s v="May"/>
          <s v="Jun"/>
          <s v="Jul"/>
          <s v="Aug"/>
          <s v="Sep"/>
          <s v="Oct"/>
          <s v="Nov"/>
          <s v="Dec"/>
          <s v="&gt;19-03-2023"/>
        </groupItems>
      </fieldGroup>
    </cacheField>
    <cacheField name="Quarters (Date)" numFmtId="0" databaseField="0">
      <fieldGroup base="4">
        <rangePr groupBy="quarters" startDate="2002-10-07T00:00:00" endDate="2023-03-19T00:00:00"/>
        <groupItems count="6">
          <s v="&lt;07-10-2002"/>
          <s v="Qtr1"/>
          <s v="Qtr2"/>
          <s v="Qtr3"/>
          <s v="Qtr4"/>
          <s v="&gt;19-03-2023"/>
        </groupItems>
      </fieldGroup>
    </cacheField>
    <cacheField name="Years (Date)" numFmtId="0" databaseField="0">
      <fieldGroup base="4">
        <rangePr groupBy="years" startDate="2002-10-07T00:00:00" endDate="2023-03-19T00:00:00"/>
        <groupItems count="24">
          <s v="&lt;07-10-2002"/>
          <s v="2002"/>
          <s v="2003"/>
          <s v="2004"/>
          <s v="2005"/>
          <s v="2006"/>
          <s v="2007"/>
          <s v="2008"/>
          <s v="2009"/>
          <s v="2010"/>
          <s v="2011"/>
          <s v="2012"/>
          <s v="2013"/>
          <s v="2014"/>
          <s v="2015"/>
          <s v="2016"/>
          <s v="2017"/>
          <s v="2018"/>
          <s v="2019"/>
          <s v="2020"/>
          <s v="2021"/>
          <s v="2022"/>
          <s v="2023"/>
          <s v="&gt;19-03-2023"/>
        </groupItems>
      </fieldGroup>
    </cacheField>
  </cacheFields>
  <extLst>
    <ext xmlns:x14="http://schemas.microsoft.com/office/spreadsheetml/2009/9/main" uri="{725AE2AE-9491-48be-B2B4-4EB974FC3084}">
      <x14:pivotCacheDefinition pivotCacheId="166270047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3">
  <r>
    <x v="0"/>
    <d v="2024-03-02T00:00:00"/>
    <x v="0"/>
    <x v="0"/>
    <x v="0"/>
    <s v="H"/>
    <x v="0"/>
    <x v="0"/>
    <d v="1899-12-30T03:00:00"/>
    <s v="03"/>
    <s v="00"/>
    <x v="0"/>
    <x v="0"/>
    <x v="0"/>
    <d v="1899-12-30T02:00:00"/>
    <x v="0"/>
    <x v="0"/>
    <n v="1"/>
  </r>
  <r>
    <x v="0"/>
    <d v="2024-03-02T00:00:00"/>
    <x v="0"/>
    <x v="0"/>
    <x v="0"/>
    <s v="H"/>
    <x v="0"/>
    <x v="0"/>
    <d v="1899-12-30T03:00:00"/>
    <s v="03"/>
    <s v="00"/>
    <x v="0"/>
    <x v="0"/>
    <x v="1"/>
    <d v="1899-12-30T03:00:00"/>
    <x v="1"/>
    <x v="1"/>
    <n v="0"/>
  </r>
  <r>
    <x v="0"/>
    <d v="2024-03-02T00:00:00"/>
    <x v="0"/>
    <x v="1"/>
    <x v="1"/>
    <s v="A"/>
    <x v="0"/>
    <x v="1"/>
    <d v="1899-12-30T01:02:00"/>
    <s v="01"/>
    <s v="02"/>
    <x v="1"/>
    <x v="0"/>
    <x v="2"/>
    <d v="1899-12-30T01:02:00"/>
    <x v="2"/>
    <x v="2"/>
    <n v="0"/>
  </r>
  <r>
    <x v="0"/>
    <d v="2024-03-02T00:00:00"/>
    <x v="1"/>
    <x v="2"/>
    <x v="2"/>
    <s v="H"/>
    <x v="0"/>
    <x v="2"/>
    <d v="1899-12-30T04:01:00"/>
    <s v="04"/>
    <s v="01"/>
    <x v="0"/>
    <x v="0"/>
    <x v="3"/>
    <d v="1899-12-30T03:00:00"/>
    <x v="3"/>
    <x v="3"/>
    <n v="0"/>
  </r>
  <r>
    <x v="0"/>
    <d v="2024-03-02T00:00:00"/>
    <x v="1"/>
    <x v="3"/>
    <x v="3"/>
    <s v="H"/>
    <x v="0"/>
    <x v="3"/>
    <d v="1899-12-30T08:01:00"/>
    <s v="08"/>
    <s v="01"/>
    <x v="0"/>
    <x v="0"/>
    <x v="4"/>
    <d v="1899-12-30T03:00:00"/>
    <x v="3"/>
    <x v="0"/>
    <n v="1"/>
  </r>
  <r>
    <x v="0"/>
    <d v="2024-04-03T00:00:00"/>
    <x v="2"/>
    <x v="4"/>
    <x v="4"/>
    <s v="H"/>
    <x v="1"/>
    <x v="4"/>
    <d v="1899-12-30T03:00:00"/>
    <s v="03"/>
    <s v="00"/>
    <x v="0"/>
    <x v="1"/>
    <x v="5"/>
    <d v="1899-12-30T02:00:00"/>
    <x v="4"/>
    <x v="0"/>
    <n v="1"/>
  </r>
  <r>
    <x v="0"/>
    <d v="2024-04-03T00:00:00"/>
    <x v="3"/>
    <x v="3"/>
    <x v="5"/>
    <s v="H"/>
    <x v="1"/>
    <x v="5"/>
    <d v="1899-12-30T04:02:00"/>
    <s v="04"/>
    <s v="02"/>
    <x v="0"/>
    <x v="1"/>
    <x v="6"/>
    <d v="1899-12-30T03:00:00"/>
    <x v="2"/>
    <x v="0"/>
    <n v="1"/>
  </r>
  <r>
    <x v="0"/>
    <d v="2024-04-03T00:00:00"/>
    <x v="2"/>
    <x v="5"/>
    <x v="6"/>
    <s v="H"/>
    <x v="1"/>
    <x v="6"/>
    <d v="1899-12-30T03:00:00"/>
    <s v="03"/>
    <s v="00"/>
    <x v="0"/>
    <x v="1"/>
    <x v="7"/>
    <d v="1899-12-30T02:00:00"/>
    <x v="2"/>
    <x v="0"/>
    <n v="1"/>
  </r>
  <r>
    <x v="0"/>
    <d v="2024-04-03T00:00:00"/>
    <x v="2"/>
    <x v="6"/>
    <x v="7"/>
    <s v="A"/>
    <x v="1"/>
    <x v="7"/>
    <d v="1899-12-30T01:02:00"/>
    <s v="01"/>
    <s v="02"/>
    <x v="1"/>
    <x v="1"/>
    <x v="8"/>
    <d v="1899-12-30T01:01:00"/>
    <x v="1"/>
    <x v="4"/>
    <n v="0"/>
  </r>
  <r>
    <x v="0"/>
    <d v="2024-04-03T00:00:00"/>
    <x v="2"/>
    <x v="7"/>
    <x v="8"/>
    <s v="A"/>
    <x v="1"/>
    <x v="8"/>
    <d v="1899-12-30T00:02:00"/>
    <s v="00"/>
    <s v="02"/>
    <x v="1"/>
    <x v="1"/>
    <x v="9"/>
    <d v="1899-12-30T00:01:00"/>
    <x v="2"/>
    <x v="0"/>
    <n v="1"/>
  </r>
  <r>
    <x v="0"/>
    <d v="2024-04-03T00:00:00"/>
    <x v="3"/>
    <x v="8"/>
    <x v="9"/>
    <s v="H"/>
    <x v="1"/>
    <x v="9"/>
    <d v="1899-12-30T03:00:00"/>
    <s v="03"/>
    <s v="00"/>
    <x v="0"/>
    <x v="1"/>
    <x v="10"/>
    <d v="1899-12-30T01:00:00"/>
    <x v="1"/>
    <x v="5"/>
    <n v="0"/>
  </r>
  <r>
    <x v="0"/>
    <d v="2024-05-04T00:00:00"/>
    <x v="2"/>
    <x v="9"/>
    <x v="10"/>
    <s v="H"/>
    <x v="1"/>
    <x v="10"/>
    <d v="1899-12-30T03:00:00"/>
    <s v="03"/>
    <s v="00"/>
    <x v="0"/>
    <x v="1"/>
    <x v="11"/>
    <d v="1899-12-30T03:00:00"/>
    <x v="2"/>
    <x v="5"/>
    <n v="0"/>
  </r>
  <r>
    <x v="0"/>
    <d v="2024-05-04T00:00:00"/>
    <x v="3"/>
    <x v="10"/>
    <x v="11"/>
    <s v="A"/>
    <x v="1"/>
    <x v="11"/>
    <d v="1899-12-30T00:02:00"/>
    <s v="00"/>
    <s v="02"/>
    <x v="1"/>
    <x v="1"/>
    <x v="12"/>
    <d v="1899-12-30T00:01:00"/>
    <x v="2"/>
    <x v="6"/>
    <n v="0"/>
  </r>
  <r>
    <x v="0"/>
    <d v="2024-05-04T00:00:00"/>
    <x v="2"/>
    <x v="11"/>
    <x v="12"/>
    <s v="H"/>
    <x v="1"/>
    <x v="8"/>
    <d v="1899-12-30T03:01:00"/>
    <s v="03"/>
    <s v="01"/>
    <x v="0"/>
    <x v="1"/>
    <x v="13"/>
    <d v="1899-12-30T01:00:00"/>
    <x v="2"/>
    <x v="7"/>
    <n v="0"/>
  </r>
  <r>
    <x v="0"/>
    <d v="2024-05-04T00:00:00"/>
    <x v="2"/>
    <x v="12"/>
    <x v="13"/>
    <s v="A"/>
    <x v="1"/>
    <x v="12"/>
    <d v="1899-12-30T02:04:00"/>
    <s v="02"/>
    <s v="04"/>
    <x v="1"/>
    <x v="1"/>
    <x v="14"/>
    <d v="1899-12-30T02:02:00"/>
    <x v="3"/>
    <x v="4"/>
    <n v="0"/>
  </r>
  <r>
    <x v="0"/>
    <d v="2024-05-04T00:00:00"/>
    <x v="2"/>
    <x v="12"/>
    <x v="13"/>
    <s v="A"/>
    <x v="1"/>
    <x v="12"/>
    <d v="1899-12-30T02:04:00"/>
    <s v="02"/>
    <s v="04"/>
    <x v="1"/>
    <x v="1"/>
    <x v="15"/>
    <d v="1899-12-30T02:03:00"/>
    <x v="5"/>
    <x v="4"/>
    <n v="0"/>
  </r>
  <r>
    <x v="0"/>
    <d v="2024-05-04T00:00:00"/>
    <x v="3"/>
    <x v="3"/>
    <x v="14"/>
    <s v="A"/>
    <x v="1"/>
    <x v="13"/>
    <d v="1899-12-30T00:02:00"/>
    <s v="00"/>
    <s v="02"/>
    <x v="1"/>
    <x v="1"/>
    <x v="15"/>
    <d v="1899-12-30T00:02:00"/>
    <x v="5"/>
    <x v="6"/>
    <n v="0"/>
  </r>
  <r>
    <x v="0"/>
    <d v="2024-05-04T00:00:00"/>
    <x v="3"/>
    <x v="13"/>
    <x v="15"/>
    <s v="A"/>
    <x v="1"/>
    <x v="10"/>
    <d v="1899-12-30T00:04:00"/>
    <s v="00"/>
    <s v="04"/>
    <x v="1"/>
    <x v="1"/>
    <x v="16"/>
    <d v="1899-12-30T00:02:00"/>
    <x v="3"/>
    <x v="8"/>
    <n v="0"/>
  </r>
  <r>
    <x v="0"/>
    <d v="2024-05-04T00:00:00"/>
    <x v="2"/>
    <x v="14"/>
    <x v="16"/>
    <s v="H"/>
    <x v="1"/>
    <x v="14"/>
    <d v="1899-12-30T01:00:00"/>
    <s v="01"/>
    <s v="00"/>
    <x v="0"/>
    <x v="1"/>
    <x v="17"/>
    <d v="1899-12-30T01:00:00"/>
    <x v="2"/>
    <x v="9"/>
    <n v="0"/>
  </r>
  <r>
    <x v="0"/>
    <d v="2024-05-04T00:00:00"/>
    <x v="3"/>
    <x v="15"/>
    <x v="17"/>
    <s v="A"/>
    <x v="1"/>
    <x v="15"/>
    <d v="1899-12-30T01:04:00"/>
    <s v="01"/>
    <s v="04"/>
    <x v="1"/>
    <x v="1"/>
    <x v="18"/>
    <d v="1899-12-30T01:04:00"/>
    <x v="2"/>
    <x v="8"/>
    <n v="0"/>
  </r>
  <r>
    <x v="1"/>
    <d v="2024-05-04T00:00:00"/>
    <x v="4"/>
    <x v="16"/>
    <x v="18"/>
    <s v="H"/>
    <x v="2"/>
    <x v="16"/>
    <d v="1899-12-30T02:00:00"/>
    <s v="02"/>
    <s v="00"/>
    <x v="0"/>
    <x v="2"/>
    <x v="19"/>
    <d v="1899-12-30T02:00:00"/>
    <x v="3"/>
    <x v="10"/>
    <n v="0"/>
  </r>
  <r>
    <x v="0"/>
    <d v="2024-06-05T00:00:00"/>
    <x v="5"/>
    <x v="17"/>
    <x v="19"/>
    <s v="H"/>
    <x v="1"/>
    <x v="17"/>
    <d v="1899-12-30T03:00:00"/>
    <s v="03"/>
    <s v="00"/>
    <x v="0"/>
    <x v="2"/>
    <x v="20"/>
    <d v="1899-12-30T03:00:00"/>
    <x v="2"/>
    <x v="6"/>
    <n v="0"/>
  </r>
  <r>
    <x v="0"/>
    <d v="2024-06-05T00:00:00"/>
    <x v="2"/>
    <x v="4"/>
    <x v="20"/>
    <s v="A"/>
    <x v="1"/>
    <x v="18"/>
    <d v="1899-12-30T04:01:00"/>
    <s v="04"/>
    <s v="01"/>
    <x v="0"/>
    <x v="2"/>
    <x v="21"/>
    <d v="1899-12-30T04:01:00"/>
    <x v="1"/>
    <x v="6"/>
    <n v="0"/>
  </r>
  <r>
    <x v="1"/>
    <d v="2024-06-05T00:00:00"/>
    <x v="6"/>
    <x v="18"/>
    <x v="21"/>
    <s v="H"/>
    <x v="2"/>
    <x v="19"/>
    <d v="1899-12-30T05:00:00"/>
    <s v="05"/>
    <s v="00"/>
    <x v="0"/>
    <x v="1"/>
    <x v="0"/>
    <d v="1899-12-30T03:00:00"/>
    <x v="3"/>
    <x v="0"/>
    <n v="1"/>
  </r>
  <r>
    <x v="1"/>
    <d v="2024-06-05T00:00:00"/>
    <x v="4"/>
    <x v="19"/>
    <x v="22"/>
    <s v="H"/>
    <x v="2"/>
    <x v="20"/>
    <d v="1899-12-30T04:01:00"/>
    <s v="04"/>
    <s v="01"/>
    <x v="0"/>
    <x v="1"/>
    <x v="22"/>
    <d v="1899-12-30T02:00:00"/>
    <x v="3"/>
    <x v="11"/>
    <n v="0"/>
  </r>
  <r>
    <x v="0"/>
    <d v="2024-06-05T00:00:00"/>
    <x v="7"/>
    <x v="20"/>
    <x v="23"/>
    <s v="H"/>
    <x v="1"/>
    <x v="21"/>
    <d v="1899-12-30T03:01:00"/>
    <s v="03"/>
    <s v="01"/>
    <x v="0"/>
    <x v="1"/>
    <x v="23"/>
    <d v="1899-12-30T01:01:00"/>
    <x v="6"/>
    <x v="0"/>
    <n v="1"/>
  </r>
  <r>
    <x v="0"/>
    <d v="2024-06-05T00:00:00"/>
    <x v="2"/>
    <x v="21"/>
    <x v="24"/>
    <s v="H"/>
    <x v="1"/>
    <x v="22"/>
    <d v="1899-12-30T04:01:00"/>
    <s v="04"/>
    <s v="01"/>
    <x v="0"/>
    <x v="1"/>
    <x v="24"/>
    <d v="1899-12-30T03:01:00"/>
    <x v="2"/>
    <x v="12"/>
    <n v="0"/>
  </r>
  <r>
    <x v="0"/>
    <d v="2024-06-05T00:00:00"/>
    <x v="2"/>
    <x v="21"/>
    <x v="24"/>
    <s v="H"/>
    <x v="1"/>
    <x v="22"/>
    <d v="1899-12-30T04:01:00"/>
    <s v="04"/>
    <s v="01"/>
    <x v="0"/>
    <x v="1"/>
    <x v="21"/>
    <d v="1899-12-30T04:01:00"/>
    <x v="3"/>
    <x v="8"/>
    <n v="0"/>
  </r>
  <r>
    <x v="1"/>
    <d v="2024-06-05T00:00:00"/>
    <x v="4"/>
    <x v="22"/>
    <x v="25"/>
    <s v="H"/>
    <x v="2"/>
    <x v="23"/>
    <d v="1899-12-30T02:01:00"/>
    <s v="02"/>
    <s v="01"/>
    <x v="0"/>
    <x v="1"/>
    <x v="25"/>
    <d v="1899-12-30T02:01:00"/>
    <x v="3"/>
    <x v="13"/>
    <n v="0"/>
  </r>
  <r>
    <x v="1"/>
    <d v="2024-06-05T00:00:00"/>
    <x v="4"/>
    <x v="21"/>
    <x v="26"/>
    <s v="H"/>
    <x v="2"/>
    <x v="24"/>
    <d v="1899-12-30T02:00:00"/>
    <s v="02"/>
    <s v="00"/>
    <x v="0"/>
    <x v="2"/>
    <x v="26"/>
    <d v="1899-12-30T02:00:00"/>
    <x v="3"/>
    <x v="10"/>
    <n v="0"/>
  </r>
  <r>
    <x v="1"/>
    <d v="2024-06-05T00:00:00"/>
    <x v="4"/>
    <x v="23"/>
    <x v="27"/>
    <s v="A"/>
    <x v="2"/>
    <x v="25"/>
    <d v="1899-12-30T00:03:00"/>
    <s v="00"/>
    <s v="03"/>
    <x v="1"/>
    <x v="2"/>
    <x v="27"/>
    <d v="1899-12-30T00:03:00"/>
    <x v="3"/>
    <x v="10"/>
    <n v="0"/>
  </r>
  <r>
    <x v="1"/>
    <d v="2024-06-05T00:00:00"/>
    <x v="4"/>
    <x v="23"/>
    <x v="27"/>
    <s v="A"/>
    <x v="2"/>
    <x v="25"/>
    <d v="1899-12-30T00:03:00"/>
    <s v="00"/>
    <s v="03"/>
    <x v="1"/>
    <x v="2"/>
    <x v="28"/>
    <d v="1899-12-30T00:02:00"/>
    <x v="2"/>
    <x v="14"/>
    <n v="0"/>
  </r>
  <r>
    <x v="1"/>
    <d v="2024-06-05T00:00:00"/>
    <x v="8"/>
    <x v="24"/>
    <x v="28"/>
    <s v="H"/>
    <x v="2"/>
    <x v="26"/>
    <d v="1899-12-30T02:01:00"/>
    <s v="02"/>
    <s v="01"/>
    <x v="0"/>
    <x v="2"/>
    <x v="29"/>
    <d v="1899-12-30T01:00:00"/>
    <x v="1"/>
    <x v="15"/>
    <n v="0"/>
  </r>
  <r>
    <x v="0"/>
    <d v="2024-06-05T00:00:00"/>
    <x v="2"/>
    <x v="12"/>
    <x v="29"/>
    <s v="H"/>
    <x v="1"/>
    <x v="14"/>
    <d v="1899-12-30T04:02:00"/>
    <s v="04"/>
    <s v="02"/>
    <x v="0"/>
    <x v="2"/>
    <x v="30"/>
    <d v="1899-12-30T02:00:00"/>
    <x v="4"/>
    <x v="0"/>
    <n v="1"/>
  </r>
  <r>
    <x v="0"/>
    <d v="2024-06-05T00:00:00"/>
    <x v="2"/>
    <x v="12"/>
    <x v="29"/>
    <s v="H"/>
    <x v="1"/>
    <x v="14"/>
    <d v="1899-12-30T04:02:00"/>
    <s v="04"/>
    <s v="02"/>
    <x v="0"/>
    <x v="2"/>
    <x v="11"/>
    <d v="1899-12-30T04:02:00"/>
    <x v="2"/>
    <x v="0"/>
    <n v="1"/>
  </r>
  <r>
    <x v="0"/>
    <d v="2024-06-05T00:00:00"/>
    <x v="2"/>
    <x v="25"/>
    <x v="30"/>
    <s v="A"/>
    <x v="1"/>
    <x v="4"/>
    <d v="1899-12-30T01:03:00"/>
    <s v="01"/>
    <s v="03"/>
    <x v="1"/>
    <x v="1"/>
    <x v="31"/>
    <d v="1899-12-30T00:02:00"/>
    <x v="3"/>
    <x v="0"/>
    <n v="1"/>
  </r>
  <r>
    <x v="0"/>
    <d v="2024-06-05T00:00:00"/>
    <x v="2"/>
    <x v="25"/>
    <x v="30"/>
    <s v="A"/>
    <x v="1"/>
    <x v="4"/>
    <d v="1899-12-30T01:03:00"/>
    <s v="01"/>
    <s v="03"/>
    <x v="1"/>
    <x v="1"/>
    <x v="32"/>
    <d v="1899-12-30T00:03:00"/>
    <x v="2"/>
    <x v="12"/>
    <n v="0"/>
  </r>
  <r>
    <x v="1"/>
    <d v="2024-06-05T00:00:00"/>
    <x v="4"/>
    <x v="11"/>
    <x v="31"/>
    <s v="H"/>
    <x v="2"/>
    <x v="27"/>
    <d v="1899-12-30T05:01:00"/>
    <s v="05"/>
    <s v="01"/>
    <x v="0"/>
    <x v="1"/>
    <x v="33"/>
    <d v="1899-12-30T05:01:00"/>
    <x v="3"/>
    <x v="0"/>
    <n v="1"/>
  </r>
  <r>
    <x v="0"/>
    <d v="2024-06-05T00:00:00"/>
    <x v="7"/>
    <x v="8"/>
    <x v="32"/>
    <s v="H"/>
    <x v="1"/>
    <x v="28"/>
    <d v="1899-12-30T04:00:00"/>
    <s v="04"/>
    <s v="00"/>
    <x v="0"/>
    <x v="1"/>
    <x v="34"/>
    <d v="1899-12-30T03:00:00"/>
    <x v="3"/>
    <x v="7"/>
    <n v="0"/>
  </r>
  <r>
    <x v="0"/>
    <d v="2024-06-05T00:00:00"/>
    <x v="2"/>
    <x v="26"/>
    <x v="33"/>
    <s v="A"/>
    <x v="1"/>
    <x v="28"/>
    <d v="1899-12-30T01:02:00"/>
    <s v="01"/>
    <s v="02"/>
    <x v="1"/>
    <x v="1"/>
    <x v="6"/>
    <d v="1899-12-30T01:01:00"/>
    <x v="2"/>
    <x v="8"/>
    <n v="0"/>
  </r>
  <r>
    <x v="0"/>
    <d v="2024-06-05T00:00:00"/>
    <x v="2"/>
    <x v="7"/>
    <x v="34"/>
    <s v="H"/>
    <x v="1"/>
    <x v="29"/>
    <d v="1899-12-30T04:00:00"/>
    <s v="04"/>
    <s v="00"/>
    <x v="0"/>
    <x v="1"/>
    <x v="35"/>
    <d v="1899-12-30T02:00:00"/>
    <x v="3"/>
    <x v="4"/>
    <n v="0"/>
  </r>
  <r>
    <x v="0"/>
    <d v="2024-07-06T00:00:00"/>
    <x v="2"/>
    <x v="27"/>
    <x v="35"/>
    <s v="H"/>
    <x v="1"/>
    <x v="14"/>
    <d v="1899-12-30T05:01:00"/>
    <s v="05"/>
    <s v="01"/>
    <x v="0"/>
    <x v="1"/>
    <x v="36"/>
    <d v="1899-12-30T04:00:00"/>
    <x v="3"/>
    <x v="12"/>
    <n v="0"/>
  </r>
  <r>
    <x v="1"/>
    <d v="2024-07-06T00:00:00"/>
    <x v="4"/>
    <x v="27"/>
    <x v="36"/>
    <s v="A"/>
    <x v="2"/>
    <x v="30"/>
    <d v="1899-12-30T02:03:00"/>
    <s v="02"/>
    <s v="03"/>
    <x v="1"/>
    <x v="0"/>
    <x v="34"/>
    <d v="1899-12-30T01:02:00"/>
    <x v="3"/>
    <x v="16"/>
    <n v="0"/>
  </r>
  <r>
    <x v="1"/>
    <d v="2024-07-06T00:00:00"/>
    <x v="4"/>
    <x v="28"/>
    <x v="37"/>
    <s v="H"/>
    <x v="2"/>
    <x v="31"/>
    <d v="1899-12-30T03:00:00"/>
    <s v="03"/>
    <s v="00"/>
    <x v="0"/>
    <x v="1"/>
    <x v="37"/>
    <d v="1899-12-30T03:00:00"/>
    <x v="3"/>
    <x v="11"/>
    <n v="0"/>
  </r>
  <r>
    <x v="0"/>
    <d v="2024-07-06T00:00:00"/>
    <x v="2"/>
    <x v="0"/>
    <x v="38"/>
    <s v="A"/>
    <x v="1"/>
    <x v="32"/>
    <d v="1899-12-30T01:01:00"/>
    <s v="01"/>
    <s v="01"/>
    <x v="2"/>
    <x v="2"/>
    <x v="38"/>
    <d v="1899-12-30T01:01:00"/>
    <x v="3"/>
    <x v="17"/>
    <n v="0"/>
  </r>
  <r>
    <x v="1"/>
    <d v="2024-07-06T00:00:00"/>
    <x v="6"/>
    <x v="18"/>
    <x v="39"/>
    <s v="A"/>
    <x v="2"/>
    <x v="33"/>
    <d v="1899-12-30T01:01:00"/>
    <s v="01"/>
    <s v="01"/>
    <x v="2"/>
    <x v="1"/>
    <x v="7"/>
    <d v="1899-12-30T01:01:00"/>
    <x v="3"/>
    <x v="18"/>
    <n v="0"/>
  </r>
  <r>
    <x v="1"/>
    <d v="2024-07-06T00:00:00"/>
    <x v="4"/>
    <x v="0"/>
    <x v="40"/>
    <s v="H"/>
    <x v="2"/>
    <x v="34"/>
    <d v="1899-12-30T03:01:00"/>
    <s v="03"/>
    <s v="01"/>
    <x v="0"/>
    <x v="1"/>
    <x v="5"/>
    <d v="1899-12-30T03:01:00"/>
    <x v="2"/>
    <x v="19"/>
    <n v="0"/>
  </r>
  <r>
    <x v="0"/>
    <d v="2024-07-06T00:00:00"/>
    <x v="2"/>
    <x v="29"/>
    <x v="41"/>
    <s v="A"/>
    <x v="1"/>
    <x v="22"/>
    <d v="1899-12-30T00:04:00"/>
    <s v="00"/>
    <s v="04"/>
    <x v="1"/>
    <x v="1"/>
    <x v="26"/>
    <d v="1899-12-30T00:03:00"/>
    <x v="2"/>
    <x v="7"/>
    <n v="0"/>
  </r>
  <r>
    <x v="0"/>
    <d v="2024-07-06T00:00:00"/>
    <x v="2"/>
    <x v="4"/>
    <x v="42"/>
    <s v="H"/>
    <x v="1"/>
    <x v="4"/>
    <d v="1899-12-30T03:00:00"/>
    <s v="03"/>
    <s v="00"/>
    <x v="0"/>
    <x v="1"/>
    <x v="39"/>
    <d v="1899-12-30T02:00:00"/>
    <x v="4"/>
    <x v="0"/>
    <n v="1"/>
  </r>
  <r>
    <x v="0"/>
    <d v="2024-07-06T00:00:00"/>
    <x v="2"/>
    <x v="30"/>
    <x v="43"/>
    <s v="H"/>
    <x v="1"/>
    <x v="13"/>
    <d v="1899-12-30T03:00:00"/>
    <s v="03"/>
    <s v="00"/>
    <x v="0"/>
    <x v="1"/>
    <x v="40"/>
    <d v="1899-12-30T01:00:00"/>
    <x v="4"/>
    <x v="0"/>
    <n v="1"/>
  </r>
  <r>
    <x v="0"/>
    <d v="2024-07-06T00:00:00"/>
    <x v="2"/>
    <x v="31"/>
    <x v="44"/>
    <s v="H"/>
    <x v="1"/>
    <x v="5"/>
    <d v="1899-12-30T03:01:00"/>
    <s v="03"/>
    <s v="01"/>
    <x v="0"/>
    <x v="1"/>
    <x v="33"/>
    <d v="1899-12-30T03:01:00"/>
    <x v="4"/>
    <x v="0"/>
    <n v="1"/>
  </r>
  <r>
    <x v="0"/>
    <d v="2024-07-06T00:00:00"/>
    <x v="2"/>
    <x v="22"/>
    <x v="45"/>
    <s v="A"/>
    <x v="1"/>
    <x v="8"/>
    <d v="1899-12-30T00:03:00"/>
    <s v="00"/>
    <s v="03"/>
    <x v="1"/>
    <x v="1"/>
    <x v="41"/>
    <d v="1899-12-30T00:03:00"/>
    <x v="4"/>
    <x v="5"/>
    <n v="0"/>
  </r>
  <r>
    <x v="0"/>
    <d v="2024-07-06T00:00:00"/>
    <x v="2"/>
    <x v="22"/>
    <x v="45"/>
    <s v="A"/>
    <x v="1"/>
    <x v="8"/>
    <d v="1899-12-30T00:03:00"/>
    <s v="00"/>
    <s v="03"/>
    <x v="1"/>
    <x v="1"/>
    <x v="15"/>
    <d v="1899-12-30T00:01:00"/>
    <x v="4"/>
    <x v="0"/>
    <n v="1"/>
  </r>
  <r>
    <x v="0"/>
    <d v="2024-07-06T00:00:00"/>
    <x v="2"/>
    <x v="21"/>
    <x v="46"/>
    <s v="H"/>
    <x v="1"/>
    <x v="28"/>
    <d v="1899-12-30T03:01:00"/>
    <s v="03"/>
    <s v="01"/>
    <x v="0"/>
    <x v="1"/>
    <x v="25"/>
    <d v="1899-12-30T02:00:00"/>
    <x v="7"/>
    <x v="20"/>
    <n v="0"/>
  </r>
  <r>
    <x v="0"/>
    <d v="2024-07-06T00:00:00"/>
    <x v="2"/>
    <x v="21"/>
    <x v="46"/>
    <s v="H"/>
    <x v="1"/>
    <x v="28"/>
    <d v="1899-12-30T03:01:00"/>
    <s v="03"/>
    <s v="01"/>
    <x v="0"/>
    <x v="1"/>
    <x v="42"/>
    <d v="1899-12-30T01:00:00"/>
    <x v="7"/>
    <x v="6"/>
    <n v="0"/>
  </r>
  <r>
    <x v="0"/>
    <d v="2024-07-06T00:00:00"/>
    <x v="2"/>
    <x v="23"/>
    <x v="47"/>
    <s v="H"/>
    <x v="1"/>
    <x v="32"/>
    <d v="1899-12-30T03:02:00"/>
    <s v="03"/>
    <s v="02"/>
    <x v="0"/>
    <x v="1"/>
    <x v="15"/>
    <d v="1899-12-30T02:01:00"/>
    <x v="7"/>
    <x v="21"/>
    <n v="0"/>
  </r>
  <r>
    <x v="0"/>
    <d v="2024-07-06T00:00:00"/>
    <x v="2"/>
    <x v="23"/>
    <x v="47"/>
    <s v="H"/>
    <x v="1"/>
    <x v="32"/>
    <d v="1899-12-30T03:02:00"/>
    <s v="03"/>
    <s v="02"/>
    <x v="0"/>
    <x v="1"/>
    <x v="43"/>
    <d v="1899-12-30T03:01:00"/>
    <x v="7"/>
    <x v="4"/>
    <n v="0"/>
  </r>
  <r>
    <x v="0"/>
    <d v="2024-07-06T00:00:00"/>
    <x v="2"/>
    <x v="32"/>
    <x v="48"/>
    <s v="H"/>
    <x v="1"/>
    <x v="8"/>
    <d v="1899-12-30T03:01:00"/>
    <s v="03"/>
    <s v="01"/>
    <x v="0"/>
    <x v="1"/>
    <x v="0"/>
    <d v="1899-12-30T03:00:00"/>
    <x v="1"/>
    <x v="22"/>
    <n v="0"/>
  </r>
  <r>
    <x v="0"/>
    <d v="2024-07-06T00:00:00"/>
    <x v="2"/>
    <x v="12"/>
    <x v="49"/>
    <s v="H"/>
    <x v="1"/>
    <x v="35"/>
    <d v="1899-12-30T04:00:00"/>
    <s v="04"/>
    <s v="00"/>
    <x v="0"/>
    <x v="1"/>
    <x v="23"/>
    <d v="1899-12-30T01:00:00"/>
    <x v="6"/>
    <x v="0"/>
    <n v="1"/>
  </r>
  <r>
    <x v="0"/>
    <d v="2024-07-06T00:00:00"/>
    <x v="2"/>
    <x v="25"/>
    <x v="50"/>
    <s v="A"/>
    <x v="1"/>
    <x v="6"/>
    <d v="1899-12-30T00:04:00"/>
    <s v="00"/>
    <s v="04"/>
    <x v="1"/>
    <x v="1"/>
    <x v="32"/>
    <d v="1899-12-30T00:01:00"/>
    <x v="6"/>
    <x v="0"/>
    <n v="1"/>
  </r>
  <r>
    <x v="0"/>
    <d v="2024-07-06T00:00:00"/>
    <x v="2"/>
    <x v="26"/>
    <x v="51"/>
    <s v="A"/>
    <x v="1"/>
    <x v="14"/>
    <d v="1899-12-30T01:02:00"/>
    <s v="01"/>
    <s v="02"/>
    <x v="1"/>
    <x v="1"/>
    <x v="2"/>
    <d v="1899-12-30T01:02:00"/>
    <x v="0"/>
    <x v="0"/>
    <n v="1"/>
  </r>
  <r>
    <x v="0"/>
    <d v="2024-07-06T00:00:00"/>
    <x v="3"/>
    <x v="13"/>
    <x v="52"/>
    <s v="A"/>
    <x v="1"/>
    <x v="18"/>
    <d v="1899-12-30T02:02:00"/>
    <s v="02"/>
    <s v="02"/>
    <x v="2"/>
    <x v="1"/>
    <x v="24"/>
    <d v="1899-12-30T02:02:00"/>
    <x v="6"/>
    <x v="0"/>
    <n v="1"/>
  </r>
  <r>
    <x v="1"/>
    <d v="2024-07-06T00:00:00"/>
    <x v="4"/>
    <x v="25"/>
    <x v="52"/>
    <s v="H"/>
    <x v="2"/>
    <x v="36"/>
    <d v="1899-12-30T03:03:00"/>
    <s v="03"/>
    <s v="03"/>
    <x v="2"/>
    <x v="1"/>
    <x v="44"/>
    <d v="1899-12-30T02:02:00"/>
    <x v="3"/>
    <x v="0"/>
    <n v="1"/>
  </r>
  <r>
    <x v="1"/>
    <d v="2024-07-06T00:00:00"/>
    <x v="4"/>
    <x v="25"/>
    <x v="52"/>
    <s v="H"/>
    <x v="2"/>
    <x v="36"/>
    <d v="1899-12-30T03:03:00"/>
    <s v="03"/>
    <s v="03"/>
    <x v="2"/>
    <x v="1"/>
    <x v="19"/>
    <d v="1899-12-30T03:03:00"/>
    <x v="3"/>
    <x v="10"/>
    <n v="0"/>
  </r>
  <r>
    <x v="1"/>
    <d v="2024-07-06T00:00:00"/>
    <x v="4"/>
    <x v="25"/>
    <x v="52"/>
    <s v="H"/>
    <x v="2"/>
    <x v="36"/>
    <d v="1899-12-30T03:03:00"/>
    <s v="03"/>
    <s v="03"/>
    <x v="2"/>
    <x v="1"/>
    <x v="45"/>
    <d v="1899-12-30T01:01:00"/>
    <x v="3"/>
    <x v="11"/>
    <n v="0"/>
  </r>
  <r>
    <x v="1"/>
    <d v="2024-07-06T00:00:00"/>
    <x v="4"/>
    <x v="33"/>
    <x v="53"/>
    <s v="A"/>
    <x v="2"/>
    <x v="37"/>
    <d v="1899-12-30T00:04:00"/>
    <s v="00"/>
    <s v="04"/>
    <x v="1"/>
    <x v="1"/>
    <x v="46"/>
    <d v="1899-12-30T00:04:00"/>
    <x v="3"/>
    <x v="0"/>
    <n v="1"/>
  </r>
  <r>
    <x v="0"/>
    <d v="2024-07-06T00:00:00"/>
    <x v="3"/>
    <x v="34"/>
    <x v="54"/>
    <s v="H"/>
    <x v="1"/>
    <x v="18"/>
    <d v="1899-12-30T01:00:00"/>
    <s v="01"/>
    <s v="00"/>
    <x v="0"/>
    <x v="1"/>
    <x v="18"/>
    <d v="1899-12-30T01:00:00"/>
    <x v="6"/>
    <x v="0"/>
    <n v="1"/>
  </r>
  <r>
    <x v="1"/>
    <d v="2024-07-06T00:00:00"/>
    <x v="4"/>
    <x v="26"/>
    <x v="55"/>
    <s v="H"/>
    <x v="2"/>
    <x v="38"/>
    <d v="1899-12-30T02:01:00"/>
    <s v="02"/>
    <s v="01"/>
    <x v="0"/>
    <x v="1"/>
    <x v="32"/>
    <d v="1899-12-30T01:00:00"/>
    <x v="3"/>
    <x v="10"/>
    <n v="0"/>
  </r>
  <r>
    <x v="0"/>
    <d v="2024-07-06T00:00:00"/>
    <x v="6"/>
    <x v="24"/>
    <x v="56"/>
    <s v="H"/>
    <x v="1"/>
    <x v="39"/>
    <d v="1899-12-30T07:01:00"/>
    <s v="07"/>
    <s v="01"/>
    <x v="0"/>
    <x v="1"/>
    <x v="47"/>
    <d v="1899-12-30T05:00:00"/>
    <x v="2"/>
    <x v="4"/>
    <n v="0"/>
  </r>
  <r>
    <x v="0"/>
    <d v="2024-07-06T00:00:00"/>
    <x v="6"/>
    <x v="24"/>
    <x v="56"/>
    <s v="H"/>
    <x v="1"/>
    <x v="39"/>
    <d v="1899-12-30T07:01:00"/>
    <s v="07"/>
    <s v="01"/>
    <x v="0"/>
    <x v="1"/>
    <x v="10"/>
    <d v="1899-12-30T04:00:00"/>
    <x v="2"/>
    <x v="4"/>
    <n v="0"/>
  </r>
  <r>
    <x v="0"/>
    <d v="2024-07-06T00:00:00"/>
    <x v="3"/>
    <x v="15"/>
    <x v="57"/>
    <s v="A"/>
    <x v="1"/>
    <x v="35"/>
    <d v="1899-12-30T01:04:00"/>
    <s v="01"/>
    <s v="04"/>
    <x v="1"/>
    <x v="1"/>
    <x v="44"/>
    <d v="1899-12-30T01:02:00"/>
    <x v="2"/>
    <x v="12"/>
    <n v="0"/>
  </r>
  <r>
    <x v="1"/>
    <d v="2024-07-06T00:00:00"/>
    <x v="8"/>
    <x v="15"/>
    <x v="58"/>
    <s v="H"/>
    <x v="2"/>
    <x v="40"/>
    <d v="1899-12-30T05:02:00"/>
    <s v="05"/>
    <s v="02"/>
    <x v="0"/>
    <x v="1"/>
    <x v="32"/>
    <d v="1899-12-30T03:00:00"/>
    <x v="3"/>
    <x v="18"/>
    <n v="0"/>
  </r>
  <r>
    <x v="1"/>
    <d v="2024-07-06T00:00:00"/>
    <x v="8"/>
    <x v="15"/>
    <x v="58"/>
    <s v="H"/>
    <x v="2"/>
    <x v="40"/>
    <d v="1899-12-30T05:02:00"/>
    <s v="05"/>
    <s v="02"/>
    <x v="0"/>
    <x v="1"/>
    <x v="48"/>
    <d v="1899-12-30T02:00:00"/>
    <x v="0"/>
    <x v="19"/>
    <n v="0"/>
  </r>
  <r>
    <x v="0"/>
    <d v="2024-07-06T00:00:00"/>
    <x v="6"/>
    <x v="15"/>
    <x v="59"/>
    <s v="H"/>
    <x v="1"/>
    <x v="41"/>
    <d v="1899-12-30T03:02:00"/>
    <s v="03"/>
    <s v="02"/>
    <x v="0"/>
    <x v="1"/>
    <x v="49"/>
    <d v="1899-12-30T01:00:00"/>
    <x v="1"/>
    <x v="4"/>
    <n v="0"/>
  </r>
  <r>
    <x v="0"/>
    <d v="2024-07-06T00:00:00"/>
    <x v="2"/>
    <x v="35"/>
    <x v="60"/>
    <s v="A"/>
    <x v="1"/>
    <x v="5"/>
    <d v="1899-12-30T00:01:00"/>
    <s v="00"/>
    <s v="01"/>
    <x v="1"/>
    <x v="1"/>
    <x v="0"/>
    <d v="1899-12-30T00:01:00"/>
    <x v="6"/>
    <x v="0"/>
    <n v="1"/>
  </r>
  <r>
    <x v="1"/>
    <d v="2024-07-06T00:00:00"/>
    <x v="4"/>
    <x v="36"/>
    <x v="61"/>
    <s v="A"/>
    <x v="2"/>
    <x v="42"/>
    <d v="1899-12-30T00:06:00"/>
    <s v="00"/>
    <s v="06"/>
    <x v="1"/>
    <x v="1"/>
    <x v="40"/>
    <d v="1899-12-30T00:01:00"/>
    <x v="3"/>
    <x v="11"/>
    <n v="0"/>
  </r>
  <r>
    <x v="1"/>
    <d v="2024-07-06T00:00:00"/>
    <x v="4"/>
    <x v="36"/>
    <x v="61"/>
    <s v="A"/>
    <x v="2"/>
    <x v="42"/>
    <d v="1899-12-30T00:06:00"/>
    <s v="00"/>
    <s v="06"/>
    <x v="1"/>
    <x v="1"/>
    <x v="5"/>
    <d v="1899-12-30T00:05:00"/>
    <x v="3"/>
    <x v="23"/>
    <n v="0"/>
  </r>
  <r>
    <x v="1"/>
    <d v="2024-07-06T00:00:00"/>
    <x v="4"/>
    <x v="35"/>
    <x v="62"/>
    <s v="H"/>
    <x v="2"/>
    <x v="43"/>
    <d v="1899-12-30T02:02:00"/>
    <s v="02"/>
    <s v="02"/>
    <x v="2"/>
    <x v="1"/>
    <x v="50"/>
    <d v="1899-12-30T02:01:00"/>
    <x v="2"/>
    <x v="18"/>
    <n v="0"/>
  </r>
  <r>
    <x v="1"/>
    <d v="2024-07-06T00:00:00"/>
    <x v="4"/>
    <x v="35"/>
    <x v="62"/>
    <s v="H"/>
    <x v="2"/>
    <x v="43"/>
    <d v="1899-12-30T02:02:00"/>
    <s v="02"/>
    <s v="02"/>
    <x v="2"/>
    <x v="1"/>
    <x v="51"/>
    <d v="1899-12-30T01:01:00"/>
    <x v="2"/>
    <x v="24"/>
    <n v="0"/>
  </r>
  <r>
    <x v="1"/>
    <d v="2024-07-06T00:00:00"/>
    <x v="4"/>
    <x v="7"/>
    <x v="63"/>
    <s v="A"/>
    <x v="2"/>
    <x v="44"/>
    <d v="1899-12-30T01:05:00"/>
    <s v="01"/>
    <s v="05"/>
    <x v="1"/>
    <x v="1"/>
    <x v="22"/>
    <d v="1899-12-30T00:04:00"/>
    <x v="3"/>
    <x v="18"/>
    <n v="0"/>
  </r>
  <r>
    <x v="1"/>
    <d v="2024-07-06T00:00:00"/>
    <x v="4"/>
    <x v="7"/>
    <x v="63"/>
    <s v="A"/>
    <x v="2"/>
    <x v="44"/>
    <d v="1899-12-30T01:05:00"/>
    <s v="01"/>
    <s v="05"/>
    <x v="1"/>
    <x v="1"/>
    <x v="0"/>
    <d v="1899-12-30T00:02:00"/>
    <x v="3"/>
    <x v="18"/>
    <n v="0"/>
  </r>
  <r>
    <x v="0"/>
    <d v="2024-08-07T00:00:00"/>
    <x v="6"/>
    <x v="18"/>
    <x v="64"/>
    <s v="A"/>
    <x v="1"/>
    <x v="45"/>
    <d v="1899-12-30T00:01:00"/>
    <s v="00"/>
    <s v="01"/>
    <x v="1"/>
    <x v="1"/>
    <x v="52"/>
    <d v="1899-12-30T00:01:00"/>
    <x v="1"/>
    <x v="25"/>
    <n v="0"/>
  </r>
  <r>
    <x v="1"/>
    <d v="2024-08-07T00:00:00"/>
    <x v="6"/>
    <x v="18"/>
    <x v="64"/>
    <s v="H"/>
    <x v="2"/>
    <x v="46"/>
    <d v="1899-12-30T03:00:00"/>
    <s v="03"/>
    <s v="00"/>
    <x v="0"/>
    <x v="1"/>
    <x v="26"/>
    <d v="1899-12-30T02:00:00"/>
    <x v="3"/>
    <x v="16"/>
    <n v="0"/>
  </r>
  <r>
    <x v="1"/>
    <d v="2024-08-07T00:00:00"/>
    <x v="4"/>
    <x v="37"/>
    <x v="65"/>
    <s v="H"/>
    <x v="2"/>
    <x v="34"/>
    <d v="1899-12-30T02:01:00"/>
    <s v="02"/>
    <s v="01"/>
    <x v="0"/>
    <x v="1"/>
    <x v="53"/>
    <d v="1899-12-30T01:00:00"/>
    <x v="3"/>
    <x v="26"/>
    <n v="0"/>
  </r>
  <r>
    <x v="1"/>
    <d v="2024-08-07T00:00:00"/>
    <x v="4"/>
    <x v="37"/>
    <x v="65"/>
    <s v="H"/>
    <x v="2"/>
    <x v="34"/>
    <d v="1899-12-30T02:01:00"/>
    <s v="02"/>
    <s v="01"/>
    <x v="0"/>
    <x v="1"/>
    <x v="54"/>
    <d v="1899-12-30T02:00:00"/>
    <x v="6"/>
    <x v="0"/>
    <n v="1"/>
  </r>
  <r>
    <x v="1"/>
    <d v="2024-08-07T00:00:00"/>
    <x v="4"/>
    <x v="38"/>
    <x v="66"/>
    <s v="H"/>
    <x v="2"/>
    <x v="26"/>
    <d v="1899-12-30T04:01:00"/>
    <s v="04"/>
    <s v="01"/>
    <x v="0"/>
    <x v="1"/>
    <x v="39"/>
    <d v="1899-12-30T02:01:00"/>
    <x v="3"/>
    <x v="18"/>
    <n v="0"/>
  </r>
  <r>
    <x v="1"/>
    <d v="2024-08-07T00:00:00"/>
    <x v="4"/>
    <x v="38"/>
    <x v="66"/>
    <s v="H"/>
    <x v="2"/>
    <x v="26"/>
    <d v="1899-12-30T04:01:00"/>
    <s v="04"/>
    <s v="01"/>
    <x v="0"/>
    <x v="1"/>
    <x v="49"/>
    <d v="1899-12-30T01:00:00"/>
    <x v="3"/>
    <x v="26"/>
    <n v="0"/>
  </r>
  <r>
    <x v="0"/>
    <d v="2024-08-07T00:00:00"/>
    <x v="2"/>
    <x v="1"/>
    <x v="67"/>
    <s v="A"/>
    <x v="1"/>
    <x v="7"/>
    <d v="1899-12-30T00:01:00"/>
    <s v="00"/>
    <s v="01"/>
    <x v="1"/>
    <x v="1"/>
    <x v="22"/>
    <d v="1899-12-30T00:01:00"/>
    <x v="3"/>
    <x v="0"/>
    <n v="1"/>
  </r>
  <r>
    <x v="1"/>
    <d v="2024-08-07T00:00:00"/>
    <x v="4"/>
    <x v="0"/>
    <x v="67"/>
    <s v="A"/>
    <x v="2"/>
    <x v="47"/>
    <d v="1899-12-30T01:04:00"/>
    <s v="01"/>
    <s v="04"/>
    <x v="1"/>
    <x v="1"/>
    <x v="25"/>
    <d v="1899-12-30T00:04:00"/>
    <x v="3"/>
    <x v="18"/>
    <n v="0"/>
  </r>
  <r>
    <x v="1"/>
    <d v="2024-08-07T00:00:00"/>
    <x v="6"/>
    <x v="18"/>
    <x v="68"/>
    <s v="A"/>
    <x v="2"/>
    <x v="48"/>
    <d v="1899-12-30T00:02:00"/>
    <s v="00"/>
    <s v="02"/>
    <x v="1"/>
    <x v="1"/>
    <x v="55"/>
    <d v="1899-12-30T00:02:00"/>
    <x v="8"/>
    <x v="26"/>
    <n v="0"/>
  </r>
  <r>
    <x v="0"/>
    <d v="2024-08-07T00:00:00"/>
    <x v="2"/>
    <x v="39"/>
    <x v="69"/>
    <s v="H"/>
    <x v="1"/>
    <x v="28"/>
    <d v="1899-12-30T04:00:00"/>
    <s v="04"/>
    <s v="00"/>
    <x v="0"/>
    <x v="1"/>
    <x v="18"/>
    <d v="1899-12-30T03:00:00"/>
    <x v="2"/>
    <x v="12"/>
    <n v="0"/>
  </r>
  <r>
    <x v="0"/>
    <d v="2024-08-07T00:00:00"/>
    <x v="2"/>
    <x v="39"/>
    <x v="69"/>
    <s v="H"/>
    <x v="1"/>
    <x v="28"/>
    <d v="1899-12-30T04:00:00"/>
    <s v="04"/>
    <s v="00"/>
    <x v="0"/>
    <x v="1"/>
    <x v="34"/>
    <d v="1899-12-30T02:00:00"/>
    <x v="1"/>
    <x v="4"/>
    <n v="0"/>
  </r>
  <r>
    <x v="1"/>
    <d v="2024-08-07T00:00:00"/>
    <x v="4"/>
    <x v="40"/>
    <x v="70"/>
    <s v="H"/>
    <x v="2"/>
    <x v="42"/>
    <d v="1899-12-30T03:00:00"/>
    <s v="03"/>
    <s v="00"/>
    <x v="0"/>
    <x v="1"/>
    <x v="36"/>
    <d v="1899-12-30T02:00:00"/>
    <x v="3"/>
    <x v="10"/>
    <n v="0"/>
  </r>
  <r>
    <x v="0"/>
    <d v="2024-08-07T00:00:00"/>
    <x v="6"/>
    <x v="18"/>
    <x v="71"/>
    <s v="A"/>
    <x v="1"/>
    <x v="49"/>
    <d v="1899-12-30T02:04:00"/>
    <s v="02"/>
    <s v="04"/>
    <x v="1"/>
    <x v="1"/>
    <x v="56"/>
    <d v="1899-12-30T01:03:00"/>
    <x v="6"/>
    <x v="0"/>
    <n v="1"/>
  </r>
  <r>
    <x v="0"/>
    <d v="2024-08-07T00:00:00"/>
    <x v="6"/>
    <x v="18"/>
    <x v="71"/>
    <s v="A"/>
    <x v="1"/>
    <x v="49"/>
    <d v="1899-12-30T02:04:00"/>
    <s v="02"/>
    <s v="04"/>
    <x v="1"/>
    <x v="1"/>
    <x v="24"/>
    <d v="1899-12-30T01:04:00"/>
    <x v="1"/>
    <x v="4"/>
    <n v="0"/>
  </r>
  <r>
    <x v="1"/>
    <d v="2024-08-07T00:00:00"/>
    <x v="4"/>
    <x v="39"/>
    <x v="72"/>
    <s v="H"/>
    <x v="2"/>
    <x v="50"/>
    <d v="1899-12-30T02:00:00"/>
    <s v="02"/>
    <s v="00"/>
    <x v="0"/>
    <x v="1"/>
    <x v="5"/>
    <d v="1899-12-30T02:00:00"/>
    <x v="6"/>
    <x v="0"/>
    <n v="1"/>
  </r>
  <r>
    <x v="0"/>
    <d v="2024-08-07T00:00:00"/>
    <x v="2"/>
    <x v="41"/>
    <x v="73"/>
    <s v="A"/>
    <x v="1"/>
    <x v="12"/>
    <d v="1899-12-30T02:02:00"/>
    <s v="02"/>
    <s v="02"/>
    <x v="2"/>
    <x v="1"/>
    <x v="26"/>
    <d v="1899-12-30T01:02:00"/>
    <x v="6"/>
    <x v="27"/>
    <n v="0"/>
  </r>
  <r>
    <x v="1"/>
    <d v="2024-08-07T00:00:00"/>
    <x v="6"/>
    <x v="18"/>
    <x v="74"/>
    <s v="H"/>
    <x v="2"/>
    <x v="51"/>
    <d v="1899-12-30T02:00:00"/>
    <s v="02"/>
    <s v="00"/>
    <x v="0"/>
    <x v="1"/>
    <x v="56"/>
    <d v="1899-12-30T02:00:00"/>
    <x v="3"/>
    <x v="10"/>
    <n v="0"/>
  </r>
  <r>
    <x v="0"/>
    <d v="2024-08-07T00:00:00"/>
    <x v="6"/>
    <x v="18"/>
    <x v="74"/>
    <s v="H"/>
    <x v="1"/>
    <x v="49"/>
    <d v="1899-12-30T04:00:00"/>
    <s v="04"/>
    <s v="00"/>
    <x v="0"/>
    <x v="1"/>
    <x v="2"/>
    <d v="1899-12-30T04:00:00"/>
    <x v="2"/>
    <x v="27"/>
    <n v="0"/>
  </r>
  <r>
    <x v="0"/>
    <d v="2024-08-07T00:00:00"/>
    <x v="2"/>
    <x v="19"/>
    <x v="75"/>
    <s v="H"/>
    <x v="1"/>
    <x v="52"/>
    <d v="1899-12-30T02:00:00"/>
    <s v="02"/>
    <s v="00"/>
    <x v="0"/>
    <x v="1"/>
    <x v="0"/>
    <d v="1899-12-30T01:00:00"/>
    <x v="1"/>
    <x v="4"/>
    <n v="0"/>
  </r>
  <r>
    <x v="0"/>
    <d v="2024-08-07T00:00:00"/>
    <x v="2"/>
    <x v="19"/>
    <x v="75"/>
    <s v="H"/>
    <x v="1"/>
    <x v="52"/>
    <d v="1899-12-30T02:00:00"/>
    <s v="02"/>
    <s v="00"/>
    <x v="0"/>
    <x v="1"/>
    <x v="57"/>
    <d v="1899-12-30T02:00:00"/>
    <x v="2"/>
    <x v="28"/>
    <n v="0"/>
  </r>
  <r>
    <x v="1"/>
    <d v="2024-08-07T00:00:00"/>
    <x v="4"/>
    <x v="19"/>
    <x v="76"/>
    <s v="H"/>
    <x v="2"/>
    <x v="37"/>
    <d v="1899-12-30T03:00:00"/>
    <s v="03"/>
    <s v="00"/>
    <x v="0"/>
    <x v="1"/>
    <x v="58"/>
    <d v="1899-12-30T03:00:00"/>
    <x v="6"/>
    <x v="0"/>
    <n v="1"/>
  </r>
  <r>
    <x v="1"/>
    <d v="2024-08-07T00:00:00"/>
    <x v="6"/>
    <x v="18"/>
    <x v="77"/>
    <s v="A"/>
    <x v="2"/>
    <x v="46"/>
    <d v="1899-12-30T02:02:00"/>
    <s v="02"/>
    <s v="02"/>
    <x v="2"/>
    <x v="1"/>
    <x v="15"/>
    <d v="1899-12-30T01:02:00"/>
    <x v="6"/>
    <x v="0"/>
    <n v="1"/>
  </r>
  <r>
    <x v="0"/>
    <d v="2024-08-07T00:00:00"/>
    <x v="6"/>
    <x v="18"/>
    <x v="77"/>
    <s v="H"/>
    <x v="1"/>
    <x v="45"/>
    <d v="1899-12-30T02:01:00"/>
    <s v="02"/>
    <s v="01"/>
    <x v="0"/>
    <x v="1"/>
    <x v="59"/>
    <d v="1899-12-30T02:01:00"/>
    <x v="4"/>
    <x v="0"/>
    <n v="1"/>
  </r>
  <r>
    <x v="0"/>
    <d v="2024-08-07T00:00:00"/>
    <x v="2"/>
    <x v="30"/>
    <x v="78"/>
    <s v="H"/>
    <x v="1"/>
    <x v="14"/>
    <d v="1899-12-30T02:00:00"/>
    <s v="02"/>
    <s v="00"/>
    <x v="0"/>
    <x v="1"/>
    <x v="15"/>
    <d v="1899-12-30T02:00:00"/>
    <x v="1"/>
    <x v="17"/>
    <n v="0"/>
  </r>
  <r>
    <x v="0"/>
    <d v="2024-08-07T00:00:00"/>
    <x v="2"/>
    <x v="30"/>
    <x v="78"/>
    <s v="H"/>
    <x v="1"/>
    <x v="14"/>
    <d v="1899-12-30T02:00:00"/>
    <s v="02"/>
    <s v="00"/>
    <x v="0"/>
    <x v="1"/>
    <x v="39"/>
    <d v="1899-12-30T01:00:00"/>
    <x v="2"/>
    <x v="29"/>
    <n v="0"/>
  </r>
  <r>
    <x v="0"/>
    <d v="2024-08-07T00:00:00"/>
    <x v="2"/>
    <x v="9"/>
    <x v="79"/>
    <s v="H"/>
    <x v="1"/>
    <x v="53"/>
    <d v="1899-12-30T04:01:00"/>
    <s v="04"/>
    <s v="01"/>
    <x v="0"/>
    <x v="1"/>
    <x v="21"/>
    <d v="1899-12-30T04:01:00"/>
    <x v="6"/>
    <x v="0"/>
    <n v="1"/>
  </r>
  <r>
    <x v="0"/>
    <d v="2024-08-07T00:00:00"/>
    <x v="2"/>
    <x v="42"/>
    <x v="80"/>
    <s v="H"/>
    <x v="1"/>
    <x v="13"/>
    <d v="1899-12-30T02:01:00"/>
    <s v="02"/>
    <s v="01"/>
    <x v="0"/>
    <x v="1"/>
    <x v="11"/>
    <d v="1899-12-30T02:01:00"/>
    <x v="6"/>
    <x v="0"/>
    <n v="1"/>
  </r>
  <r>
    <x v="0"/>
    <d v="2024-08-07T00:00:00"/>
    <x v="2"/>
    <x v="42"/>
    <x v="80"/>
    <s v="H"/>
    <x v="1"/>
    <x v="13"/>
    <d v="1899-12-30T02:01:00"/>
    <s v="02"/>
    <s v="01"/>
    <x v="0"/>
    <x v="1"/>
    <x v="60"/>
    <d v="1899-12-30T01:00:00"/>
    <x v="3"/>
    <x v="28"/>
    <n v="0"/>
  </r>
  <r>
    <x v="0"/>
    <d v="2024-08-07T00:00:00"/>
    <x v="2"/>
    <x v="22"/>
    <x v="81"/>
    <s v="A"/>
    <x v="1"/>
    <x v="54"/>
    <d v="1899-12-30T00:04:00"/>
    <s v="00"/>
    <s v="04"/>
    <x v="1"/>
    <x v="1"/>
    <x v="32"/>
    <d v="1899-12-30T00:03:00"/>
    <x v="4"/>
    <x v="0"/>
    <n v="1"/>
  </r>
  <r>
    <x v="0"/>
    <d v="2024-08-07T00:00:00"/>
    <x v="2"/>
    <x v="21"/>
    <x v="82"/>
    <s v="A"/>
    <x v="1"/>
    <x v="55"/>
    <d v="1899-12-30T02:01:00"/>
    <s v="02"/>
    <s v="01"/>
    <x v="0"/>
    <x v="1"/>
    <x v="30"/>
    <d v="1899-12-30T00:01:00"/>
    <x v="1"/>
    <x v="4"/>
    <n v="0"/>
  </r>
  <r>
    <x v="0"/>
    <d v="2024-08-07T00:00:00"/>
    <x v="3"/>
    <x v="10"/>
    <x v="83"/>
    <s v="A"/>
    <x v="1"/>
    <x v="8"/>
    <d v="1899-12-30T00:02:00"/>
    <s v="00"/>
    <s v="02"/>
    <x v="1"/>
    <x v="1"/>
    <x v="58"/>
    <d v="1899-12-30T00:01:00"/>
    <x v="3"/>
    <x v="4"/>
    <n v="0"/>
  </r>
  <r>
    <x v="0"/>
    <d v="2024-08-07T00:00:00"/>
    <x v="2"/>
    <x v="43"/>
    <x v="84"/>
    <s v="H"/>
    <x v="1"/>
    <x v="15"/>
    <d v="1899-12-30T06:00:00"/>
    <s v="06"/>
    <s v="00"/>
    <x v="0"/>
    <x v="1"/>
    <x v="61"/>
    <d v="1899-12-30T01:00:00"/>
    <x v="4"/>
    <x v="0"/>
    <n v="1"/>
  </r>
  <r>
    <x v="0"/>
    <d v="2024-08-07T00:00:00"/>
    <x v="2"/>
    <x v="43"/>
    <x v="84"/>
    <s v="H"/>
    <x v="1"/>
    <x v="15"/>
    <d v="1899-12-30T06:00:00"/>
    <s v="06"/>
    <s v="00"/>
    <x v="0"/>
    <x v="1"/>
    <x v="62"/>
    <d v="1899-12-30T03:00:00"/>
    <x v="2"/>
    <x v="28"/>
    <n v="0"/>
  </r>
  <r>
    <x v="0"/>
    <d v="2024-08-07T00:00:00"/>
    <x v="2"/>
    <x v="43"/>
    <x v="84"/>
    <s v="H"/>
    <x v="1"/>
    <x v="15"/>
    <d v="1899-12-30T06:00:00"/>
    <s v="06"/>
    <s v="00"/>
    <x v="0"/>
    <x v="1"/>
    <x v="2"/>
    <d v="1899-12-30T05:00:00"/>
    <x v="3"/>
    <x v="0"/>
    <n v="1"/>
  </r>
  <r>
    <x v="0"/>
    <d v="2024-08-07T00:00:00"/>
    <x v="2"/>
    <x v="32"/>
    <x v="85"/>
    <s v="A"/>
    <x v="1"/>
    <x v="32"/>
    <d v="1899-12-30T00:02:00"/>
    <s v="00"/>
    <s v="02"/>
    <x v="1"/>
    <x v="1"/>
    <x v="63"/>
    <d v="1899-12-30T00:02:00"/>
    <x v="2"/>
    <x v="0"/>
    <n v="1"/>
  </r>
  <r>
    <x v="0"/>
    <d v="2024-08-07T00:00:00"/>
    <x v="3"/>
    <x v="2"/>
    <x v="86"/>
    <s v="H"/>
    <x v="1"/>
    <x v="6"/>
    <d v="1899-12-30T03:01:00"/>
    <s v="03"/>
    <s v="01"/>
    <x v="0"/>
    <x v="1"/>
    <x v="64"/>
    <d v="1899-12-30T02:01:00"/>
    <x v="6"/>
    <x v="0"/>
    <n v="1"/>
  </r>
  <r>
    <x v="0"/>
    <d v="2024-08-07T00:00:00"/>
    <x v="3"/>
    <x v="2"/>
    <x v="86"/>
    <s v="H"/>
    <x v="1"/>
    <x v="6"/>
    <d v="1899-12-30T03:01:00"/>
    <s v="03"/>
    <s v="01"/>
    <x v="0"/>
    <x v="1"/>
    <x v="2"/>
    <d v="1899-12-30T03:01:00"/>
    <x v="2"/>
    <x v="4"/>
    <n v="0"/>
  </r>
  <r>
    <x v="0"/>
    <d v="2024-08-07T00:00:00"/>
    <x v="2"/>
    <x v="11"/>
    <x v="87"/>
    <s v="H"/>
    <x v="1"/>
    <x v="4"/>
    <d v="1899-12-30T02:00:00"/>
    <s v="02"/>
    <s v="00"/>
    <x v="0"/>
    <x v="1"/>
    <x v="39"/>
    <d v="1899-12-30T01:00:00"/>
    <x v="2"/>
    <x v="30"/>
    <n v="0"/>
  </r>
  <r>
    <x v="0"/>
    <d v="2024-08-07T00:00:00"/>
    <x v="2"/>
    <x v="11"/>
    <x v="87"/>
    <s v="H"/>
    <x v="1"/>
    <x v="4"/>
    <d v="1899-12-30T02:00:00"/>
    <s v="02"/>
    <s v="00"/>
    <x v="0"/>
    <x v="1"/>
    <x v="23"/>
    <d v="1899-12-30T02:00:00"/>
    <x v="4"/>
    <x v="0"/>
    <n v="1"/>
  </r>
  <r>
    <x v="1"/>
    <d v="2024-08-07T00:00:00"/>
    <x v="6"/>
    <x v="44"/>
    <x v="88"/>
    <s v="A"/>
    <x v="2"/>
    <x v="56"/>
    <d v="1899-12-30T02:03:00"/>
    <s v="02"/>
    <s v="03"/>
    <x v="1"/>
    <x v="1"/>
    <x v="65"/>
    <d v="1899-12-30T01:01:00"/>
    <x v="3"/>
    <x v="18"/>
    <n v="0"/>
  </r>
  <r>
    <x v="1"/>
    <d v="2024-08-07T00:00:00"/>
    <x v="6"/>
    <x v="44"/>
    <x v="88"/>
    <s v="A"/>
    <x v="2"/>
    <x v="56"/>
    <d v="1899-12-30T02:03:00"/>
    <s v="02"/>
    <s v="03"/>
    <x v="1"/>
    <x v="1"/>
    <x v="54"/>
    <d v="1899-12-30T02:03:00"/>
    <x v="3"/>
    <x v="0"/>
    <n v="1"/>
  </r>
  <r>
    <x v="0"/>
    <d v="2024-08-07T00:00:00"/>
    <x v="2"/>
    <x v="33"/>
    <x v="89"/>
    <s v="A"/>
    <x v="1"/>
    <x v="15"/>
    <d v="1899-12-30T01:05:00"/>
    <s v="01"/>
    <s v="05"/>
    <x v="1"/>
    <x v="1"/>
    <x v="66"/>
    <d v="1899-12-30T00:03:00"/>
    <x v="2"/>
    <x v="0"/>
    <n v="1"/>
  </r>
  <r>
    <x v="0"/>
    <d v="2024-08-07T00:00:00"/>
    <x v="2"/>
    <x v="33"/>
    <x v="89"/>
    <s v="A"/>
    <x v="1"/>
    <x v="15"/>
    <d v="1899-12-30T01:05:00"/>
    <s v="01"/>
    <s v="05"/>
    <x v="1"/>
    <x v="1"/>
    <x v="32"/>
    <d v="1899-12-30T00:02:00"/>
    <x v="2"/>
    <x v="22"/>
    <n v="0"/>
  </r>
  <r>
    <x v="1"/>
    <d v="2024-08-07T00:00:00"/>
    <x v="4"/>
    <x v="12"/>
    <x v="90"/>
    <s v="H"/>
    <x v="2"/>
    <x v="47"/>
    <d v="1899-12-30T05:01:00"/>
    <s v="05"/>
    <s v="01"/>
    <x v="0"/>
    <x v="1"/>
    <x v="10"/>
    <d v="1899-12-30T02:01:00"/>
    <x v="3"/>
    <x v="19"/>
    <n v="0"/>
  </r>
  <r>
    <x v="0"/>
    <d v="2024-08-07T00:00:00"/>
    <x v="6"/>
    <x v="44"/>
    <x v="91"/>
    <s v="H"/>
    <x v="1"/>
    <x v="46"/>
    <d v="1899-12-30T01:00:00"/>
    <s v="01"/>
    <s v="00"/>
    <x v="0"/>
    <x v="1"/>
    <x v="56"/>
    <d v="1899-12-30T01:00:00"/>
    <x v="3"/>
    <x v="0"/>
    <n v="1"/>
  </r>
  <r>
    <x v="0"/>
    <d v="2024-08-07T00:00:00"/>
    <x v="2"/>
    <x v="5"/>
    <x v="92"/>
    <s v="A"/>
    <x v="1"/>
    <x v="53"/>
    <d v="1899-12-30T00:01:00"/>
    <s v="00"/>
    <s v="01"/>
    <x v="1"/>
    <x v="1"/>
    <x v="18"/>
    <d v="1899-12-30T00:01:00"/>
    <x v="2"/>
    <x v="12"/>
    <n v="0"/>
  </r>
  <r>
    <x v="0"/>
    <d v="2024-08-07T00:00:00"/>
    <x v="2"/>
    <x v="14"/>
    <x v="93"/>
    <s v="H"/>
    <x v="1"/>
    <x v="22"/>
    <d v="1899-12-30T02:00:00"/>
    <s v="02"/>
    <s v="00"/>
    <x v="0"/>
    <x v="1"/>
    <x v="13"/>
    <d v="1899-12-30T01:00:00"/>
    <x v="2"/>
    <x v="0"/>
    <n v="1"/>
  </r>
  <r>
    <x v="0"/>
    <d v="2024-08-07T00:00:00"/>
    <x v="2"/>
    <x v="14"/>
    <x v="93"/>
    <s v="H"/>
    <x v="1"/>
    <x v="22"/>
    <d v="1899-12-30T02:00:00"/>
    <s v="02"/>
    <s v="00"/>
    <x v="0"/>
    <x v="1"/>
    <x v="36"/>
    <d v="1899-12-30T02:00:00"/>
    <x v="4"/>
    <x v="0"/>
    <n v="1"/>
  </r>
  <r>
    <x v="0"/>
    <d v="2024-08-07T00:00:00"/>
    <x v="2"/>
    <x v="45"/>
    <x v="94"/>
    <s v="H"/>
    <x v="1"/>
    <x v="57"/>
    <d v="1899-12-30T03:00:00"/>
    <s v="03"/>
    <s v="00"/>
    <x v="0"/>
    <x v="1"/>
    <x v="54"/>
    <d v="1899-12-30T02:00:00"/>
    <x v="1"/>
    <x v="30"/>
    <n v="0"/>
  </r>
  <r>
    <x v="0"/>
    <d v="2024-08-07T00:00:00"/>
    <x v="2"/>
    <x v="6"/>
    <x v="95"/>
    <s v="H"/>
    <x v="1"/>
    <x v="8"/>
    <d v="1899-12-30T04:00:00"/>
    <s v="04"/>
    <s v="00"/>
    <x v="0"/>
    <x v="1"/>
    <x v="67"/>
    <d v="1899-12-30T01:00:00"/>
    <x v="2"/>
    <x v="0"/>
    <n v="1"/>
  </r>
  <r>
    <x v="0"/>
    <d v="2024-08-07T00:00:00"/>
    <x v="6"/>
    <x v="24"/>
    <x v="96"/>
    <s v="A"/>
    <x v="1"/>
    <x v="39"/>
    <d v="1899-12-30T00:02:00"/>
    <s v="00"/>
    <s v="02"/>
    <x v="1"/>
    <x v="1"/>
    <x v="40"/>
    <d v="1899-12-30T00:01:00"/>
    <x v="1"/>
    <x v="6"/>
    <n v="0"/>
  </r>
  <r>
    <x v="0"/>
    <d v="2024-08-07T00:00:00"/>
    <x v="2"/>
    <x v="46"/>
    <x v="97"/>
    <s v="A"/>
    <x v="1"/>
    <x v="18"/>
    <d v="1899-12-30T02:02:00"/>
    <s v="02"/>
    <s v="02"/>
    <x v="2"/>
    <x v="1"/>
    <x v="12"/>
    <d v="1899-12-30T00:01:00"/>
    <x v="3"/>
    <x v="22"/>
    <n v="0"/>
  </r>
  <r>
    <x v="0"/>
    <d v="2024-08-07T00:00:00"/>
    <x v="2"/>
    <x v="16"/>
    <x v="98"/>
    <s v="H"/>
    <x v="1"/>
    <x v="12"/>
    <d v="1899-12-30T02:01:00"/>
    <s v="02"/>
    <s v="01"/>
    <x v="0"/>
    <x v="1"/>
    <x v="68"/>
    <d v="1899-12-30T01:01:00"/>
    <x v="6"/>
    <x v="0"/>
    <n v="1"/>
  </r>
  <r>
    <x v="0"/>
    <d v="2024-08-07T00:00:00"/>
    <x v="2"/>
    <x v="35"/>
    <x v="99"/>
    <s v="H"/>
    <x v="1"/>
    <x v="55"/>
    <d v="1899-12-30T04:01:00"/>
    <s v="04"/>
    <s v="01"/>
    <x v="0"/>
    <x v="1"/>
    <x v="69"/>
    <d v="1899-12-30T01:00:00"/>
    <x v="2"/>
    <x v="31"/>
    <n v="0"/>
  </r>
  <r>
    <x v="0"/>
    <d v="2024-08-07T00:00:00"/>
    <x v="2"/>
    <x v="35"/>
    <x v="99"/>
    <s v="H"/>
    <x v="1"/>
    <x v="55"/>
    <d v="1899-12-30T04:01:00"/>
    <s v="04"/>
    <s v="01"/>
    <x v="0"/>
    <x v="1"/>
    <x v="70"/>
    <d v="1899-12-30T02:00:00"/>
    <x v="2"/>
    <x v="32"/>
    <n v="0"/>
  </r>
  <r>
    <x v="1"/>
    <d v="2024-08-07T00:00:00"/>
    <x v="4"/>
    <x v="36"/>
    <x v="100"/>
    <s v="H"/>
    <x v="2"/>
    <x v="58"/>
    <d v="1899-12-30T06:00:00"/>
    <s v="06"/>
    <s v="00"/>
    <x v="0"/>
    <x v="1"/>
    <x v="49"/>
    <d v="1899-12-30T01:00:00"/>
    <x v="6"/>
    <x v="0"/>
    <n v="1"/>
  </r>
  <r>
    <x v="0"/>
    <d v="2024-08-07T00:00:00"/>
    <x v="2"/>
    <x v="7"/>
    <x v="101"/>
    <s v="A"/>
    <x v="1"/>
    <x v="28"/>
    <d v="1899-12-30T00:02:00"/>
    <s v="00"/>
    <s v="02"/>
    <x v="1"/>
    <x v="1"/>
    <x v="71"/>
    <d v="1899-12-30T00:01:00"/>
    <x v="6"/>
    <x v="0"/>
    <n v="1"/>
  </r>
  <r>
    <x v="0"/>
    <d v="2024-08-07T00:00:00"/>
    <x v="6"/>
    <x v="8"/>
    <x v="102"/>
    <s v="H"/>
    <x v="1"/>
    <x v="59"/>
    <d v="1899-12-30T06:05:00"/>
    <n v="6"/>
    <n v="5"/>
    <x v="0"/>
    <x v="0"/>
    <x v="72"/>
    <d v="1899-12-30T01:00:00"/>
    <x v="1"/>
    <x v="25"/>
    <n v="0"/>
  </r>
  <r>
    <x v="1"/>
    <d v="2024-09-08T00:00:00"/>
    <x v="4"/>
    <x v="28"/>
    <x v="103"/>
    <s v="H"/>
    <x v="2"/>
    <x v="20"/>
    <d v="1899-12-30T01:01:00"/>
    <s v="01"/>
    <s v="01"/>
    <x v="2"/>
    <x v="1"/>
    <x v="62"/>
    <d v="1899-12-30T01:00:00"/>
    <x v="6"/>
    <x v="0"/>
    <n v="1"/>
  </r>
  <r>
    <x v="1"/>
    <d v="2024-09-08T00:00:00"/>
    <x v="4"/>
    <x v="47"/>
    <x v="104"/>
    <s v="A"/>
    <x v="2"/>
    <x v="60"/>
    <d v="1899-12-30T01:06:00"/>
    <s v="01"/>
    <s v="06"/>
    <x v="1"/>
    <x v="1"/>
    <x v="41"/>
    <d v="1899-12-30T01:05:00"/>
    <x v="3"/>
    <x v="16"/>
    <n v="0"/>
  </r>
  <r>
    <x v="1"/>
    <d v="2024-09-08T00:00:00"/>
    <x v="4"/>
    <x v="47"/>
    <x v="104"/>
    <s v="A"/>
    <x v="2"/>
    <x v="60"/>
    <d v="1899-12-30T01:06:00"/>
    <s v="01"/>
    <s v="06"/>
    <x v="1"/>
    <x v="1"/>
    <x v="7"/>
    <d v="1899-12-30T01:06:00"/>
    <x v="1"/>
    <x v="19"/>
    <n v="0"/>
  </r>
  <r>
    <x v="0"/>
    <d v="2024-09-08T00:00:00"/>
    <x v="7"/>
    <x v="10"/>
    <x v="105"/>
    <s v="H"/>
    <x v="1"/>
    <x v="18"/>
    <d v="1899-12-30T03:01:00"/>
    <s v="03"/>
    <s v="01"/>
    <x v="0"/>
    <x v="1"/>
    <x v="73"/>
    <d v="1899-12-30T01:00:00"/>
    <x v="1"/>
    <x v="4"/>
    <n v="0"/>
  </r>
  <r>
    <x v="0"/>
    <d v="2024-09-08T00:00:00"/>
    <x v="2"/>
    <x v="0"/>
    <x v="106"/>
    <s v="H"/>
    <x v="1"/>
    <x v="22"/>
    <d v="1899-12-30T02:00:00"/>
    <s v="02"/>
    <s v="00"/>
    <x v="0"/>
    <x v="1"/>
    <x v="34"/>
    <d v="1899-12-30T01:00:00"/>
    <x v="6"/>
    <x v="0"/>
    <n v="1"/>
  </r>
  <r>
    <x v="1"/>
    <d v="2024-09-08T00:00:00"/>
    <x v="4"/>
    <x v="38"/>
    <x v="106"/>
    <s v="A"/>
    <x v="2"/>
    <x v="43"/>
    <d v="1899-12-30T01:02:00"/>
    <s v="01"/>
    <s v="02"/>
    <x v="1"/>
    <x v="1"/>
    <x v="21"/>
    <d v="1899-12-30T01:02:00"/>
    <x v="6"/>
    <x v="0"/>
    <n v="1"/>
  </r>
  <r>
    <x v="1"/>
    <d v="2024-09-08T00:00:00"/>
    <x v="6"/>
    <x v="18"/>
    <x v="107"/>
    <s v="A"/>
    <x v="2"/>
    <x v="61"/>
    <d v="1899-12-30T01:02:00"/>
    <s v="01"/>
    <s v="02"/>
    <x v="1"/>
    <x v="1"/>
    <x v="63"/>
    <d v="1899-12-30T01:02:00"/>
    <x v="3"/>
    <x v="19"/>
    <n v="0"/>
  </r>
  <r>
    <x v="1"/>
    <d v="2024-09-08T00:00:00"/>
    <x v="6"/>
    <x v="18"/>
    <x v="107"/>
    <s v="A"/>
    <x v="2"/>
    <x v="61"/>
    <d v="1899-12-30T01:02:00"/>
    <s v="01"/>
    <s v="02"/>
    <x v="1"/>
    <x v="1"/>
    <x v="11"/>
    <d v="1899-12-30T01:01:00"/>
    <x v="2"/>
    <x v="33"/>
    <n v="0"/>
  </r>
  <r>
    <x v="1"/>
    <d v="2024-09-08T00:00:00"/>
    <x v="4"/>
    <x v="0"/>
    <x v="108"/>
    <s v="H"/>
    <x v="2"/>
    <x v="42"/>
    <d v="1899-12-30T06:01:00"/>
    <s v="06"/>
    <s v="01"/>
    <x v="0"/>
    <x v="1"/>
    <x v="13"/>
    <d v="1899-12-30T03:00:00"/>
    <x v="4"/>
    <x v="0"/>
    <n v="1"/>
  </r>
  <r>
    <x v="0"/>
    <d v="2024-09-08T00:00:00"/>
    <x v="2"/>
    <x v="1"/>
    <x v="109"/>
    <s v="H"/>
    <x v="1"/>
    <x v="21"/>
    <d v="1899-12-30T04:00:00"/>
    <s v="04"/>
    <s v="00"/>
    <x v="0"/>
    <x v="1"/>
    <x v="64"/>
    <d v="1899-12-30T02:00:00"/>
    <x v="3"/>
    <x v="12"/>
    <n v="0"/>
  </r>
  <r>
    <x v="1"/>
    <d v="2024-09-08T00:00:00"/>
    <x v="6"/>
    <x v="18"/>
    <x v="110"/>
    <s v="A"/>
    <x v="2"/>
    <x v="62"/>
    <d v="1899-12-30T00:05:00"/>
    <s v="00"/>
    <s v="05"/>
    <x v="1"/>
    <x v="2"/>
    <x v="9"/>
    <d v="1899-12-30T00:01:00"/>
    <x v="3"/>
    <x v="34"/>
    <n v="0"/>
  </r>
  <r>
    <x v="0"/>
    <d v="2024-09-08T00:00:00"/>
    <x v="2"/>
    <x v="29"/>
    <x v="111"/>
    <s v="H"/>
    <x v="1"/>
    <x v="55"/>
    <d v="1899-12-30T02:00:00"/>
    <s v="02"/>
    <s v="00"/>
    <x v="0"/>
    <x v="1"/>
    <x v="74"/>
    <d v="1899-12-30T02:00:00"/>
    <x v="2"/>
    <x v="35"/>
    <n v="0"/>
  </r>
  <r>
    <x v="0"/>
    <d v="2024-09-08T00:00:00"/>
    <x v="2"/>
    <x v="29"/>
    <x v="111"/>
    <s v="H"/>
    <x v="1"/>
    <x v="55"/>
    <d v="1899-12-30T02:00:00"/>
    <s v="02"/>
    <s v="00"/>
    <x v="0"/>
    <x v="1"/>
    <x v="30"/>
    <d v="1899-12-30T01:00:00"/>
    <x v="3"/>
    <x v="30"/>
    <n v="0"/>
  </r>
  <r>
    <x v="1"/>
    <d v="2024-09-08T00:00:00"/>
    <x v="4"/>
    <x v="39"/>
    <x v="112"/>
    <s v="A"/>
    <x v="2"/>
    <x v="63"/>
    <d v="1899-12-30T01:04:00"/>
    <s v="01"/>
    <s v="04"/>
    <x v="1"/>
    <x v="1"/>
    <x v="36"/>
    <d v="1899-12-30T01:02:00"/>
    <x v="3"/>
    <x v="0"/>
    <n v="1"/>
  </r>
  <r>
    <x v="0"/>
    <d v="2024-09-08T00:00:00"/>
    <x v="2"/>
    <x v="4"/>
    <x v="112"/>
    <s v="H"/>
    <x v="1"/>
    <x v="64"/>
    <d v="1899-12-30T04:03:00"/>
    <s v="04"/>
    <s v="03"/>
    <x v="0"/>
    <x v="1"/>
    <x v="51"/>
    <d v="1899-12-30T03:01:00"/>
    <x v="1"/>
    <x v="30"/>
    <n v="0"/>
  </r>
  <r>
    <x v="0"/>
    <d v="2024-09-08T00:00:00"/>
    <x v="2"/>
    <x v="4"/>
    <x v="112"/>
    <s v="H"/>
    <x v="1"/>
    <x v="64"/>
    <d v="1899-12-30T04:03:00"/>
    <s v="04"/>
    <s v="03"/>
    <x v="0"/>
    <x v="1"/>
    <x v="69"/>
    <d v="1899-12-30T01:00:00"/>
    <x v="3"/>
    <x v="35"/>
    <n v="0"/>
  </r>
  <r>
    <x v="1"/>
    <d v="2024-09-08T00:00:00"/>
    <x v="6"/>
    <x v="18"/>
    <x v="113"/>
    <s v="H"/>
    <x v="2"/>
    <x v="62"/>
    <d v="1899-12-30T01:01:00"/>
    <s v="01"/>
    <s v="01"/>
    <x v="2"/>
    <x v="1"/>
    <x v="75"/>
    <d v="1899-12-30T01:00:00"/>
    <x v="3"/>
    <x v="26"/>
    <n v="0"/>
  </r>
  <r>
    <x v="1"/>
    <d v="2024-09-08T00:00:00"/>
    <x v="8"/>
    <x v="3"/>
    <x v="114"/>
    <s v="H"/>
    <x v="2"/>
    <x v="65"/>
    <d v="1899-12-30T01:00:00"/>
    <s v="01"/>
    <s v="00"/>
    <x v="0"/>
    <x v="1"/>
    <x v="46"/>
    <d v="1899-12-30T01:00:00"/>
    <x v="7"/>
    <x v="0"/>
    <n v="1"/>
  </r>
  <r>
    <x v="0"/>
    <d v="2024-09-08T00:00:00"/>
    <x v="2"/>
    <x v="19"/>
    <x v="115"/>
    <s v="H"/>
    <x v="1"/>
    <x v="66"/>
    <d v="1899-12-30T05:00:00"/>
    <s v="05"/>
    <s v="00"/>
    <x v="0"/>
    <x v="1"/>
    <x v="2"/>
    <d v="1899-12-30T05:00:00"/>
    <x v="4"/>
    <x v="0"/>
    <n v="1"/>
  </r>
  <r>
    <x v="0"/>
    <d v="2024-09-08T00:00:00"/>
    <x v="2"/>
    <x v="19"/>
    <x v="115"/>
    <s v="H"/>
    <x v="1"/>
    <x v="66"/>
    <d v="1899-12-30T05:00:00"/>
    <s v="05"/>
    <s v="00"/>
    <x v="0"/>
    <x v="1"/>
    <x v="69"/>
    <d v="1899-12-30T01:00:00"/>
    <x v="4"/>
    <x v="0"/>
    <n v="1"/>
  </r>
  <r>
    <x v="1"/>
    <d v="2024-09-08T00:00:00"/>
    <x v="4"/>
    <x v="4"/>
    <x v="116"/>
    <s v="A"/>
    <x v="2"/>
    <x v="37"/>
    <d v="1899-12-30T00:02:00"/>
    <s v="00"/>
    <s v="02"/>
    <x v="1"/>
    <x v="1"/>
    <x v="22"/>
    <d v="1899-12-30T00:01:00"/>
    <x v="3"/>
    <x v="19"/>
    <n v="0"/>
  </r>
  <r>
    <x v="1"/>
    <d v="2024-09-08T00:00:00"/>
    <x v="6"/>
    <x v="18"/>
    <x v="117"/>
    <s v="A"/>
    <x v="2"/>
    <x v="45"/>
    <d v="1899-12-30T02:05:00"/>
    <s v="02"/>
    <s v="05"/>
    <x v="1"/>
    <x v="1"/>
    <x v="47"/>
    <d v="1899-12-30T00:03:00"/>
    <x v="3"/>
    <x v="34"/>
    <n v="0"/>
  </r>
  <r>
    <x v="1"/>
    <d v="2024-09-08T00:00:00"/>
    <x v="4"/>
    <x v="19"/>
    <x v="118"/>
    <s v="A"/>
    <x v="2"/>
    <x v="34"/>
    <d v="1899-12-30T00:03:00"/>
    <s v="00"/>
    <s v="03"/>
    <x v="1"/>
    <x v="1"/>
    <x v="76"/>
    <d v="1899-12-30T00:02:00"/>
    <x v="3"/>
    <x v="19"/>
    <n v="0"/>
  </r>
  <r>
    <x v="1"/>
    <d v="2024-09-08T00:00:00"/>
    <x v="4"/>
    <x v="19"/>
    <x v="118"/>
    <s v="A"/>
    <x v="2"/>
    <x v="34"/>
    <d v="1899-12-30T00:03:00"/>
    <s v="00"/>
    <s v="03"/>
    <x v="1"/>
    <x v="1"/>
    <x v="63"/>
    <d v="1899-12-30T00:03:00"/>
    <x v="3"/>
    <x v="36"/>
    <n v="0"/>
  </r>
  <r>
    <x v="1"/>
    <d v="2024-09-08T00:00:00"/>
    <x v="4"/>
    <x v="30"/>
    <x v="119"/>
    <s v="H"/>
    <x v="2"/>
    <x v="36"/>
    <d v="1899-12-30T02:00:00"/>
    <s v="02"/>
    <s v="00"/>
    <x v="0"/>
    <x v="1"/>
    <x v="7"/>
    <d v="1899-12-30T02:00:00"/>
    <x v="9"/>
    <x v="26"/>
    <n v="0"/>
  </r>
  <r>
    <x v="0"/>
    <d v="2024-09-08T00:00:00"/>
    <x v="9"/>
    <x v="15"/>
    <x v="120"/>
    <s v="A"/>
    <x v="1"/>
    <x v="67"/>
    <d v="1899-12-30T03:05:00"/>
    <s v="03"/>
    <s v="05"/>
    <x v="1"/>
    <x v="0"/>
    <x v="16"/>
    <d v="1899-12-30T00:02:00"/>
    <x v="1"/>
    <x v="4"/>
    <n v="0"/>
  </r>
  <r>
    <x v="1"/>
    <d v="2024-09-08T00:00:00"/>
    <x v="8"/>
    <x v="20"/>
    <x v="121"/>
    <s v="A"/>
    <x v="2"/>
    <x v="42"/>
    <d v="1899-12-30T01:03:00"/>
    <s v="01"/>
    <s v="03"/>
    <x v="1"/>
    <x v="1"/>
    <x v="50"/>
    <d v="1899-12-30T00:02:00"/>
    <x v="6"/>
    <x v="0"/>
    <n v="1"/>
  </r>
  <r>
    <x v="1"/>
    <d v="2024-09-08T00:00:00"/>
    <x v="8"/>
    <x v="20"/>
    <x v="121"/>
    <s v="A"/>
    <x v="2"/>
    <x v="42"/>
    <d v="1899-12-30T01:03:00"/>
    <s v="01"/>
    <s v="03"/>
    <x v="1"/>
    <x v="1"/>
    <x v="54"/>
    <d v="1899-12-30T01:03:00"/>
    <x v="2"/>
    <x v="16"/>
    <n v="0"/>
  </r>
  <r>
    <x v="1"/>
    <d v="2024-09-08T00:00:00"/>
    <x v="8"/>
    <x v="20"/>
    <x v="121"/>
    <s v="A"/>
    <x v="2"/>
    <x v="42"/>
    <d v="1899-12-30T01:03:00"/>
    <s v="01"/>
    <s v="03"/>
    <x v="1"/>
    <x v="1"/>
    <x v="45"/>
    <d v="1899-12-30T00:01:00"/>
    <x v="3"/>
    <x v="34"/>
    <n v="0"/>
  </r>
  <r>
    <x v="1"/>
    <d v="2024-09-08T00:00:00"/>
    <x v="4"/>
    <x v="42"/>
    <x v="122"/>
    <s v="A"/>
    <x v="2"/>
    <x v="31"/>
    <d v="1899-12-30T02:03:00"/>
    <s v="02"/>
    <s v="03"/>
    <x v="1"/>
    <x v="1"/>
    <x v="33"/>
    <d v="1899-12-30T02:03:00"/>
    <x v="3"/>
    <x v="34"/>
    <n v="0"/>
  </r>
  <r>
    <x v="1"/>
    <d v="2024-09-08T00:00:00"/>
    <x v="4"/>
    <x v="22"/>
    <x v="123"/>
    <s v="H"/>
    <x v="2"/>
    <x v="38"/>
    <d v="1899-12-30T05:00:00"/>
    <s v="05"/>
    <s v="00"/>
    <x v="0"/>
    <x v="1"/>
    <x v="17"/>
    <d v="1899-12-30T01:00:00"/>
    <x v="3"/>
    <x v="0"/>
    <n v="1"/>
  </r>
  <r>
    <x v="0"/>
    <d v="2024-09-08T00:00:00"/>
    <x v="7"/>
    <x v="15"/>
    <x v="124"/>
    <s v="H"/>
    <x v="1"/>
    <x v="53"/>
    <d v="1899-12-30T04:02:00"/>
    <s v="04"/>
    <s v="02"/>
    <x v="0"/>
    <x v="1"/>
    <x v="7"/>
    <d v="1899-12-30T04:01:00"/>
    <x v="6"/>
    <x v="0"/>
    <n v="1"/>
  </r>
  <r>
    <x v="1"/>
    <d v="2024-09-08T00:00:00"/>
    <x v="4"/>
    <x v="21"/>
    <x v="125"/>
    <s v="H"/>
    <x v="2"/>
    <x v="68"/>
    <d v="1899-12-30T04:01:00"/>
    <s v="04"/>
    <s v="01"/>
    <x v="0"/>
    <x v="1"/>
    <x v="47"/>
    <d v="1899-12-30T01:00:00"/>
    <x v="3"/>
    <x v="34"/>
    <n v="0"/>
  </r>
  <r>
    <x v="1"/>
    <d v="2024-09-08T00:00:00"/>
    <x v="4"/>
    <x v="21"/>
    <x v="125"/>
    <s v="H"/>
    <x v="2"/>
    <x v="68"/>
    <d v="1899-12-30T04:01:00"/>
    <s v="04"/>
    <s v="01"/>
    <x v="0"/>
    <x v="1"/>
    <x v="18"/>
    <d v="1899-12-30T04:01:00"/>
    <x v="2"/>
    <x v="0"/>
    <n v="1"/>
  </r>
  <r>
    <x v="0"/>
    <d v="2024-09-08T00:00:00"/>
    <x v="2"/>
    <x v="32"/>
    <x v="126"/>
    <s v="A"/>
    <x v="1"/>
    <x v="21"/>
    <d v="1899-12-30T00:05:00"/>
    <s v="00"/>
    <s v="05"/>
    <x v="1"/>
    <x v="0"/>
    <x v="77"/>
    <d v="1899-12-30T00:04:00"/>
    <x v="2"/>
    <x v="4"/>
    <n v="0"/>
  </r>
  <r>
    <x v="0"/>
    <d v="2024-09-08T00:00:00"/>
    <x v="2"/>
    <x v="32"/>
    <x v="126"/>
    <s v="A"/>
    <x v="1"/>
    <x v="21"/>
    <d v="1899-12-30T00:05:00"/>
    <s v="00"/>
    <s v="05"/>
    <x v="1"/>
    <x v="0"/>
    <x v="38"/>
    <d v="1899-12-30T00:05:00"/>
    <x v="2"/>
    <x v="35"/>
    <n v="0"/>
  </r>
  <r>
    <x v="0"/>
    <d v="2024-09-08T00:00:00"/>
    <x v="2"/>
    <x v="11"/>
    <x v="127"/>
    <s v="H"/>
    <x v="1"/>
    <x v="13"/>
    <d v="1899-12-30T01:00:00"/>
    <s v="01"/>
    <s v="00"/>
    <x v="0"/>
    <x v="0"/>
    <x v="51"/>
    <d v="1899-12-30T01:00:00"/>
    <x v="6"/>
    <x v="0"/>
    <n v="1"/>
  </r>
  <r>
    <x v="1"/>
    <d v="2024-09-08T00:00:00"/>
    <x v="4"/>
    <x v="23"/>
    <x v="128"/>
    <s v="A"/>
    <x v="2"/>
    <x v="20"/>
    <d v="1899-12-30T01:02:00"/>
    <s v="01"/>
    <s v="02"/>
    <x v="1"/>
    <x v="1"/>
    <x v="77"/>
    <d v="1899-12-30T01:01:00"/>
    <x v="2"/>
    <x v="19"/>
    <n v="0"/>
  </r>
  <r>
    <x v="1"/>
    <d v="2024-09-08T00:00:00"/>
    <x v="4"/>
    <x v="23"/>
    <x v="128"/>
    <s v="A"/>
    <x v="2"/>
    <x v="20"/>
    <d v="1899-12-30T01:02:00"/>
    <s v="01"/>
    <s v="02"/>
    <x v="1"/>
    <x v="1"/>
    <x v="58"/>
    <d v="1899-12-30T01:02:00"/>
    <x v="2"/>
    <x v="0"/>
    <n v="1"/>
  </r>
  <r>
    <x v="0"/>
    <d v="2024-09-08T00:00:00"/>
    <x v="3"/>
    <x v="3"/>
    <x v="129"/>
    <s v="A"/>
    <x v="1"/>
    <x v="53"/>
    <d v="1899-12-30T01:04:00"/>
    <s v="01"/>
    <s v="04"/>
    <x v="1"/>
    <x v="2"/>
    <x v="24"/>
    <d v="1899-12-30T01:03:00"/>
    <x v="1"/>
    <x v="4"/>
    <n v="0"/>
  </r>
  <r>
    <x v="0"/>
    <d v="2024-09-08T00:00:00"/>
    <x v="2"/>
    <x v="25"/>
    <x v="130"/>
    <s v="H"/>
    <x v="1"/>
    <x v="52"/>
    <d v="1899-12-30T02:01:00"/>
    <s v="02"/>
    <s v="01"/>
    <x v="0"/>
    <x v="2"/>
    <x v="8"/>
    <d v="1899-12-30T02:01:00"/>
    <x v="4"/>
    <x v="0"/>
    <n v="1"/>
  </r>
  <r>
    <x v="1"/>
    <d v="2024-09-08T00:00:00"/>
    <x v="4"/>
    <x v="12"/>
    <x v="131"/>
    <s v="A"/>
    <x v="2"/>
    <x v="42"/>
    <d v="1899-12-30T04:03:00"/>
    <s v="04"/>
    <s v="03"/>
    <x v="0"/>
    <x v="1"/>
    <x v="74"/>
    <d v="1899-12-30T00:02:00"/>
    <x v="3"/>
    <x v="0"/>
    <n v="1"/>
  </r>
  <r>
    <x v="1"/>
    <d v="2024-09-08T00:00:00"/>
    <x v="8"/>
    <x v="15"/>
    <x v="132"/>
    <s v="A"/>
    <x v="2"/>
    <x v="25"/>
    <d v="1899-12-30T01:01:00"/>
    <s v="01"/>
    <s v="01"/>
    <x v="2"/>
    <x v="1"/>
    <x v="58"/>
    <d v="1899-12-30T01:01:00"/>
    <x v="3"/>
    <x v="37"/>
    <n v="0"/>
  </r>
  <r>
    <x v="1"/>
    <d v="2024-09-08T00:00:00"/>
    <x v="4"/>
    <x v="25"/>
    <x v="133"/>
    <s v="H"/>
    <x v="2"/>
    <x v="23"/>
    <d v="1899-12-30T02:00:00"/>
    <s v="02"/>
    <s v="00"/>
    <x v="0"/>
    <x v="1"/>
    <x v="78"/>
    <d v="1899-12-30T02:00:00"/>
    <x v="6"/>
    <x v="0"/>
    <n v="1"/>
  </r>
  <r>
    <x v="0"/>
    <d v="2024-09-08T00:00:00"/>
    <x v="6"/>
    <x v="44"/>
    <x v="134"/>
    <s v="H"/>
    <x v="1"/>
    <x v="69"/>
    <d v="1899-12-30T02:00:00"/>
    <s v="02"/>
    <s v="00"/>
    <x v="0"/>
    <x v="1"/>
    <x v="47"/>
    <d v="1899-12-30T02:00:00"/>
    <x v="1"/>
    <x v="12"/>
    <n v="0"/>
  </r>
  <r>
    <x v="1"/>
    <d v="2024-09-08T00:00:00"/>
    <x v="6"/>
    <x v="44"/>
    <x v="134"/>
    <s v="H"/>
    <x v="2"/>
    <x v="46"/>
    <d v="1899-12-30T05:02:00"/>
    <s v="05"/>
    <s v="02"/>
    <x v="0"/>
    <x v="1"/>
    <x v="79"/>
    <d v="1899-12-30T03:00:00"/>
    <x v="3"/>
    <x v="11"/>
    <n v="0"/>
  </r>
  <r>
    <x v="0"/>
    <d v="2024-09-08T00:00:00"/>
    <x v="2"/>
    <x v="5"/>
    <x v="135"/>
    <s v="H"/>
    <x v="1"/>
    <x v="57"/>
    <d v="1899-12-30T01:04:00"/>
    <s v="01"/>
    <s v="04"/>
    <x v="1"/>
    <x v="1"/>
    <x v="60"/>
    <d v="1899-12-30T01:00:00"/>
    <x v="6"/>
    <x v="0"/>
    <n v="1"/>
  </r>
  <r>
    <x v="1"/>
    <d v="2024-09-08T00:00:00"/>
    <x v="4"/>
    <x v="26"/>
    <x v="136"/>
    <s v="H"/>
    <x v="2"/>
    <x v="63"/>
    <d v="1899-12-30T06:00:00"/>
    <s v="06"/>
    <s v="00"/>
    <x v="0"/>
    <x v="1"/>
    <x v="72"/>
    <d v="1899-12-30T02:00:00"/>
    <x v="2"/>
    <x v="19"/>
    <n v="0"/>
  </r>
  <r>
    <x v="0"/>
    <d v="2024-09-08T00:00:00"/>
    <x v="2"/>
    <x v="45"/>
    <x v="137"/>
    <s v="H"/>
    <x v="1"/>
    <x v="8"/>
    <d v="1899-12-30T03:02:00"/>
    <s v="03"/>
    <s v="02"/>
    <x v="0"/>
    <x v="1"/>
    <x v="45"/>
    <d v="1899-12-30T01:00:00"/>
    <x v="4"/>
    <x v="0"/>
    <n v="1"/>
  </r>
  <r>
    <x v="0"/>
    <d v="2024-09-08T00:00:00"/>
    <x v="2"/>
    <x v="45"/>
    <x v="137"/>
    <s v="H"/>
    <x v="1"/>
    <x v="8"/>
    <d v="1899-12-30T03:02:00"/>
    <s v="03"/>
    <s v="02"/>
    <x v="0"/>
    <x v="1"/>
    <x v="5"/>
    <d v="1899-12-30T02:02:00"/>
    <x v="3"/>
    <x v="22"/>
    <n v="0"/>
  </r>
  <r>
    <x v="1"/>
    <d v="2024-09-08T00:00:00"/>
    <x v="6"/>
    <x v="24"/>
    <x v="138"/>
    <s v="H"/>
    <x v="2"/>
    <x v="70"/>
    <d v="1899-12-30T04:00:00"/>
    <s v="04"/>
    <s v="00"/>
    <x v="0"/>
    <x v="1"/>
    <x v="12"/>
    <d v="1899-12-30T01:00:00"/>
    <x v="3"/>
    <x v="11"/>
    <n v="0"/>
  </r>
  <r>
    <x v="1"/>
    <d v="2024-09-08T00:00:00"/>
    <x v="6"/>
    <x v="24"/>
    <x v="138"/>
    <s v="H"/>
    <x v="2"/>
    <x v="70"/>
    <d v="1899-12-30T04:00:00"/>
    <s v="04"/>
    <s v="00"/>
    <x v="0"/>
    <x v="1"/>
    <x v="31"/>
    <d v="1899-12-30T03:00:00"/>
    <x v="2"/>
    <x v="26"/>
    <n v="0"/>
  </r>
  <r>
    <x v="0"/>
    <d v="2024-09-08T00:00:00"/>
    <x v="6"/>
    <x v="24"/>
    <x v="139"/>
    <s v="A"/>
    <x v="1"/>
    <x v="71"/>
    <d v="1899-12-30T00:01:00"/>
    <s v="00"/>
    <s v="01"/>
    <x v="1"/>
    <x v="1"/>
    <x v="80"/>
    <d v="1899-12-30T00:01:00"/>
    <x v="10"/>
    <x v="38"/>
    <n v="0"/>
  </r>
  <r>
    <x v="1"/>
    <d v="2024-09-08T00:00:00"/>
    <x v="4"/>
    <x v="45"/>
    <x v="140"/>
    <s v="A"/>
    <x v="2"/>
    <x v="40"/>
    <d v="1899-12-30T00:01:00"/>
    <s v="00"/>
    <s v="01"/>
    <x v="1"/>
    <x v="1"/>
    <x v="65"/>
    <d v="1899-12-30T00:01:00"/>
    <x v="3"/>
    <x v="19"/>
    <n v="0"/>
  </r>
  <r>
    <x v="0"/>
    <d v="2024-09-08T00:00:00"/>
    <x v="2"/>
    <x v="16"/>
    <x v="141"/>
    <s v="H"/>
    <x v="1"/>
    <x v="6"/>
    <d v="1899-12-30T05:02:00"/>
    <s v="05"/>
    <s v="02"/>
    <x v="0"/>
    <x v="1"/>
    <x v="24"/>
    <d v="1899-12-30T03:02:00"/>
    <x v="1"/>
    <x v="12"/>
    <n v="0"/>
  </r>
  <r>
    <x v="0"/>
    <d v="2024-09-08T00:00:00"/>
    <x v="2"/>
    <x v="16"/>
    <x v="141"/>
    <s v="H"/>
    <x v="1"/>
    <x v="6"/>
    <d v="1899-12-30T05:02:00"/>
    <s v="05"/>
    <s v="02"/>
    <x v="0"/>
    <x v="1"/>
    <x v="50"/>
    <d v="1899-12-30T01:02:00"/>
    <x v="6"/>
    <x v="0"/>
    <n v="1"/>
  </r>
  <r>
    <x v="1"/>
    <d v="2024-09-08T00:00:00"/>
    <x v="4"/>
    <x v="46"/>
    <x v="141"/>
    <s v="A"/>
    <x v="2"/>
    <x v="58"/>
    <d v="1899-12-30T02:02:00"/>
    <s v="02"/>
    <s v="02"/>
    <x v="2"/>
    <x v="1"/>
    <x v="35"/>
    <d v="1899-12-30T00:01:00"/>
    <x v="3"/>
    <x v="16"/>
    <n v="0"/>
  </r>
  <r>
    <x v="1"/>
    <d v="2024-09-08T00:00:00"/>
    <x v="4"/>
    <x v="16"/>
    <x v="142"/>
    <s v="A"/>
    <x v="2"/>
    <x v="36"/>
    <d v="1899-12-30T02:06:00"/>
    <s v="02"/>
    <s v="06"/>
    <x v="1"/>
    <x v="2"/>
    <x v="57"/>
    <d v="1899-12-30T01:03:00"/>
    <x v="3"/>
    <x v="19"/>
    <n v="0"/>
  </r>
  <r>
    <x v="1"/>
    <d v="2024-09-08T00:00:00"/>
    <x v="4"/>
    <x v="16"/>
    <x v="142"/>
    <s v="A"/>
    <x v="2"/>
    <x v="36"/>
    <d v="1899-12-30T02:06:00"/>
    <s v="02"/>
    <s v="06"/>
    <x v="1"/>
    <x v="2"/>
    <x v="28"/>
    <d v="1899-12-30T02:05:00"/>
    <x v="3"/>
    <x v="19"/>
    <n v="0"/>
  </r>
  <r>
    <x v="0"/>
    <d v="2024-09-08T00:00:00"/>
    <x v="6"/>
    <x v="15"/>
    <x v="143"/>
    <s v="A"/>
    <x v="1"/>
    <x v="12"/>
    <d v="1899-12-30T01:03:00"/>
    <s v="01"/>
    <s v="03"/>
    <x v="1"/>
    <x v="2"/>
    <x v="45"/>
    <d v="1899-12-30T00:02:00"/>
    <x v="4"/>
    <x v="0"/>
    <n v="1"/>
  </r>
  <r>
    <x v="0"/>
    <d v="2024-09-08T00:00:00"/>
    <x v="6"/>
    <x v="15"/>
    <x v="143"/>
    <s v="A"/>
    <x v="1"/>
    <x v="12"/>
    <d v="1899-12-30T01:03:00"/>
    <s v="01"/>
    <s v="03"/>
    <x v="1"/>
    <x v="2"/>
    <x v="75"/>
    <d v="1899-12-30T00:03:00"/>
    <x v="2"/>
    <x v="12"/>
    <n v="0"/>
  </r>
  <r>
    <x v="0"/>
    <d v="2024-09-08T00:00:00"/>
    <x v="2"/>
    <x v="48"/>
    <x v="144"/>
    <s v="H"/>
    <x v="1"/>
    <x v="5"/>
    <d v="1899-12-30T02:00:00"/>
    <s v="02"/>
    <s v="00"/>
    <x v="0"/>
    <x v="1"/>
    <x v="81"/>
    <d v="1899-12-30T01:00:00"/>
    <x v="4"/>
    <x v="0"/>
    <n v="1"/>
  </r>
  <r>
    <x v="1"/>
    <d v="2024-09-08T00:00:00"/>
    <x v="8"/>
    <x v="8"/>
    <x v="145"/>
    <s v="H"/>
    <x v="2"/>
    <x v="23"/>
    <d v="1899-12-30T04:01:00"/>
    <s v="04"/>
    <s v="01"/>
    <x v="0"/>
    <x v="1"/>
    <x v="82"/>
    <d v="1899-12-30T02:01:00"/>
    <x v="3"/>
    <x v="11"/>
    <n v="0"/>
  </r>
  <r>
    <x v="1"/>
    <d v="2024-09-08T00:00:00"/>
    <x v="6"/>
    <x v="8"/>
    <x v="146"/>
    <s v="H"/>
    <x v="2"/>
    <x v="72"/>
    <d v="1899-12-30T02:00:00"/>
    <s v="02"/>
    <s v="00"/>
    <x v="0"/>
    <x v="2"/>
    <x v="62"/>
    <d v="1899-12-30T02:00:00"/>
    <x v="1"/>
    <x v="19"/>
    <n v="0"/>
  </r>
  <r>
    <x v="1"/>
    <d v="2024-10-09T00:00:00"/>
    <x v="10"/>
    <x v="8"/>
    <x v="147"/>
    <s v="H"/>
    <x v="2"/>
    <x v="23"/>
    <d v="1899-12-30T03:00:00"/>
    <s v="03"/>
    <s v="00"/>
    <x v="0"/>
    <x v="1"/>
    <x v="24"/>
    <d v="1899-12-30T02:00:00"/>
    <x v="6"/>
    <x v="0"/>
    <n v="1"/>
  </r>
  <r>
    <x v="1"/>
    <d v="2024-10-09T00:00:00"/>
    <x v="10"/>
    <x v="8"/>
    <x v="147"/>
    <s v="H"/>
    <x v="2"/>
    <x v="23"/>
    <d v="1899-12-30T03:00:00"/>
    <s v="03"/>
    <s v="00"/>
    <x v="0"/>
    <x v="1"/>
    <x v="25"/>
    <d v="1899-12-30T01:00:00"/>
    <x v="2"/>
    <x v="39"/>
    <n v="0"/>
  </r>
  <r>
    <x v="0"/>
    <d v="2024-10-09T00:00:00"/>
    <x v="4"/>
    <x v="27"/>
    <x v="148"/>
    <s v="H"/>
    <x v="3"/>
    <x v="73"/>
    <d v="1899-12-30T03:02:00"/>
    <s v="03"/>
    <s v="02"/>
    <x v="0"/>
    <x v="1"/>
    <x v="57"/>
    <d v="1899-12-30T02:01:00"/>
    <x v="6"/>
    <x v="0"/>
    <n v="1"/>
  </r>
  <r>
    <x v="1"/>
    <d v="2024-10-09T00:00:00"/>
    <x v="4"/>
    <x v="28"/>
    <x v="149"/>
    <s v="A"/>
    <x v="2"/>
    <x v="40"/>
    <d v="1899-12-30T00:02:00"/>
    <s v="00"/>
    <s v="02"/>
    <x v="1"/>
    <x v="1"/>
    <x v="76"/>
    <d v="1899-12-30T00:02:00"/>
    <x v="1"/>
    <x v="39"/>
    <n v="0"/>
  </r>
  <r>
    <x v="0"/>
    <d v="2024-10-09T00:00:00"/>
    <x v="4"/>
    <x v="28"/>
    <x v="149"/>
    <s v="A"/>
    <x v="3"/>
    <x v="43"/>
    <d v="1899-12-30T00:03:00"/>
    <s v="00"/>
    <s v="03"/>
    <x v="1"/>
    <x v="1"/>
    <x v="21"/>
    <d v="1899-12-30T00:03:00"/>
    <x v="2"/>
    <x v="40"/>
    <n v="0"/>
  </r>
  <r>
    <x v="0"/>
    <d v="2024-10-09T00:00:00"/>
    <x v="6"/>
    <x v="18"/>
    <x v="150"/>
    <s v="A"/>
    <x v="3"/>
    <x v="74"/>
    <d v="1899-12-30T02:05:00"/>
    <s v="02"/>
    <s v="05"/>
    <x v="1"/>
    <x v="2"/>
    <x v="7"/>
    <d v="1899-12-30T02:04:00"/>
    <x v="4"/>
    <x v="0"/>
    <n v="1"/>
  </r>
  <r>
    <x v="0"/>
    <d v="2024-10-09T00:00:00"/>
    <x v="6"/>
    <x v="18"/>
    <x v="150"/>
    <s v="A"/>
    <x v="3"/>
    <x v="74"/>
    <d v="1899-12-30T02:05:00"/>
    <s v="02"/>
    <s v="05"/>
    <x v="1"/>
    <x v="2"/>
    <x v="83"/>
    <d v="1899-12-30T00:01:00"/>
    <x v="4"/>
    <x v="0"/>
    <n v="1"/>
  </r>
  <r>
    <x v="1"/>
    <d v="2024-10-09T00:00:00"/>
    <x v="4"/>
    <x v="47"/>
    <x v="151"/>
    <s v="H"/>
    <x v="2"/>
    <x v="42"/>
    <d v="1899-12-30T05:02:00"/>
    <s v="05"/>
    <s v="02"/>
    <x v="0"/>
    <x v="1"/>
    <x v="84"/>
    <d v="1899-12-30T02:00:00"/>
    <x v="3"/>
    <x v="19"/>
    <n v="0"/>
  </r>
  <r>
    <x v="1"/>
    <d v="2024-10-09T00:00:00"/>
    <x v="4"/>
    <x v="47"/>
    <x v="151"/>
    <s v="H"/>
    <x v="2"/>
    <x v="42"/>
    <d v="1899-12-30T05:02:00"/>
    <s v="05"/>
    <s v="02"/>
    <x v="0"/>
    <x v="1"/>
    <x v="59"/>
    <d v="1899-12-30T05:02:00"/>
    <x v="2"/>
    <x v="34"/>
    <n v="0"/>
  </r>
  <r>
    <x v="0"/>
    <d v="2024-10-09T00:00:00"/>
    <x v="4"/>
    <x v="47"/>
    <x v="152"/>
    <s v="H"/>
    <x v="3"/>
    <x v="75"/>
    <d v="1899-12-30T05:00:00"/>
    <s v="05"/>
    <s v="00"/>
    <x v="0"/>
    <x v="1"/>
    <x v="28"/>
    <d v="1899-12-30T02:00:00"/>
    <x v="1"/>
    <x v="41"/>
    <n v="0"/>
  </r>
  <r>
    <x v="0"/>
    <d v="2024-10-09T00:00:00"/>
    <x v="4"/>
    <x v="47"/>
    <x v="152"/>
    <s v="H"/>
    <x v="3"/>
    <x v="75"/>
    <d v="1899-12-30T05:00:00"/>
    <s v="05"/>
    <s v="00"/>
    <x v="0"/>
    <x v="1"/>
    <x v="85"/>
    <d v="1899-12-30T01:00:00"/>
    <x v="2"/>
    <x v="0"/>
    <n v="1"/>
  </r>
  <r>
    <x v="1"/>
    <d v="2024-10-09T00:00:00"/>
    <x v="4"/>
    <x v="37"/>
    <x v="153"/>
    <s v="A"/>
    <x v="2"/>
    <x v="20"/>
    <d v="1899-12-30T01:04:00"/>
    <s v="01"/>
    <s v="04"/>
    <x v="1"/>
    <x v="1"/>
    <x v="20"/>
    <d v="1899-12-30T00:04:00"/>
    <x v="3"/>
    <x v="19"/>
    <n v="0"/>
  </r>
  <r>
    <x v="1"/>
    <d v="2024-10-09T00:00:00"/>
    <x v="4"/>
    <x v="37"/>
    <x v="153"/>
    <s v="A"/>
    <x v="2"/>
    <x v="20"/>
    <d v="1899-12-30T01:04:00"/>
    <s v="01"/>
    <s v="04"/>
    <x v="1"/>
    <x v="1"/>
    <x v="35"/>
    <d v="1899-12-30T00:02:00"/>
    <x v="3"/>
    <x v="19"/>
    <n v="0"/>
  </r>
  <r>
    <x v="0"/>
    <d v="2024-10-09T00:00:00"/>
    <x v="4"/>
    <x v="37"/>
    <x v="154"/>
    <s v="A"/>
    <x v="3"/>
    <x v="76"/>
    <d v="1899-12-30T00:02:00"/>
    <s v="00"/>
    <s v="02"/>
    <x v="1"/>
    <x v="2"/>
    <x v="86"/>
    <d v="1899-12-30T00:01:00"/>
    <x v="2"/>
    <x v="0"/>
    <n v="1"/>
  </r>
  <r>
    <x v="1"/>
    <d v="2024-10-09T00:00:00"/>
    <x v="6"/>
    <x v="18"/>
    <x v="155"/>
    <s v="H"/>
    <x v="2"/>
    <x v="49"/>
    <d v="1899-12-30T02:00:00"/>
    <s v="02"/>
    <s v="00"/>
    <x v="0"/>
    <x v="1"/>
    <x v="73"/>
    <d v="1899-12-30T01:00:00"/>
    <x v="3"/>
    <x v="16"/>
    <n v="0"/>
  </r>
  <r>
    <x v="0"/>
    <d v="2024-10-09T00:00:00"/>
    <x v="6"/>
    <x v="18"/>
    <x v="156"/>
    <s v="H"/>
    <x v="3"/>
    <x v="77"/>
    <d v="1899-12-30T03:00:00"/>
    <s v="03"/>
    <s v="00"/>
    <x v="0"/>
    <x v="2"/>
    <x v="15"/>
    <d v="1899-12-30T01:00:00"/>
    <x v="3"/>
    <x v="42"/>
    <n v="0"/>
  </r>
  <r>
    <x v="0"/>
    <d v="2024-10-09T00:00:00"/>
    <x v="6"/>
    <x v="18"/>
    <x v="156"/>
    <s v="H"/>
    <x v="3"/>
    <x v="77"/>
    <d v="1899-12-30T03:00:00"/>
    <s v="03"/>
    <s v="00"/>
    <x v="0"/>
    <x v="2"/>
    <x v="87"/>
    <d v="1899-12-30T03:00:00"/>
    <x v="2"/>
    <x v="43"/>
    <n v="0"/>
  </r>
  <r>
    <x v="1"/>
    <d v="2024-10-09T00:00:00"/>
    <x v="4"/>
    <x v="1"/>
    <x v="157"/>
    <s v="H"/>
    <x v="2"/>
    <x v="26"/>
    <d v="1899-12-30T06:01:00"/>
    <s v="06"/>
    <s v="01"/>
    <x v="0"/>
    <x v="1"/>
    <x v="5"/>
    <d v="1899-12-30T05:01:00"/>
    <x v="3"/>
    <x v="16"/>
    <n v="0"/>
  </r>
  <r>
    <x v="1"/>
    <d v="2024-10-09T00:00:00"/>
    <x v="4"/>
    <x v="29"/>
    <x v="158"/>
    <s v="H"/>
    <x v="2"/>
    <x v="25"/>
    <d v="1899-12-30T04:02:00"/>
    <s v="04"/>
    <s v="02"/>
    <x v="0"/>
    <x v="1"/>
    <x v="46"/>
    <d v="1899-12-30T04:01:00"/>
    <x v="6"/>
    <x v="0"/>
    <n v="1"/>
  </r>
  <r>
    <x v="1"/>
    <d v="2024-10-09T00:00:00"/>
    <x v="8"/>
    <x v="49"/>
    <x v="159"/>
    <s v="H"/>
    <x v="2"/>
    <x v="78"/>
    <d v="1899-12-30T05:00:00"/>
    <s v="05"/>
    <s v="00"/>
    <x v="0"/>
    <x v="1"/>
    <x v="87"/>
    <d v="1899-12-30T04:00:00"/>
    <x v="3"/>
    <x v="44"/>
    <n v="0"/>
  </r>
  <r>
    <x v="1"/>
    <d v="2024-10-09T00:00:00"/>
    <x v="4"/>
    <x v="19"/>
    <x v="160"/>
    <s v="A"/>
    <x v="2"/>
    <x v="38"/>
    <d v="1899-12-30T01:03:00"/>
    <s v="01"/>
    <s v="03"/>
    <x v="1"/>
    <x v="1"/>
    <x v="5"/>
    <d v="1899-12-30T01:02:00"/>
    <x v="1"/>
    <x v="44"/>
    <n v="0"/>
  </r>
  <r>
    <x v="1"/>
    <d v="2024-10-09T00:00:00"/>
    <x v="4"/>
    <x v="19"/>
    <x v="160"/>
    <s v="A"/>
    <x v="2"/>
    <x v="38"/>
    <d v="1899-12-30T01:03:00"/>
    <s v="01"/>
    <s v="03"/>
    <x v="1"/>
    <x v="1"/>
    <x v="72"/>
    <d v="1899-12-30T00:01:00"/>
    <x v="3"/>
    <x v="34"/>
    <n v="0"/>
  </r>
  <r>
    <x v="0"/>
    <d v="2024-10-09T00:00:00"/>
    <x v="4"/>
    <x v="19"/>
    <x v="160"/>
    <s v="H"/>
    <x v="3"/>
    <x v="79"/>
    <d v="1899-12-30T04:02:00"/>
    <s v="04"/>
    <s v="02"/>
    <x v="0"/>
    <x v="2"/>
    <x v="33"/>
    <d v="1899-12-30T04:02:00"/>
    <x v="2"/>
    <x v="45"/>
    <n v="0"/>
  </r>
  <r>
    <x v="0"/>
    <d v="2024-10-09T00:00:00"/>
    <x v="6"/>
    <x v="18"/>
    <x v="161"/>
    <s v="A"/>
    <x v="3"/>
    <x v="77"/>
    <d v="1899-12-30T01:03:00"/>
    <s v="01"/>
    <s v="03"/>
    <x v="1"/>
    <x v="2"/>
    <x v="49"/>
    <d v="1899-12-30T00:01:00"/>
    <x v="4"/>
    <x v="0"/>
    <n v="1"/>
  </r>
  <r>
    <x v="0"/>
    <d v="2024-10-09T00:00:00"/>
    <x v="6"/>
    <x v="18"/>
    <x v="161"/>
    <s v="A"/>
    <x v="3"/>
    <x v="77"/>
    <d v="1899-12-30T01:03:00"/>
    <s v="01"/>
    <s v="03"/>
    <x v="1"/>
    <x v="2"/>
    <x v="5"/>
    <d v="1899-12-30T01:03:00"/>
    <x v="2"/>
    <x v="46"/>
    <n v="0"/>
  </r>
  <r>
    <x v="1"/>
    <d v="2024-10-09T00:00:00"/>
    <x v="6"/>
    <x v="18"/>
    <x v="162"/>
    <s v="A"/>
    <x v="2"/>
    <x v="49"/>
    <d v="1899-12-30T01:02:00"/>
    <s v="01"/>
    <s v="02"/>
    <x v="1"/>
    <x v="1"/>
    <x v="46"/>
    <d v="1899-12-30T01:02:00"/>
    <x v="4"/>
    <x v="0"/>
    <n v="1"/>
  </r>
  <r>
    <x v="1"/>
    <d v="2024-10-09T00:00:00"/>
    <x v="9"/>
    <x v="15"/>
    <x v="163"/>
    <s v="A"/>
    <x v="2"/>
    <x v="80"/>
    <d v="1899-12-30T01:03:00"/>
    <s v="01"/>
    <s v="03"/>
    <x v="1"/>
    <x v="1"/>
    <x v="82"/>
    <d v="1899-12-30T01:02:00"/>
    <x v="3"/>
    <x v="39"/>
    <n v="0"/>
  </r>
  <r>
    <x v="1"/>
    <d v="2024-10-09T00:00:00"/>
    <x v="9"/>
    <x v="8"/>
    <x v="164"/>
    <s v="A"/>
    <x v="2"/>
    <x v="81"/>
    <d v="1899-12-30T01:02:00"/>
    <n v="1"/>
    <n v="2"/>
    <x v="1"/>
    <x v="1"/>
    <x v="88"/>
    <d v="1899-12-30T01:02:00"/>
    <x v="11"/>
    <x v="34"/>
    <n v="0"/>
  </r>
  <r>
    <x v="0"/>
    <d v="2024-10-09T00:00:00"/>
    <x v="4"/>
    <x v="30"/>
    <x v="164"/>
    <s v="H"/>
    <x v="3"/>
    <x v="26"/>
    <d v="1899-12-30T06:00:00"/>
    <s v="06"/>
    <s v="00"/>
    <x v="0"/>
    <x v="2"/>
    <x v="25"/>
    <d v="1899-12-30T05:00:00"/>
    <x v="3"/>
    <x v="47"/>
    <n v="0"/>
  </r>
  <r>
    <x v="1"/>
    <d v="2024-10-09T00:00:00"/>
    <x v="4"/>
    <x v="31"/>
    <x v="165"/>
    <s v="A"/>
    <x v="2"/>
    <x v="82"/>
    <d v="1899-12-30T00:05:00"/>
    <s v="00"/>
    <s v="05"/>
    <x v="1"/>
    <x v="1"/>
    <x v="28"/>
    <d v="1899-12-30T00:04:00"/>
    <x v="3"/>
    <x v="33"/>
    <n v="0"/>
  </r>
  <r>
    <x v="1"/>
    <d v="2024-10-09T00:00:00"/>
    <x v="4"/>
    <x v="31"/>
    <x v="165"/>
    <s v="A"/>
    <x v="2"/>
    <x v="82"/>
    <d v="1899-12-30T00:05:00"/>
    <s v="00"/>
    <s v="05"/>
    <x v="1"/>
    <x v="1"/>
    <x v="32"/>
    <d v="1899-12-30T00:03:00"/>
    <x v="2"/>
    <x v="33"/>
    <n v="0"/>
  </r>
  <r>
    <x v="1"/>
    <d v="2024-10-09T00:00:00"/>
    <x v="4"/>
    <x v="31"/>
    <x v="165"/>
    <s v="A"/>
    <x v="2"/>
    <x v="82"/>
    <d v="1899-12-30T00:05:00"/>
    <s v="00"/>
    <s v="05"/>
    <x v="1"/>
    <x v="1"/>
    <x v="37"/>
    <d v="1899-12-30T00:01:00"/>
    <x v="3"/>
    <x v="33"/>
    <n v="0"/>
  </r>
  <r>
    <x v="1"/>
    <d v="2024-10-09T00:00:00"/>
    <x v="4"/>
    <x v="42"/>
    <x v="166"/>
    <s v="H"/>
    <x v="2"/>
    <x v="34"/>
    <d v="1899-12-30T04:00:00"/>
    <s v="04"/>
    <s v="00"/>
    <x v="0"/>
    <x v="1"/>
    <x v="19"/>
    <d v="1899-12-30T04:00:00"/>
    <x v="3"/>
    <x v="48"/>
    <n v="0"/>
  </r>
  <r>
    <x v="1"/>
    <d v="2024-10-09T00:00:00"/>
    <x v="4"/>
    <x v="42"/>
    <x v="166"/>
    <s v="H"/>
    <x v="2"/>
    <x v="34"/>
    <d v="1899-12-30T04:00:00"/>
    <s v="04"/>
    <s v="00"/>
    <x v="0"/>
    <x v="1"/>
    <x v="41"/>
    <d v="1899-12-30T03:00:00"/>
    <x v="3"/>
    <x v="34"/>
    <n v="0"/>
  </r>
  <r>
    <x v="1"/>
    <d v="2024-10-09T00:00:00"/>
    <x v="4"/>
    <x v="22"/>
    <x v="167"/>
    <s v="A"/>
    <x v="2"/>
    <x v="83"/>
    <d v="1899-12-30T00:03:00"/>
    <s v="00"/>
    <s v="03"/>
    <x v="1"/>
    <x v="1"/>
    <x v="14"/>
    <d v="1899-12-30T00:03:00"/>
    <x v="3"/>
    <x v="39"/>
    <n v="0"/>
  </r>
  <r>
    <x v="0"/>
    <d v="2024-10-09T00:00:00"/>
    <x v="4"/>
    <x v="22"/>
    <x v="168"/>
    <s v="H"/>
    <x v="3"/>
    <x v="63"/>
    <d v="1899-12-30T02:00:00"/>
    <s v="02"/>
    <s v="00"/>
    <x v="0"/>
    <x v="1"/>
    <x v="57"/>
    <d v="1899-12-30T01:00:00"/>
    <x v="2"/>
    <x v="49"/>
    <n v="0"/>
  </r>
  <r>
    <x v="0"/>
    <d v="2024-10-09T00:00:00"/>
    <x v="4"/>
    <x v="22"/>
    <x v="168"/>
    <s v="H"/>
    <x v="3"/>
    <x v="63"/>
    <d v="1899-12-30T02:00:00"/>
    <s v="02"/>
    <s v="00"/>
    <x v="0"/>
    <x v="1"/>
    <x v="40"/>
    <d v="1899-12-30T02:00:00"/>
    <x v="2"/>
    <x v="40"/>
    <n v="0"/>
  </r>
  <r>
    <x v="1"/>
    <d v="2024-10-09T00:00:00"/>
    <x v="4"/>
    <x v="23"/>
    <x v="169"/>
    <s v="H"/>
    <x v="2"/>
    <x v="40"/>
    <d v="1899-12-30T02:01:00"/>
    <s v="02"/>
    <s v="01"/>
    <x v="0"/>
    <x v="1"/>
    <x v="89"/>
    <d v="1899-12-30T01:00:00"/>
    <x v="3"/>
    <x v="50"/>
    <n v="0"/>
  </r>
  <r>
    <x v="0"/>
    <d v="2024-10-09T00:00:00"/>
    <x v="4"/>
    <x v="43"/>
    <x v="170"/>
    <s v="A"/>
    <x v="3"/>
    <x v="75"/>
    <d v="1899-12-30T00:03:00"/>
    <s v="00"/>
    <s v="03"/>
    <x v="1"/>
    <x v="1"/>
    <x v="90"/>
    <d v="1899-12-30T00:03:00"/>
    <x v="3"/>
    <x v="49"/>
    <n v="0"/>
  </r>
  <r>
    <x v="0"/>
    <d v="2024-10-09T00:00:00"/>
    <x v="4"/>
    <x v="43"/>
    <x v="170"/>
    <s v="A"/>
    <x v="3"/>
    <x v="75"/>
    <d v="1899-12-30T00:03:00"/>
    <s v="00"/>
    <s v="03"/>
    <x v="1"/>
    <x v="1"/>
    <x v="64"/>
    <d v="1899-12-30T00:02:00"/>
    <x v="1"/>
    <x v="49"/>
    <n v="0"/>
  </r>
  <r>
    <x v="0"/>
    <d v="2024-10-09T00:00:00"/>
    <x v="4"/>
    <x v="32"/>
    <x v="171"/>
    <s v="H"/>
    <x v="3"/>
    <x v="76"/>
    <d v="1899-12-30T06:02:00"/>
    <s v="06"/>
    <s v="02"/>
    <x v="0"/>
    <x v="1"/>
    <x v="65"/>
    <d v="1899-12-30T01:00:00"/>
    <x v="4"/>
    <x v="0"/>
    <n v="1"/>
  </r>
  <r>
    <x v="0"/>
    <d v="2024-10-09T00:00:00"/>
    <x v="4"/>
    <x v="11"/>
    <x v="172"/>
    <s v="A"/>
    <x v="3"/>
    <x v="82"/>
    <d v="1899-12-30T01:05:00"/>
    <s v="01"/>
    <s v="05"/>
    <x v="1"/>
    <x v="1"/>
    <x v="76"/>
    <d v="1899-12-30T01:04:00"/>
    <x v="6"/>
    <x v="0"/>
    <n v="1"/>
  </r>
  <r>
    <x v="1"/>
    <d v="2024-10-09T00:00:00"/>
    <x v="4"/>
    <x v="11"/>
    <x v="172"/>
    <s v="H"/>
    <x v="2"/>
    <x v="63"/>
    <d v="1899-12-30T02:01:00"/>
    <s v="02"/>
    <s v="01"/>
    <x v="0"/>
    <x v="1"/>
    <x v="33"/>
    <d v="1899-12-30T02:01:00"/>
    <x v="2"/>
    <x v="34"/>
    <n v="0"/>
  </r>
  <r>
    <x v="1"/>
    <d v="2024-10-09T00:00:00"/>
    <x v="4"/>
    <x v="12"/>
    <x v="173"/>
    <s v="A"/>
    <x v="2"/>
    <x v="50"/>
    <d v="1899-12-30T02:02:00"/>
    <s v="02"/>
    <s v="02"/>
    <x v="2"/>
    <x v="1"/>
    <x v="55"/>
    <d v="1899-12-30T02:02:00"/>
    <x v="3"/>
    <x v="0"/>
    <n v="1"/>
  </r>
  <r>
    <x v="1"/>
    <d v="2024-10-09T00:00:00"/>
    <x v="4"/>
    <x v="12"/>
    <x v="173"/>
    <s v="A"/>
    <x v="2"/>
    <x v="50"/>
    <d v="1899-12-30T02:02:00"/>
    <s v="02"/>
    <s v="02"/>
    <x v="2"/>
    <x v="1"/>
    <x v="29"/>
    <d v="1899-12-30T01:01:00"/>
    <x v="4"/>
    <x v="0"/>
    <n v="1"/>
  </r>
  <r>
    <x v="0"/>
    <d v="2024-10-09T00:00:00"/>
    <x v="4"/>
    <x v="12"/>
    <x v="173"/>
    <s v="H"/>
    <x v="3"/>
    <x v="34"/>
    <d v="1899-12-30T03:02:00"/>
    <s v="03"/>
    <s v="02"/>
    <x v="0"/>
    <x v="2"/>
    <x v="34"/>
    <d v="1899-12-30T01:02:00"/>
    <x v="3"/>
    <x v="0"/>
    <n v="1"/>
  </r>
  <r>
    <x v="0"/>
    <d v="2024-10-09T00:00:00"/>
    <x v="6"/>
    <x v="44"/>
    <x v="174"/>
    <s v="H"/>
    <x v="3"/>
    <x v="46"/>
    <d v="1899-12-30T01:01:00"/>
    <s v="01"/>
    <s v="01"/>
    <x v="2"/>
    <x v="0"/>
    <x v="80"/>
    <d v="1899-12-30T01:00:00"/>
    <x v="3"/>
    <x v="40"/>
    <n v="0"/>
  </r>
  <r>
    <x v="1"/>
    <d v="2024-10-09T00:00:00"/>
    <x v="4"/>
    <x v="25"/>
    <x v="175"/>
    <s v="H"/>
    <x v="2"/>
    <x v="58"/>
    <d v="1899-12-30T03:00:00"/>
    <s v="03"/>
    <s v="00"/>
    <x v="0"/>
    <x v="2"/>
    <x v="66"/>
    <d v="1899-12-30T01:00:00"/>
    <x v="3"/>
    <x v="19"/>
    <n v="0"/>
  </r>
  <r>
    <x v="1"/>
    <d v="2024-10-09T00:00:00"/>
    <x v="4"/>
    <x v="25"/>
    <x v="175"/>
    <s v="H"/>
    <x v="2"/>
    <x v="58"/>
    <d v="1899-12-30T03:00:00"/>
    <s v="03"/>
    <s v="00"/>
    <x v="0"/>
    <x v="2"/>
    <x v="5"/>
    <d v="1899-12-30T02:00:00"/>
    <x v="3"/>
    <x v="26"/>
    <n v="0"/>
  </r>
  <r>
    <x v="1"/>
    <d v="2024-10-09T00:00:00"/>
    <x v="4"/>
    <x v="25"/>
    <x v="175"/>
    <s v="H"/>
    <x v="2"/>
    <x v="58"/>
    <d v="1899-12-30T03:00:00"/>
    <s v="03"/>
    <s v="00"/>
    <x v="0"/>
    <x v="2"/>
    <x v="26"/>
    <d v="1899-12-30T03:00:00"/>
    <x v="2"/>
    <x v="26"/>
    <n v="0"/>
  </r>
  <r>
    <x v="0"/>
    <d v="2024-10-09T00:00:00"/>
    <x v="4"/>
    <x v="25"/>
    <x v="175"/>
    <s v="A"/>
    <x v="3"/>
    <x v="83"/>
    <d v="1899-12-30T01:04:00"/>
    <s v="01"/>
    <s v="04"/>
    <x v="1"/>
    <x v="2"/>
    <x v="48"/>
    <d v="1899-12-30T00:01:00"/>
    <x v="4"/>
    <x v="0"/>
    <n v="1"/>
  </r>
  <r>
    <x v="1"/>
    <d v="2024-10-09T00:00:00"/>
    <x v="6"/>
    <x v="44"/>
    <x v="176"/>
    <s v="H"/>
    <x v="2"/>
    <x v="48"/>
    <d v="1899-12-30T04:00:00"/>
    <s v="04"/>
    <s v="00"/>
    <x v="0"/>
    <x v="2"/>
    <x v="4"/>
    <d v="1899-12-30T01:00:00"/>
    <x v="3"/>
    <x v="50"/>
    <n v="0"/>
  </r>
  <r>
    <x v="1"/>
    <d v="2024-10-09T00:00:00"/>
    <x v="6"/>
    <x v="44"/>
    <x v="176"/>
    <s v="H"/>
    <x v="2"/>
    <x v="48"/>
    <d v="1899-12-30T04:00:00"/>
    <s v="04"/>
    <s v="00"/>
    <x v="0"/>
    <x v="2"/>
    <x v="66"/>
    <d v="1899-12-30T03:00:00"/>
    <x v="3"/>
    <x v="34"/>
    <n v="0"/>
  </r>
  <r>
    <x v="1"/>
    <d v="2024-10-09T00:00:00"/>
    <x v="4"/>
    <x v="33"/>
    <x v="177"/>
    <s v="A"/>
    <x v="2"/>
    <x v="26"/>
    <d v="1899-12-30T02:04:00"/>
    <s v="02"/>
    <s v="04"/>
    <x v="1"/>
    <x v="1"/>
    <x v="9"/>
    <d v="1899-12-30T00:01:00"/>
    <x v="1"/>
    <x v="44"/>
    <n v="0"/>
  </r>
  <r>
    <x v="1"/>
    <d v="2024-10-09T00:00:00"/>
    <x v="4"/>
    <x v="33"/>
    <x v="177"/>
    <s v="A"/>
    <x v="2"/>
    <x v="26"/>
    <d v="1899-12-30T02:04:00"/>
    <s v="02"/>
    <s v="04"/>
    <x v="1"/>
    <x v="1"/>
    <x v="77"/>
    <d v="1899-12-30T00:02:00"/>
    <x v="3"/>
    <x v="0"/>
    <n v="1"/>
  </r>
  <r>
    <x v="1"/>
    <d v="2024-10-09T00:00:00"/>
    <x v="4"/>
    <x v="33"/>
    <x v="177"/>
    <s v="A"/>
    <x v="2"/>
    <x v="26"/>
    <d v="1899-12-30T02:04:00"/>
    <s v="02"/>
    <s v="04"/>
    <x v="1"/>
    <x v="1"/>
    <x v="76"/>
    <d v="1899-12-30T00:03:00"/>
    <x v="3"/>
    <x v="16"/>
    <n v="0"/>
  </r>
  <r>
    <x v="0"/>
    <d v="2024-10-09T00:00:00"/>
    <x v="4"/>
    <x v="26"/>
    <x v="178"/>
    <s v="A"/>
    <x v="3"/>
    <x v="40"/>
    <d v="1899-12-30T02:04:00"/>
    <s v="02"/>
    <s v="04"/>
    <x v="1"/>
    <x v="1"/>
    <x v="4"/>
    <d v="1899-12-30T00:01:00"/>
    <x v="4"/>
    <x v="0"/>
    <n v="1"/>
  </r>
  <r>
    <x v="0"/>
    <d v="2024-10-09T00:00:00"/>
    <x v="4"/>
    <x v="26"/>
    <x v="178"/>
    <s v="A"/>
    <x v="3"/>
    <x v="40"/>
    <d v="1899-12-30T02:04:00"/>
    <s v="02"/>
    <s v="04"/>
    <x v="1"/>
    <x v="1"/>
    <x v="37"/>
    <d v="1899-12-30T00:04:00"/>
    <x v="2"/>
    <x v="0"/>
    <n v="1"/>
  </r>
  <r>
    <x v="1"/>
    <d v="2024-10-09T00:00:00"/>
    <x v="4"/>
    <x v="14"/>
    <x v="179"/>
    <s v="H"/>
    <x v="2"/>
    <x v="23"/>
    <d v="1899-12-30T04:01:00"/>
    <s v="04"/>
    <s v="01"/>
    <x v="0"/>
    <x v="2"/>
    <x v="3"/>
    <d v="1899-12-30T04:00:00"/>
    <x v="3"/>
    <x v="44"/>
    <n v="0"/>
  </r>
  <r>
    <x v="0"/>
    <d v="2024-10-09T00:00:00"/>
    <x v="4"/>
    <x v="14"/>
    <x v="180"/>
    <s v="A"/>
    <x v="3"/>
    <x v="20"/>
    <d v="1899-12-30T00:02:00"/>
    <s v="00"/>
    <s v="02"/>
    <x v="1"/>
    <x v="2"/>
    <x v="35"/>
    <d v="1899-12-30T00:01:00"/>
    <x v="6"/>
    <x v="0"/>
    <n v="1"/>
  </r>
  <r>
    <x v="1"/>
    <d v="2024-10-09T00:00:00"/>
    <x v="6"/>
    <x v="24"/>
    <x v="181"/>
    <s v="H"/>
    <x v="2"/>
    <x v="12"/>
    <d v="1899-12-30T04:01:00"/>
    <s v="04"/>
    <s v="01"/>
    <x v="0"/>
    <x v="2"/>
    <x v="2"/>
    <d v="1899-12-30T04:01:00"/>
    <x v="3"/>
    <x v="19"/>
    <n v="0"/>
  </r>
  <r>
    <x v="1"/>
    <d v="2024-10-09T00:00:00"/>
    <x v="6"/>
    <x v="24"/>
    <x v="181"/>
    <s v="H"/>
    <x v="2"/>
    <x v="12"/>
    <d v="1899-12-30T04:01:00"/>
    <s v="04"/>
    <s v="01"/>
    <x v="0"/>
    <x v="2"/>
    <x v="17"/>
    <d v="1899-12-30T01:01:00"/>
    <x v="3"/>
    <x v="0"/>
    <n v="1"/>
  </r>
  <r>
    <x v="1"/>
    <d v="2024-10-09T00:00:00"/>
    <x v="6"/>
    <x v="24"/>
    <x v="181"/>
    <s v="H"/>
    <x v="2"/>
    <x v="12"/>
    <d v="1899-12-30T04:01:00"/>
    <s v="04"/>
    <s v="01"/>
    <x v="0"/>
    <x v="2"/>
    <x v="29"/>
    <d v="1899-12-30T03:01:00"/>
    <x v="3"/>
    <x v="51"/>
    <n v="0"/>
  </r>
  <r>
    <x v="1"/>
    <d v="2024-10-09T00:00:00"/>
    <x v="6"/>
    <x v="24"/>
    <x v="181"/>
    <s v="H"/>
    <x v="2"/>
    <x v="12"/>
    <d v="1899-12-30T04:01:00"/>
    <s v="04"/>
    <s v="01"/>
    <x v="0"/>
    <x v="2"/>
    <x v="91"/>
    <d v="1899-12-30T02:01:00"/>
    <x v="2"/>
    <x v="44"/>
    <n v="0"/>
  </r>
  <r>
    <x v="1"/>
    <d v="2024-10-09T00:00:00"/>
    <x v="4"/>
    <x v="45"/>
    <x v="182"/>
    <s v="A"/>
    <x v="2"/>
    <x v="36"/>
    <d v="1899-12-30T00:02:00"/>
    <s v="00"/>
    <s v="02"/>
    <x v="1"/>
    <x v="2"/>
    <x v="71"/>
    <d v="1899-12-30T00:01:00"/>
    <x v="2"/>
    <x v="19"/>
    <n v="0"/>
  </r>
  <r>
    <x v="0"/>
    <d v="2024-10-09T00:00:00"/>
    <x v="4"/>
    <x v="6"/>
    <x v="183"/>
    <s v="A"/>
    <x v="3"/>
    <x v="79"/>
    <d v="1899-12-30T01:02:00"/>
    <s v="01"/>
    <s v="02"/>
    <x v="1"/>
    <x v="2"/>
    <x v="72"/>
    <d v="1899-12-30T01:01:00"/>
    <x v="3"/>
    <x v="0"/>
    <n v="1"/>
  </r>
  <r>
    <x v="0"/>
    <d v="2024-10-09T00:00:00"/>
    <x v="4"/>
    <x v="46"/>
    <x v="184"/>
    <s v="H"/>
    <x v="3"/>
    <x v="58"/>
    <d v="1899-12-30T02:00:00"/>
    <s v="02"/>
    <s v="00"/>
    <x v="0"/>
    <x v="2"/>
    <x v="43"/>
    <d v="1899-12-30T02:00:00"/>
    <x v="2"/>
    <x v="52"/>
    <n v="0"/>
  </r>
  <r>
    <x v="1"/>
    <d v="2024-10-09T00:00:00"/>
    <x v="4"/>
    <x v="36"/>
    <x v="185"/>
    <s v="A"/>
    <x v="2"/>
    <x v="76"/>
    <d v="1899-12-30T01:04:00"/>
    <s v="01"/>
    <s v="04"/>
    <x v="1"/>
    <x v="1"/>
    <x v="65"/>
    <d v="1899-12-30T00:01:00"/>
    <x v="3"/>
    <x v="19"/>
    <n v="0"/>
  </r>
  <r>
    <x v="1"/>
    <d v="2024-10-09T00:00:00"/>
    <x v="4"/>
    <x v="36"/>
    <x v="185"/>
    <s v="A"/>
    <x v="2"/>
    <x v="76"/>
    <d v="1899-12-30T01:04:00"/>
    <s v="01"/>
    <s v="04"/>
    <x v="1"/>
    <x v="1"/>
    <x v="11"/>
    <d v="1899-12-30T01:04:00"/>
    <x v="3"/>
    <x v="34"/>
    <n v="0"/>
  </r>
  <r>
    <x v="0"/>
    <d v="2024-10-09T00:00:00"/>
    <x v="4"/>
    <x v="36"/>
    <x v="186"/>
    <s v="H"/>
    <x v="3"/>
    <x v="31"/>
    <d v="1899-12-30T03:02:00"/>
    <s v="03"/>
    <s v="02"/>
    <x v="0"/>
    <x v="1"/>
    <x v="7"/>
    <d v="1899-12-30T03:02:00"/>
    <x v="1"/>
    <x v="45"/>
    <n v="0"/>
  </r>
  <r>
    <x v="0"/>
    <d v="2024-10-09T00:00:00"/>
    <x v="4"/>
    <x v="36"/>
    <x v="186"/>
    <s v="H"/>
    <x v="3"/>
    <x v="31"/>
    <d v="1899-12-30T03:02:00"/>
    <s v="03"/>
    <s v="02"/>
    <x v="0"/>
    <x v="1"/>
    <x v="73"/>
    <d v="1899-12-30T01:01:00"/>
    <x v="2"/>
    <x v="0"/>
    <n v="1"/>
  </r>
  <r>
    <x v="1"/>
    <d v="2024-10-09T00:00:00"/>
    <x v="4"/>
    <x v="48"/>
    <x v="187"/>
    <s v="H"/>
    <x v="2"/>
    <x v="82"/>
    <d v="1899-12-30T04:01:00"/>
    <s v="04"/>
    <s v="01"/>
    <x v="0"/>
    <x v="1"/>
    <x v="59"/>
    <d v="1899-12-30T04:01:00"/>
    <x v="2"/>
    <x v="34"/>
    <n v="0"/>
  </r>
  <r>
    <x v="1"/>
    <d v="2024-10-09T00:00:00"/>
    <x v="4"/>
    <x v="48"/>
    <x v="187"/>
    <s v="H"/>
    <x v="2"/>
    <x v="82"/>
    <d v="1899-12-30T04:01:00"/>
    <s v="04"/>
    <s v="01"/>
    <x v="0"/>
    <x v="1"/>
    <x v="67"/>
    <d v="1899-12-30T01:00:00"/>
    <x v="2"/>
    <x v="39"/>
    <n v="0"/>
  </r>
  <r>
    <x v="0"/>
    <d v="2024-10-09T00:00:00"/>
    <x v="4"/>
    <x v="48"/>
    <x v="188"/>
    <s v="A"/>
    <x v="3"/>
    <x v="25"/>
    <d v="1899-12-30T01:04:00"/>
    <s v="01"/>
    <s v="04"/>
    <x v="1"/>
    <x v="1"/>
    <x v="90"/>
    <d v="1899-12-30T01:03:00"/>
    <x v="2"/>
    <x v="0"/>
    <n v="1"/>
  </r>
  <r>
    <x v="0"/>
    <d v="2024-10-09T00:00:00"/>
    <x v="4"/>
    <x v="48"/>
    <x v="188"/>
    <s v="A"/>
    <x v="3"/>
    <x v="25"/>
    <d v="1899-12-30T01:04:00"/>
    <s v="01"/>
    <s v="04"/>
    <x v="1"/>
    <x v="1"/>
    <x v="72"/>
    <d v="1899-12-30T01:01:00"/>
    <x v="2"/>
    <x v="53"/>
    <n v="0"/>
  </r>
  <r>
    <x v="0"/>
    <d v="2024-10-09T00:00:00"/>
    <x v="4"/>
    <x v="48"/>
    <x v="188"/>
    <s v="A"/>
    <x v="3"/>
    <x v="25"/>
    <d v="1899-12-30T01:04:00"/>
    <s v="01"/>
    <s v="04"/>
    <x v="1"/>
    <x v="1"/>
    <x v="66"/>
    <d v="1899-12-30T01:02:00"/>
    <x v="2"/>
    <x v="53"/>
    <n v="0"/>
  </r>
  <r>
    <x v="1"/>
    <d v="2024-10-09T00:00:00"/>
    <x v="4"/>
    <x v="35"/>
    <x v="189"/>
    <s v="A"/>
    <x v="2"/>
    <x v="34"/>
    <d v="1899-12-30T02:03:00"/>
    <s v="02"/>
    <s v="03"/>
    <x v="1"/>
    <x v="1"/>
    <x v="49"/>
    <d v="1899-12-30T00:01:00"/>
    <x v="3"/>
    <x v="54"/>
    <n v="0"/>
  </r>
  <r>
    <x v="0"/>
    <d v="2024-10-09T00:00:00"/>
    <x v="4"/>
    <x v="35"/>
    <x v="189"/>
    <s v="H"/>
    <x v="3"/>
    <x v="23"/>
    <d v="1899-12-30T05:01:00"/>
    <s v="05"/>
    <s v="01"/>
    <x v="0"/>
    <x v="2"/>
    <x v="17"/>
    <d v="1899-12-30T01:00:00"/>
    <x v="6"/>
    <x v="0"/>
    <n v="1"/>
  </r>
  <r>
    <x v="1"/>
    <d v="2024-10-09T00:00:00"/>
    <x v="4"/>
    <x v="7"/>
    <x v="190"/>
    <s v="H"/>
    <x v="2"/>
    <x v="83"/>
    <d v="1899-12-30T04:00:00"/>
    <s v="04"/>
    <s v="00"/>
    <x v="0"/>
    <x v="1"/>
    <x v="6"/>
    <d v="1899-12-30T04:00:00"/>
    <x v="3"/>
    <x v="50"/>
    <n v="0"/>
  </r>
  <r>
    <x v="1"/>
    <d v="2024-10-09T00:00:00"/>
    <x v="4"/>
    <x v="7"/>
    <x v="190"/>
    <s v="H"/>
    <x v="2"/>
    <x v="83"/>
    <d v="1899-12-30T04:00:00"/>
    <s v="04"/>
    <s v="00"/>
    <x v="0"/>
    <x v="1"/>
    <x v="75"/>
    <d v="1899-12-30T03:00:00"/>
    <x v="2"/>
    <x v="50"/>
    <n v="0"/>
  </r>
  <r>
    <x v="1"/>
    <d v="2024-11-10T00:00:00"/>
    <x v="10"/>
    <x v="8"/>
    <x v="191"/>
    <s v="H"/>
    <x v="2"/>
    <x v="34"/>
    <d v="1899-12-30T04:00:00"/>
    <s v="04"/>
    <s v="00"/>
    <x v="0"/>
    <x v="1"/>
    <x v="19"/>
    <d v="1899-12-30T04:00:00"/>
    <x v="3"/>
    <x v="16"/>
    <n v="0"/>
  </r>
  <r>
    <x v="1"/>
    <d v="2024-11-10T00:00:00"/>
    <x v="10"/>
    <x v="8"/>
    <x v="191"/>
    <s v="H"/>
    <x v="2"/>
    <x v="34"/>
    <d v="1899-12-30T04:00:00"/>
    <s v="04"/>
    <s v="00"/>
    <x v="0"/>
    <x v="1"/>
    <x v="73"/>
    <d v="1899-12-30T02:00:00"/>
    <x v="3"/>
    <x v="19"/>
    <n v="0"/>
  </r>
  <r>
    <x v="1"/>
    <d v="2024-11-10T00:00:00"/>
    <x v="10"/>
    <x v="8"/>
    <x v="191"/>
    <s v="H"/>
    <x v="2"/>
    <x v="34"/>
    <d v="1899-12-30T04:00:00"/>
    <s v="04"/>
    <s v="00"/>
    <x v="0"/>
    <x v="1"/>
    <x v="51"/>
    <d v="1899-12-30T03:00:00"/>
    <x v="2"/>
    <x v="34"/>
    <n v="0"/>
  </r>
  <r>
    <x v="1"/>
    <d v="2024-11-10T00:00:00"/>
    <x v="4"/>
    <x v="27"/>
    <x v="192"/>
    <s v="A"/>
    <x v="2"/>
    <x v="20"/>
    <d v="1899-12-30T00:03:00"/>
    <s v="00"/>
    <s v="03"/>
    <x v="1"/>
    <x v="1"/>
    <x v="69"/>
    <d v="1899-12-30T00:01:00"/>
    <x v="3"/>
    <x v="16"/>
    <n v="0"/>
  </r>
  <r>
    <x v="1"/>
    <d v="2024-11-10T00:00:00"/>
    <x v="6"/>
    <x v="18"/>
    <x v="193"/>
    <s v="H"/>
    <x v="2"/>
    <x v="19"/>
    <d v="1899-12-30T05:01:00"/>
    <s v="05"/>
    <s v="01"/>
    <x v="0"/>
    <x v="2"/>
    <x v="32"/>
    <d v="1899-12-30T03:01:00"/>
    <x v="3"/>
    <x v="44"/>
    <n v="0"/>
  </r>
  <r>
    <x v="1"/>
    <d v="2024-11-10T00:00:00"/>
    <x v="6"/>
    <x v="18"/>
    <x v="193"/>
    <s v="H"/>
    <x v="2"/>
    <x v="19"/>
    <d v="1899-12-30T05:01:00"/>
    <s v="05"/>
    <s v="01"/>
    <x v="0"/>
    <x v="2"/>
    <x v="60"/>
    <d v="1899-12-30T01:01:00"/>
    <x v="3"/>
    <x v="19"/>
    <n v="0"/>
  </r>
  <r>
    <x v="1"/>
    <d v="2024-11-10T00:00:00"/>
    <x v="4"/>
    <x v="47"/>
    <x v="194"/>
    <s v="A"/>
    <x v="2"/>
    <x v="42"/>
    <d v="1899-12-30T01:02:00"/>
    <s v="01"/>
    <s v="02"/>
    <x v="1"/>
    <x v="2"/>
    <x v="23"/>
    <d v="1899-12-30T00:01:00"/>
    <x v="3"/>
    <x v="44"/>
    <n v="0"/>
  </r>
  <r>
    <x v="0"/>
    <d v="2024-11-10T00:00:00"/>
    <x v="4"/>
    <x v="37"/>
    <x v="195"/>
    <s v="H"/>
    <x v="3"/>
    <x v="43"/>
    <d v="1899-12-30T03:00:00"/>
    <s v="03"/>
    <s v="00"/>
    <x v="0"/>
    <x v="0"/>
    <x v="44"/>
    <d v="1899-12-30T01:00:00"/>
    <x v="6"/>
    <x v="0"/>
    <n v="1"/>
  </r>
  <r>
    <x v="0"/>
    <d v="2024-11-10T00:00:00"/>
    <x v="4"/>
    <x v="0"/>
    <x v="196"/>
    <s v="H"/>
    <x v="3"/>
    <x v="73"/>
    <d v="1899-12-30T06:01:00"/>
    <s v="06"/>
    <s v="01"/>
    <x v="0"/>
    <x v="0"/>
    <x v="9"/>
    <d v="1899-12-30T01:00:00"/>
    <x v="1"/>
    <x v="55"/>
    <n v="0"/>
  </r>
  <r>
    <x v="0"/>
    <d v="2024-11-10T00:00:00"/>
    <x v="4"/>
    <x v="0"/>
    <x v="196"/>
    <s v="H"/>
    <x v="3"/>
    <x v="73"/>
    <d v="1899-12-30T06:01:00"/>
    <s v="06"/>
    <s v="01"/>
    <x v="0"/>
    <x v="0"/>
    <x v="7"/>
    <d v="1899-12-30T06:01:00"/>
    <x v="3"/>
    <x v="56"/>
    <n v="0"/>
  </r>
  <r>
    <x v="1"/>
    <d v="2024-11-10T00:00:00"/>
    <x v="4"/>
    <x v="0"/>
    <x v="196"/>
    <s v="H"/>
    <x v="2"/>
    <x v="25"/>
    <d v="1899-12-30T01:01:00"/>
    <s v="01"/>
    <s v="01"/>
    <x v="2"/>
    <x v="2"/>
    <x v="92"/>
    <d v="1899-12-30T01:00:00"/>
    <x v="3"/>
    <x v="44"/>
    <n v="0"/>
  </r>
  <r>
    <x v="0"/>
    <d v="2024-11-10T00:00:00"/>
    <x v="4"/>
    <x v="40"/>
    <x v="197"/>
    <s v="A"/>
    <x v="3"/>
    <x v="63"/>
    <d v="1899-12-30T01:04:00"/>
    <s v="01"/>
    <s v="04"/>
    <x v="1"/>
    <x v="0"/>
    <x v="32"/>
    <d v="1899-12-30T00:02:00"/>
    <x v="2"/>
    <x v="55"/>
    <n v="0"/>
  </r>
  <r>
    <x v="0"/>
    <d v="2024-11-10T00:00:00"/>
    <x v="4"/>
    <x v="40"/>
    <x v="197"/>
    <s v="A"/>
    <x v="3"/>
    <x v="63"/>
    <d v="1899-12-30T01:04:00"/>
    <s v="01"/>
    <s v="04"/>
    <x v="1"/>
    <x v="0"/>
    <x v="25"/>
    <d v="1899-12-30T00:03:00"/>
    <x v="6"/>
    <x v="0"/>
    <n v="1"/>
  </r>
  <r>
    <x v="0"/>
    <d v="2024-11-10T00:00:00"/>
    <x v="6"/>
    <x v="18"/>
    <x v="198"/>
    <s v="H"/>
    <x v="3"/>
    <x v="41"/>
    <d v="1899-12-30T02:00:00"/>
    <s v="02"/>
    <s v="00"/>
    <x v="0"/>
    <x v="0"/>
    <x v="4"/>
    <d v="1899-12-30T01:00:00"/>
    <x v="4"/>
    <x v="0"/>
    <n v="1"/>
  </r>
  <r>
    <x v="1"/>
    <d v="2024-11-10T00:00:00"/>
    <x v="6"/>
    <x v="18"/>
    <x v="199"/>
    <s v="H"/>
    <x v="2"/>
    <x v="84"/>
    <d v="1899-12-30T02:00:00"/>
    <s v="02"/>
    <s v="00"/>
    <x v="0"/>
    <x v="2"/>
    <x v="19"/>
    <d v="1899-12-30T02:00:00"/>
    <x v="3"/>
    <x v="48"/>
    <n v="0"/>
  </r>
  <r>
    <x v="1"/>
    <d v="2024-11-10T00:00:00"/>
    <x v="6"/>
    <x v="18"/>
    <x v="199"/>
    <s v="H"/>
    <x v="2"/>
    <x v="84"/>
    <d v="1899-12-30T02:00:00"/>
    <s v="02"/>
    <s v="00"/>
    <x v="0"/>
    <x v="2"/>
    <x v="65"/>
    <d v="1899-12-30T01:00:00"/>
    <x v="3"/>
    <x v="16"/>
    <n v="0"/>
  </r>
  <r>
    <x v="0"/>
    <d v="2024-11-10T00:00:00"/>
    <x v="4"/>
    <x v="1"/>
    <x v="200"/>
    <s v="H"/>
    <x v="3"/>
    <x v="20"/>
    <d v="1899-12-30T06:01:00"/>
    <s v="06"/>
    <s v="01"/>
    <x v="0"/>
    <x v="0"/>
    <x v="82"/>
    <d v="1899-12-30T05:00:00"/>
    <x v="6"/>
    <x v="0"/>
    <n v="1"/>
  </r>
  <r>
    <x v="0"/>
    <d v="2024-11-10T00:00:00"/>
    <x v="4"/>
    <x v="1"/>
    <x v="200"/>
    <s v="H"/>
    <x v="3"/>
    <x v="20"/>
    <d v="1899-12-30T06:01:00"/>
    <s v="06"/>
    <s v="01"/>
    <x v="0"/>
    <x v="0"/>
    <x v="72"/>
    <d v="1899-12-30T03:00:00"/>
    <x v="3"/>
    <x v="55"/>
    <n v="0"/>
  </r>
  <r>
    <x v="0"/>
    <d v="2024-11-10T00:00:00"/>
    <x v="4"/>
    <x v="1"/>
    <x v="200"/>
    <s v="H"/>
    <x v="3"/>
    <x v="20"/>
    <d v="1899-12-30T06:01:00"/>
    <s v="06"/>
    <s v="01"/>
    <x v="0"/>
    <x v="0"/>
    <x v="84"/>
    <d v="1899-12-30T02:00:00"/>
    <x v="2"/>
    <x v="45"/>
    <n v="0"/>
  </r>
  <r>
    <x v="0"/>
    <d v="2024-11-10T00:00:00"/>
    <x v="4"/>
    <x v="1"/>
    <x v="200"/>
    <s v="H"/>
    <x v="3"/>
    <x v="20"/>
    <d v="1899-12-30T06:01:00"/>
    <s v="06"/>
    <s v="01"/>
    <x v="0"/>
    <x v="0"/>
    <x v="42"/>
    <d v="1899-12-30T04:00:00"/>
    <x v="2"/>
    <x v="57"/>
    <n v="0"/>
  </r>
  <r>
    <x v="1"/>
    <d v="2024-11-10T00:00:00"/>
    <x v="4"/>
    <x v="1"/>
    <x v="200"/>
    <s v="A"/>
    <x v="2"/>
    <x v="26"/>
    <d v="1899-12-30T00:02:00"/>
    <s v="00"/>
    <s v="02"/>
    <x v="1"/>
    <x v="2"/>
    <x v="56"/>
    <d v="1899-12-30T00:01:00"/>
    <x v="3"/>
    <x v="58"/>
    <n v="0"/>
  </r>
  <r>
    <x v="1"/>
    <d v="2024-11-10T00:00:00"/>
    <x v="4"/>
    <x v="1"/>
    <x v="200"/>
    <s v="A"/>
    <x v="2"/>
    <x v="26"/>
    <d v="1899-12-30T00:02:00"/>
    <s v="00"/>
    <s v="02"/>
    <x v="1"/>
    <x v="2"/>
    <x v="77"/>
    <d v="1899-12-30T00:02:00"/>
    <x v="3"/>
    <x v="0"/>
    <n v="1"/>
  </r>
  <r>
    <x v="0"/>
    <d v="2024-11-10T00:00:00"/>
    <x v="4"/>
    <x v="39"/>
    <x v="201"/>
    <s v="A"/>
    <x v="3"/>
    <x v="85"/>
    <d v="1899-12-30T01:03:00"/>
    <s v="01"/>
    <s v="03"/>
    <x v="1"/>
    <x v="0"/>
    <x v="46"/>
    <d v="1899-12-30T01:03:00"/>
    <x v="2"/>
    <x v="43"/>
    <n v="0"/>
  </r>
  <r>
    <x v="0"/>
    <d v="2024-11-10T00:00:00"/>
    <x v="4"/>
    <x v="39"/>
    <x v="201"/>
    <s v="A"/>
    <x v="3"/>
    <x v="85"/>
    <d v="1899-12-30T01:03:00"/>
    <s v="01"/>
    <s v="03"/>
    <x v="1"/>
    <x v="0"/>
    <x v="26"/>
    <d v="1899-12-30T01:02:00"/>
    <x v="2"/>
    <x v="43"/>
    <n v="0"/>
  </r>
  <r>
    <x v="1"/>
    <d v="2024-11-10T00:00:00"/>
    <x v="4"/>
    <x v="39"/>
    <x v="201"/>
    <s v="H"/>
    <x v="2"/>
    <x v="34"/>
    <d v="1899-12-30T05:00:00"/>
    <s v="05"/>
    <s v="00"/>
    <x v="0"/>
    <x v="1"/>
    <x v="20"/>
    <d v="1899-12-30T04:00:00"/>
    <x v="3"/>
    <x v="0"/>
    <n v="1"/>
  </r>
  <r>
    <x v="1"/>
    <d v="2024-11-10T00:00:00"/>
    <x v="4"/>
    <x v="39"/>
    <x v="201"/>
    <s v="H"/>
    <x v="2"/>
    <x v="34"/>
    <d v="1899-12-30T05:00:00"/>
    <s v="05"/>
    <s v="00"/>
    <x v="0"/>
    <x v="1"/>
    <x v="9"/>
    <d v="1899-12-30T01:00:00"/>
    <x v="3"/>
    <x v="0"/>
    <n v="1"/>
  </r>
  <r>
    <x v="1"/>
    <d v="2024-11-10T00:00:00"/>
    <x v="6"/>
    <x v="18"/>
    <x v="202"/>
    <s v="A"/>
    <x v="2"/>
    <x v="84"/>
    <d v="1899-12-30T01:01:00"/>
    <s v="01"/>
    <s v="01"/>
    <x v="2"/>
    <x v="2"/>
    <x v="78"/>
    <d v="1899-12-30T00:01:00"/>
    <x v="2"/>
    <x v="0"/>
    <n v="1"/>
  </r>
  <r>
    <x v="1"/>
    <d v="2024-11-10T00:00:00"/>
    <x v="4"/>
    <x v="29"/>
    <x v="203"/>
    <s v="A"/>
    <x v="2"/>
    <x v="40"/>
    <d v="1899-12-30T01:03:00"/>
    <s v="01"/>
    <s v="03"/>
    <x v="1"/>
    <x v="2"/>
    <x v="35"/>
    <d v="1899-12-30T00:01:00"/>
    <x v="3"/>
    <x v="58"/>
    <n v="0"/>
  </r>
  <r>
    <x v="0"/>
    <d v="2024-11-10T00:00:00"/>
    <x v="8"/>
    <x v="50"/>
    <x v="204"/>
    <s v="H"/>
    <x v="3"/>
    <x v="86"/>
    <d v="1899-12-30T05:01:00"/>
    <s v="05"/>
    <s v="01"/>
    <x v="0"/>
    <x v="2"/>
    <x v="18"/>
    <d v="1899-12-30T03:00:00"/>
    <x v="3"/>
    <x v="57"/>
    <n v="0"/>
  </r>
  <r>
    <x v="1"/>
    <d v="2024-11-10T00:00:00"/>
    <x v="8"/>
    <x v="50"/>
    <x v="204"/>
    <s v="H"/>
    <x v="2"/>
    <x v="87"/>
    <d v="1899-12-30T05:01:00"/>
    <s v="05"/>
    <s v="01"/>
    <x v="0"/>
    <x v="1"/>
    <x v="3"/>
    <d v="1899-12-30T05:01:00"/>
    <x v="3"/>
    <x v="59"/>
    <n v="0"/>
  </r>
  <r>
    <x v="1"/>
    <d v="2024-11-10T00:00:00"/>
    <x v="4"/>
    <x v="4"/>
    <x v="205"/>
    <s v="H"/>
    <x v="2"/>
    <x v="76"/>
    <d v="1899-12-30T03:01:00"/>
    <s v="03"/>
    <s v="01"/>
    <x v="0"/>
    <x v="2"/>
    <x v="15"/>
    <d v="1899-12-30T02:01:00"/>
    <x v="2"/>
    <x v="44"/>
    <n v="0"/>
  </r>
  <r>
    <x v="1"/>
    <d v="2024-11-10T00:00:00"/>
    <x v="4"/>
    <x v="4"/>
    <x v="205"/>
    <s v="H"/>
    <x v="2"/>
    <x v="76"/>
    <d v="1899-12-30T03:01:00"/>
    <s v="03"/>
    <s v="01"/>
    <x v="0"/>
    <x v="2"/>
    <x v="27"/>
    <d v="1899-12-30T03:01:00"/>
    <x v="3"/>
    <x v="44"/>
    <n v="0"/>
  </r>
  <r>
    <x v="0"/>
    <d v="2024-11-10T00:00:00"/>
    <x v="4"/>
    <x v="41"/>
    <x v="206"/>
    <s v="H"/>
    <x v="3"/>
    <x v="23"/>
    <d v="1899-12-30T05:01:00"/>
    <s v="05"/>
    <s v="01"/>
    <x v="0"/>
    <x v="0"/>
    <x v="74"/>
    <d v="1899-12-30T02:00:00"/>
    <x v="3"/>
    <x v="55"/>
    <n v="0"/>
  </r>
  <r>
    <x v="0"/>
    <d v="2024-11-10T00:00:00"/>
    <x v="4"/>
    <x v="41"/>
    <x v="206"/>
    <s v="H"/>
    <x v="3"/>
    <x v="23"/>
    <d v="1899-12-30T05:01:00"/>
    <s v="05"/>
    <s v="01"/>
    <x v="0"/>
    <x v="0"/>
    <x v="52"/>
    <d v="1899-12-30T04:01:00"/>
    <x v="4"/>
    <x v="0"/>
    <n v="1"/>
  </r>
  <r>
    <x v="0"/>
    <d v="2024-11-10T00:00:00"/>
    <x v="4"/>
    <x v="41"/>
    <x v="206"/>
    <s v="H"/>
    <x v="3"/>
    <x v="23"/>
    <d v="1899-12-30T05:01:00"/>
    <s v="05"/>
    <s v="01"/>
    <x v="0"/>
    <x v="0"/>
    <x v="19"/>
    <d v="1899-12-30T05:01:00"/>
    <x v="6"/>
    <x v="0"/>
    <n v="1"/>
  </r>
  <r>
    <x v="1"/>
    <d v="2024-11-10T00:00:00"/>
    <x v="4"/>
    <x v="41"/>
    <x v="206"/>
    <s v="A"/>
    <x v="2"/>
    <x v="50"/>
    <d v="1899-12-30T00:08:00"/>
    <s v="00"/>
    <s v="08"/>
    <x v="1"/>
    <x v="2"/>
    <x v="67"/>
    <d v="1899-12-30T00:01:00"/>
    <x v="3"/>
    <x v="58"/>
    <n v="0"/>
  </r>
  <r>
    <x v="1"/>
    <d v="2024-11-10T00:00:00"/>
    <x v="4"/>
    <x v="41"/>
    <x v="206"/>
    <s v="A"/>
    <x v="2"/>
    <x v="50"/>
    <d v="1899-12-30T00:08:00"/>
    <s v="00"/>
    <s v="08"/>
    <x v="1"/>
    <x v="2"/>
    <x v="3"/>
    <d v="1899-12-30T00:07:00"/>
    <x v="5"/>
    <x v="58"/>
    <n v="0"/>
  </r>
  <r>
    <x v="1"/>
    <d v="2024-11-10T00:00:00"/>
    <x v="4"/>
    <x v="41"/>
    <x v="206"/>
    <s v="A"/>
    <x v="2"/>
    <x v="50"/>
    <d v="1899-12-30T00:08:00"/>
    <s v="00"/>
    <s v="08"/>
    <x v="1"/>
    <x v="2"/>
    <x v="37"/>
    <d v="1899-12-30T00:05:00"/>
    <x v="5"/>
    <x v="0"/>
    <n v="1"/>
  </r>
  <r>
    <x v="0"/>
    <d v="2024-11-10T00:00:00"/>
    <x v="6"/>
    <x v="18"/>
    <x v="207"/>
    <s v="A"/>
    <x v="3"/>
    <x v="88"/>
    <d v="1899-12-30T00:04:00"/>
    <s v="00"/>
    <s v="04"/>
    <x v="1"/>
    <x v="0"/>
    <x v="62"/>
    <d v="1899-12-30T00:03:00"/>
    <x v="3"/>
    <x v="57"/>
    <n v="0"/>
  </r>
  <r>
    <x v="0"/>
    <d v="2024-11-10T00:00:00"/>
    <x v="6"/>
    <x v="18"/>
    <x v="207"/>
    <s v="A"/>
    <x v="3"/>
    <x v="88"/>
    <d v="1899-12-30T00:04:00"/>
    <s v="00"/>
    <s v="04"/>
    <x v="1"/>
    <x v="0"/>
    <x v="58"/>
    <d v="1899-12-30T00:04:00"/>
    <x v="6"/>
    <x v="0"/>
    <n v="1"/>
  </r>
  <r>
    <x v="1"/>
    <d v="2024-11-10T00:00:00"/>
    <x v="6"/>
    <x v="18"/>
    <x v="208"/>
    <s v="A"/>
    <x v="2"/>
    <x v="19"/>
    <d v="1899-12-30T00:03:00"/>
    <s v="00"/>
    <s v="03"/>
    <x v="1"/>
    <x v="2"/>
    <x v="20"/>
    <d v="1899-12-30T00:02:00"/>
    <x v="3"/>
    <x v="60"/>
    <n v="0"/>
  </r>
  <r>
    <x v="1"/>
    <d v="2024-11-10T00:00:00"/>
    <x v="4"/>
    <x v="51"/>
    <x v="209"/>
    <s v="A"/>
    <x v="2"/>
    <x v="31"/>
    <d v="1899-12-30T00:03:00"/>
    <s v="00"/>
    <s v="03"/>
    <x v="1"/>
    <x v="2"/>
    <x v="87"/>
    <d v="1899-12-30T00:02:00"/>
    <x v="3"/>
    <x v="58"/>
    <n v="0"/>
  </r>
  <r>
    <x v="1"/>
    <d v="2024-11-10T00:00:00"/>
    <x v="4"/>
    <x v="51"/>
    <x v="209"/>
    <s v="A"/>
    <x v="2"/>
    <x v="31"/>
    <d v="1899-12-30T00:03:00"/>
    <s v="00"/>
    <s v="03"/>
    <x v="1"/>
    <x v="2"/>
    <x v="26"/>
    <d v="1899-12-30T00:03:00"/>
    <x v="6"/>
    <x v="0"/>
    <n v="1"/>
  </r>
  <r>
    <x v="0"/>
    <d v="2024-11-10T00:00:00"/>
    <x v="4"/>
    <x v="51"/>
    <x v="209"/>
    <s v="H"/>
    <x v="3"/>
    <x v="58"/>
    <d v="1899-12-30T02:00:00"/>
    <s v="02"/>
    <s v="00"/>
    <x v="0"/>
    <x v="0"/>
    <x v="53"/>
    <d v="1899-12-30T01:00:00"/>
    <x v="3"/>
    <x v="55"/>
    <n v="0"/>
  </r>
  <r>
    <x v="0"/>
    <d v="2024-11-10T00:00:00"/>
    <x v="4"/>
    <x v="51"/>
    <x v="209"/>
    <s v="H"/>
    <x v="3"/>
    <x v="58"/>
    <d v="1899-12-30T02:00:00"/>
    <s v="02"/>
    <s v="00"/>
    <x v="0"/>
    <x v="0"/>
    <x v="46"/>
    <d v="1899-12-30T02:00:00"/>
    <x v="2"/>
    <x v="0"/>
    <n v="1"/>
  </r>
  <r>
    <x v="0"/>
    <d v="2024-11-10T00:00:00"/>
    <x v="6"/>
    <x v="18"/>
    <x v="210"/>
    <s v="H"/>
    <x v="3"/>
    <x v="89"/>
    <d v="1899-12-30T04:00:00"/>
    <s v="04"/>
    <s v="00"/>
    <x v="0"/>
    <x v="0"/>
    <x v="47"/>
    <d v="1899-12-30T02:00:00"/>
    <x v="2"/>
    <x v="52"/>
    <n v="0"/>
  </r>
  <r>
    <x v="1"/>
    <d v="2024-11-10T00:00:00"/>
    <x v="4"/>
    <x v="30"/>
    <x v="211"/>
    <s v="H"/>
    <x v="2"/>
    <x v="90"/>
    <d v="1899-12-30T05:00:00"/>
    <s v="05"/>
    <s v="00"/>
    <x v="0"/>
    <x v="2"/>
    <x v="93"/>
    <d v="1899-12-30T03:00:00"/>
    <x v="3"/>
    <x v="34"/>
    <n v="0"/>
  </r>
  <r>
    <x v="1"/>
    <d v="2024-11-10T00:00:00"/>
    <x v="4"/>
    <x v="30"/>
    <x v="211"/>
    <s v="H"/>
    <x v="2"/>
    <x v="90"/>
    <d v="1899-12-30T05:00:00"/>
    <s v="05"/>
    <s v="00"/>
    <x v="0"/>
    <x v="2"/>
    <x v="46"/>
    <d v="1899-12-30T04:00:00"/>
    <x v="3"/>
    <x v="33"/>
    <n v="0"/>
  </r>
  <r>
    <x v="0"/>
    <d v="2024-11-10T00:00:00"/>
    <x v="4"/>
    <x v="30"/>
    <x v="211"/>
    <s v="A"/>
    <x v="3"/>
    <x v="26"/>
    <d v="1899-12-30T01:03:00"/>
    <s v="01"/>
    <s v="03"/>
    <x v="1"/>
    <x v="0"/>
    <x v="51"/>
    <d v="1899-12-30T00:02:00"/>
    <x v="4"/>
    <x v="0"/>
    <n v="1"/>
  </r>
  <r>
    <x v="0"/>
    <d v="2024-11-10T00:00:00"/>
    <x v="8"/>
    <x v="44"/>
    <x v="212"/>
    <s v="H"/>
    <x v="3"/>
    <x v="47"/>
    <d v="1899-12-30T08:00:00"/>
    <s v="08"/>
    <s v="00"/>
    <x v="0"/>
    <x v="0"/>
    <x v="38"/>
    <d v="1899-12-30T07:00:00"/>
    <x v="2"/>
    <x v="43"/>
    <n v="0"/>
  </r>
  <r>
    <x v="0"/>
    <d v="2024-11-10T00:00:00"/>
    <x v="8"/>
    <x v="44"/>
    <x v="212"/>
    <s v="H"/>
    <x v="3"/>
    <x v="47"/>
    <d v="1899-12-30T08:00:00"/>
    <s v="08"/>
    <s v="00"/>
    <x v="0"/>
    <x v="0"/>
    <x v="90"/>
    <d v="1899-12-30T06:00:00"/>
    <x v="2"/>
    <x v="57"/>
    <n v="0"/>
  </r>
  <r>
    <x v="0"/>
    <d v="2024-11-10T00:00:00"/>
    <x v="8"/>
    <x v="44"/>
    <x v="212"/>
    <s v="H"/>
    <x v="3"/>
    <x v="47"/>
    <d v="1899-12-30T08:00:00"/>
    <s v="08"/>
    <s v="00"/>
    <x v="0"/>
    <x v="0"/>
    <x v="10"/>
    <d v="1899-12-30T04:00:00"/>
    <x v="2"/>
    <x v="43"/>
    <n v="0"/>
  </r>
  <r>
    <x v="0"/>
    <d v="2024-11-10T00:00:00"/>
    <x v="4"/>
    <x v="31"/>
    <x v="213"/>
    <s v="A"/>
    <x v="3"/>
    <x v="40"/>
    <d v="1899-12-30T02:03:00"/>
    <s v="02"/>
    <s v="03"/>
    <x v="1"/>
    <x v="0"/>
    <x v="45"/>
    <d v="1899-12-30T00:01:00"/>
    <x v="6"/>
    <x v="0"/>
    <n v="1"/>
  </r>
  <r>
    <x v="0"/>
    <d v="2024-11-10T00:00:00"/>
    <x v="4"/>
    <x v="31"/>
    <x v="213"/>
    <s v="A"/>
    <x v="3"/>
    <x v="40"/>
    <d v="1899-12-30T02:03:00"/>
    <s v="02"/>
    <s v="03"/>
    <x v="1"/>
    <x v="0"/>
    <x v="50"/>
    <d v="1899-12-30T01:03:00"/>
    <x v="2"/>
    <x v="43"/>
    <n v="0"/>
  </r>
  <r>
    <x v="1"/>
    <d v="2024-11-10T00:00:00"/>
    <x v="4"/>
    <x v="42"/>
    <x v="214"/>
    <s v="A"/>
    <x v="2"/>
    <x v="38"/>
    <d v="1899-12-30T00:04:00"/>
    <s v="00"/>
    <s v="04"/>
    <x v="1"/>
    <x v="2"/>
    <x v="22"/>
    <d v="1899-12-30T00:02:00"/>
    <x v="4"/>
    <x v="0"/>
    <n v="1"/>
  </r>
  <r>
    <x v="0"/>
    <d v="2024-11-10T00:00:00"/>
    <x v="4"/>
    <x v="42"/>
    <x v="215"/>
    <s v="H"/>
    <x v="3"/>
    <x v="76"/>
    <d v="1899-12-30T04:02:00"/>
    <s v="04"/>
    <s v="02"/>
    <x v="0"/>
    <x v="0"/>
    <x v="39"/>
    <d v="1899-12-30T01:01:00"/>
    <x v="2"/>
    <x v="55"/>
    <n v="0"/>
  </r>
  <r>
    <x v="0"/>
    <d v="2024-11-10T00:00:00"/>
    <x v="4"/>
    <x v="42"/>
    <x v="215"/>
    <s v="H"/>
    <x v="3"/>
    <x v="76"/>
    <d v="1899-12-30T04:02:00"/>
    <s v="04"/>
    <s v="02"/>
    <x v="0"/>
    <x v="0"/>
    <x v="32"/>
    <d v="1899-12-30T02:02:00"/>
    <x v="1"/>
    <x v="56"/>
    <n v="0"/>
  </r>
  <r>
    <x v="0"/>
    <d v="2024-11-10T00:00:00"/>
    <x v="4"/>
    <x v="42"/>
    <x v="215"/>
    <s v="H"/>
    <x v="3"/>
    <x v="76"/>
    <d v="1899-12-30T04:02:00"/>
    <s v="04"/>
    <s v="02"/>
    <x v="0"/>
    <x v="0"/>
    <x v="54"/>
    <d v="1899-12-30T03:02:00"/>
    <x v="3"/>
    <x v="49"/>
    <n v="0"/>
  </r>
  <r>
    <x v="1"/>
    <d v="2024-11-10T00:00:00"/>
    <x v="8"/>
    <x v="24"/>
    <x v="216"/>
    <s v="H"/>
    <x v="2"/>
    <x v="27"/>
    <d v="1899-12-30T05:00:00"/>
    <s v="05"/>
    <s v="00"/>
    <x v="0"/>
    <x v="2"/>
    <x v="20"/>
    <d v="1899-12-30T02:00:00"/>
    <x v="3"/>
    <x v="0"/>
    <n v="1"/>
  </r>
  <r>
    <x v="1"/>
    <d v="2024-11-10T00:00:00"/>
    <x v="8"/>
    <x v="24"/>
    <x v="216"/>
    <s v="H"/>
    <x v="2"/>
    <x v="27"/>
    <d v="1899-12-30T05:00:00"/>
    <s v="05"/>
    <s v="00"/>
    <x v="0"/>
    <x v="2"/>
    <x v="10"/>
    <d v="1899-12-30T01:00:00"/>
    <x v="3"/>
    <x v="16"/>
    <n v="0"/>
  </r>
  <r>
    <x v="1"/>
    <d v="2024-11-10T00:00:00"/>
    <x v="8"/>
    <x v="24"/>
    <x v="216"/>
    <s v="H"/>
    <x v="2"/>
    <x v="27"/>
    <d v="1899-12-30T05:00:00"/>
    <s v="05"/>
    <s v="00"/>
    <x v="0"/>
    <x v="2"/>
    <x v="38"/>
    <d v="1899-12-30T03:00:00"/>
    <x v="3"/>
    <x v="19"/>
    <n v="0"/>
  </r>
  <r>
    <x v="0"/>
    <d v="2024-11-10T00:00:00"/>
    <x v="8"/>
    <x v="24"/>
    <x v="217"/>
    <s v="H"/>
    <x v="3"/>
    <x v="42"/>
    <d v="1899-12-30T03:01:00"/>
    <s v="03"/>
    <s v="01"/>
    <x v="0"/>
    <x v="0"/>
    <x v="8"/>
    <d v="1899-12-30T02:01:00"/>
    <x v="2"/>
    <x v="55"/>
    <n v="0"/>
  </r>
  <r>
    <x v="1"/>
    <d v="2024-11-10T00:00:00"/>
    <x v="8"/>
    <x v="24"/>
    <x v="218"/>
    <s v="A"/>
    <x v="2"/>
    <x v="27"/>
    <d v="1899-12-30T03:01:00"/>
    <s v="03"/>
    <s v="01"/>
    <x v="0"/>
    <x v="1"/>
    <x v="91"/>
    <d v="1899-12-30T02:01:00"/>
    <x v="3"/>
    <x v="19"/>
    <n v="0"/>
  </r>
  <r>
    <x v="0"/>
    <d v="2024-11-10T00:00:00"/>
    <x v="8"/>
    <x v="24"/>
    <x v="219"/>
    <s v="A"/>
    <x v="3"/>
    <x v="42"/>
    <d v="1899-12-30T00:01:00"/>
    <s v="00"/>
    <s v="01"/>
    <x v="1"/>
    <x v="2"/>
    <x v="60"/>
    <d v="1899-12-30T00:01:00"/>
    <x v="2"/>
    <x v="53"/>
    <n v="0"/>
  </r>
  <r>
    <x v="1"/>
    <d v="2024-11-10T00:00:00"/>
    <x v="4"/>
    <x v="21"/>
    <x v="220"/>
    <s v="H"/>
    <x v="2"/>
    <x v="20"/>
    <d v="1899-12-30T03:00:00"/>
    <s v="03"/>
    <s v="00"/>
    <x v="0"/>
    <x v="2"/>
    <x v="94"/>
    <d v="1899-12-30T02:00:00"/>
    <x v="6"/>
    <x v="0"/>
    <n v="1"/>
  </r>
  <r>
    <x v="1"/>
    <d v="2024-11-10T00:00:00"/>
    <x v="8"/>
    <x v="15"/>
    <x v="221"/>
    <s v="H"/>
    <x v="2"/>
    <x v="50"/>
    <d v="1899-12-30T05:00:00"/>
    <s v="05"/>
    <s v="00"/>
    <x v="0"/>
    <x v="2"/>
    <x v="84"/>
    <d v="1899-12-30T03:00:00"/>
    <x v="3"/>
    <x v="16"/>
    <n v="0"/>
  </r>
  <r>
    <x v="1"/>
    <d v="2024-11-10T00:00:00"/>
    <x v="8"/>
    <x v="15"/>
    <x v="221"/>
    <s v="H"/>
    <x v="2"/>
    <x v="50"/>
    <d v="1899-12-30T05:00:00"/>
    <s v="05"/>
    <s v="00"/>
    <x v="0"/>
    <x v="2"/>
    <x v="12"/>
    <d v="1899-12-30T01:00:00"/>
    <x v="3"/>
    <x v="44"/>
    <n v="0"/>
  </r>
  <r>
    <x v="1"/>
    <d v="2024-11-10T00:00:00"/>
    <x v="4"/>
    <x v="23"/>
    <x v="222"/>
    <s v="A"/>
    <x v="2"/>
    <x v="85"/>
    <d v="1899-12-30T00:03:00"/>
    <s v="00"/>
    <s v="03"/>
    <x v="1"/>
    <x v="2"/>
    <x v="7"/>
    <d v="1899-12-30T00:03:00"/>
    <x v="3"/>
    <x v="34"/>
    <n v="0"/>
  </r>
  <r>
    <x v="1"/>
    <d v="2024-11-10T00:00:00"/>
    <x v="4"/>
    <x v="23"/>
    <x v="222"/>
    <s v="A"/>
    <x v="2"/>
    <x v="85"/>
    <d v="1899-12-30T00:03:00"/>
    <s v="00"/>
    <s v="03"/>
    <x v="1"/>
    <x v="2"/>
    <x v="11"/>
    <d v="1899-12-30T00:02:00"/>
    <x v="3"/>
    <x v="34"/>
    <n v="0"/>
  </r>
  <r>
    <x v="1"/>
    <d v="2024-11-10T00:00:00"/>
    <x v="4"/>
    <x v="43"/>
    <x v="223"/>
    <s v="H"/>
    <x v="2"/>
    <x v="42"/>
    <d v="1899-12-30T03:00:00"/>
    <s v="03"/>
    <s v="00"/>
    <x v="0"/>
    <x v="2"/>
    <x v="44"/>
    <d v="1899-12-30T02:00:00"/>
    <x v="3"/>
    <x v="44"/>
    <n v="0"/>
  </r>
  <r>
    <x v="1"/>
    <d v="2024-11-10T00:00:00"/>
    <x v="4"/>
    <x v="43"/>
    <x v="223"/>
    <s v="H"/>
    <x v="2"/>
    <x v="42"/>
    <d v="1899-12-30T03:00:00"/>
    <s v="03"/>
    <s v="00"/>
    <x v="0"/>
    <x v="2"/>
    <x v="76"/>
    <d v="1899-12-30T03:00:00"/>
    <x v="3"/>
    <x v="58"/>
    <n v="0"/>
  </r>
  <r>
    <x v="1"/>
    <d v="2024-11-10T00:00:00"/>
    <x v="4"/>
    <x v="43"/>
    <x v="223"/>
    <s v="H"/>
    <x v="2"/>
    <x v="42"/>
    <d v="1899-12-30T03:00:00"/>
    <s v="03"/>
    <s v="00"/>
    <x v="0"/>
    <x v="2"/>
    <x v="67"/>
    <d v="1899-12-30T01:00:00"/>
    <x v="3"/>
    <x v="34"/>
    <n v="0"/>
  </r>
  <r>
    <x v="0"/>
    <d v="2024-11-10T00:00:00"/>
    <x v="4"/>
    <x v="43"/>
    <x v="224"/>
    <s v="H"/>
    <x v="3"/>
    <x v="90"/>
    <d v="1899-12-30T04:01:00"/>
    <s v="04"/>
    <s v="01"/>
    <x v="0"/>
    <x v="0"/>
    <x v="92"/>
    <d v="1899-12-30T02:00:00"/>
    <x v="3"/>
    <x v="49"/>
    <n v="0"/>
  </r>
  <r>
    <x v="0"/>
    <d v="2024-11-10T00:00:00"/>
    <x v="4"/>
    <x v="43"/>
    <x v="224"/>
    <s v="H"/>
    <x v="3"/>
    <x v="90"/>
    <d v="1899-12-30T04:01:00"/>
    <s v="04"/>
    <s v="01"/>
    <x v="0"/>
    <x v="0"/>
    <x v="29"/>
    <d v="1899-12-30T03:00:00"/>
    <x v="1"/>
    <x v="55"/>
    <n v="0"/>
  </r>
  <r>
    <x v="1"/>
    <d v="2024-11-10T00:00:00"/>
    <x v="4"/>
    <x v="11"/>
    <x v="225"/>
    <s v="H"/>
    <x v="2"/>
    <x v="23"/>
    <d v="1899-12-30T02:01:00"/>
    <s v="02"/>
    <s v="01"/>
    <x v="0"/>
    <x v="2"/>
    <x v="76"/>
    <d v="1899-12-30T02:01:00"/>
    <x v="2"/>
    <x v="34"/>
    <n v="0"/>
  </r>
  <r>
    <x v="1"/>
    <d v="2024-11-10T00:00:00"/>
    <x v="4"/>
    <x v="12"/>
    <x v="226"/>
    <s v="A"/>
    <x v="2"/>
    <x v="25"/>
    <d v="1899-12-30T00:03:00"/>
    <s v="00"/>
    <s v="03"/>
    <x v="1"/>
    <x v="2"/>
    <x v="31"/>
    <d v="1899-12-30T00:01:00"/>
    <x v="1"/>
    <x v="51"/>
    <n v="0"/>
  </r>
  <r>
    <x v="1"/>
    <d v="2024-11-10T00:00:00"/>
    <x v="4"/>
    <x v="25"/>
    <x v="227"/>
    <s v="A"/>
    <x v="2"/>
    <x v="58"/>
    <d v="1899-12-30T00:01:00"/>
    <s v="00"/>
    <s v="01"/>
    <x v="1"/>
    <x v="2"/>
    <x v="43"/>
    <d v="1899-12-30T00:01:00"/>
    <x v="3"/>
    <x v="60"/>
    <n v="0"/>
  </r>
  <r>
    <x v="0"/>
    <d v="2024-11-10T00:00:00"/>
    <x v="4"/>
    <x v="25"/>
    <x v="228"/>
    <s v="H"/>
    <x v="3"/>
    <x v="63"/>
    <d v="1899-12-30T07:00:00"/>
    <s v="07"/>
    <s v="00"/>
    <x v="0"/>
    <x v="0"/>
    <x v="3"/>
    <d v="1899-12-30T06:00:00"/>
    <x v="6"/>
    <x v="0"/>
    <n v="1"/>
  </r>
  <r>
    <x v="0"/>
    <d v="2024-11-10T00:00:00"/>
    <x v="4"/>
    <x v="25"/>
    <x v="228"/>
    <s v="H"/>
    <x v="3"/>
    <x v="63"/>
    <d v="1899-12-30T07:00:00"/>
    <s v="07"/>
    <s v="00"/>
    <x v="0"/>
    <x v="0"/>
    <x v="25"/>
    <d v="1899-12-30T04:00:00"/>
    <x v="3"/>
    <x v="55"/>
    <n v="0"/>
  </r>
  <r>
    <x v="0"/>
    <d v="2024-11-10T00:00:00"/>
    <x v="4"/>
    <x v="25"/>
    <x v="228"/>
    <s v="H"/>
    <x v="3"/>
    <x v="63"/>
    <d v="1899-12-30T07:00:00"/>
    <s v="07"/>
    <s v="00"/>
    <x v="0"/>
    <x v="0"/>
    <x v="18"/>
    <d v="1899-12-30T07:00:00"/>
    <x v="2"/>
    <x v="61"/>
    <n v="0"/>
  </r>
  <r>
    <x v="1"/>
    <d v="2024-11-10T00:00:00"/>
    <x v="6"/>
    <x v="44"/>
    <x v="229"/>
    <s v="H"/>
    <x v="2"/>
    <x v="12"/>
    <d v="1899-12-30T03:01:00"/>
    <s v="03"/>
    <s v="01"/>
    <x v="0"/>
    <x v="1"/>
    <x v="47"/>
    <d v="1899-12-30T01:00:00"/>
    <x v="3"/>
    <x v="16"/>
    <n v="0"/>
  </r>
  <r>
    <x v="1"/>
    <d v="2024-11-10T00:00:00"/>
    <x v="6"/>
    <x v="44"/>
    <x v="229"/>
    <s v="H"/>
    <x v="2"/>
    <x v="12"/>
    <d v="1899-12-30T03:01:00"/>
    <s v="03"/>
    <s v="01"/>
    <x v="0"/>
    <x v="1"/>
    <x v="53"/>
    <d v="1899-12-30T03:01:00"/>
    <x v="6"/>
    <x v="0"/>
    <n v="1"/>
  </r>
  <r>
    <x v="0"/>
    <d v="2024-11-10T00:00:00"/>
    <x v="6"/>
    <x v="24"/>
    <x v="230"/>
    <s v="H"/>
    <x v="3"/>
    <x v="6"/>
    <d v="1899-12-30T04:00:00"/>
    <s v="04"/>
    <s v="00"/>
    <x v="0"/>
    <x v="0"/>
    <x v="11"/>
    <d v="1899-12-30T04:00:00"/>
    <x v="2"/>
    <x v="49"/>
    <n v="0"/>
  </r>
  <r>
    <x v="1"/>
    <d v="2024-11-10T00:00:00"/>
    <x v="4"/>
    <x v="45"/>
    <x v="231"/>
    <s v="H"/>
    <x v="2"/>
    <x v="50"/>
    <d v="1899-12-30T03:01:00"/>
    <s v="03"/>
    <s v="01"/>
    <x v="0"/>
    <x v="2"/>
    <x v="19"/>
    <d v="1899-12-30T03:01:00"/>
    <x v="3"/>
    <x v="51"/>
    <n v="0"/>
  </r>
  <r>
    <x v="1"/>
    <d v="2024-11-10T00:00:00"/>
    <x v="4"/>
    <x v="45"/>
    <x v="231"/>
    <s v="H"/>
    <x v="2"/>
    <x v="50"/>
    <d v="1899-12-30T03:01:00"/>
    <s v="03"/>
    <s v="01"/>
    <x v="0"/>
    <x v="2"/>
    <x v="95"/>
    <d v="1899-12-30T01:01:00"/>
    <x v="6"/>
    <x v="0"/>
    <n v="1"/>
  </r>
  <r>
    <x v="0"/>
    <d v="2024-11-10T00:00:00"/>
    <x v="4"/>
    <x v="45"/>
    <x v="231"/>
    <s v="A"/>
    <x v="3"/>
    <x v="23"/>
    <d v="1899-12-30T00:03:00"/>
    <s v="00"/>
    <s v="03"/>
    <x v="1"/>
    <x v="2"/>
    <x v="62"/>
    <d v="1899-12-30T00:03:00"/>
    <x v="2"/>
    <x v="41"/>
    <n v="0"/>
  </r>
  <r>
    <x v="1"/>
    <d v="2024-11-10T00:00:00"/>
    <x v="6"/>
    <x v="24"/>
    <x v="232"/>
    <s v="A"/>
    <x v="2"/>
    <x v="61"/>
    <d v="1899-12-30T00:01:00"/>
    <s v="00"/>
    <s v="01"/>
    <x v="1"/>
    <x v="2"/>
    <x v="29"/>
    <d v="1899-12-30T00:01:00"/>
    <x v="3"/>
    <x v="34"/>
    <n v="0"/>
  </r>
  <r>
    <x v="0"/>
    <d v="2024-11-10T00:00:00"/>
    <x v="6"/>
    <x v="24"/>
    <x v="233"/>
    <s v="A"/>
    <x v="3"/>
    <x v="6"/>
    <d v="1899-12-30T00:01:00"/>
    <s v="00"/>
    <s v="01"/>
    <x v="1"/>
    <x v="1"/>
    <x v="25"/>
    <d v="1899-12-30T00:01:00"/>
    <x v="2"/>
    <x v="62"/>
    <n v="0"/>
  </r>
  <r>
    <x v="1"/>
    <d v="2024-11-10T00:00:00"/>
    <x v="4"/>
    <x v="6"/>
    <x v="234"/>
    <s v="A"/>
    <x v="2"/>
    <x v="36"/>
    <d v="1899-12-30T01:01:00"/>
    <s v="01"/>
    <s v="01"/>
    <x v="2"/>
    <x v="2"/>
    <x v="68"/>
    <d v="1899-12-30T00:01:00"/>
    <x v="6"/>
    <x v="0"/>
    <n v="1"/>
  </r>
  <r>
    <x v="0"/>
    <d v="2024-11-10T00:00:00"/>
    <x v="4"/>
    <x v="6"/>
    <x v="234"/>
    <s v="H"/>
    <x v="3"/>
    <x v="91"/>
    <d v="1899-12-30T01:01:00"/>
    <s v="01"/>
    <s v="01"/>
    <x v="2"/>
    <x v="0"/>
    <x v="26"/>
    <d v="1899-12-30T01:01:00"/>
    <x v="6"/>
    <x v="0"/>
    <n v="1"/>
  </r>
  <r>
    <x v="0"/>
    <d v="2024-11-10T00:00:00"/>
    <x v="8"/>
    <x v="8"/>
    <x v="235"/>
    <s v="A"/>
    <x v="3"/>
    <x v="91"/>
    <d v="1899-12-30T00:01:00"/>
    <n v="0"/>
    <n v="1"/>
    <x v="1"/>
    <x v="2"/>
    <x v="96"/>
    <d v="1899-12-30T00:01:00"/>
    <x v="1"/>
    <x v="57"/>
    <n v="0"/>
  </r>
  <r>
    <x v="1"/>
    <d v="2024-11-10T00:00:00"/>
    <x v="4"/>
    <x v="46"/>
    <x v="236"/>
    <s v="H"/>
    <x v="2"/>
    <x v="31"/>
    <d v="1899-12-30T02:00:00"/>
    <s v="02"/>
    <s v="00"/>
    <x v="0"/>
    <x v="2"/>
    <x v="11"/>
    <d v="1899-12-30T02:00:00"/>
    <x v="2"/>
    <x v="34"/>
    <n v="0"/>
  </r>
  <r>
    <x v="1"/>
    <d v="2024-11-10T00:00:00"/>
    <x v="6"/>
    <x v="15"/>
    <x v="237"/>
    <s v="A"/>
    <x v="2"/>
    <x v="36"/>
    <d v="1899-12-30T00:02:00"/>
    <s v="00"/>
    <s v="02"/>
    <x v="1"/>
    <x v="2"/>
    <x v="18"/>
    <d v="1899-12-30T00:01:00"/>
    <x v="3"/>
    <x v="63"/>
    <n v="0"/>
  </r>
  <r>
    <x v="1"/>
    <d v="2024-11-10T00:00:00"/>
    <x v="6"/>
    <x v="15"/>
    <x v="237"/>
    <s v="A"/>
    <x v="2"/>
    <x v="36"/>
    <d v="1899-12-30T00:02:00"/>
    <s v="00"/>
    <s v="02"/>
    <x v="1"/>
    <x v="2"/>
    <x v="11"/>
    <d v="1899-12-30T00:02:00"/>
    <x v="0"/>
    <x v="64"/>
    <n v="0"/>
  </r>
  <r>
    <x v="0"/>
    <d v="2024-11-10T00:00:00"/>
    <x v="4"/>
    <x v="36"/>
    <x v="238"/>
    <s v="A"/>
    <x v="3"/>
    <x v="34"/>
    <d v="1899-12-30T02:06:00"/>
    <s v="02"/>
    <s v="06"/>
    <x v="1"/>
    <x v="0"/>
    <x v="74"/>
    <d v="1899-12-30T00:02:00"/>
    <x v="2"/>
    <x v="42"/>
    <n v="0"/>
  </r>
  <r>
    <x v="0"/>
    <d v="2024-11-10T00:00:00"/>
    <x v="4"/>
    <x v="36"/>
    <x v="238"/>
    <s v="A"/>
    <x v="3"/>
    <x v="34"/>
    <d v="1899-12-30T02:06:00"/>
    <s v="02"/>
    <s v="06"/>
    <x v="1"/>
    <x v="0"/>
    <x v="18"/>
    <d v="1899-12-30T01:06:00"/>
    <x v="2"/>
    <x v="43"/>
    <n v="0"/>
  </r>
  <r>
    <x v="0"/>
    <d v="2024-11-10T00:00:00"/>
    <x v="4"/>
    <x v="36"/>
    <x v="238"/>
    <s v="A"/>
    <x v="3"/>
    <x v="34"/>
    <d v="1899-12-30T02:06:00"/>
    <s v="02"/>
    <s v="06"/>
    <x v="1"/>
    <x v="0"/>
    <x v="87"/>
    <d v="1899-12-30T01:04:00"/>
    <x v="2"/>
    <x v="0"/>
    <n v="1"/>
  </r>
  <r>
    <x v="0"/>
    <d v="2024-11-10T00:00:00"/>
    <x v="4"/>
    <x v="36"/>
    <x v="238"/>
    <s v="A"/>
    <x v="3"/>
    <x v="34"/>
    <d v="1899-12-30T02:06:00"/>
    <s v="02"/>
    <s v="06"/>
    <x v="1"/>
    <x v="0"/>
    <x v="62"/>
    <d v="1899-12-30T01:05:00"/>
    <x v="2"/>
    <x v="55"/>
    <n v="0"/>
  </r>
  <r>
    <x v="0"/>
    <d v="2024-11-10T00:00:00"/>
    <x v="4"/>
    <x v="48"/>
    <x v="239"/>
    <s v="H"/>
    <x v="3"/>
    <x v="40"/>
    <d v="1899-12-30T04:00:00"/>
    <s v="04"/>
    <s v="00"/>
    <x v="0"/>
    <x v="0"/>
    <x v="35"/>
    <d v="1899-12-30T01:00:00"/>
    <x v="1"/>
    <x v="55"/>
    <n v="0"/>
  </r>
  <r>
    <x v="0"/>
    <d v="2024-11-10T00:00:00"/>
    <x v="4"/>
    <x v="48"/>
    <x v="239"/>
    <s v="H"/>
    <x v="3"/>
    <x v="40"/>
    <d v="1899-12-30T04:00:00"/>
    <s v="04"/>
    <s v="00"/>
    <x v="0"/>
    <x v="0"/>
    <x v="19"/>
    <d v="1899-12-30T04:00:00"/>
    <x v="6"/>
    <x v="0"/>
    <n v="1"/>
  </r>
  <r>
    <x v="0"/>
    <d v="2024-11-10T00:00:00"/>
    <x v="4"/>
    <x v="48"/>
    <x v="239"/>
    <s v="H"/>
    <x v="3"/>
    <x v="40"/>
    <d v="1899-12-30T04:00:00"/>
    <s v="04"/>
    <s v="00"/>
    <x v="0"/>
    <x v="0"/>
    <x v="50"/>
    <d v="1899-12-30T02:00:00"/>
    <x v="3"/>
    <x v="55"/>
    <n v="0"/>
  </r>
  <r>
    <x v="0"/>
    <d v="2024-11-10T00:00:00"/>
    <x v="4"/>
    <x v="35"/>
    <x v="240"/>
    <s v="A"/>
    <x v="3"/>
    <x v="76"/>
    <d v="1899-12-30T01:03:00"/>
    <s v="01"/>
    <s v="03"/>
    <x v="1"/>
    <x v="2"/>
    <x v="60"/>
    <d v="1899-12-30T00:02:00"/>
    <x v="4"/>
    <x v="0"/>
    <n v="1"/>
  </r>
  <r>
    <x v="0"/>
    <d v="2024-11-10T00:00:00"/>
    <x v="4"/>
    <x v="35"/>
    <x v="240"/>
    <s v="A"/>
    <x v="3"/>
    <x v="76"/>
    <d v="1899-12-30T01:03:00"/>
    <s v="01"/>
    <s v="03"/>
    <x v="1"/>
    <x v="2"/>
    <x v="21"/>
    <d v="1899-12-30T01:03:00"/>
    <x v="4"/>
    <x v="0"/>
    <n v="1"/>
  </r>
  <r>
    <x v="0"/>
    <d v="2024-11-10T00:00:00"/>
    <x v="4"/>
    <x v="7"/>
    <x v="241"/>
    <s v="H"/>
    <x v="3"/>
    <x v="79"/>
    <d v="1899-12-30T08:01:00"/>
    <s v="08"/>
    <s v="01"/>
    <x v="0"/>
    <x v="0"/>
    <x v="9"/>
    <d v="1899-12-30T01:00:00"/>
    <x v="2"/>
    <x v="53"/>
    <n v="0"/>
  </r>
  <r>
    <x v="0"/>
    <d v="2024-11-10T00:00:00"/>
    <x v="4"/>
    <x v="7"/>
    <x v="241"/>
    <s v="H"/>
    <x v="3"/>
    <x v="79"/>
    <d v="1899-12-30T08:01:00"/>
    <s v="08"/>
    <s v="01"/>
    <x v="0"/>
    <x v="0"/>
    <x v="18"/>
    <d v="1899-12-30T07:01:00"/>
    <x v="2"/>
    <x v="53"/>
    <n v="0"/>
  </r>
  <r>
    <x v="1"/>
    <d v="2024-11-10T00:00:00"/>
    <x v="6"/>
    <x v="8"/>
    <x v="242"/>
    <s v="H"/>
    <x v="2"/>
    <x v="72"/>
    <d v="1899-12-30T03:01:00"/>
    <s v="03"/>
    <s v="01"/>
    <x v="0"/>
    <x v="2"/>
    <x v="14"/>
    <d v="1899-12-30T02:01:00"/>
    <x v="3"/>
    <x v="16"/>
    <n v="0"/>
  </r>
  <r>
    <x v="1"/>
    <d v="2024-12-11T00:00:00"/>
    <x v="10"/>
    <x v="8"/>
    <x v="243"/>
    <s v="A"/>
    <x v="2"/>
    <x v="36"/>
    <d v="1899-12-30T02:02:00"/>
    <s v="02"/>
    <s v="02"/>
    <x v="2"/>
    <x v="2"/>
    <x v="32"/>
    <d v="1899-12-30T01:02:00"/>
    <x v="3"/>
    <x v="59"/>
    <n v="0"/>
  </r>
  <r>
    <x v="1"/>
    <d v="2024-12-11T00:00:00"/>
    <x v="10"/>
    <x v="8"/>
    <x v="244"/>
    <s v="H"/>
    <x v="2"/>
    <x v="36"/>
    <d v="1899-12-30T03:02:00"/>
    <s v="03"/>
    <s v="02"/>
    <x v="0"/>
    <x v="2"/>
    <x v="2"/>
    <d v="1899-12-30T03:02:00"/>
    <x v="3"/>
    <x v="60"/>
    <n v="0"/>
  </r>
  <r>
    <x v="1"/>
    <d v="2024-12-11T00:00:00"/>
    <x v="10"/>
    <x v="8"/>
    <x v="244"/>
    <s v="H"/>
    <x v="2"/>
    <x v="36"/>
    <d v="1899-12-30T03:02:00"/>
    <s v="03"/>
    <s v="02"/>
    <x v="0"/>
    <x v="2"/>
    <x v="10"/>
    <d v="1899-12-30T02:01:00"/>
    <x v="2"/>
    <x v="37"/>
    <n v="0"/>
  </r>
  <r>
    <x v="0"/>
    <d v="2024-12-11T00:00:00"/>
    <x v="10"/>
    <x v="8"/>
    <x v="244"/>
    <s v="A"/>
    <x v="3"/>
    <x v="91"/>
    <d v="1899-12-30T03:02:00"/>
    <s v="03"/>
    <s v="02"/>
    <x v="0"/>
    <x v="0"/>
    <x v="92"/>
    <d v="1899-12-30T01:01:00"/>
    <x v="2"/>
    <x v="43"/>
    <n v="0"/>
  </r>
  <r>
    <x v="1"/>
    <d v="2024-12-11T00:00:00"/>
    <x v="11"/>
    <x v="8"/>
    <x v="245"/>
    <s v="H"/>
    <x v="2"/>
    <x v="71"/>
    <d v="1899-12-30T02:00:00"/>
    <s v="02"/>
    <s v="00"/>
    <x v="0"/>
    <x v="2"/>
    <x v="40"/>
    <d v="1899-12-30T01:00:00"/>
    <x v="3"/>
    <x v="0"/>
    <n v="1"/>
  </r>
  <r>
    <x v="0"/>
    <d v="2024-12-11T00:00:00"/>
    <x v="4"/>
    <x v="28"/>
    <x v="246"/>
    <s v="A"/>
    <x v="3"/>
    <x v="26"/>
    <d v="1899-12-30T00:06:00"/>
    <s v="00"/>
    <s v="06"/>
    <x v="1"/>
    <x v="0"/>
    <x v="35"/>
    <d v="1899-12-30T00:01:00"/>
    <x v="3"/>
    <x v="55"/>
    <n v="0"/>
  </r>
  <r>
    <x v="0"/>
    <d v="2024-12-11T00:00:00"/>
    <x v="4"/>
    <x v="28"/>
    <x v="246"/>
    <s v="A"/>
    <x v="3"/>
    <x v="26"/>
    <d v="1899-12-30T00:06:00"/>
    <s v="00"/>
    <s v="06"/>
    <x v="1"/>
    <x v="0"/>
    <x v="62"/>
    <d v="1899-12-30T00:04:00"/>
    <x v="2"/>
    <x v="57"/>
    <n v="0"/>
  </r>
  <r>
    <x v="0"/>
    <d v="2024-12-11T00:00:00"/>
    <x v="4"/>
    <x v="28"/>
    <x v="246"/>
    <s v="A"/>
    <x v="3"/>
    <x v="26"/>
    <d v="1899-12-30T00:06:00"/>
    <s v="00"/>
    <s v="06"/>
    <x v="1"/>
    <x v="0"/>
    <x v="46"/>
    <d v="1899-12-30T00:06:00"/>
    <x v="2"/>
    <x v="49"/>
    <n v="0"/>
  </r>
  <r>
    <x v="1"/>
    <d v="2024-12-11T00:00:00"/>
    <x v="4"/>
    <x v="28"/>
    <x v="247"/>
    <s v="H"/>
    <x v="2"/>
    <x v="76"/>
    <d v="1899-12-30T05:00:00"/>
    <s v="05"/>
    <s v="00"/>
    <x v="0"/>
    <x v="2"/>
    <x v="6"/>
    <d v="1899-12-30T05:00:00"/>
    <x v="3"/>
    <x v="59"/>
    <n v="0"/>
  </r>
  <r>
    <x v="1"/>
    <d v="2024-12-11T00:00:00"/>
    <x v="4"/>
    <x v="28"/>
    <x v="247"/>
    <s v="H"/>
    <x v="2"/>
    <x v="76"/>
    <d v="1899-12-30T05:00:00"/>
    <s v="05"/>
    <s v="00"/>
    <x v="0"/>
    <x v="2"/>
    <x v="22"/>
    <d v="1899-12-30T04:00:00"/>
    <x v="2"/>
    <x v="16"/>
    <n v="0"/>
  </r>
  <r>
    <x v="0"/>
    <d v="2024-12-11T00:00:00"/>
    <x v="4"/>
    <x v="47"/>
    <x v="248"/>
    <s v="H"/>
    <x v="3"/>
    <x v="40"/>
    <d v="1899-12-30T04:02:00"/>
    <s v="04"/>
    <s v="02"/>
    <x v="0"/>
    <x v="0"/>
    <x v="34"/>
    <d v="1899-12-30T02:01:00"/>
    <x v="6"/>
    <x v="0"/>
    <n v="1"/>
  </r>
  <r>
    <x v="1"/>
    <d v="2024-12-11T00:00:00"/>
    <x v="4"/>
    <x v="37"/>
    <x v="249"/>
    <s v="H"/>
    <x v="2"/>
    <x v="31"/>
    <d v="1899-12-30T08:00:00"/>
    <s v="08"/>
    <s v="00"/>
    <x v="0"/>
    <x v="2"/>
    <x v="54"/>
    <d v="1899-12-30T08:00:00"/>
    <x v="3"/>
    <x v="65"/>
    <n v="0"/>
  </r>
  <r>
    <x v="1"/>
    <d v="2024-12-11T00:00:00"/>
    <x v="4"/>
    <x v="37"/>
    <x v="249"/>
    <s v="H"/>
    <x v="2"/>
    <x v="31"/>
    <d v="1899-12-30T08:00:00"/>
    <s v="08"/>
    <s v="00"/>
    <x v="0"/>
    <x v="2"/>
    <x v="49"/>
    <d v="1899-12-30T01:00:00"/>
    <x v="3"/>
    <x v="34"/>
    <n v="0"/>
  </r>
  <r>
    <x v="1"/>
    <d v="2024-12-11T00:00:00"/>
    <x v="4"/>
    <x v="37"/>
    <x v="249"/>
    <s v="H"/>
    <x v="2"/>
    <x v="31"/>
    <d v="1899-12-30T08:00:00"/>
    <s v="08"/>
    <s v="00"/>
    <x v="0"/>
    <x v="2"/>
    <x v="56"/>
    <d v="1899-12-30T05:00:00"/>
    <x v="3"/>
    <x v="65"/>
    <n v="0"/>
  </r>
  <r>
    <x v="1"/>
    <d v="2024-12-11T00:00:00"/>
    <x v="4"/>
    <x v="0"/>
    <x v="250"/>
    <s v="H"/>
    <x v="2"/>
    <x v="42"/>
    <d v="1899-12-30T05:00:00"/>
    <s v="05"/>
    <s v="00"/>
    <x v="0"/>
    <x v="2"/>
    <x v="72"/>
    <d v="1899-12-30T03:00:00"/>
    <x v="3"/>
    <x v="44"/>
    <n v="0"/>
  </r>
  <r>
    <x v="0"/>
    <d v="2024-12-11T00:00:00"/>
    <x v="4"/>
    <x v="0"/>
    <x v="250"/>
    <s v="H"/>
    <x v="3"/>
    <x v="92"/>
    <d v="1899-12-30T06:02:00"/>
    <s v="06"/>
    <s v="02"/>
    <x v="0"/>
    <x v="0"/>
    <x v="22"/>
    <d v="1899-12-30T03:01:00"/>
    <x v="6"/>
    <x v="0"/>
    <n v="1"/>
  </r>
  <r>
    <x v="1"/>
    <d v="2024-12-11T00:00:00"/>
    <x v="4"/>
    <x v="0"/>
    <x v="250"/>
    <s v="H"/>
    <x v="2"/>
    <x v="42"/>
    <d v="1899-12-30T05:00:00"/>
    <s v="05"/>
    <s v="00"/>
    <x v="0"/>
    <x v="2"/>
    <x v="76"/>
    <d v="1899-12-30T04:00:00"/>
    <x v="3"/>
    <x v="34"/>
    <n v="0"/>
  </r>
  <r>
    <x v="1"/>
    <d v="2024-12-11T00:00:00"/>
    <x v="4"/>
    <x v="0"/>
    <x v="250"/>
    <s v="H"/>
    <x v="2"/>
    <x v="42"/>
    <d v="1899-12-30T05:00:00"/>
    <s v="05"/>
    <s v="00"/>
    <x v="0"/>
    <x v="2"/>
    <x v="19"/>
    <d v="1899-12-30T05:00:00"/>
    <x v="3"/>
    <x v="58"/>
    <n v="0"/>
  </r>
  <r>
    <x v="0"/>
    <d v="2024-12-11T00:00:00"/>
    <x v="4"/>
    <x v="0"/>
    <x v="250"/>
    <s v="H"/>
    <x v="3"/>
    <x v="92"/>
    <d v="1899-12-30T06:02:00"/>
    <s v="06"/>
    <s v="02"/>
    <x v="0"/>
    <x v="0"/>
    <x v="40"/>
    <d v="1899-12-30T01:01:00"/>
    <x v="3"/>
    <x v="49"/>
    <n v="0"/>
  </r>
  <r>
    <x v="0"/>
    <d v="2024-12-11T00:00:00"/>
    <x v="4"/>
    <x v="0"/>
    <x v="250"/>
    <s v="H"/>
    <x v="3"/>
    <x v="92"/>
    <d v="1899-12-30T06:02:00"/>
    <s v="06"/>
    <s v="02"/>
    <x v="0"/>
    <x v="0"/>
    <x v="33"/>
    <d v="1899-12-30T06:02:00"/>
    <x v="6"/>
    <x v="0"/>
    <n v="1"/>
  </r>
  <r>
    <x v="0"/>
    <d v="2024-12-11T00:00:00"/>
    <x v="6"/>
    <x v="18"/>
    <x v="251"/>
    <s v="H"/>
    <x v="3"/>
    <x v="88"/>
    <d v="1899-12-30T03:00:00"/>
    <s v="03"/>
    <s v="00"/>
    <x v="0"/>
    <x v="0"/>
    <x v="73"/>
    <d v="1899-12-30T01:00:00"/>
    <x v="2"/>
    <x v="43"/>
    <n v="0"/>
  </r>
  <r>
    <x v="1"/>
    <d v="2024-12-11T00:00:00"/>
    <x v="6"/>
    <x v="18"/>
    <x v="252"/>
    <s v="A"/>
    <x v="2"/>
    <x v="93"/>
    <d v="1899-12-30T00:05:00"/>
    <s v="00"/>
    <s v="05"/>
    <x v="1"/>
    <x v="2"/>
    <x v="66"/>
    <d v="1899-12-30T00:04:00"/>
    <x v="3"/>
    <x v="34"/>
    <n v="0"/>
  </r>
  <r>
    <x v="1"/>
    <d v="2024-12-11T00:00:00"/>
    <x v="6"/>
    <x v="18"/>
    <x v="252"/>
    <s v="A"/>
    <x v="2"/>
    <x v="93"/>
    <d v="1899-12-30T00:05:00"/>
    <s v="00"/>
    <s v="05"/>
    <x v="1"/>
    <x v="2"/>
    <x v="31"/>
    <d v="1899-12-30T00:03:00"/>
    <x v="1"/>
    <x v="0"/>
    <n v="1"/>
  </r>
  <r>
    <x v="1"/>
    <d v="2024-12-11T00:00:00"/>
    <x v="4"/>
    <x v="1"/>
    <x v="253"/>
    <s v="H"/>
    <x v="2"/>
    <x v="20"/>
    <d v="1899-12-30T03:00:00"/>
    <s v="03"/>
    <s v="00"/>
    <x v="0"/>
    <x v="2"/>
    <x v="64"/>
    <d v="1899-12-30T03:00:00"/>
    <x v="2"/>
    <x v="0"/>
    <n v="1"/>
  </r>
  <r>
    <x v="1"/>
    <d v="2024-12-11T00:00:00"/>
    <x v="4"/>
    <x v="1"/>
    <x v="253"/>
    <s v="H"/>
    <x v="2"/>
    <x v="20"/>
    <d v="1899-12-30T03:00:00"/>
    <s v="03"/>
    <s v="00"/>
    <x v="0"/>
    <x v="2"/>
    <x v="45"/>
    <d v="1899-12-30T01:00:00"/>
    <x v="2"/>
    <x v="16"/>
    <n v="0"/>
  </r>
  <r>
    <x v="0"/>
    <d v="2024-12-11T00:00:00"/>
    <x v="4"/>
    <x v="39"/>
    <x v="254"/>
    <s v="A"/>
    <x v="3"/>
    <x v="63"/>
    <d v="1899-12-30T00:04:00"/>
    <s v="00"/>
    <s v="04"/>
    <x v="1"/>
    <x v="0"/>
    <x v="44"/>
    <d v="1899-12-30T00:03:00"/>
    <x v="2"/>
    <x v="56"/>
    <n v="0"/>
  </r>
  <r>
    <x v="0"/>
    <d v="2024-12-11T00:00:00"/>
    <x v="4"/>
    <x v="39"/>
    <x v="254"/>
    <s v="A"/>
    <x v="3"/>
    <x v="63"/>
    <d v="1899-12-30T00:04:00"/>
    <s v="00"/>
    <s v="04"/>
    <x v="1"/>
    <x v="0"/>
    <x v="70"/>
    <d v="1899-12-30T00:02:00"/>
    <x v="3"/>
    <x v="57"/>
    <n v="0"/>
  </r>
  <r>
    <x v="0"/>
    <d v="2024-12-11T00:00:00"/>
    <x v="4"/>
    <x v="39"/>
    <x v="254"/>
    <s v="A"/>
    <x v="3"/>
    <x v="63"/>
    <d v="1899-12-30T00:04:00"/>
    <s v="00"/>
    <s v="04"/>
    <x v="1"/>
    <x v="0"/>
    <x v="31"/>
    <d v="1899-12-30T00:04:00"/>
    <x v="2"/>
    <x v="53"/>
    <n v="0"/>
  </r>
  <r>
    <x v="1"/>
    <d v="2024-12-11T00:00:00"/>
    <x v="4"/>
    <x v="4"/>
    <x v="255"/>
    <s v="H"/>
    <x v="2"/>
    <x v="25"/>
    <d v="1899-12-30T05:00:00"/>
    <s v="05"/>
    <s v="00"/>
    <x v="0"/>
    <x v="2"/>
    <x v="74"/>
    <d v="1899-12-30T03:00:00"/>
    <x v="3"/>
    <x v="34"/>
    <n v="0"/>
  </r>
  <r>
    <x v="1"/>
    <d v="2024-12-11T00:00:00"/>
    <x v="4"/>
    <x v="4"/>
    <x v="255"/>
    <s v="H"/>
    <x v="2"/>
    <x v="25"/>
    <d v="1899-12-30T05:00:00"/>
    <s v="05"/>
    <s v="00"/>
    <x v="0"/>
    <x v="2"/>
    <x v="4"/>
    <d v="1899-12-30T01:00:00"/>
    <x v="6"/>
    <x v="0"/>
    <n v="1"/>
  </r>
  <r>
    <x v="1"/>
    <d v="2024-12-11T00:00:00"/>
    <x v="4"/>
    <x v="4"/>
    <x v="255"/>
    <s v="H"/>
    <x v="2"/>
    <x v="25"/>
    <d v="1899-12-30T05:00:00"/>
    <s v="05"/>
    <s v="00"/>
    <x v="0"/>
    <x v="2"/>
    <x v="17"/>
    <d v="1899-12-30T02:00:00"/>
    <x v="2"/>
    <x v="60"/>
    <n v="0"/>
  </r>
  <r>
    <x v="1"/>
    <d v="2024-12-11T00:00:00"/>
    <x v="6"/>
    <x v="18"/>
    <x v="256"/>
    <s v="A"/>
    <x v="2"/>
    <x v="94"/>
    <d v="1899-12-30T00:04:00"/>
    <s v="00"/>
    <s v="04"/>
    <x v="1"/>
    <x v="2"/>
    <x v="63"/>
    <d v="1899-12-30T00:04:00"/>
    <x v="3"/>
    <x v="37"/>
    <n v="0"/>
  </r>
  <r>
    <x v="1"/>
    <d v="2024-12-11T00:00:00"/>
    <x v="6"/>
    <x v="18"/>
    <x v="256"/>
    <s v="A"/>
    <x v="2"/>
    <x v="94"/>
    <d v="1899-12-30T00:04:00"/>
    <s v="00"/>
    <s v="04"/>
    <x v="1"/>
    <x v="2"/>
    <x v="97"/>
    <d v="1899-12-30T00:02:00"/>
    <x v="3"/>
    <x v="60"/>
    <n v="0"/>
  </r>
  <r>
    <x v="1"/>
    <d v="2024-12-11T00:00:00"/>
    <x v="6"/>
    <x v="18"/>
    <x v="256"/>
    <s v="A"/>
    <x v="2"/>
    <x v="94"/>
    <d v="1899-12-30T00:04:00"/>
    <s v="00"/>
    <s v="04"/>
    <x v="1"/>
    <x v="2"/>
    <x v="70"/>
    <d v="1899-12-30T00:01:00"/>
    <x v="6"/>
    <x v="0"/>
    <n v="1"/>
  </r>
  <r>
    <x v="0"/>
    <d v="2024-12-11T00:00:00"/>
    <x v="6"/>
    <x v="18"/>
    <x v="257"/>
    <s v="A"/>
    <x v="3"/>
    <x v="46"/>
    <d v="1899-12-30T00:02:00"/>
    <s v="00"/>
    <s v="02"/>
    <x v="1"/>
    <x v="0"/>
    <x v="64"/>
    <d v="1899-12-30T00:02:00"/>
    <x v="6"/>
    <x v="0"/>
    <n v="1"/>
  </r>
  <r>
    <x v="0"/>
    <d v="2024-12-11T00:00:00"/>
    <x v="6"/>
    <x v="18"/>
    <x v="257"/>
    <s v="A"/>
    <x v="3"/>
    <x v="46"/>
    <d v="1899-12-30T00:02:00"/>
    <s v="00"/>
    <s v="02"/>
    <x v="1"/>
    <x v="0"/>
    <x v="73"/>
    <d v="1899-12-30T00:01:00"/>
    <x v="4"/>
    <x v="0"/>
    <n v="1"/>
  </r>
  <r>
    <x v="1"/>
    <d v="2024-12-11T00:00:00"/>
    <x v="4"/>
    <x v="41"/>
    <x v="258"/>
    <s v="A"/>
    <x v="2"/>
    <x v="23"/>
    <d v="1899-12-30T02:02:00"/>
    <s v="02"/>
    <s v="02"/>
    <x v="2"/>
    <x v="2"/>
    <x v="21"/>
    <d v="1899-12-30T02:02:00"/>
    <x v="3"/>
    <x v="0"/>
    <n v="1"/>
  </r>
  <r>
    <x v="0"/>
    <d v="2024-12-11T00:00:00"/>
    <x v="4"/>
    <x v="41"/>
    <x v="258"/>
    <s v="H"/>
    <x v="3"/>
    <x v="31"/>
    <d v="1899-12-30T07:01:00"/>
    <s v="07"/>
    <s v="01"/>
    <x v="0"/>
    <x v="0"/>
    <x v="35"/>
    <d v="1899-12-30T01:00:00"/>
    <x v="1"/>
    <x v="57"/>
    <n v="0"/>
  </r>
  <r>
    <x v="0"/>
    <d v="2024-12-11T00:00:00"/>
    <x v="4"/>
    <x v="41"/>
    <x v="258"/>
    <s v="H"/>
    <x v="3"/>
    <x v="31"/>
    <d v="1899-12-30T07:01:00"/>
    <s v="07"/>
    <s v="01"/>
    <x v="0"/>
    <x v="0"/>
    <x v="82"/>
    <d v="1899-12-30T04:01:00"/>
    <x v="6"/>
    <x v="0"/>
    <n v="1"/>
  </r>
  <r>
    <x v="0"/>
    <d v="2024-12-11T00:00:00"/>
    <x v="4"/>
    <x v="41"/>
    <x v="258"/>
    <s v="H"/>
    <x v="3"/>
    <x v="31"/>
    <d v="1899-12-30T07:01:00"/>
    <s v="07"/>
    <s v="01"/>
    <x v="0"/>
    <x v="0"/>
    <x v="15"/>
    <d v="1899-12-30T05:01:00"/>
    <x v="1"/>
    <x v="66"/>
    <n v="0"/>
  </r>
  <r>
    <x v="0"/>
    <d v="2024-12-11T00:00:00"/>
    <x v="4"/>
    <x v="19"/>
    <x v="259"/>
    <s v="A"/>
    <x v="3"/>
    <x v="58"/>
    <d v="1899-12-30T02:03:00"/>
    <s v="02"/>
    <s v="03"/>
    <x v="1"/>
    <x v="0"/>
    <x v="54"/>
    <d v="1899-12-30T01:03:00"/>
    <x v="2"/>
    <x v="42"/>
    <n v="0"/>
  </r>
  <r>
    <x v="1"/>
    <d v="2024-12-11T00:00:00"/>
    <x v="4"/>
    <x v="19"/>
    <x v="259"/>
    <s v="H"/>
    <x v="2"/>
    <x v="26"/>
    <d v="1899-12-30T04:00:00"/>
    <s v="04"/>
    <s v="00"/>
    <x v="0"/>
    <x v="2"/>
    <x v="51"/>
    <d v="1899-12-30T02:00:00"/>
    <x v="2"/>
    <x v="65"/>
    <n v="0"/>
  </r>
  <r>
    <x v="1"/>
    <d v="2024-12-11T00:00:00"/>
    <x v="6"/>
    <x v="18"/>
    <x v="260"/>
    <s v="A"/>
    <x v="2"/>
    <x v="41"/>
    <d v="1899-12-30T02:03:00"/>
    <s v="02"/>
    <s v="03"/>
    <x v="1"/>
    <x v="3"/>
    <x v="78"/>
    <d v="1899-12-30T01:02:00"/>
    <x v="6"/>
    <x v="0"/>
    <n v="1"/>
  </r>
  <r>
    <x v="0"/>
    <d v="2024-12-11T00:00:00"/>
    <x v="4"/>
    <x v="51"/>
    <x v="261"/>
    <s v="H"/>
    <x v="3"/>
    <x v="42"/>
    <d v="1899-12-30T04:01:00"/>
    <s v="04"/>
    <s v="01"/>
    <x v="0"/>
    <x v="0"/>
    <x v="26"/>
    <d v="1899-12-30T04:01:00"/>
    <x v="6"/>
    <x v="0"/>
    <n v="1"/>
  </r>
  <r>
    <x v="0"/>
    <d v="2024-12-11T00:00:00"/>
    <x v="4"/>
    <x v="51"/>
    <x v="261"/>
    <s v="H"/>
    <x v="3"/>
    <x v="42"/>
    <d v="1899-12-30T04:01:00"/>
    <s v="04"/>
    <s v="01"/>
    <x v="0"/>
    <x v="0"/>
    <x v="70"/>
    <d v="1899-12-30T01:01:00"/>
    <x v="6"/>
    <x v="0"/>
    <n v="1"/>
  </r>
  <r>
    <x v="1"/>
    <d v="2024-12-11T00:00:00"/>
    <x v="4"/>
    <x v="31"/>
    <x v="262"/>
    <s v="H"/>
    <x v="2"/>
    <x v="92"/>
    <d v="1899-12-30T04:00:00"/>
    <s v="04"/>
    <s v="00"/>
    <x v="0"/>
    <x v="2"/>
    <x v="47"/>
    <d v="1899-12-30T04:00:00"/>
    <x v="3"/>
    <x v="34"/>
    <n v="0"/>
  </r>
  <r>
    <x v="0"/>
    <d v="2024-12-11T00:00:00"/>
    <x v="4"/>
    <x v="30"/>
    <x v="263"/>
    <s v="A"/>
    <x v="3"/>
    <x v="60"/>
    <d v="1899-12-30T00:03:00"/>
    <s v="00"/>
    <s v="03"/>
    <x v="1"/>
    <x v="0"/>
    <x v="77"/>
    <d v="1899-12-30T00:02:00"/>
    <x v="2"/>
    <x v="57"/>
    <n v="0"/>
  </r>
  <r>
    <x v="1"/>
    <d v="2024-12-11T00:00:00"/>
    <x v="4"/>
    <x v="30"/>
    <x v="263"/>
    <s v="H"/>
    <x v="2"/>
    <x v="47"/>
    <d v="1899-12-30T05:00:00"/>
    <s v="05"/>
    <s v="00"/>
    <x v="0"/>
    <x v="2"/>
    <x v="82"/>
    <d v="1899-12-30T04:00:00"/>
    <x v="3"/>
    <x v="34"/>
    <n v="0"/>
  </r>
  <r>
    <x v="0"/>
    <d v="2024-12-11T00:00:00"/>
    <x v="8"/>
    <x v="50"/>
    <x v="264"/>
    <s v="A"/>
    <x v="3"/>
    <x v="95"/>
    <d v="1899-12-30T00:02:00"/>
    <s v="00"/>
    <s v="02"/>
    <x v="1"/>
    <x v="0"/>
    <x v="6"/>
    <d v="1899-12-30T00:02:00"/>
    <x v="3"/>
    <x v="45"/>
    <n v="0"/>
  </r>
  <r>
    <x v="0"/>
    <d v="2024-12-11T00:00:00"/>
    <x v="4"/>
    <x v="31"/>
    <x v="265"/>
    <s v="A"/>
    <x v="3"/>
    <x v="34"/>
    <d v="1899-12-30T02:06:00"/>
    <s v="02"/>
    <s v="06"/>
    <x v="1"/>
    <x v="0"/>
    <x v="39"/>
    <d v="1899-12-30T00:01:00"/>
    <x v="2"/>
    <x v="57"/>
    <n v="0"/>
  </r>
  <r>
    <x v="0"/>
    <d v="2024-12-11T00:00:00"/>
    <x v="4"/>
    <x v="31"/>
    <x v="265"/>
    <s v="A"/>
    <x v="3"/>
    <x v="34"/>
    <d v="1899-12-30T02:06:00"/>
    <s v="02"/>
    <s v="06"/>
    <x v="1"/>
    <x v="0"/>
    <x v="56"/>
    <d v="1899-12-30T00:03:00"/>
    <x v="2"/>
    <x v="43"/>
    <n v="0"/>
  </r>
  <r>
    <x v="0"/>
    <d v="2024-12-11T00:00:00"/>
    <x v="4"/>
    <x v="31"/>
    <x v="265"/>
    <s v="A"/>
    <x v="3"/>
    <x v="34"/>
    <d v="1899-12-30T02:06:00"/>
    <s v="02"/>
    <s v="06"/>
    <x v="1"/>
    <x v="0"/>
    <x v="46"/>
    <d v="1899-12-30T01:05:00"/>
    <x v="6"/>
    <x v="0"/>
    <n v="1"/>
  </r>
  <r>
    <x v="1"/>
    <d v="2024-12-11T00:00:00"/>
    <x v="9"/>
    <x v="8"/>
    <x v="266"/>
    <s v="A"/>
    <x v="2"/>
    <x v="96"/>
    <d v="1899-12-30T00:04:00"/>
    <s v="00"/>
    <s v="04"/>
    <x v="1"/>
    <x v="1"/>
    <x v="26"/>
    <d v="1899-12-30T00:04:00"/>
    <x v="3"/>
    <x v="34"/>
    <n v="0"/>
  </r>
  <r>
    <x v="1"/>
    <d v="2024-12-11T00:00:00"/>
    <x v="9"/>
    <x v="8"/>
    <x v="266"/>
    <s v="A"/>
    <x v="2"/>
    <x v="96"/>
    <d v="1899-12-30T00:04:00"/>
    <s v="00"/>
    <s v="04"/>
    <x v="1"/>
    <x v="1"/>
    <x v="81"/>
    <d v="1899-12-30T00:01:00"/>
    <x v="3"/>
    <x v="19"/>
    <n v="0"/>
  </r>
  <r>
    <x v="1"/>
    <d v="2024-12-11T00:00:00"/>
    <x v="8"/>
    <x v="44"/>
    <x v="267"/>
    <s v="H"/>
    <x v="2"/>
    <x v="31"/>
    <d v="1899-12-30T04:00:00"/>
    <s v="04"/>
    <s v="00"/>
    <x v="0"/>
    <x v="2"/>
    <x v="21"/>
    <d v="1899-12-30T04:00:00"/>
    <x v="3"/>
    <x v="19"/>
    <n v="0"/>
  </r>
  <r>
    <x v="1"/>
    <d v="2024-12-11T00:00:00"/>
    <x v="8"/>
    <x v="44"/>
    <x v="267"/>
    <s v="H"/>
    <x v="2"/>
    <x v="31"/>
    <d v="1899-12-30T04:00:00"/>
    <s v="04"/>
    <s v="00"/>
    <x v="0"/>
    <x v="2"/>
    <x v="90"/>
    <d v="1899-12-30T03:00:00"/>
    <x v="1"/>
    <x v="65"/>
    <n v="0"/>
  </r>
  <r>
    <x v="0"/>
    <d v="2024-12-11T00:00:00"/>
    <x v="4"/>
    <x v="42"/>
    <x v="268"/>
    <s v="H"/>
    <x v="3"/>
    <x v="97"/>
    <d v="1899-12-30T05:01:00"/>
    <s v="05"/>
    <s v="01"/>
    <x v="0"/>
    <x v="0"/>
    <x v="7"/>
    <d v="1899-12-30T05:01:00"/>
    <x v="2"/>
    <x v="0"/>
    <n v="1"/>
  </r>
  <r>
    <x v="1"/>
    <d v="2024-12-11T00:00:00"/>
    <x v="4"/>
    <x v="22"/>
    <x v="269"/>
    <s v="H"/>
    <x v="2"/>
    <x v="27"/>
    <d v="1899-12-30T04:02:00"/>
    <s v="04"/>
    <s v="02"/>
    <x v="0"/>
    <x v="2"/>
    <x v="23"/>
    <d v="1899-12-30T02:00:00"/>
    <x v="2"/>
    <x v="67"/>
    <n v="0"/>
  </r>
  <r>
    <x v="1"/>
    <d v="2024-12-11T00:00:00"/>
    <x v="4"/>
    <x v="22"/>
    <x v="269"/>
    <s v="H"/>
    <x v="2"/>
    <x v="27"/>
    <d v="1899-12-30T04:02:00"/>
    <s v="04"/>
    <s v="02"/>
    <x v="0"/>
    <x v="2"/>
    <x v="46"/>
    <d v="1899-12-30T04:02:00"/>
    <x v="6"/>
    <x v="0"/>
    <n v="1"/>
  </r>
  <r>
    <x v="0"/>
    <d v="2024-12-11T00:00:00"/>
    <x v="8"/>
    <x v="24"/>
    <x v="270"/>
    <s v="H"/>
    <x v="3"/>
    <x v="91"/>
    <d v="1899-12-30T01:02:00"/>
    <s v="01"/>
    <s v="02"/>
    <x v="1"/>
    <x v="0"/>
    <x v="45"/>
    <d v="1899-12-30T01:00:00"/>
    <x v="3"/>
    <x v="43"/>
    <n v="0"/>
  </r>
  <r>
    <x v="0"/>
    <d v="2024-12-11T00:00:00"/>
    <x v="4"/>
    <x v="27"/>
    <x v="271"/>
    <s v="H"/>
    <x v="3"/>
    <x v="23"/>
    <d v="1899-12-30T04:01:00"/>
    <s v="04"/>
    <s v="01"/>
    <x v="0"/>
    <x v="0"/>
    <x v="3"/>
    <d v="1899-12-30T03:01:00"/>
    <x v="6"/>
    <x v="0"/>
    <n v="1"/>
  </r>
  <r>
    <x v="0"/>
    <d v="2024-12-11T00:00:00"/>
    <x v="4"/>
    <x v="27"/>
    <x v="271"/>
    <s v="H"/>
    <x v="3"/>
    <x v="23"/>
    <d v="1899-12-30T04:01:00"/>
    <s v="04"/>
    <s v="01"/>
    <x v="0"/>
    <x v="0"/>
    <x v="93"/>
    <d v="1899-12-30T02:01:00"/>
    <x v="6"/>
    <x v="0"/>
    <n v="1"/>
  </r>
  <r>
    <x v="1"/>
    <d v="2024-12-11T00:00:00"/>
    <x v="4"/>
    <x v="27"/>
    <x v="271"/>
    <s v="A"/>
    <x v="2"/>
    <x v="63"/>
    <d v="1899-12-30T01:04:00"/>
    <s v="01"/>
    <s v="04"/>
    <x v="1"/>
    <x v="2"/>
    <x v="43"/>
    <d v="1899-12-30T00:04:00"/>
    <x v="3"/>
    <x v="44"/>
    <n v="0"/>
  </r>
  <r>
    <x v="1"/>
    <d v="2024-12-11T00:00:00"/>
    <x v="4"/>
    <x v="27"/>
    <x v="271"/>
    <s v="A"/>
    <x v="2"/>
    <x v="63"/>
    <d v="1899-12-30T01:04:00"/>
    <s v="01"/>
    <s v="04"/>
    <x v="1"/>
    <x v="2"/>
    <x v="22"/>
    <d v="1899-12-30T00:03:00"/>
    <x v="3"/>
    <x v="59"/>
    <n v="0"/>
  </r>
  <r>
    <x v="1"/>
    <d v="2024-12-11T00:00:00"/>
    <x v="4"/>
    <x v="27"/>
    <x v="271"/>
    <s v="A"/>
    <x v="2"/>
    <x v="63"/>
    <d v="1899-12-30T01:04:00"/>
    <s v="01"/>
    <s v="04"/>
    <x v="1"/>
    <x v="2"/>
    <x v="71"/>
    <d v="1899-12-30T00:01:00"/>
    <x v="1"/>
    <x v="60"/>
    <n v="0"/>
  </r>
  <r>
    <x v="0"/>
    <d v="2024-12-11T00:00:00"/>
    <x v="8"/>
    <x v="24"/>
    <x v="272"/>
    <s v="A"/>
    <x v="3"/>
    <x v="91"/>
    <d v="1899-12-30T02:02:00"/>
    <s v="02"/>
    <s v="02"/>
    <x v="2"/>
    <x v="0"/>
    <x v="24"/>
    <d v="1899-12-30T02:01:00"/>
    <x v="2"/>
    <x v="55"/>
    <n v="0"/>
  </r>
  <r>
    <x v="0"/>
    <d v="2024-12-11T00:00:00"/>
    <x v="4"/>
    <x v="23"/>
    <x v="273"/>
    <s v="H"/>
    <x v="3"/>
    <x v="26"/>
    <d v="1899-12-30T03:01:00"/>
    <s v="03"/>
    <s v="01"/>
    <x v="0"/>
    <x v="0"/>
    <x v="61"/>
    <d v="1899-12-30T02:01:00"/>
    <x v="2"/>
    <x v="55"/>
    <n v="0"/>
  </r>
  <r>
    <x v="1"/>
    <d v="2024-12-11T00:00:00"/>
    <x v="4"/>
    <x v="43"/>
    <x v="274"/>
    <s v="H"/>
    <x v="2"/>
    <x v="90"/>
    <d v="1899-12-30T02:01:00"/>
    <s v="02"/>
    <s v="01"/>
    <x v="0"/>
    <x v="2"/>
    <x v="53"/>
    <d v="1899-12-30T02:00:00"/>
    <x v="3"/>
    <x v="34"/>
    <n v="0"/>
  </r>
  <r>
    <x v="0"/>
    <d v="2024-12-11T00:00:00"/>
    <x v="4"/>
    <x v="32"/>
    <x v="275"/>
    <s v="H"/>
    <x v="3"/>
    <x v="47"/>
    <d v="1899-12-30T04:02:00"/>
    <s v="04"/>
    <s v="02"/>
    <x v="0"/>
    <x v="0"/>
    <x v="32"/>
    <d v="1899-12-30T01:01:00"/>
    <x v="6"/>
    <x v="0"/>
    <n v="1"/>
  </r>
  <r>
    <x v="0"/>
    <d v="2024-12-11T00:00:00"/>
    <x v="4"/>
    <x v="32"/>
    <x v="275"/>
    <s v="H"/>
    <x v="3"/>
    <x v="47"/>
    <d v="1899-12-30T04:02:00"/>
    <s v="04"/>
    <s v="02"/>
    <x v="0"/>
    <x v="0"/>
    <x v="25"/>
    <d v="1899-12-30T02:01:00"/>
    <x v="1"/>
    <x v="45"/>
    <n v="0"/>
  </r>
  <r>
    <x v="0"/>
    <d v="2024-12-11T00:00:00"/>
    <x v="4"/>
    <x v="32"/>
    <x v="275"/>
    <s v="H"/>
    <x v="3"/>
    <x v="47"/>
    <d v="1899-12-30T04:02:00"/>
    <s v="04"/>
    <s v="02"/>
    <x v="0"/>
    <x v="0"/>
    <x v="50"/>
    <d v="1899-12-30T03:01:00"/>
    <x v="2"/>
    <x v="68"/>
    <n v="0"/>
  </r>
  <r>
    <x v="1"/>
    <d v="2024-12-11T00:00:00"/>
    <x v="6"/>
    <x v="44"/>
    <x v="276"/>
    <s v="A"/>
    <x v="2"/>
    <x v="98"/>
    <d v="1899-12-30T01:03:00"/>
    <s v="01"/>
    <s v="03"/>
    <x v="1"/>
    <x v="2"/>
    <x v="2"/>
    <d v="1899-12-30T01:03:00"/>
    <x v="3"/>
    <x v="34"/>
    <n v="0"/>
  </r>
  <r>
    <x v="0"/>
    <d v="2024-12-11T00:00:00"/>
    <x v="4"/>
    <x v="11"/>
    <x v="277"/>
    <s v="H"/>
    <x v="3"/>
    <x v="20"/>
    <d v="1899-12-30T04:00:00"/>
    <s v="04"/>
    <s v="00"/>
    <x v="0"/>
    <x v="0"/>
    <x v="80"/>
    <d v="1899-12-30T01:00:00"/>
    <x v="1"/>
    <x v="49"/>
    <n v="0"/>
  </r>
  <r>
    <x v="1"/>
    <d v="2024-12-11T00:00:00"/>
    <x v="4"/>
    <x v="11"/>
    <x v="278"/>
    <s v="H"/>
    <x v="2"/>
    <x v="58"/>
    <d v="1899-12-30T05:01:00"/>
    <s v="05"/>
    <s v="01"/>
    <x v="0"/>
    <x v="2"/>
    <x v="17"/>
    <d v="1899-12-30T01:01:00"/>
    <x v="3"/>
    <x v="0"/>
    <n v="1"/>
  </r>
  <r>
    <x v="1"/>
    <d v="2024-12-11T00:00:00"/>
    <x v="4"/>
    <x v="11"/>
    <x v="278"/>
    <s v="H"/>
    <x v="2"/>
    <x v="58"/>
    <d v="1899-12-30T05:01:00"/>
    <s v="05"/>
    <s v="01"/>
    <x v="0"/>
    <x v="2"/>
    <x v="83"/>
    <d v="1899-12-30T02:01:00"/>
    <x v="5"/>
    <x v="0"/>
    <n v="1"/>
  </r>
  <r>
    <x v="1"/>
    <d v="2024-12-11T00:00:00"/>
    <x v="4"/>
    <x v="11"/>
    <x v="278"/>
    <s v="H"/>
    <x v="2"/>
    <x v="58"/>
    <d v="1899-12-30T05:01:00"/>
    <s v="05"/>
    <s v="01"/>
    <x v="0"/>
    <x v="2"/>
    <x v="28"/>
    <d v="1899-12-30T03:01:00"/>
    <x v="3"/>
    <x v="69"/>
    <n v="0"/>
  </r>
  <r>
    <x v="1"/>
    <d v="2024-12-11T00:00:00"/>
    <x v="4"/>
    <x v="11"/>
    <x v="278"/>
    <s v="H"/>
    <x v="2"/>
    <x v="58"/>
    <d v="1899-12-30T05:01:00"/>
    <s v="05"/>
    <s v="01"/>
    <x v="0"/>
    <x v="2"/>
    <x v="33"/>
    <d v="1899-12-30T04:01:00"/>
    <x v="3"/>
    <x v="64"/>
    <n v="0"/>
  </r>
  <r>
    <x v="0"/>
    <d v="2024-12-11T00:00:00"/>
    <x v="6"/>
    <x v="44"/>
    <x v="279"/>
    <s v="A"/>
    <x v="3"/>
    <x v="99"/>
    <d v="1899-12-30T01:01:00"/>
    <s v="01"/>
    <s v="01"/>
    <x v="2"/>
    <x v="0"/>
    <x v="44"/>
    <d v="1899-12-30T00:01:00"/>
    <x v="3"/>
    <x v="68"/>
    <n v="0"/>
  </r>
  <r>
    <x v="1"/>
    <d v="2024-12-11T00:00:00"/>
    <x v="4"/>
    <x v="12"/>
    <x v="280"/>
    <s v="A"/>
    <x v="2"/>
    <x v="42"/>
    <d v="1899-12-30T01:02:00"/>
    <s v="01"/>
    <s v="02"/>
    <x v="1"/>
    <x v="2"/>
    <x v="54"/>
    <d v="1899-12-30T01:02:00"/>
    <x v="4"/>
    <x v="0"/>
    <n v="1"/>
  </r>
  <r>
    <x v="0"/>
    <d v="2024-12-11T00:00:00"/>
    <x v="4"/>
    <x v="12"/>
    <x v="280"/>
    <s v="A"/>
    <x v="3"/>
    <x v="92"/>
    <d v="1899-12-30T00:01:00"/>
    <s v="00"/>
    <s v="01"/>
    <x v="1"/>
    <x v="0"/>
    <x v="68"/>
    <d v="1899-12-30T00:01:00"/>
    <x v="2"/>
    <x v="0"/>
    <n v="1"/>
  </r>
  <r>
    <x v="0"/>
    <d v="2024-12-11T00:00:00"/>
    <x v="4"/>
    <x v="25"/>
    <x v="281"/>
    <s v="H"/>
    <x v="3"/>
    <x v="43"/>
    <d v="1899-12-30T05:00:00"/>
    <s v="05"/>
    <s v="00"/>
    <x v="0"/>
    <x v="0"/>
    <x v="35"/>
    <d v="1899-12-30T01:00:00"/>
    <x v="3"/>
    <x v="45"/>
    <n v="0"/>
  </r>
  <r>
    <x v="1"/>
    <d v="2024-12-11T00:00:00"/>
    <x v="6"/>
    <x v="44"/>
    <x v="282"/>
    <s v="H"/>
    <x v="2"/>
    <x v="98"/>
    <d v="1899-12-30T07:01:00"/>
    <s v="07"/>
    <s v="01"/>
    <x v="0"/>
    <x v="2"/>
    <x v="41"/>
    <d v="1899-12-30T07:00:00"/>
    <x v="3"/>
    <x v="51"/>
    <n v="0"/>
  </r>
  <r>
    <x v="1"/>
    <d v="2024-12-11T00:00:00"/>
    <x v="6"/>
    <x v="44"/>
    <x v="282"/>
    <s v="H"/>
    <x v="2"/>
    <x v="98"/>
    <d v="1899-12-30T07:01:00"/>
    <s v="07"/>
    <s v="01"/>
    <x v="0"/>
    <x v="2"/>
    <x v="15"/>
    <d v="1899-12-30T05:00:00"/>
    <x v="3"/>
    <x v="0"/>
    <n v="1"/>
  </r>
  <r>
    <x v="1"/>
    <d v="2024-12-11T00:00:00"/>
    <x v="6"/>
    <x v="44"/>
    <x v="282"/>
    <s v="H"/>
    <x v="2"/>
    <x v="98"/>
    <d v="1899-12-30T07:01:00"/>
    <s v="07"/>
    <s v="01"/>
    <x v="0"/>
    <x v="2"/>
    <x v="25"/>
    <d v="1899-12-30T03:00:00"/>
    <x v="2"/>
    <x v="65"/>
    <n v="0"/>
  </r>
  <r>
    <x v="1"/>
    <d v="2024-12-11T00:00:00"/>
    <x v="6"/>
    <x v="44"/>
    <x v="282"/>
    <s v="H"/>
    <x v="2"/>
    <x v="98"/>
    <d v="1899-12-30T07:01:00"/>
    <s v="07"/>
    <s v="01"/>
    <x v="0"/>
    <x v="2"/>
    <x v="29"/>
    <d v="1899-12-30T02:00:00"/>
    <x v="3"/>
    <x v="16"/>
    <n v="0"/>
  </r>
  <r>
    <x v="1"/>
    <d v="2024-12-11T00:00:00"/>
    <x v="6"/>
    <x v="44"/>
    <x v="282"/>
    <s v="H"/>
    <x v="2"/>
    <x v="98"/>
    <d v="1899-12-30T07:01:00"/>
    <s v="07"/>
    <s v="01"/>
    <x v="0"/>
    <x v="2"/>
    <x v="73"/>
    <d v="1899-12-30T01:00:00"/>
    <x v="3"/>
    <x v="19"/>
    <n v="0"/>
  </r>
  <r>
    <x v="0"/>
    <d v="2024-12-11T00:00:00"/>
    <x v="4"/>
    <x v="33"/>
    <x v="283"/>
    <s v="A"/>
    <x v="3"/>
    <x v="27"/>
    <d v="1899-12-30T02:03:00"/>
    <s v="02"/>
    <s v="03"/>
    <x v="1"/>
    <x v="0"/>
    <x v="95"/>
    <d v="1899-12-30T01:02:00"/>
    <x v="3"/>
    <x v="52"/>
    <n v="0"/>
  </r>
  <r>
    <x v="0"/>
    <d v="2024-12-11T00:00:00"/>
    <x v="4"/>
    <x v="33"/>
    <x v="283"/>
    <s v="A"/>
    <x v="3"/>
    <x v="27"/>
    <d v="1899-12-30T02:03:00"/>
    <s v="02"/>
    <s v="03"/>
    <x v="1"/>
    <x v="0"/>
    <x v="38"/>
    <d v="1899-12-30T02:03:00"/>
    <x v="3"/>
    <x v="0"/>
    <n v="1"/>
  </r>
  <r>
    <x v="1"/>
    <d v="2024-12-11T00:00:00"/>
    <x v="4"/>
    <x v="33"/>
    <x v="284"/>
    <s v="A"/>
    <x v="2"/>
    <x v="20"/>
    <d v="1899-12-30T00:02:00"/>
    <s v="00"/>
    <s v="02"/>
    <x v="1"/>
    <x v="2"/>
    <x v="44"/>
    <d v="1899-12-30T00:01:00"/>
    <x v="3"/>
    <x v="65"/>
    <n v="0"/>
  </r>
  <r>
    <x v="1"/>
    <d v="2024-12-11T00:00:00"/>
    <x v="4"/>
    <x v="33"/>
    <x v="284"/>
    <s v="A"/>
    <x v="2"/>
    <x v="20"/>
    <d v="1899-12-30T00:02:00"/>
    <s v="00"/>
    <s v="02"/>
    <x v="1"/>
    <x v="2"/>
    <x v="82"/>
    <d v="1899-12-30T00:02:00"/>
    <x v="6"/>
    <x v="0"/>
    <n v="1"/>
  </r>
  <r>
    <x v="0"/>
    <d v="2024-12-11T00:00:00"/>
    <x v="6"/>
    <x v="44"/>
    <x v="285"/>
    <s v="H"/>
    <x v="3"/>
    <x v="99"/>
    <d v="1899-12-30T04:01:00"/>
    <s v="04"/>
    <s v="01"/>
    <x v="0"/>
    <x v="0"/>
    <x v="98"/>
    <d v="1899-12-30T04:01:00"/>
    <x v="2"/>
    <x v="43"/>
    <n v="0"/>
  </r>
  <r>
    <x v="0"/>
    <d v="2024-12-11T00:00:00"/>
    <x v="6"/>
    <x v="44"/>
    <x v="285"/>
    <s v="H"/>
    <x v="3"/>
    <x v="99"/>
    <d v="1899-12-30T04:01:00"/>
    <s v="04"/>
    <s v="01"/>
    <x v="0"/>
    <x v="0"/>
    <x v="82"/>
    <d v="1899-12-30T02:00:00"/>
    <x v="2"/>
    <x v="53"/>
    <n v="0"/>
  </r>
  <r>
    <x v="1"/>
    <d v="2024-12-11T00:00:00"/>
    <x v="4"/>
    <x v="26"/>
    <x v="286"/>
    <s v="A"/>
    <x v="2"/>
    <x v="34"/>
    <d v="1899-12-30T00:02:00"/>
    <s v="00"/>
    <s v="02"/>
    <x v="1"/>
    <x v="2"/>
    <x v="73"/>
    <d v="1899-12-30T00:02:00"/>
    <x v="3"/>
    <x v="16"/>
    <n v="0"/>
  </r>
  <r>
    <x v="1"/>
    <d v="2024-12-11T00:00:00"/>
    <x v="4"/>
    <x v="5"/>
    <x v="287"/>
    <s v="H"/>
    <x v="2"/>
    <x v="97"/>
    <d v="1899-12-30T05:03:00"/>
    <s v="05"/>
    <s v="03"/>
    <x v="0"/>
    <x v="2"/>
    <x v="41"/>
    <d v="1899-12-30T05:02:00"/>
    <x v="3"/>
    <x v="34"/>
    <n v="0"/>
  </r>
  <r>
    <x v="1"/>
    <d v="2024-12-11T00:00:00"/>
    <x v="4"/>
    <x v="5"/>
    <x v="287"/>
    <s v="H"/>
    <x v="2"/>
    <x v="97"/>
    <d v="1899-12-30T05:03:00"/>
    <s v="05"/>
    <s v="03"/>
    <x v="0"/>
    <x v="2"/>
    <x v="55"/>
    <d v="1899-12-30T03:02:00"/>
    <x v="3"/>
    <x v="34"/>
    <n v="0"/>
  </r>
  <r>
    <x v="1"/>
    <d v="2024-12-11T00:00:00"/>
    <x v="4"/>
    <x v="5"/>
    <x v="287"/>
    <s v="H"/>
    <x v="2"/>
    <x v="97"/>
    <d v="1899-12-30T05:03:00"/>
    <s v="05"/>
    <s v="03"/>
    <x v="0"/>
    <x v="2"/>
    <x v="67"/>
    <d v="1899-12-30T02:00:00"/>
    <x v="3"/>
    <x v="70"/>
    <n v="0"/>
  </r>
  <r>
    <x v="0"/>
    <d v="2024-12-11T00:00:00"/>
    <x v="4"/>
    <x v="5"/>
    <x v="288"/>
    <s v="A"/>
    <x v="3"/>
    <x v="76"/>
    <d v="1899-12-30T01:01:00"/>
    <s v="01"/>
    <s v="01"/>
    <x v="2"/>
    <x v="0"/>
    <x v="75"/>
    <d v="1899-12-30T00:01:00"/>
    <x v="2"/>
    <x v="55"/>
    <n v="0"/>
  </r>
  <r>
    <x v="0"/>
    <d v="2024-12-11T00:00:00"/>
    <x v="4"/>
    <x v="14"/>
    <x v="289"/>
    <s v="H"/>
    <x v="3"/>
    <x v="90"/>
    <d v="1899-12-30T05:01:00"/>
    <s v="05"/>
    <s v="01"/>
    <x v="0"/>
    <x v="0"/>
    <x v="71"/>
    <d v="1899-12-30T02:00:00"/>
    <x v="2"/>
    <x v="49"/>
    <n v="0"/>
  </r>
  <r>
    <x v="0"/>
    <d v="2024-12-11T00:00:00"/>
    <x v="4"/>
    <x v="14"/>
    <x v="289"/>
    <s v="H"/>
    <x v="3"/>
    <x v="90"/>
    <d v="1899-12-30T05:01:00"/>
    <s v="05"/>
    <s v="01"/>
    <x v="0"/>
    <x v="0"/>
    <x v="82"/>
    <d v="1899-12-30T05:01:00"/>
    <x v="2"/>
    <x v="45"/>
    <n v="0"/>
  </r>
  <r>
    <x v="1"/>
    <d v="2024-12-11T00:00:00"/>
    <x v="4"/>
    <x v="14"/>
    <x v="289"/>
    <s v="A"/>
    <x v="2"/>
    <x v="25"/>
    <d v="1899-12-30T00:02:00"/>
    <s v="00"/>
    <s v="02"/>
    <x v="1"/>
    <x v="2"/>
    <x v="73"/>
    <d v="1899-12-30T00:01:00"/>
    <x v="4"/>
    <x v="0"/>
    <n v="1"/>
  </r>
  <r>
    <x v="1"/>
    <d v="2024-12-11T00:00:00"/>
    <x v="4"/>
    <x v="45"/>
    <x v="290"/>
    <s v="H"/>
    <x v="2"/>
    <x v="23"/>
    <d v="1899-12-30T02:00:00"/>
    <s v="02"/>
    <s v="00"/>
    <x v="0"/>
    <x v="2"/>
    <x v="50"/>
    <d v="1899-12-30T02:00:00"/>
    <x v="6"/>
    <x v="0"/>
    <n v="1"/>
  </r>
  <r>
    <x v="0"/>
    <d v="2024-12-11T00:00:00"/>
    <x v="4"/>
    <x v="45"/>
    <x v="290"/>
    <s v="A"/>
    <x v="3"/>
    <x v="31"/>
    <d v="1899-12-30T01:05:00"/>
    <s v="01"/>
    <s v="05"/>
    <x v="1"/>
    <x v="0"/>
    <x v="91"/>
    <d v="1899-12-30T00:02:00"/>
    <x v="10"/>
    <x v="56"/>
    <n v="0"/>
  </r>
  <r>
    <x v="0"/>
    <d v="2024-12-11T00:00:00"/>
    <x v="4"/>
    <x v="45"/>
    <x v="290"/>
    <s v="A"/>
    <x v="3"/>
    <x v="31"/>
    <d v="1899-12-30T01:05:00"/>
    <s v="01"/>
    <s v="05"/>
    <x v="1"/>
    <x v="0"/>
    <x v="62"/>
    <d v="1899-12-30T01:04:00"/>
    <x v="4"/>
    <x v="0"/>
    <n v="1"/>
  </r>
  <r>
    <x v="1"/>
    <d v="2024-12-11T00:00:00"/>
    <x v="6"/>
    <x v="24"/>
    <x v="291"/>
    <s v="H"/>
    <x v="2"/>
    <x v="41"/>
    <d v="1899-12-30T03:01:00"/>
    <s v="03"/>
    <s v="01"/>
    <x v="0"/>
    <x v="1"/>
    <x v="29"/>
    <d v="1899-12-30T02:01:00"/>
    <x v="6"/>
    <x v="0"/>
    <n v="1"/>
  </r>
  <r>
    <x v="1"/>
    <d v="2024-12-11T00:00:00"/>
    <x v="6"/>
    <x v="24"/>
    <x v="291"/>
    <s v="H"/>
    <x v="2"/>
    <x v="41"/>
    <d v="1899-12-30T03:01:00"/>
    <s v="03"/>
    <s v="01"/>
    <x v="0"/>
    <x v="1"/>
    <x v="45"/>
    <d v="1899-12-30T01:00:00"/>
    <x v="6"/>
    <x v="0"/>
    <n v="1"/>
  </r>
  <r>
    <x v="0"/>
    <d v="2024-12-11T00:00:00"/>
    <x v="6"/>
    <x v="24"/>
    <x v="292"/>
    <s v="H"/>
    <x v="3"/>
    <x v="100"/>
    <d v="1899-12-30T05:02:00"/>
    <s v="05"/>
    <s v="02"/>
    <x v="0"/>
    <x v="0"/>
    <x v="72"/>
    <d v="1899-12-30T01:00:00"/>
    <x v="2"/>
    <x v="52"/>
    <n v="0"/>
  </r>
  <r>
    <x v="0"/>
    <d v="2024-12-11T00:00:00"/>
    <x v="6"/>
    <x v="24"/>
    <x v="292"/>
    <s v="H"/>
    <x v="3"/>
    <x v="100"/>
    <d v="1899-12-30T05:02:00"/>
    <s v="05"/>
    <s v="02"/>
    <x v="0"/>
    <x v="0"/>
    <x v="28"/>
    <d v="1899-12-30T03:01:00"/>
    <x v="4"/>
    <x v="0"/>
    <n v="1"/>
  </r>
  <r>
    <x v="1"/>
    <d v="2024-12-11T00:00:00"/>
    <x v="4"/>
    <x v="6"/>
    <x v="293"/>
    <s v="A"/>
    <x v="2"/>
    <x v="26"/>
    <d v="1899-12-30T01:04:00"/>
    <s v="01"/>
    <s v="04"/>
    <x v="1"/>
    <x v="2"/>
    <x v="46"/>
    <d v="1899-12-30T01:03:00"/>
    <x v="6"/>
    <x v="0"/>
    <n v="1"/>
  </r>
  <r>
    <x v="1"/>
    <d v="2024-12-11T00:00:00"/>
    <x v="4"/>
    <x v="6"/>
    <x v="293"/>
    <s v="A"/>
    <x v="2"/>
    <x v="26"/>
    <d v="1899-12-30T01:04:00"/>
    <s v="01"/>
    <s v="04"/>
    <x v="1"/>
    <x v="2"/>
    <x v="40"/>
    <d v="1899-12-30T01:02:00"/>
    <x v="3"/>
    <x v="67"/>
    <n v="0"/>
  </r>
  <r>
    <x v="1"/>
    <d v="2024-12-11T00:00:00"/>
    <x v="4"/>
    <x v="46"/>
    <x v="294"/>
    <s v="H"/>
    <x v="2"/>
    <x v="40"/>
    <d v="1899-12-30T04:00:00"/>
    <s v="04"/>
    <s v="00"/>
    <x v="0"/>
    <x v="2"/>
    <x v="10"/>
    <d v="1899-12-30T02:00:00"/>
    <x v="3"/>
    <x v="16"/>
    <n v="0"/>
  </r>
  <r>
    <x v="0"/>
    <d v="2024-12-11T00:00:00"/>
    <x v="4"/>
    <x v="46"/>
    <x v="295"/>
    <s v="A"/>
    <x v="3"/>
    <x v="42"/>
    <d v="1899-12-30T01:04:00"/>
    <s v="01"/>
    <s v="04"/>
    <x v="1"/>
    <x v="0"/>
    <x v="3"/>
    <d v="1899-12-30T01:02:00"/>
    <x v="10"/>
    <x v="0"/>
    <n v="1"/>
  </r>
  <r>
    <x v="0"/>
    <d v="2024-12-11T00:00:00"/>
    <x v="4"/>
    <x v="46"/>
    <x v="295"/>
    <s v="A"/>
    <x v="3"/>
    <x v="42"/>
    <d v="1899-12-30T01:04:00"/>
    <s v="01"/>
    <s v="04"/>
    <x v="1"/>
    <x v="0"/>
    <x v="70"/>
    <d v="1899-12-30T00:01:00"/>
    <x v="4"/>
    <x v="0"/>
    <n v="1"/>
  </r>
  <r>
    <x v="0"/>
    <d v="2024-12-11T00:00:00"/>
    <x v="4"/>
    <x v="46"/>
    <x v="295"/>
    <s v="A"/>
    <x v="3"/>
    <x v="42"/>
    <d v="1899-12-30T01:04:00"/>
    <s v="01"/>
    <s v="04"/>
    <x v="1"/>
    <x v="0"/>
    <x v="26"/>
    <d v="1899-12-30T01:03:00"/>
    <x v="6"/>
    <x v="0"/>
    <n v="1"/>
  </r>
  <r>
    <x v="1"/>
    <d v="2024-12-11T00:00:00"/>
    <x v="4"/>
    <x v="16"/>
    <x v="296"/>
    <s v="A"/>
    <x v="2"/>
    <x v="47"/>
    <d v="1899-12-30T01:02:00"/>
    <s v="01"/>
    <s v="02"/>
    <x v="1"/>
    <x v="2"/>
    <x v="38"/>
    <d v="1899-12-30T01:02:00"/>
    <x v="6"/>
    <x v="0"/>
    <n v="1"/>
  </r>
  <r>
    <x v="1"/>
    <d v="2024-12-11T00:00:00"/>
    <x v="4"/>
    <x v="16"/>
    <x v="296"/>
    <s v="A"/>
    <x v="2"/>
    <x v="47"/>
    <d v="1899-12-30T01:02:00"/>
    <s v="01"/>
    <s v="02"/>
    <x v="1"/>
    <x v="2"/>
    <x v="87"/>
    <d v="1899-12-30T01:01:00"/>
    <x v="3"/>
    <x v="67"/>
    <n v="0"/>
  </r>
  <r>
    <x v="0"/>
    <d v="2024-12-11T00:00:00"/>
    <x v="4"/>
    <x v="16"/>
    <x v="296"/>
    <s v="H"/>
    <x v="3"/>
    <x v="60"/>
    <d v="1899-12-30T03:01:00"/>
    <s v="03"/>
    <s v="01"/>
    <x v="0"/>
    <x v="0"/>
    <x v="6"/>
    <d v="1899-12-30T02:01:00"/>
    <x v="1"/>
    <x v="57"/>
    <n v="0"/>
  </r>
  <r>
    <x v="0"/>
    <d v="2024-12-11T00:00:00"/>
    <x v="4"/>
    <x v="36"/>
    <x v="297"/>
    <s v="A"/>
    <x v="3"/>
    <x v="91"/>
    <d v="1899-12-30T01:02:00"/>
    <s v="01"/>
    <s v="02"/>
    <x v="1"/>
    <x v="0"/>
    <x v="38"/>
    <d v="1899-12-30T01:02:00"/>
    <x v="2"/>
    <x v="55"/>
    <n v="0"/>
  </r>
  <r>
    <x v="0"/>
    <d v="2024-12-11T00:00:00"/>
    <x v="6"/>
    <x v="15"/>
    <x v="298"/>
    <s v="H"/>
    <x v="3"/>
    <x v="70"/>
    <d v="1899-12-30T03:04:00"/>
    <n v="3"/>
    <n v="4"/>
    <x v="1"/>
    <x v="0"/>
    <x v="80"/>
    <d v="1899-12-30T01:00:00"/>
    <x v="6"/>
    <x v="0"/>
    <n v="1"/>
  </r>
  <r>
    <x v="0"/>
    <d v="2024-12-11T00:00:00"/>
    <x v="6"/>
    <x v="15"/>
    <x v="298"/>
    <s v="H"/>
    <x v="3"/>
    <x v="70"/>
    <d v="1899-12-30T03:04:00"/>
    <n v="3"/>
    <n v="4"/>
    <x v="1"/>
    <x v="0"/>
    <x v="30"/>
    <d v="1899-12-30T02:00:00"/>
    <x v="2"/>
    <x v="55"/>
    <n v="0"/>
  </r>
  <r>
    <x v="1"/>
    <d v="2024-12-11T00:00:00"/>
    <x v="4"/>
    <x v="48"/>
    <x v="299"/>
    <s v="A"/>
    <x v="2"/>
    <x v="92"/>
    <d v="1899-12-30T00:07:00"/>
    <s v="00"/>
    <s v="07"/>
    <x v="1"/>
    <x v="2"/>
    <x v="67"/>
    <d v="1899-12-30T00:01:00"/>
    <x v="3"/>
    <x v="44"/>
    <n v="0"/>
  </r>
  <r>
    <x v="1"/>
    <d v="2024-12-11T00:00:00"/>
    <x v="4"/>
    <x v="48"/>
    <x v="299"/>
    <s v="A"/>
    <x v="2"/>
    <x v="92"/>
    <d v="1899-12-30T00:07:00"/>
    <s v="00"/>
    <s v="07"/>
    <x v="1"/>
    <x v="2"/>
    <x v="2"/>
    <d v="1899-12-30T00:07:00"/>
    <x v="3"/>
    <x v="44"/>
    <n v="0"/>
  </r>
  <r>
    <x v="0"/>
    <d v="2024-12-11T00:00:00"/>
    <x v="4"/>
    <x v="48"/>
    <x v="299"/>
    <s v="H"/>
    <x v="3"/>
    <x v="34"/>
    <d v="1899-12-30T03:00:00"/>
    <s v="03"/>
    <s v="00"/>
    <x v="0"/>
    <x v="0"/>
    <x v="36"/>
    <d v="1899-12-30T01:00:00"/>
    <x v="2"/>
    <x v="43"/>
    <n v="0"/>
  </r>
  <r>
    <x v="0"/>
    <d v="2024-12-11T00:00:00"/>
    <x v="4"/>
    <x v="21"/>
    <x v="300"/>
    <s v="A"/>
    <x v="3"/>
    <x v="23"/>
    <d v="1899-12-30T00:03:00"/>
    <s v="00"/>
    <s v="03"/>
    <x v="1"/>
    <x v="0"/>
    <x v="47"/>
    <d v="1899-12-30T00:03:00"/>
    <x v="1"/>
    <x v="56"/>
    <n v="0"/>
  </r>
  <r>
    <x v="1"/>
    <d v="2024-12-11T00:00:00"/>
    <x v="4"/>
    <x v="21"/>
    <x v="300"/>
    <s v="H"/>
    <x v="2"/>
    <x v="63"/>
    <d v="1899-12-30T04:01:00"/>
    <s v="04"/>
    <s v="01"/>
    <x v="0"/>
    <x v="2"/>
    <x v="0"/>
    <d v="1899-12-30T02:01:00"/>
    <x v="6"/>
    <x v="0"/>
    <n v="1"/>
  </r>
  <r>
    <x v="1"/>
    <d v="2024-12-11T00:00:00"/>
    <x v="4"/>
    <x v="21"/>
    <x v="300"/>
    <s v="H"/>
    <x v="2"/>
    <x v="63"/>
    <d v="1899-12-30T04:01:00"/>
    <s v="04"/>
    <s v="01"/>
    <x v="0"/>
    <x v="2"/>
    <x v="8"/>
    <d v="1899-12-30T03:01:00"/>
    <x v="6"/>
    <x v="0"/>
    <n v="1"/>
  </r>
  <r>
    <x v="1"/>
    <d v="2024-12-11T00:00:00"/>
    <x v="4"/>
    <x v="21"/>
    <x v="300"/>
    <s v="H"/>
    <x v="2"/>
    <x v="63"/>
    <d v="1899-12-30T04:01:00"/>
    <s v="04"/>
    <s v="01"/>
    <x v="0"/>
    <x v="2"/>
    <x v="20"/>
    <d v="1899-12-30T04:01:00"/>
    <x v="3"/>
    <x v="16"/>
    <n v="0"/>
  </r>
  <r>
    <x v="1"/>
    <d v="2024-12-11T00:00:00"/>
    <x v="4"/>
    <x v="35"/>
    <x v="301"/>
    <s v="H"/>
    <x v="2"/>
    <x v="43"/>
    <d v="1899-12-30T04:00:00"/>
    <s v="04"/>
    <s v="00"/>
    <x v="0"/>
    <x v="2"/>
    <x v="45"/>
    <d v="1899-12-30T01:00:00"/>
    <x v="4"/>
    <x v="0"/>
    <n v="1"/>
  </r>
  <r>
    <x v="0"/>
    <d v="2024-12-11T00:00:00"/>
    <x v="4"/>
    <x v="35"/>
    <x v="301"/>
    <s v="A"/>
    <x v="3"/>
    <x v="97"/>
    <d v="1899-12-30T01:02:00"/>
    <s v="01"/>
    <s v="02"/>
    <x v="1"/>
    <x v="0"/>
    <x v="58"/>
    <d v="1899-12-30T01:01:00"/>
    <x v="6"/>
    <x v="0"/>
    <n v="1"/>
  </r>
  <r>
    <x v="1"/>
    <d v="2024-12-11T00:00:00"/>
    <x v="4"/>
    <x v="35"/>
    <x v="301"/>
    <s v="H"/>
    <x v="2"/>
    <x v="43"/>
    <d v="1899-12-30T04:00:00"/>
    <s v="04"/>
    <s v="00"/>
    <x v="0"/>
    <x v="2"/>
    <x v="76"/>
    <d v="1899-12-30T04:00:00"/>
    <x v="6"/>
    <x v="0"/>
    <n v="1"/>
  </r>
  <r>
    <x v="1"/>
    <d v="2024-12-11T00:00:00"/>
    <x v="4"/>
    <x v="35"/>
    <x v="301"/>
    <s v="H"/>
    <x v="2"/>
    <x v="43"/>
    <d v="1899-12-30T04:00:00"/>
    <s v="04"/>
    <s v="00"/>
    <x v="0"/>
    <x v="2"/>
    <x v="38"/>
    <d v="1899-12-30T03:00:00"/>
    <x v="3"/>
    <x v="60"/>
    <n v="0"/>
  </r>
  <r>
    <x v="1"/>
    <d v="2024-12-11T00:00:00"/>
    <x v="4"/>
    <x v="35"/>
    <x v="301"/>
    <s v="H"/>
    <x v="2"/>
    <x v="43"/>
    <d v="1899-12-30T04:00:00"/>
    <s v="04"/>
    <s v="00"/>
    <x v="0"/>
    <x v="2"/>
    <x v="20"/>
    <d v="1899-12-30T02:00:00"/>
    <x v="6"/>
    <x v="0"/>
    <n v="1"/>
  </r>
  <r>
    <x v="0"/>
    <d v="2024-12-11T00:00:00"/>
    <x v="4"/>
    <x v="7"/>
    <x v="302"/>
    <s v="H"/>
    <x v="3"/>
    <x v="25"/>
    <d v="1899-12-30T04:01:00"/>
    <s v="04"/>
    <s v="01"/>
    <x v="0"/>
    <x v="0"/>
    <x v="65"/>
    <d v="1899-12-30T01:00:00"/>
    <x v="1"/>
    <x v="52"/>
    <n v="0"/>
  </r>
  <r>
    <x v="1"/>
    <d v="2024-12-11T00:00:00"/>
    <x v="8"/>
    <x v="8"/>
    <x v="303"/>
    <s v="H"/>
    <x v="2"/>
    <x v="23"/>
    <d v="1899-12-30T03:00:00"/>
    <s v="03"/>
    <s v="00"/>
    <x v="0"/>
    <x v="2"/>
    <x v="92"/>
    <d v="1899-12-30T02:00:00"/>
    <x v="2"/>
    <x v="16"/>
    <n v="0"/>
  </r>
  <r>
    <x v="1"/>
    <d v="2013-12-01T00:00:00"/>
    <x v="4"/>
    <x v="27"/>
    <x v="304"/>
    <s v="H"/>
    <x v="2"/>
    <x v="90"/>
    <d v="1899-12-30T05:01:00"/>
    <s v="05"/>
    <s v="01"/>
    <x v="0"/>
    <x v="2"/>
    <x v="39"/>
    <d v="1899-12-30T02:01:00"/>
    <x v="3"/>
    <x v="44"/>
    <n v="0"/>
  </r>
  <r>
    <x v="1"/>
    <d v="2013-12-01T00:00:00"/>
    <x v="4"/>
    <x v="27"/>
    <x v="304"/>
    <s v="H"/>
    <x v="2"/>
    <x v="90"/>
    <d v="1899-12-30T05:01:00"/>
    <s v="05"/>
    <s v="01"/>
    <x v="0"/>
    <x v="2"/>
    <x v="84"/>
    <d v="1899-12-30T03:01:00"/>
    <x v="3"/>
    <x v="69"/>
    <n v="0"/>
  </r>
  <r>
    <x v="1"/>
    <d v="2013-12-01T00:00:00"/>
    <x v="10"/>
    <x v="8"/>
    <x v="305"/>
    <s v="H"/>
    <x v="2"/>
    <x v="36"/>
    <d v="1899-12-30T03:02:00"/>
    <s v="03"/>
    <s v="02"/>
    <x v="0"/>
    <x v="2"/>
    <x v="8"/>
    <d v="1899-12-30T02:01:00"/>
    <x v="6"/>
    <x v="0"/>
    <n v="1"/>
  </r>
  <r>
    <x v="0"/>
    <d v="2013-12-01T00:00:00"/>
    <x v="10"/>
    <x v="8"/>
    <x v="305"/>
    <s v="A"/>
    <x v="3"/>
    <x v="91"/>
    <d v="1899-12-30T03:02:00"/>
    <s v="03"/>
    <s v="02"/>
    <x v="0"/>
    <x v="0"/>
    <x v="82"/>
    <d v="1899-12-30T00:01:00"/>
    <x v="1"/>
    <x v="55"/>
    <n v="0"/>
  </r>
  <r>
    <x v="1"/>
    <d v="2013-12-01T00:00:00"/>
    <x v="4"/>
    <x v="28"/>
    <x v="306"/>
    <s v="A"/>
    <x v="2"/>
    <x v="31"/>
    <d v="1899-12-30T01:02:00"/>
    <s v="01"/>
    <s v="02"/>
    <x v="1"/>
    <x v="2"/>
    <x v="6"/>
    <d v="1899-12-30T01:01:00"/>
    <x v="3"/>
    <x v="67"/>
    <n v="0"/>
  </r>
  <r>
    <x v="1"/>
    <d v="2013-12-01T00:00:00"/>
    <x v="4"/>
    <x v="28"/>
    <x v="306"/>
    <s v="A"/>
    <x v="2"/>
    <x v="31"/>
    <d v="1899-12-30T01:02:00"/>
    <s v="01"/>
    <s v="02"/>
    <x v="1"/>
    <x v="2"/>
    <x v="54"/>
    <d v="1899-12-30T01:02:00"/>
    <x v="3"/>
    <x v="71"/>
    <n v="0"/>
  </r>
  <r>
    <x v="0"/>
    <d v="2013-12-01T00:00:00"/>
    <x v="10"/>
    <x v="8"/>
    <x v="307"/>
    <s v="H"/>
    <x v="3"/>
    <x v="91"/>
    <d v="1899-12-30T02:01:00"/>
    <s v="02"/>
    <s v="01"/>
    <x v="0"/>
    <x v="0"/>
    <x v="36"/>
    <d v="1899-12-30T02:00:00"/>
    <x v="2"/>
    <x v="62"/>
    <n v="0"/>
  </r>
  <r>
    <x v="1"/>
    <d v="2013-12-01T00:00:00"/>
    <x v="10"/>
    <x v="8"/>
    <x v="307"/>
    <s v="A"/>
    <x v="2"/>
    <x v="36"/>
    <d v="1899-12-30T02:01:00"/>
    <s v="02"/>
    <s v="01"/>
    <x v="0"/>
    <x v="2"/>
    <x v="32"/>
    <d v="1899-12-30T02:01:00"/>
    <x v="4"/>
    <x v="0"/>
    <n v="1"/>
  </r>
  <r>
    <x v="0"/>
    <d v="2013-12-01T00:00:00"/>
    <x v="4"/>
    <x v="47"/>
    <x v="308"/>
    <s v="H"/>
    <x v="3"/>
    <x v="97"/>
    <d v="1899-12-30T03:00:00"/>
    <s v="03"/>
    <s v="00"/>
    <x v="0"/>
    <x v="0"/>
    <x v="73"/>
    <d v="1899-12-30T01:00:00"/>
    <x v="2"/>
    <x v="72"/>
    <n v="0"/>
  </r>
  <r>
    <x v="0"/>
    <d v="2013-12-01T00:00:00"/>
    <x v="4"/>
    <x v="47"/>
    <x v="308"/>
    <s v="H"/>
    <x v="3"/>
    <x v="97"/>
    <d v="1899-12-30T03:00:00"/>
    <s v="03"/>
    <s v="00"/>
    <x v="0"/>
    <x v="0"/>
    <x v="68"/>
    <d v="1899-12-30T02:00:00"/>
    <x v="3"/>
    <x v="0"/>
    <n v="1"/>
  </r>
  <r>
    <x v="1"/>
    <d v="2013-12-01T00:00:00"/>
    <x v="4"/>
    <x v="37"/>
    <x v="309"/>
    <s v="A"/>
    <x v="2"/>
    <x v="40"/>
    <d v="1899-12-30T01:04:00"/>
    <s v="01"/>
    <s v="04"/>
    <x v="1"/>
    <x v="2"/>
    <x v="76"/>
    <d v="1899-12-30T00:03:00"/>
    <x v="3"/>
    <x v="44"/>
    <n v="0"/>
  </r>
  <r>
    <x v="1"/>
    <d v="2013-12-01T00:00:00"/>
    <x v="4"/>
    <x v="37"/>
    <x v="309"/>
    <s v="A"/>
    <x v="2"/>
    <x v="40"/>
    <d v="1899-12-30T01:04:00"/>
    <s v="01"/>
    <s v="04"/>
    <x v="1"/>
    <x v="2"/>
    <x v="6"/>
    <d v="1899-12-30T00:02:00"/>
    <x v="6"/>
    <x v="0"/>
    <n v="1"/>
  </r>
  <r>
    <x v="0"/>
    <d v="2013-12-01T00:00:00"/>
    <x v="6"/>
    <x v="18"/>
    <x v="310"/>
    <s v="H"/>
    <x v="3"/>
    <x v="5"/>
    <d v="1899-12-30T03:02:00"/>
    <s v="03"/>
    <s v="02"/>
    <x v="0"/>
    <x v="0"/>
    <x v="21"/>
    <d v="1899-12-30T03:02:00"/>
    <x v="2"/>
    <x v="52"/>
    <n v="0"/>
  </r>
  <r>
    <x v="1"/>
    <d v="2013-12-01T00:00:00"/>
    <x v="6"/>
    <x v="18"/>
    <x v="311"/>
    <s v="H"/>
    <x v="2"/>
    <x v="101"/>
    <d v="1899-12-30T03:02:00"/>
    <s v="03"/>
    <s v="02"/>
    <x v="0"/>
    <x v="2"/>
    <x v="90"/>
    <d v="1899-12-30T02:02:00"/>
    <x v="3"/>
    <x v="69"/>
    <n v="0"/>
  </r>
  <r>
    <x v="1"/>
    <d v="2013-12-01T00:00:00"/>
    <x v="6"/>
    <x v="18"/>
    <x v="311"/>
    <s v="H"/>
    <x v="2"/>
    <x v="101"/>
    <d v="1899-12-30T03:02:00"/>
    <s v="03"/>
    <s v="02"/>
    <x v="0"/>
    <x v="2"/>
    <x v="5"/>
    <d v="1899-12-30T03:02:00"/>
    <x v="1"/>
    <x v="67"/>
    <n v="0"/>
  </r>
  <r>
    <x v="0"/>
    <d v="2013-12-01T00:00:00"/>
    <x v="4"/>
    <x v="38"/>
    <x v="312"/>
    <s v="A"/>
    <x v="3"/>
    <x v="92"/>
    <d v="1899-12-30T00:02:00"/>
    <s v="00"/>
    <s v="02"/>
    <x v="1"/>
    <x v="0"/>
    <x v="64"/>
    <d v="1899-12-30T00:02:00"/>
    <x v="6"/>
    <x v="0"/>
    <n v="1"/>
  </r>
  <r>
    <x v="0"/>
    <d v="2013-12-01T00:00:00"/>
    <x v="4"/>
    <x v="0"/>
    <x v="313"/>
    <s v="H"/>
    <x v="3"/>
    <x v="73"/>
    <d v="1899-12-30T05:01:00"/>
    <s v="05"/>
    <s v="01"/>
    <x v="0"/>
    <x v="0"/>
    <x v="35"/>
    <d v="1899-12-30T01:01:00"/>
    <x v="6"/>
    <x v="0"/>
    <n v="1"/>
  </r>
  <r>
    <x v="0"/>
    <d v="2013-12-01T00:00:00"/>
    <x v="4"/>
    <x v="0"/>
    <x v="313"/>
    <s v="H"/>
    <x v="3"/>
    <x v="73"/>
    <d v="1899-12-30T05:01:00"/>
    <s v="05"/>
    <s v="01"/>
    <x v="0"/>
    <x v="0"/>
    <x v="33"/>
    <d v="1899-12-30T05:01:00"/>
    <x v="6"/>
    <x v="0"/>
    <n v="1"/>
  </r>
  <r>
    <x v="0"/>
    <d v="2013-12-01T00:00:00"/>
    <x v="4"/>
    <x v="0"/>
    <x v="313"/>
    <s v="H"/>
    <x v="3"/>
    <x v="73"/>
    <d v="1899-12-30T05:01:00"/>
    <s v="05"/>
    <s v="01"/>
    <x v="0"/>
    <x v="0"/>
    <x v="10"/>
    <d v="1899-12-30T03:01:00"/>
    <x v="1"/>
    <x v="53"/>
    <n v="0"/>
  </r>
  <r>
    <x v="0"/>
    <d v="2013-12-01T00:00:00"/>
    <x v="6"/>
    <x v="18"/>
    <x v="314"/>
    <s v="A"/>
    <x v="3"/>
    <x v="88"/>
    <d v="1899-12-30T01:04:00"/>
    <s v="01"/>
    <s v="04"/>
    <x v="1"/>
    <x v="0"/>
    <x v="29"/>
    <d v="1899-12-30T00:01:00"/>
    <x v="2"/>
    <x v="43"/>
    <n v="0"/>
  </r>
  <r>
    <x v="0"/>
    <d v="2013-12-01T00:00:00"/>
    <x v="6"/>
    <x v="18"/>
    <x v="314"/>
    <s v="A"/>
    <x v="3"/>
    <x v="88"/>
    <d v="1899-12-30T01:04:00"/>
    <s v="01"/>
    <s v="04"/>
    <x v="1"/>
    <x v="0"/>
    <x v="54"/>
    <d v="1899-12-30T01:03:00"/>
    <x v="2"/>
    <x v="43"/>
    <n v="0"/>
  </r>
  <r>
    <x v="0"/>
    <d v="2013-12-01T00:00:00"/>
    <x v="6"/>
    <x v="18"/>
    <x v="314"/>
    <s v="A"/>
    <x v="3"/>
    <x v="88"/>
    <d v="1899-12-30T01:04:00"/>
    <s v="01"/>
    <s v="04"/>
    <x v="1"/>
    <x v="0"/>
    <x v="58"/>
    <d v="1899-12-30T01:04:00"/>
    <x v="3"/>
    <x v="62"/>
    <n v="0"/>
  </r>
  <r>
    <x v="1"/>
    <d v="2013-12-01T00:00:00"/>
    <x v="4"/>
    <x v="40"/>
    <x v="315"/>
    <s v="H"/>
    <x v="2"/>
    <x v="36"/>
    <d v="1899-12-30T02:02:00"/>
    <s v="02"/>
    <s v="02"/>
    <x v="2"/>
    <x v="2"/>
    <x v="78"/>
    <d v="1899-12-30T01:01:00"/>
    <x v="3"/>
    <x v="0"/>
    <n v="1"/>
  </r>
  <r>
    <x v="0"/>
    <d v="2013-12-01T00:00:00"/>
    <x v="4"/>
    <x v="40"/>
    <x v="315"/>
    <s v="A"/>
    <x v="3"/>
    <x v="91"/>
    <d v="1899-12-30T02:02:00"/>
    <s v="02"/>
    <s v="02"/>
    <x v="2"/>
    <x v="0"/>
    <x v="60"/>
    <d v="1899-12-30T00:01:00"/>
    <x v="3"/>
    <x v="43"/>
    <n v="0"/>
  </r>
  <r>
    <x v="1"/>
    <d v="2013-12-01T00:00:00"/>
    <x v="4"/>
    <x v="40"/>
    <x v="315"/>
    <s v="H"/>
    <x v="2"/>
    <x v="36"/>
    <d v="1899-12-30T02:02:00"/>
    <s v="02"/>
    <s v="02"/>
    <x v="2"/>
    <x v="2"/>
    <x v="8"/>
    <d v="1899-12-30T02:01:00"/>
    <x v="4"/>
    <x v="0"/>
    <n v="1"/>
  </r>
  <r>
    <x v="0"/>
    <d v="2013-12-01T00:00:00"/>
    <x v="4"/>
    <x v="40"/>
    <x v="315"/>
    <s v="A"/>
    <x v="3"/>
    <x v="91"/>
    <d v="1899-12-30T02:02:00"/>
    <s v="02"/>
    <s v="02"/>
    <x v="2"/>
    <x v="0"/>
    <x v="55"/>
    <d v="1899-12-30T02:02:00"/>
    <x v="2"/>
    <x v="55"/>
    <n v="0"/>
  </r>
  <r>
    <x v="1"/>
    <d v="2013-12-01T00:00:00"/>
    <x v="4"/>
    <x v="1"/>
    <x v="316"/>
    <s v="A"/>
    <x v="2"/>
    <x v="38"/>
    <d v="1899-12-30T04:05:00"/>
    <s v="04"/>
    <s v="05"/>
    <x v="1"/>
    <x v="2"/>
    <x v="81"/>
    <d v="1899-12-30T00:03:00"/>
    <x v="3"/>
    <x v="65"/>
    <n v="0"/>
  </r>
  <r>
    <x v="1"/>
    <d v="2013-12-01T00:00:00"/>
    <x v="4"/>
    <x v="1"/>
    <x v="316"/>
    <s v="A"/>
    <x v="2"/>
    <x v="38"/>
    <d v="1899-12-30T04:05:00"/>
    <s v="04"/>
    <s v="05"/>
    <x v="1"/>
    <x v="2"/>
    <x v="51"/>
    <d v="1899-12-30T02:04:00"/>
    <x v="3"/>
    <x v="65"/>
    <n v="0"/>
  </r>
  <r>
    <x v="1"/>
    <d v="2013-12-01T00:00:00"/>
    <x v="4"/>
    <x v="1"/>
    <x v="316"/>
    <s v="A"/>
    <x v="2"/>
    <x v="38"/>
    <d v="1899-12-30T04:05:00"/>
    <s v="04"/>
    <s v="05"/>
    <x v="1"/>
    <x v="2"/>
    <x v="18"/>
    <d v="1899-12-30T03:05:00"/>
    <x v="3"/>
    <x v="19"/>
    <n v="0"/>
  </r>
  <r>
    <x v="0"/>
    <d v="2013-12-01T00:00:00"/>
    <x v="4"/>
    <x v="1"/>
    <x v="316"/>
    <s v="H"/>
    <x v="3"/>
    <x v="30"/>
    <d v="1899-12-30T02:00:00"/>
    <s v="02"/>
    <s v="00"/>
    <x v="0"/>
    <x v="0"/>
    <x v="3"/>
    <d v="1899-12-30T02:00:00"/>
    <x v="6"/>
    <x v="0"/>
    <n v="1"/>
  </r>
  <r>
    <x v="0"/>
    <d v="2013-12-01T00:00:00"/>
    <x v="6"/>
    <x v="18"/>
    <x v="317"/>
    <s v="A"/>
    <x v="3"/>
    <x v="102"/>
    <d v="1899-12-30T02:01:00"/>
    <s v="02"/>
    <s v="01"/>
    <x v="0"/>
    <x v="0"/>
    <x v="31"/>
    <d v="1899-12-30T01:01:00"/>
    <x v="2"/>
    <x v="55"/>
    <n v="0"/>
  </r>
  <r>
    <x v="1"/>
    <d v="2013-12-01T00:00:00"/>
    <x v="4"/>
    <x v="39"/>
    <x v="318"/>
    <s v="A"/>
    <x v="2"/>
    <x v="92"/>
    <d v="1899-12-30T00:05:00"/>
    <s v="00"/>
    <s v="05"/>
    <x v="1"/>
    <x v="2"/>
    <x v="7"/>
    <d v="1899-12-30T00:05:00"/>
    <x v="2"/>
    <x v="65"/>
    <n v="0"/>
  </r>
  <r>
    <x v="1"/>
    <d v="2013-12-01T00:00:00"/>
    <x v="4"/>
    <x v="39"/>
    <x v="318"/>
    <s v="A"/>
    <x v="2"/>
    <x v="92"/>
    <d v="1899-12-30T00:05:00"/>
    <s v="00"/>
    <s v="05"/>
    <x v="1"/>
    <x v="2"/>
    <x v="61"/>
    <d v="1899-12-30T00:02:00"/>
    <x v="3"/>
    <x v="73"/>
    <n v="0"/>
  </r>
  <r>
    <x v="0"/>
    <d v="2013-12-01T00:00:00"/>
    <x v="4"/>
    <x v="39"/>
    <x v="319"/>
    <s v="A"/>
    <x v="3"/>
    <x v="25"/>
    <d v="1899-12-30T00:05:00"/>
    <s v="00"/>
    <s v="05"/>
    <x v="1"/>
    <x v="0"/>
    <x v="60"/>
    <d v="1899-12-30T00:02:00"/>
    <x v="2"/>
    <x v="45"/>
    <n v="0"/>
  </r>
  <r>
    <x v="0"/>
    <d v="2013-12-01T00:00:00"/>
    <x v="4"/>
    <x v="39"/>
    <x v="319"/>
    <s v="A"/>
    <x v="3"/>
    <x v="25"/>
    <d v="1899-12-30T00:05:00"/>
    <s v="00"/>
    <s v="05"/>
    <x v="1"/>
    <x v="0"/>
    <x v="38"/>
    <d v="1899-12-30T00:04:00"/>
    <x v="2"/>
    <x v="45"/>
    <n v="0"/>
  </r>
  <r>
    <x v="1"/>
    <d v="2013-12-01T00:00:00"/>
    <x v="6"/>
    <x v="18"/>
    <x v="320"/>
    <s v="A"/>
    <x v="2"/>
    <x v="56"/>
    <d v="1899-12-30T02:01:00"/>
    <s v="02"/>
    <s v="01"/>
    <x v="0"/>
    <x v="2"/>
    <x v="19"/>
    <d v="1899-12-30T02:01:00"/>
    <x v="5"/>
    <x v="0"/>
    <n v="1"/>
  </r>
  <r>
    <x v="1"/>
    <d v="2013-12-01T00:00:00"/>
    <x v="4"/>
    <x v="4"/>
    <x v="321"/>
    <s v="A"/>
    <x v="2"/>
    <x v="25"/>
    <d v="1899-12-30T02:04:00"/>
    <s v="02"/>
    <s v="04"/>
    <x v="1"/>
    <x v="2"/>
    <x v="62"/>
    <d v="1899-12-30T02:04:00"/>
    <x v="3"/>
    <x v="67"/>
    <n v="0"/>
  </r>
  <r>
    <x v="0"/>
    <d v="2013-12-01T00:00:00"/>
    <x v="4"/>
    <x v="4"/>
    <x v="321"/>
    <s v="A"/>
    <x v="3"/>
    <x v="47"/>
    <d v="1899-12-30T01:02:00"/>
    <s v="01"/>
    <s v="02"/>
    <x v="1"/>
    <x v="2"/>
    <x v="92"/>
    <d v="1899-12-30T00:01:00"/>
    <x v="2"/>
    <x v="0"/>
    <n v="1"/>
  </r>
  <r>
    <x v="1"/>
    <d v="2013-12-01T00:00:00"/>
    <x v="4"/>
    <x v="4"/>
    <x v="321"/>
    <s v="A"/>
    <x v="2"/>
    <x v="25"/>
    <d v="1899-12-30T02:04:00"/>
    <s v="02"/>
    <s v="04"/>
    <x v="1"/>
    <x v="2"/>
    <x v="51"/>
    <d v="1899-12-30T00:02:00"/>
    <x v="3"/>
    <x v="64"/>
    <n v="0"/>
  </r>
  <r>
    <x v="1"/>
    <d v="2013-12-01T00:00:00"/>
    <x v="4"/>
    <x v="41"/>
    <x v="322"/>
    <s v="H"/>
    <x v="2"/>
    <x v="26"/>
    <d v="1899-12-30T03:01:00"/>
    <s v="03"/>
    <s v="01"/>
    <x v="0"/>
    <x v="2"/>
    <x v="84"/>
    <d v="1899-12-30T01:00:00"/>
    <x v="3"/>
    <x v="71"/>
    <n v="0"/>
  </r>
  <r>
    <x v="1"/>
    <d v="2013-12-01T00:00:00"/>
    <x v="4"/>
    <x v="41"/>
    <x v="322"/>
    <s v="H"/>
    <x v="2"/>
    <x v="26"/>
    <d v="1899-12-30T03:01:00"/>
    <s v="03"/>
    <s v="01"/>
    <x v="0"/>
    <x v="2"/>
    <x v="8"/>
    <d v="1899-12-30T03:01:00"/>
    <x v="3"/>
    <x v="73"/>
    <n v="0"/>
  </r>
  <r>
    <x v="1"/>
    <d v="2013-12-01T00:00:00"/>
    <x v="6"/>
    <x v="18"/>
    <x v="323"/>
    <s v="A"/>
    <x v="2"/>
    <x v="101"/>
    <d v="1899-12-30T00:03:00"/>
    <s v="00"/>
    <s v="03"/>
    <x v="1"/>
    <x v="2"/>
    <x v="40"/>
    <d v="1899-12-30T00:03:00"/>
    <x v="3"/>
    <x v="44"/>
    <n v="0"/>
  </r>
  <r>
    <x v="1"/>
    <d v="2013-12-01T00:00:00"/>
    <x v="6"/>
    <x v="18"/>
    <x v="323"/>
    <s v="A"/>
    <x v="2"/>
    <x v="101"/>
    <d v="1899-12-30T00:03:00"/>
    <s v="00"/>
    <s v="03"/>
    <x v="1"/>
    <x v="2"/>
    <x v="83"/>
    <d v="1899-12-30T00:02:00"/>
    <x v="2"/>
    <x v="0"/>
    <n v="1"/>
  </r>
  <r>
    <x v="1"/>
    <d v="2013-12-01T00:00:00"/>
    <x v="4"/>
    <x v="19"/>
    <x v="324"/>
    <s v="A"/>
    <x v="2"/>
    <x v="47"/>
    <d v="1899-12-30T00:04:00"/>
    <s v="00"/>
    <s v="04"/>
    <x v="1"/>
    <x v="2"/>
    <x v="93"/>
    <d v="1899-12-30T00:01:00"/>
    <x v="3"/>
    <x v="16"/>
    <n v="0"/>
  </r>
  <r>
    <x v="1"/>
    <d v="2013-12-01T00:00:00"/>
    <x v="4"/>
    <x v="19"/>
    <x v="324"/>
    <s v="A"/>
    <x v="2"/>
    <x v="47"/>
    <d v="1899-12-30T00:04:00"/>
    <s v="00"/>
    <s v="04"/>
    <x v="1"/>
    <x v="2"/>
    <x v="22"/>
    <d v="1899-12-30T00:02:00"/>
    <x v="3"/>
    <x v="16"/>
    <n v="0"/>
  </r>
  <r>
    <x v="1"/>
    <d v="2013-12-01T00:00:00"/>
    <x v="4"/>
    <x v="51"/>
    <x v="325"/>
    <s v="H"/>
    <x v="2"/>
    <x v="23"/>
    <d v="1899-12-30T05:01:00"/>
    <s v="05"/>
    <s v="01"/>
    <x v="0"/>
    <x v="2"/>
    <x v="70"/>
    <d v="1899-12-30T02:00:00"/>
    <x v="3"/>
    <x v="19"/>
    <n v="0"/>
  </r>
  <r>
    <x v="1"/>
    <d v="2013-12-01T00:00:00"/>
    <x v="4"/>
    <x v="51"/>
    <x v="325"/>
    <s v="H"/>
    <x v="2"/>
    <x v="23"/>
    <d v="1899-12-30T05:01:00"/>
    <s v="05"/>
    <s v="01"/>
    <x v="0"/>
    <x v="2"/>
    <x v="64"/>
    <d v="1899-12-30T05:01:00"/>
    <x v="2"/>
    <x v="44"/>
    <n v="0"/>
  </r>
  <r>
    <x v="0"/>
    <d v="2013-12-01T00:00:00"/>
    <x v="4"/>
    <x v="51"/>
    <x v="325"/>
    <s v="H"/>
    <x v="3"/>
    <x v="42"/>
    <d v="1899-12-30T02:00:00"/>
    <s v="02"/>
    <s v="00"/>
    <x v="0"/>
    <x v="0"/>
    <x v="67"/>
    <d v="1899-12-30T01:00:00"/>
    <x v="4"/>
    <x v="0"/>
    <n v="1"/>
  </r>
  <r>
    <x v="0"/>
    <d v="2013-12-01T00:00:00"/>
    <x v="6"/>
    <x v="18"/>
    <x v="326"/>
    <s v="H"/>
    <x v="3"/>
    <x v="88"/>
    <d v="1899-12-30T04:01:00"/>
    <s v="04"/>
    <s v="01"/>
    <x v="0"/>
    <x v="0"/>
    <x v="4"/>
    <d v="1899-12-30T01:00:00"/>
    <x v="2"/>
    <x v="43"/>
    <n v="0"/>
  </r>
  <r>
    <x v="1"/>
    <d v="2013-12-01T00:00:00"/>
    <x v="4"/>
    <x v="30"/>
    <x v="327"/>
    <s v="A"/>
    <x v="2"/>
    <x v="27"/>
    <d v="1899-12-30T01:02:00"/>
    <s v="01"/>
    <s v="02"/>
    <x v="1"/>
    <x v="2"/>
    <x v="67"/>
    <d v="1899-12-30T00:01:00"/>
    <x v="3"/>
    <x v="16"/>
    <n v="0"/>
  </r>
  <r>
    <x v="1"/>
    <d v="2013-12-01T00:00:00"/>
    <x v="4"/>
    <x v="30"/>
    <x v="327"/>
    <s v="A"/>
    <x v="2"/>
    <x v="27"/>
    <d v="1899-12-30T01:02:00"/>
    <s v="01"/>
    <s v="02"/>
    <x v="1"/>
    <x v="2"/>
    <x v="73"/>
    <d v="1899-12-30T00:02:00"/>
    <x v="3"/>
    <x v="16"/>
    <n v="0"/>
  </r>
  <r>
    <x v="1"/>
    <d v="2013-12-01T00:00:00"/>
    <x v="8"/>
    <x v="44"/>
    <x v="328"/>
    <s v="A"/>
    <x v="2"/>
    <x v="103"/>
    <d v="1899-12-30T00:02:00"/>
    <s v="00"/>
    <s v="02"/>
    <x v="1"/>
    <x v="2"/>
    <x v="39"/>
    <d v="1899-12-30T00:01:00"/>
    <x v="3"/>
    <x v="58"/>
    <n v="0"/>
  </r>
  <r>
    <x v="1"/>
    <d v="2013-12-01T00:00:00"/>
    <x v="8"/>
    <x v="44"/>
    <x v="328"/>
    <s v="A"/>
    <x v="2"/>
    <x v="103"/>
    <d v="1899-12-30T00:02:00"/>
    <s v="00"/>
    <s v="02"/>
    <x v="1"/>
    <x v="2"/>
    <x v="38"/>
    <d v="1899-12-30T00:02:00"/>
    <x v="3"/>
    <x v="67"/>
    <n v="0"/>
  </r>
  <r>
    <x v="0"/>
    <d v="2013-12-01T00:00:00"/>
    <x v="8"/>
    <x v="44"/>
    <x v="328"/>
    <s v="A"/>
    <x v="3"/>
    <x v="30"/>
    <d v="1899-12-30T02:01:00"/>
    <s v="02"/>
    <s v="01"/>
    <x v="0"/>
    <x v="0"/>
    <x v="11"/>
    <d v="1899-12-30T02:01:00"/>
    <x v="3"/>
    <x v="56"/>
    <n v="0"/>
  </r>
  <r>
    <x v="1"/>
    <d v="2013-12-01T00:00:00"/>
    <x v="4"/>
    <x v="9"/>
    <x v="329"/>
    <s v="H"/>
    <x v="2"/>
    <x v="42"/>
    <d v="1899-12-30T04:01:00"/>
    <s v="04"/>
    <s v="01"/>
    <x v="0"/>
    <x v="2"/>
    <x v="2"/>
    <d v="1899-12-30T04:01:00"/>
    <x v="3"/>
    <x v="0"/>
    <n v="1"/>
  </r>
  <r>
    <x v="1"/>
    <d v="2013-12-01T00:00:00"/>
    <x v="4"/>
    <x v="9"/>
    <x v="329"/>
    <s v="H"/>
    <x v="2"/>
    <x v="42"/>
    <d v="1899-12-30T04:01:00"/>
    <s v="04"/>
    <s v="01"/>
    <x v="0"/>
    <x v="2"/>
    <x v="15"/>
    <d v="1899-12-30T03:01:00"/>
    <x v="3"/>
    <x v="67"/>
    <n v="0"/>
  </r>
  <r>
    <x v="0"/>
    <d v="2013-12-01T00:00:00"/>
    <x v="4"/>
    <x v="9"/>
    <x v="329"/>
    <s v="H"/>
    <x v="3"/>
    <x v="43"/>
    <d v="1899-12-30T02:02:00"/>
    <s v="02"/>
    <s v="02"/>
    <x v="2"/>
    <x v="2"/>
    <x v="32"/>
    <d v="1899-12-30T01:01:00"/>
    <x v="2"/>
    <x v="62"/>
    <n v="0"/>
  </r>
  <r>
    <x v="1"/>
    <d v="2013-12-01T00:00:00"/>
    <x v="4"/>
    <x v="31"/>
    <x v="330"/>
    <s v="A"/>
    <x v="2"/>
    <x v="83"/>
    <d v="1899-12-30T01:03:00"/>
    <s v="01"/>
    <s v="03"/>
    <x v="1"/>
    <x v="2"/>
    <x v="34"/>
    <d v="1899-12-30T00:02:00"/>
    <x v="3"/>
    <x v="19"/>
    <n v="0"/>
  </r>
  <r>
    <x v="1"/>
    <d v="2013-12-01T00:00:00"/>
    <x v="4"/>
    <x v="42"/>
    <x v="331"/>
    <s v="H"/>
    <x v="2"/>
    <x v="43"/>
    <d v="1899-12-30T04:00:00"/>
    <s v="04"/>
    <s v="00"/>
    <x v="0"/>
    <x v="2"/>
    <x v="44"/>
    <d v="1899-12-30T04:00:00"/>
    <x v="6"/>
    <x v="0"/>
    <n v="1"/>
  </r>
  <r>
    <x v="0"/>
    <d v="2013-12-01T00:00:00"/>
    <x v="4"/>
    <x v="42"/>
    <x v="331"/>
    <s v="H"/>
    <x v="3"/>
    <x v="90"/>
    <d v="1899-12-30T04:03:00"/>
    <s v="04"/>
    <s v="03"/>
    <x v="0"/>
    <x v="4"/>
    <x v="3"/>
    <d v="1899-12-30T03:02:00"/>
    <x v="3"/>
    <x v="43"/>
    <n v="0"/>
  </r>
  <r>
    <x v="0"/>
    <d v="2013-12-01T00:00:00"/>
    <x v="4"/>
    <x v="42"/>
    <x v="331"/>
    <s v="H"/>
    <x v="3"/>
    <x v="90"/>
    <d v="1899-12-30T04:03:00"/>
    <s v="04"/>
    <s v="03"/>
    <x v="0"/>
    <x v="4"/>
    <x v="62"/>
    <d v="1899-12-30T04:02:00"/>
    <x v="4"/>
    <x v="0"/>
    <n v="1"/>
  </r>
  <r>
    <x v="0"/>
    <d v="2013-12-01T00:00:00"/>
    <x v="8"/>
    <x v="44"/>
    <x v="332"/>
    <s v="H"/>
    <x v="3"/>
    <x v="30"/>
    <d v="1899-12-30T04:00:00"/>
    <s v="04"/>
    <s v="00"/>
    <x v="0"/>
    <x v="0"/>
    <x v="70"/>
    <d v="1899-12-30T02:00:00"/>
    <x v="3"/>
    <x v="74"/>
    <n v="0"/>
  </r>
  <r>
    <x v="0"/>
    <d v="2013-12-01T00:00:00"/>
    <x v="8"/>
    <x v="44"/>
    <x v="332"/>
    <s v="H"/>
    <x v="3"/>
    <x v="30"/>
    <d v="1899-12-30T04:00:00"/>
    <s v="04"/>
    <s v="00"/>
    <x v="0"/>
    <x v="0"/>
    <x v="11"/>
    <d v="1899-12-30T03:00:00"/>
    <x v="3"/>
    <x v="45"/>
    <n v="0"/>
  </r>
  <r>
    <x v="0"/>
    <d v="2013-12-01T00:00:00"/>
    <x v="8"/>
    <x v="44"/>
    <x v="332"/>
    <s v="H"/>
    <x v="3"/>
    <x v="30"/>
    <d v="1899-12-30T04:00:00"/>
    <s v="04"/>
    <s v="00"/>
    <x v="0"/>
    <x v="0"/>
    <x v="86"/>
    <d v="1899-12-30T01:00:00"/>
    <x v="2"/>
    <x v="66"/>
    <n v="0"/>
  </r>
  <r>
    <x v="1"/>
    <d v="2013-12-01T00:00:00"/>
    <x v="4"/>
    <x v="22"/>
    <x v="333"/>
    <s v="A"/>
    <x v="2"/>
    <x v="63"/>
    <d v="1899-12-30T01:03:00"/>
    <s v="01"/>
    <s v="03"/>
    <x v="1"/>
    <x v="2"/>
    <x v="72"/>
    <d v="1899-12-30T00:01:00"/>
    <x v="2"/>
    <x v="0"/>
    <n v="1"/>
  </r>
  <r>
    <x v="1"/>
    <d v="2013-12-01T00:00:00"/>
    <x v="8"/>
    <x v="24"/>
    <x v="334"/>
    <s v="H"/>
    <x v="2"/>
    <x v="63"/>
    <d v="1899-12-30T02:02:00"/>
    <s v="02"/>
    <s v="02"/>
    <x v="2"/>
    <x v="2"/>
    <x v="48"/>
    <d v="1899-12-30T01:01:00"/>
    <x v="3"/>
    <x v="0"/>
    <n v="1"/>
  </r>
  <r>
    <x v="1"/>
    <d v="2013-12-01T00:00:00"/>
    <x v="4"/>
    <x v="21"/>
    <x v="335"/>
    <s v="A"/>
    <x v="2"/>
    <x v="90"/>
    <d v="1899-12-30T03:02:00"/>
    <s v="03"/>
    <s v="02"/>
    <x v="0"/>
    <x v="2"/>
    <x v="80"/>
    <d v="1899-12-30T00:01:00"/>
    <x v="3"/>
    <x v="16"/>
    <n v="0"/>
  </r>
  <r>
    <x v="0"/>
    <d v="2013-12-01T00:00:00"/>
    <x v="4"/>
    <x v="21"/>
    <x v="336"/>
    <s v="A"/>
    <x v="3"/>
    <x v="58"/>
    <d v="1899-12-30T00:05:00"/>
    <s v="00"/>
    <s v="05"/>
    <x v="1"/>
    <x v="0"/>
    <x v="56"/>
    <d v="1899-12-30T00:04:00"/>
    <x v="2"/>
    <x v="55"/>
    <n v="0"/>
  </r>
  <r>
    <x v="0"/>
    <d v="2013-12-01T00:00:00"/>
    <x v="4"/>
    <x v="21"/>
    <x v="336"/>
    <s v="A"/>
    <x v="3"/>
    <x v="58"/>
    <d v="1899-12-30T00:05:00"/>
    <s v="00"/>
    <s v="05"/>
    <x v="1"/>
    <x v="0"/>
    <x v="57"/>
    <d v="1899-12-30T00:03:00"/>
    <x v="3"/>
    <x v="68"/>
    <n v="0"/>
  </r>
  <r>
    <x v="1"/>
    <d v="2013-12-01T00:00:00"/>
    <x v="8"/>
    <x v="24"/>
    <x v="337"/>
    <s v="A"/>
    <x v="2"/>
    <x v="63"/>
    <d v="1899-12-30T02:04:00"/>
    <s v="02"/>
    <s v="04"/>
    <x v="1"/>
    <x v="2"/>
    <x v="54"/>
    <d v="1899-12-30T02:04:00"/>
    <x v="1"/>
    <x v="34"/>
    <n v="0"/>
  </r>
  <r>
    <x v="1"/>
    <d v="2013-12-01T00:00:00"/>
    <x v="4"/>
    <x v="23"/>
    <x v="338"/>
    <s v="H"/>
    <x v="2"/>
    <x v="31"/>
    <d v="1899-12-30T05:01:00"/>
    <s v="05"/>
    <s v="01"/>
    <x v="0"/>
    <x v="2"/>
    <x v="15"/>
    <d v="1899-12-30T05:01:00"/>
    <x v="3"/>
    <x v="60"/>
    <n v="0"/>
  </r>
  <r>
    <x v="1"/>
    <d v="2013-12-01T00:00:00"/>
    <x v="4"/>
    <x v="23"/>
    <x v="338"/>
    <s v="H"/>
    <x v="2"/>
    <x v="31"/>
    <d v="1899-12-30T05:01:00"/>
    <s v="05"/>
    <s v="01"/>
    <x v="0"/>
    <x v="2"/>
    <x v="44"/>
    <d v="1899-12-30T02:01:00"/>
    <x v="6"/>
    <x v="0"/>
    <n v="1"/>
  </r>
  <r>
    <x v="0"/>
    <d v="2013-12-01T00:00:00"/>
    <x v="4"/>
    <x v="23"/>
    <x v="338"/>
    <s v="H"/>
    <x v="3"/>
    <x v="40"/>
    <d v="1899-12-30T04:00:00"/>
    <s v="04"/>
    <s v="00"/>
    <x v="0"/>
    <x v="0"/>
    <x v="53"/>
    <d v="1899-12-30T04:00:00"/>
    <x v="6"/>
    <x v="0"/>
    <n v="1"/>
  </r>
  <r>
    <x v="0"/>
    <d v="2013-12-01T00:00:00"/>
    <x v="4"/>
    <x v="23"/>
    <x v="338"/>
    <s v="H"/>
    <x v="3"/>
    <x v="40"/>
    <d v="1899-12-30T04:00:00"/>
    <s v="04"/>
    <s v="00"/>
    <x v="0"/>
    <x v="0"/>
    <x v="77"/>
    <d v="1899-12-30T03:00:00"/>
    <x v="1"/>
    <x v="57"/>
    <n v="0"/>
  </r>
  <r>
    <x v="0"/>
    <d v="2013-12-01T00:00:00"/>
    <x v="4"/>
    <x v="23"/>
    <x v="338"/>
    <s v="H"/>
    <x v="3"/>
    <x v="40"/>
    <d v="1899-12-30T04:00:00"/>
    <s v="04"/>
    <s v="00"/>
    <x v="0"/>
    <x v="0"/>
    <x v="52"/>
    <d v="1899-12-30T02:00:00"/>
    <x v="3"/>
    <x v="55"/>
    <n v="0"/>
  </r>
  <r>
    <x v="1"/>
    <d v="2013-12-01T00:00:00"/>
    <x v="4"/>
    <x v="23"/>
    <x v="338"/>
    <s v="H"/>
    <x v="2"/>
    <x v="31"/>
    <d v="1899-12-30T05:01:00"/>
    <s v="05"/>
    <s v="01"/>
    <x v="0"/>
    <x v="2"/>
    <x v="45"/>
    <d v="1899-12-30T01:00:00"/>
    <x v="2"/>
    <x v="19"/>
    <n v="0"/>
  </r>
  <r>
    <x v="1"/>
    <d v="2013-12-01T00:00:00"/>
    <x v="4"/>
    <x v="23"/>
    <x v="338"/>
    <s v="H"/>
    <x v="2"/>
    <x v="31"/>
    <d v="1899-12-30T05:01:00"/>
    <s v="05"/>
    <s v="01"/>
    <x v="0"/>
    <x v="2"/>
    <x v="66"/>
    <d v="1899-12-30T04:01:00"/>
    <x v="3"/>
    <x v="58"/>
    <n v="0"/>
  </r>
  <r>
    <x v="1"/>
    <d v="2013-12-01T00:00:00"/>
    <x v="4"/>
    <x v="43"/>
    <x v="339"/>
    <s v="A"/>
    <x v="2"/>
    <x v="58"/>
    <d v="1899-12-30T01:01:00"/>
    <s v="01"/>
    <s v="01"/>
    <x v="2"/>
    <x v="2"/>
    <x v="40"/>
    <d v="1899-12-30T01:01:00"/>
    <x v="6"/>
    <x v="0"/>
    <n v="1"/>
  </r>
  <r>
    <x v="0"/>
    <d v="2013-12-01T00:00:00"/>
    <x v="4"/>
    <x v="32"/>
    <x v="340"/>
    <s v="H"/>
    <x v="3"/>
    <x v="34"/>
    <d v="1899-12-30T04:01:00"/>
    <s v="04"/>
    <s v="01"/>
    <x v="0"/>
    <x v="0"/>
    <x v="72"/>
    <d v="1899-12-30T02:00:00"/>
    <x v="3"/>
    <x v="49"/>
    <n v="0"/>
  </r>
  <r>
    <x v="0"/>
    <d v="2013-12-01T00:00:00"/>
    <x v="4"/>
    <x v="32"/>
    <x v="340"/>
    <s v="H"/>
    <x v="3"/>
    <x v="34"/>
    <d v="1899-12-30T04:01:00"/>
    <s v="04"/>
    <s v="01"/>
    <x v="0"/>
    <x v="0"/>
    <x v="34"/>
    <d v="1899-12-30T04:00:00"/>
    <x v="2"/>
    <x v="45"/>
    <n v="0"/>
  </r>
  <r>
    <x v="0"/>
    <d v="2013-12-01T00:00:00"/>
    <x v="4"/>
    <x v="32"/>
    <x v="340"/>
    <s v="H"/>
    <x v="3"/>
    <x v="34"/>
    <d v="1899-12-30T04:01:00"/>
    <s v="04"/>
    <s v="01"/>
    <x v="0"/>
    <x v="0"/>
    <x v="93"/>
    <d v="1899-12-30T03:00:00"/>
    <x v="3"/>
    <x v="66"/>
    <n v="0"/>
  </r>
  <r>
    <x v="1"/>
    <d v="2013-12-01T00:00:00"/>
    <x v="4"/>
    <x v="32"/>
    <x v="341"/>
    <s v="H"/>
    <x v="2"/>
    <x v="40"/>
    <d v="1899-12-30T06:01:00"/>
    <s v="06"/>
    <s v="01"/>
    <x v="0"/>
    <x v="2"/>
    <x v="4"/>
    <d v="1899-12-30T02:00:00"/>
    <x v="3"/>
    <x v="59"/>
    <n v="0"/>
  </r>
  <r>
    <x v="0"/>
    <d v="2013-12-01T00:00:00"/>
    <x v="6"/>
    <x v="44"/>
    <x v="342"/>
    <s v="H"/>
    <x v="3"/>
    <x v="72"/>
    <d v="1899-12-30T01:01:00"/>
    <s v="01"/>
    <s v="01"/>
    <x v="2"/>
    <x v="0"/>
    <x v="74"/>
    <d v="1899-12-30T01:01:00"/>
    <x v="1"/>
    <x v="57"/>
    <n v="0"/>
  </r>
  <r>
    <x v="1"/>
    <d v="2013-12-01T00:00:00"/>
    <x v="4"/>
    <x v="11"/>
    <x v="343"/>
    <s v="A"/>
    <x v="2"/>
    <x v="97"/>
    <d v="1899-12-30T01:02:00"/>
    <s v="01"/>
    <s v="02"/>
    <x v="1"/>
    <x v="2"/>
    <x v="47"/>
    <d v="1899-12-30T01:01:00"/>
    <x v="3"/>
    <x v="0"/>
    <n v="1"/>
  </r>
  <r>
    <x v="1"/>
    <d v="2013-12-01T00:00:00"/>
    <x v="4"/>
    <x v="11"/>
    <x v="343"/>
    <s v="A"/>
    <x v="2"/>
    <x v="97"/>
    <d v="1899-12-30T01:02:00"/>
    <s v="01"/>
    <s v="02"/>
    <x v="1"/>
    <x v="2"/>
    <x v="53"/>
    <d v="1899-12-30T01:02:00"/>
    <x v="4"/>
    <x v="0"/>
    <n v="1"/>
  </r>
  <r>
    <x v="1"/>
    <d v="2013-12-01T00:00:00"/>
    <x v="4"/>
    <x v="12"/>
    <x v="344"/>
    <s v="H"/>
    <x v="2"/>
    <x v="34"/>
    <d v="1899-12-30T02:01:00"/>
    <s v="02"/>
    <s v="01"/>
    <x v="0"/>
    <x v="2"/>
    <x v="8"/>
    <d v="1899-12-30T02:01:00"/>
    <x v="3"/>
    <x v="69"/>
    <n v="0"/>
  </r>
  <r>
    <x v="0"/>
    <d v="2013-12-01T00:00:00"/>
    <x v="8"/>
    <x v="15"/>
    <x v="345"/>
    <s v="A"/>
    <x v="3"/>
    <x v="91"/>
    <d v="1899-12-30T01:03:00"/>
    <s v="01"/>
    <s v="03"/>
    <x v="1"/>
    <x v="0"/>
    <x v="23"/>
    <d v="1899-12-30T00:01:00"/>
    <x v="6"/>
    <x v="0"/>
    <n v="1"/>
  </r>
  <r>
    <x v="0"/>
    <d v="2013-12-01T00:00:00"/>
    <x v="8"/>
    <x v="15"/>
    <x v="345"/>
    <s v="A"/>
    <x v="3"/>
    <x v="91"/>
    <d v="1899-12-30T01:03:00"/>
    <s v="01"/>
    <s v="03"/>
    <x v="1"/>
    <x v="0"/>
    <x v="50"/>
    <d v="1899-12-30T00:02:00"/>
    <x v="3"/>
    <x v="0"/>
    <n v="1"/>
  </r>
  <r>
    <x v="1"/>
    <d v="2013-12-01T00:00:00"/>
    <x v="4"/>
    <x v="25"/>
    <x v="346"/>
    <s v="A"/>
    <x v="2"/>
    <x v="36"/>
    <d v="1899-12-30T02:01:00"/>
    <s v="02"/>
    <s v="01"/>
    <x v="0"/>
    <x v="2"/>
    <x v="65"/>
    <d v="1899-12-30T01:01:00"/>
    <x v="3"/>
    <x v="34"/>
    <n v="0"/>
  </r>
  <r>
    <x v="0"/>
    <d v="2013-12-01T00:00:00"/>
    <x v="6"/>
    <x v="44"/>
    <x v="347"/>
    <s v="A"/>
    <x v="3"/>
    <x v="72"/>
    <d v="1899-12-30T01:02:00"/>
    <s v="01"/>
    <s v="02"/>
    <x v="1"/>
    <x v="0"/>
    <x v="64"/>
    <d v="1899-12-30T01:02:00"/>
    <x v="2"/>
    <x v="45"/>
    <n v="0"/>
  </r>
  <r>
    <x v="1"/>
    <d v="2013-12-01T00:00:00"/>
    <x v="4"/>
    <x v="33"/>
    <x v="348"/>
    <s v="H"/>
    <x v="2"/>
    <x v="38"/>
    <d v="1899-12-30T02:00:00"/>
    <s v="02"/>
    <s v="00"/>
    <x v="0"/>
    <x v="2"/>
    <x v="2"/>
    <d v="1899-12-30T02:00:00"/>
    <x v="3"/>
    <x v="67"/>
    <n v="0"/>
  </r>
  <r>
    <x v="0"/>
    <d v="2013-12-01T00:00:00"/>
    <x v="4"/>
    <x v="33"/>
    <x v="349"/>
    <s v="A"/>
    <x v="3"/>
    <x v="30"/>
    <d v="1899-12-30T01:02:00"/>
    <s v="01"/>
    <s v="02"/>
    <x v="1"/>
    <x v="0"/>
    <x v="90"/>
    <d v="1899-12-30T01:02:00"/>
    <x v="6"/>
    <x v="0"/>
    <n v="1"/>
  </r>
  <r>
    <x v="0"/>
    <d v="2013-12-01T00:00:00"/>
    <x v="4"/>
    <x v="33"/>
    <x v="349"/>
    <s v="A"/>
    <x v="3"/>
    <x v="30"/>
    <d v="1899-12-30T01:02:00"/>
    <s v="01"/>
    <s v="02"/>
    <x v="1"/>
    <x v="0"/>
    <x v="75"/>
    <d v="1899-12-30T00:01:00"/>
    <x v="3"/>
    <x v="72"/>
    <n v="0"/>
  </r>
  <r>
    <x v="1"/>
    <d v="2013-12-01T00:00:00"/>
    <x v="6"/>
    <x v="44"/>
    <x v="350"/>
    <s v="H"/>
    <x v="2"/>
    <x v="41"/>
    <d v="1899-12-30T04:00:00"/>
    <s v="04"/>
    <s v="00"/>
    <x v="0"/>
    <x v="2"/>
    <x v="49"/>
    <d v="1899-12-30T01:00:00"/>
    <x v="3"/>
    <x v="19"/>
    <n v="0"/>
  </r>
  <r>
    <x v="1"/>
    <d v="2013-12-01T00:00:00"/>
    <x v="6"/>
    <x v="44"/>
    <x v="350"/>
    <s v="H"/>
    <x v="2"/>
    <x v="41"/>
    <d v="1899-12-30T04:00:00"/>
    <s v="04"/>
    <s v="00"/>
    <x v="0"/>
    <x v="2"/>
    <x v="79"/>
    <d v="1899-12-30T02:00:00"/>
    <x v="3"/>
    <x v="16"/>
    <n v="0"/>
  </r>
  <r>
    <x v="0"/>
    <d v="2013-12-01T00:00:00"/>
    <x v="4"/>
    <x v="26"/>
    <x v="351"/>
    <s v="H"/>
    <x v="3"/>
    <x v="25"/>
    <d v="1899-12-30T05:02:00"/>
    <s v="05"/>
    <s v="02"/>
    <x v="0"/>
    <x v="0"/>
    <x v="95"/>
    <d v="1899-12-30T02:02:00"/>
    <x v="1"/>
    <x v="55"/>
    <n v="0"/>
  </r>
  <r>
    <x v="1"/>
    <d v="2013-12-01T00:00:00"/>
    <x v="4"/>
    <x v="26"/>
    <x v="352"/>
    <s v="H"/>
    <x v="2"/>
    <x v="92"/>
    <d v="1899-12-30T03:01:00"/>
    <s v="03"/>
    <s v="01"/>
    <x v="0"/>
    <x v="2"/>
    <x v="79"/>
    <d v="1899-12-30T02:00:00"/>
    <x v="3"/>
    <x v="58"/>
    <n v="0"/>
  </r>
  <r>
    <x v="1"/>
    <d v="2013-12-01T00:00:00"/>
    <x v="4"/>
    <x v="26"/>
    <x v="352"/>
    <s v="H"/>
    <x v="2"/>
    <x v="92"/>
    <d v="1899-12-30T03:01:00"/>
    <s v="03"/>
    <s v="01"/>
    <x v="0"/>
    <x v="2"/>
    <x v="50"/>
    <d v="1899-12-30T03:00:00"/>
    <x v="3"/>
    <x v="58"/>
    <n v="0"/>
  </r>
  <r>
    <x v="1"/>
    <d v="2013-12-01T00:00:00"/>
    <x v="4"/>
    <x v="5"/>
    <x v="353"/>
    <s v="A"/>
    <x v="2"/>
    <x v="30"/>
    <d v="1899-12-30T02:02:00"/>
    <s v="02"/>
    <s v="02"/>
    <x v="2"/>
    <x v="5"/>
    <x v="38"/>
    <d v="1899-12-30T01:02:00"/>
    <x v="3"/>
    <x v="69"/>
    <n v="0"/>
  </r>
  <r>
    <x v="0"/>
    <d v="2013-12-01T00:00:00"/>
    <x v="4"/>
    <x v="5"/>
    <x v="353"/>
    <s v="A"/>
    <x v="3"/>
    <x v="26"/>
    <d v="1899-12-30T01:01:00"/>
    <s v="01"/>
    <s v="01"/>
    <x v="2"/>
    <x v="0"/>
    <x v="31"/>
    <d v="1899-12-30T01:01:00"/>
    <x v="10"/>
    <x v="0"/>
    <n v="1"/>
  </r>
  <r>
    <x v="1"/>
    <d v="2013-12-01T00:00:00"/>
    <x v="6"/>
    <x v="24"/>
    <x v="354"/>
    <s v="A"/>
    <x v="2"/>
    <x v="104"/>
    <d v="1899-12-30T02:02:00"/>
    <s v="02"/>
    <s v="02"/>
    <x v="2"/>
    <x v="2"/>
    <x v="31"/>
    <d v="1899-12-30T00:01:00"/>
    <x v="3"/>
    <x v="34"/>
    <n v="0"/>
  </r>
  <r>
    <x v="0"/>
    <d v="2013-12-01T00:00:00"/>
    <x v="6"/>
    <x v="24"/>
    <x v="355"/>
    <s v="H"/>
    <x v="3"/>
    <x v="105"/>
    <d v="1899-12-30T03:00:00"/>
    <s v="03"/>
    <s v="00"/>
    <x v="0"/>
    <x v="0"/>
    <x v="12"/>
    <d v="1899-12-30T01:00:00"/>
    <x v="3"/>
    <x v="55"/>
    <n v="0"/>
  </r>
  <r>
    <x v="0"/>
    <d v="2013-12-01T00:00:00"/>
    <x v="4"/>
    <x v="14"/>
    <x v="356"/>
    <s v="H"/>
    <x v="3"/>
    <x v="47"/>
    <d v="1899-12-30T05:01:00"/>
    <s v="05"/>
    <s v="01"/>
    <x v="0"/>
    <x v="2"/>
    <x v="33"/>
    <d v="1899-12-30T03:01:00"/>
    <x v="2"/>
    <x v="45"/>
    <n v="0"/>
  </r>
  <r>
    <x v="0"/>
    <d v="2013-12-01T00:00:00"/>
    <x v="6"/>
    <x v="24"/>
    <x v="357"/>
    <s v="A"/>
    <x v="3"/>
    <x v="105"/>
    <d v="1899-12-30T03:02:00"/>
    <s v="03"/>
    <s v="02"/>
    <x v="0"/>
    <x v="0"/>
    <x v="63"/>
    <d v="1899-12-30T03:02:00"/>
    <x v="2"/>
    <x v="43"/>
    <n v="0"/>
  </r>
  <r>
    <x v="0"/>
    <d v="2013-12-01T00:00:00"/>
    <x v="6"/>
    <x v="24"/>
    <x v="357"/>
    <s v="A"/>
    <x v="3"/>
    <x v="105"/>
    <d v="1899-12-30T03:02:00"/>
    <s v="03"/>
    <s v="02"/>
    <x v="0"/>
    <x v="0"/>
    <x v="13"/>
    <d v="1899-12-30T00:01:00"/>
    <x v="2"/>
    <x v="62"/>
    <n v="0"/>
  </r>
  <r>
    <x v="0"/>
    <d v="2013-12-01T00:00:00"/>
    <x v="4"/>
    <x v="45"/>
    <x v="358"/>
    <s v="A"/>
    <x v="3"/>
    <x v="23"/>
    <d v="1899-12-30T00:03:00"/>
    <s v="00"/>
    <s v="03"/>
    <x v="1"/>
    <x v="0"/>
    <x v="86"/>
    <d v="1899-12-30T00:01:00"/>
    <x v="4"/>
    <x v="0"/>
    <n v="1"/>
  </r>
  <r>
    <x v="0"/>
    <d v="2013-12-01T00:00:00"/>
    <x v="4"/>
    <x v="45"/>
    <x v="358"/>
    <s v="A"/>
    <x v="3"/>
    <x v="23"/>
    <d v="1899-12-30T00:03:00"/>
    <s v="00"/>
    <s v="03"/>
    <x v="1"/>
    <x v="0"/>
    <x v="24"/>
    <d v="1899-12-30T00:02:00"/>
    <x v="1"/>
    <x v="56"/>
    <n v="0"/>
  </r>
  <r>
    <x v="0"/>
    <d v="2013-12-01T00:00:00"/>
    <x v="6"/>
    <x v="15"/>
    <x v="359"/>
    <s v="A"/>
    <x v="3"/>
    <x v="102"/>
    <d v="1899-12-30T04:01:00"/>
    <s v="04"/>
    <s v="01"/>
    <x v="0"/>
    <x v="0"/>
    <x v="51"/>
    <d v="1899-12-30T01:01:00"/>
    <x v="2"/>
    <x v="45"/>
    <n v="0"/>
  </r>
  <r>
    <x v="1"/>
    <d v="2013-12-01T00:00:00"/>
    <x v="4"/>
    <x v="46"/>
    <x v="360"/>
    <s v="A"/>
    <x v="2"/>
    <x v="23"/>
    <d v="1899-12-30T02:02:00"/>
    <s v="02"/>
    <s v="02"/>
    <x v="2"/>
    <x v="2"/>
    <x v="3"/>
    <d v="1899-12-30T01:01:00"/>
    <x v="3"/>
    <x v="59"/>
    <n v="0"/>
  </r>
  <r>
    <x v="0"/>
    <d v="2013-12-01T00:00:00"/>
    <x v="4"/>
    <x v="16"/>
    <x v="361"/>
    <s v="H"/>
    <x v="3"/>
    <x v="83"/>
    <d v="1899-12-30T04:03:00"/>
    <s v="04"/>
    <s v="03"/>
    <x v="0"/>
    <x v="0"/>
    <x v="71"/>
    <d v="1899-12-30T02:01:00"/>
    <x v="1"/>
    <x v="57"/>
    <n v="0"/>
  </r>
  <r>
    <x v="0"/>
    <d v="2013-12-01T00:00:00"/>
    <x v="4"/>
    <x v="16"/>
    <x v="361"/>
    <s v="H"/>
    <x v="3"/>
    <x v="83"/>
    <d v="1899-12-30T04:03:00"/>
    <s v="04"/>
    <s v="03"/>
    <x v="0"/>
    <x v="0"/>
    <x v="62"/>
    <d v="1899-12-30T04:02:00"/>
    <x v="1"/>
    <x v="55"/>
    <n v="0"/>
  </r>
  <r>
    <x v="1"/>
    <d v="2013-12-01T00:00:00"/>
    <x v="4"/>
    <x v="16"/>
    <x v="362"/>
    <s v="H"/>
    <x v="2"/>
    <x v="27"/>
    <d v="1899-12-30T04:02:00"/>
    <s v="04"/>
    <s v="02"/>
    <x v="0"/>
    <x v="2"/>
    <x v="8"/>
    <d v="1899-12-30T03:02:00"/>
    <x v="4"/>
    <x v="0"/>
    <n v="1"/>
  </r>
  <r>
    <x v="1"/>
    <d v="2013-12-01T00:00:00"/>
    <x v="4"/>
    <x v="16"/>
    <x v="362"/>
    <s v="H"/>
    <x v="2"/>
    <x v="27"/>
    <d v="1899-12-30T04:02:00"/>
    <s v="04"/>
    <s v="02"/>
    <x v="0"/>
    <x v="2"/>
    <x v="90"/>
    <d v="1899-12-30T04:02:00"/>
    <x v="3"/>
    <x v="67"/>
    <n v="0"/>
  </r>
  <r>
    <x v="0"/>
    <d v="2013-12-01T00:00:00"/>
    <x v="4"/>
    <x v="48"/>
    <x v="363"/>
    <s v="H"/>
    <x v="3"/>
    <x v="63"/>
    <d v="1899-12-30T06:02:00"/>
    <s v="06"/>
    <s v="02"/>
    <x v="0"/>
    <x v="4"/>
    <x v="72"/>
    <d v="1899-12-30T02:01:00"/>
    <x v="2"/>
    <x v="56"/>
    <n v="0"/>
  </r>
  <r>
    <x v="0"/>
    <d v="2013-12-01T00:00:00"/>
    <x v="8"/>
    <x v="8"/>
    <x v="364"/>
    <s v="A"/>
    <x v="3"/>
    <x v="42"/>
    <d v="1899-12-30T02:01:00"/>
    <n v="2"/>
    <n v="1"/>
    <x v="0"/>
    <x v="0"/>
    <x v="30"/>
    <d v="1899-12-30T00:01:00"/>
    <x v="1"/>
    <x v="74"/>
    <n v="0"/>
  </r>
  <r>
    <x v="1"/>
    <s v="13/14"/>
    <x v="4"/>
    <x v="27"/>
    <x v="365"/>
    <s v="H"/>
    <x v="2"/>
    <x v="47"/>
    <d v="1899-12-30T07:00:00"/>
    <s v="07"/>
    <s v="00"/>
    <x v="0"/>
    <x v="2"/>
    <x v="29"/>
    <d v="1899-12-30T05:00:00"/>
    <x v="6"/>
    <x v="0"/>
    <n v="1"/>
  </r>
  <r>
    <x v="1"/>
    <s v="13/14"/>
    <x v="4"/>
    <x v="27"/>
    <x v="365"/>
    <s v="H"/>
    <x v="2"/>
    <x v="47"/>
    <d v="1899-12-30T07:00:00"/>
    <s v="07"/>
    <s v="00"/>
    <x v="0"/>
    <x v="2"/>
    <x v="4"/>
    <d v="1899-12-30T02:00:00"/>
    <x v="3"/>
    <x v="44"/>
    <n v="0"/>
  </r>
  <r>
    <x v="0"/>
    <s v="13/14"/>
    <x v="4"/>
    <x v="47"/>
    <x v="366"/>
    <s v="H"/>
    <x v="3"/>
    <x v="23"/>
    <d v="1899-12-30T03:01:00"/>
    <s v="03"/>
    <s v="01"/>
    <x v="0"/>
    <x v="0"/>
    <x v="32"/>
    <d v="1899-12-30T02:00:00"/>
    <x v="1"/>
    <x v="57"/>
    <n v="0"/>
  </r>
  <r>
    <x v="1"/>
    <s v="13/14"/>
    <x v="4"/>
    <x v="47"/>
    <x v="366"/>
    <s v="A"/>
    <x v="2"/>
    <x v="58"/>
    <d v="1899-12-30T02:03:00"/>
    <s v="02"/>
    <s v="03"/>
    <x v="1"/>
    <x v="2"/>
    <x v="56"/>
    <d v="1899-12-30T00:03:00"/>
    <x v="3"/>
    <x v="75"/>
    <n v="0"/>
  </r>
  <r>
    <x v="1"/>
    <s v="13/14"/>
    <x v="4"/>
    <x v="47"/>
    <x v="366"/>
    <s v="A"/>
    <x v="2"/>
    <x v="58"/>
    <d v="1899-12-30T02:03:00"/>
    <s v="02"/>
    <s v="03"/>
    <x v="1"/>
    <x v="2"/>
    <x v="40"/>
    <d v="1899-12-30T00:02:00"/>
    <x v="2"/>
    <x v="65"/>
    <n v="0"/>
  </r>
  <r>
    <x v="1"/>
    <s v="13/14"/>
    <x v="4"/>
    <x v="47"/>
    <x v="366"/>
    <s v="A"/>
    <x v="2"/>
    <x v="58"/>
    <d v="1899-12-30T02:03:00"/>
    <s v="02"/>
    <s v="03"/>
    <x v="1"/>
    <x v="2"/>
    <x v="45"/>
    <d v="1899-12-30T00:01:00"/>
    <x v="3"/>
    <x v="65"/>
    <n v="0"/>
  </r>
  <r>
    <x v="1"/>
    <s v="13/14"/>
    <x v="4"/>
    <x v="37"/>
    <x v="367"/>
    <s v="H"/>
    <x v="2"/>
    <x v="34"/>
    <d v="1899-12-30T03:02:00"/>
    <s v="03"/>
    <s v="02"/>
    <x v="0"/>
    <x v="2"/>
    <x v="28"/>
    <d v="1899-12-30T02:00:00"/>
    <x v="3"/>
    <x v="75"/>
    <n v="0"/>
  </r>
  <r>
    <x v="0"/>
    <s v="13/14"/>
    <x v="4"/>
    <x v="37"/>
    <x v="367"/>
    <s v="A"/>
    <x v="3"/>
    <x v="76"/>
    <d v="1899-12-30T02:02:00"/>
    <s v="02"/>
    <s v="02"/>
    <x v="2"/>
    <x v="0"/>
    <x v="87"/>
    <d v="1899-12-30T01:02:00"/>
    <x v="2"/>
    <x v="0"/>
    <n v="1"/>
  </r>
  <r>
    <x v="0"/>
    <s v="13/14"/>
    <x v="6"/>
    <x v="18"/>
    <x v="368"/>
    <s v="A"/>
    <x v="3"/>
    <x v="105"/>
    <d v="1899-12-30T01:06:00"/>
    <s v="01"/>
    <s v="06"/>
    <x v="1"/>
    <x v="0"/>
    <x v="21"/>
    <d v="1899-12-30T01:06:00"/>
    <x v="3"/>
    <x v="43"/>
    <n v="0"/>
  </r>
  <r>
    <x v="0"/>
    <s v="13/14"/>
    <x v="6"/>
    <x v="18"/>
    <x v="368"/>
    <s v="A"/>
    <x v="3"/>
    <x v="105"/>
    <d v="1899-12-30T01:06:00"/>
    <s v="01"/>
    <s v="06"/>
    <x v="1"/>
    <x v="0"/>
    <x v="55"/>
    <d v="1899-12-30T00:04:00"/>
    <x v="5"/>
    <x v="53"/>
    <n v="0"/>
  </r>
  <r>
    <x v="0"/>
    <s v="13/14"/>
    <x v="6"/>
    <x v="18"/>
    <x v="368"/>
    <s v="A"/>
    <x v="3"/>
    <x v="105"/>
    <d v="1899-12-30T01:06:00"/>
    <s v="01"/>
    <s v="06"/>
    <x v="1"/>
    <x v="0"/>
    <x v="20"/>
    <d v="1899-12-30T00:03:00"/>
    <x v="3"/>
    <x v="76"/>
    <n v="0"/>
  </r>
  <r>
    <x v="1"/>
    <s v="13/14"/>
    <x v="6"/>
    <x v="18"/>
    <x v="369"/>
    <s v="H"/>
    <x v="2"/>
    <x v="88"/>
    <d v="1899-12-30T04:00:00"/>
    <s v="04"/>
    <s v="00"/>
    <x v="0"/>
    <x v="2"/>
    <x v="28"/>
    <d v="1899-12-30T04:00:00"/>
    <x v="3"/>
    <x v="19"/>
    <n v="0"/>
  </r>
  <r>
    <x v="1"/>
    <s v="13/14"/>
    <x v="6"/>
    <x v="18"/>
    <x v="369"/>
    <s v="H"/>
    <x v="2"/>
    <x v="88"/>
    <d v="1899-12-30T04:00:00"/>
    <s v="04"/>
    <s v="00"/>
    <x v="0"/>
    <x v="2"/>
    <x v="82"/>
    <d v="1899-12-30T02:00:00"/>
    <x v="3"/>
    <x v="64"/>
    <n v="0"/>
  </r>
  <r>
    <x v="1"/>
    <s v="13/14"/>
    <x v="6"/>
    <x v="18"/>
    <x v="369"/>
    <s v="H"/>
    <x v="2"/>
    <x v="88"/>
    <d v="1899-12-30T04:00:00"/>
    <s v="04"/>
    <s v="00"/>
    <x v="0"/>
    <x v="2"/>
    <x v="60"/>
    <d v="1899-12-30T01:00:00"/>
    <x v="4"/>
    <x v="0"/>
    <n v="1"/>
  </r>
  <r>
    <x v="0"/>
    <s v="13/14"/>
    <x v="4"/>
    <x v="38"/>
    <x v="370"/>
    <s v="H"/>
    <x v="3"/>
    <x v="40"/>
    <d v="1899-12-30T04:01:00"/>
    <s v="04"/>
    <s v="01"/>
    <x v="0"/>
    <x v="0"/>
    <x v="21"/>
    <d v="1899-12-30T04:01:00"/>
    <x v="2"/>
    <x v="62"/>
    <n v="0"/>
  </r>
  <r>
    <x v="0"/>
    <s v="13/14"/>
    <x v="4"/>
    <x v="38"/>
    <x v="370"/>
    <s v="H"/>
    <x v="3"/>
    <x v="40"/>
    <d v="1899-12-30T04:01:00"/>
    <s v="04"/>
    <s v="01"/>
    <x v="0"/>
    <x v="0"/>
    <x v="0"/>
    <d v="1899-12-30T02:01:00"/>
    <x v="6"/>
    <x v="0"/>
    <n v="1"/>
  </r>
  <r>
    <x v="1"/>
    <s v="13/14"/>
    <x v="4"/>
    <x v="0"/>
    <x v="371"/>
    <s v="H"/>
    <x v="2"/>
    <x v="90"/>
    <d v="1899-12-30T04:01:00"/>
    <s v="04"/>
    <s v="01"/>
    <x v="0"/>
    <x v="2"/>
    <x v="13"/>
    <d v="1899-12-30T02:00:00"/>
    <x v="1"/>
    <x v="75"/>
    <n v="0"/>
  </r>
  <r>
    <x v="0"/>
    <s v="13/14"/>
    <x v="4"/>
    <x v="0"/>
    <x v="372"/>
    <s v="A"/>
    <x v="3"/>
    <x v="106"/>
    <d v="1899-12-30T01:02:00"/>
    <s v="01"/>
    <s v="02"/>
    <x v="1"/>
    <x v="0"/>
    <x v="22"/>
    <d v="1899-12-30T00:01:00"/>
    <x v="4"/>
    <x v="0"/>
    <n v="1"/>
  </r>
  <r>
    <x v="0"/>
    <s v="13/14"/>
    <x v="4"/>
    <x v="0"/>
    <x v="372"/>
    <s v="A"/>
    <x v="3"/>
    <x v="106"/>
    <d v="1899-12-30T01:02:00"/>
    <s v="01"/>
    <s v="02"/>
    <x v="1"/>
    <x v="0"/>
    <x v="99"/>
    <d v="1899-12-30T01:02:00"/>
    <x v="6"/>
    <x v="0"/>
    <n v="1"/>
  </r>
  <r>
    <x v="1"/>
    <s v="13/14"/>
    <x v="4"/>
    <x v="40"/>
    <x v="373"/>
    <s v="A"/>
    <x v="2"/>
    <x v="50"/>
    <d v="1899-12-30T00:02:00"/>
    <s v="00"/>
    <s v="02"/>
    <x v="1"/>
    <x v="2"/>
    <x v="17"/>
    <d v="1899-12-30T00:01:00"/>
    <x v="3"/>
    <x v="44"/>
    <n v="0"/>
  </r>
  <r>
    <x v="0"/>
    <s v="13/14"/>
    <x v="6"/>
    <x v="18"/>
    <x v="374"/>
    <s v="H"/>
    <x v="3"/>
    <x v="84"/>
    <d v="1899-12-30T04:00:00"/>
    <s v="04"/>
    <s v="00"/>
    <x v="0"/>
    <x v="0"/>
    <x v="17"/>
    <d v="1899-12-30T01:00:00"/>
    <x v="1"/>
    <x v="52"/>
    <n v="0"/>
  </r>
  <r>
    <x v="0"/>
    <s v="13/14"/>
    <x v="6"/>
    <x v="18"/>
    <x v="374"/>
    <s v="H"/>
    <x v="3"/>
    <x v="84"/>
    <d v="1899-12-30T04:00:00"/>
    <s v="04"/>
    <s v="00"/>
    <x v="0"/>
    <x v="0"/>
    <x v="77"/>
    <d v="1899-12-30T02:00:00"/>
    <x v="1"/>
    <x v="57"/>
    <n v="0"/>
  </r>
  <r>
    <x v="0"/>
    <s v="13/14"/>
    <x v="4"/>
    <x v="1"/>
    <x v="375"/>
    <s v="A"/>
    <x v="3"/>
    <x v="47"/>
    <d v="1899-12-30T02:03:00"/>
    <s v="02"/>
    <s v="03"/>
    <x v="1"/>
    <x v="0"/>
    <x v="98"/>
    <d v="1899-12-30T02:03:00"/>
    <x v="2"/>
    <x v="74"/>
    <n v="0"/>
  </r>
  <r>
    <x v="0"/>
    <s v="13/14"/>
    <x v="4"/>
    <x v="39"/>
    <x v="376"/>
    <s v="H"/>
    <x v="3"/>
    <x v="63"/>
    <d v="1899-12-30T02:00:00"/>
    <s v="02"/>
    <s v="00"/>
    <x v="0"/>
    <x v="0"/>
    <x v="19"/>
    <d v="1899-12-30T02:00:00"/>
    <x v="6"/>
    <x v="0"/>
    <n v="1"/>
  </r>
  <r>
    <x v="1"/>
    <s v="13/14"/>
    <x v="6"/>
    <x v="18"/>
    <x v="377"/>
    <s v="A"/>
    <x v="2"/>
    <x v="41"/>
    <d v="1899-12-30T01:01:00"/>
    <s v="01"/>
    <s v="01"/>
    <x v="2"/>
    <x v="2"/>
    <x v="35"/>
    <d v="1899-12-30T01:01:00"/>
    <x v="3"/>
    <x v="16"/>
    <n v="0"/>
  </r>
  <r>
    <x v="0"/>
    <s v="13/14"/>
    <x v="6"/>
    <x v="18"/>
    <x v="378"/>
    <s v="H"/>
    <x v="3"/>
    <x v="107"/>
    <d v="1899-12-30T02:01:00"/>
    <s v="02"/>
    <s v="01"/>
    <x v="0"/>
    <x v="0"/>
    <x v="48"/>
    <d v="1899-12-30T02:01:00"/>
    <x v="6"/>
    <x v="0"/>
    <n v="1"/>
  </r>
  <r>
    <x v="0"/>
    <s v="13/14"/>
    <x v="6"/>
    <x v="18"/>
    <x v="378"/>
    <s v="H"/>
    <x v="3"/>
    <x v="107"/>
    <d v="1899-12-30T02:01:00"/>
    <s v="02"/>
    <s v="01"/>
    <x v="0"/>
    <x v="0"/>
    <x v="9"/>
    <d v="1899-12-30T01:00:00"/>
    <x v="2"/>
    <x v="57"/>
    <n v="0"/>
  </r>
  <r>
    <x v="0"/>
    <s v="13/14"/>
    <x v="4"/>
    <x v="4"/>
    <x v="379"/>
    <s v="H"/>
    <x v="3"/>
    <x v="34"/>
    <d v="1899-12-30T07:03:00"/>
    <s v="07"/>
    <s v="03"/>
    <x v="0"/>
    <x v="0"/>
    <x v="90"/>
    <d v="1899-12-30T06:03:00"/>
    <x v="2"/>
    <x v="43"/>
    <n v="0"/>
  </r>
  <r>
    <x v="0"/>
    <s v="13/14"/>
    <x v="4"/>
    <x v="4"/>
    <x v="379"/>
    <s v="H"/>
    <x v="3"/>
    <x v="34"/>
    <d v="1899-12-30T07:03:00"/>
    <s v="07"/>
    <s v="03"/>
    <x v="0"/>
    <x v="0"/>
    <x v="78"/>
    <d v="1899-12-30T03:00:00"/>
    <x v="6"/>
    <x v="0"/>
    <n v="1"/>
  </r>
  <r>
    <x v="0"/>
    <s v="13/14"/>
    <x v="4"/>
    <x v="4"/>
    <x v="379"/>
    <s v="H"/>
    <x v="3"/>
    <x v="34"/>
    <d v="1899-12-30T07:03:00"/>
    <s v="07"/>
    <s v="03"/>
    <x v="0"/>
    <x v="0"/>
    <x v="8"/>
    <d v="1899-12-30T05:02:00"/>
    <x v="2"/>
    <x v="77"/>
    <n v="0"/>
  </r>
  <r>
    <x v="0"/>
    <s v="13/14"/>
    <x v="4"/>
    <x v="41"/>
    <x v="380"/>
    <s v="A"/>
    <x v="3"/>
    <x v="92"/>
    <d v="1899-12-30T02:03:00"/>
    <s v="02"/>
    <s v="03"/>
    <x v="1"/>
    <x v="0"/>
    <x v="61"/>
    <d v="1899-12-30T00:03:00"/>
    <x v="2"/>
    <x v="77"/>
    <n v="0"/>
  </r>
  <r>
    <x v="0"/>
    <s v="13/14"/>
    <x v="4"/>
    <x v="41"/>
    <x v="380"/>
    <s v="A"/>
    <x v="3"/>
    <x v="92"/>
    <d v="1899-12-30T02:03:00"/>
    <s v="02"/>
    <s v="03"/>
    <x v="1"/>
    <x v="0"/>
    <x v="69"/>
    <d v="1899-12-30T00:01:00"/>
    <x v="2"/>
    <x v="74"/>
    <n v="0"/>
  </r>
  <r>
    <x v="0"/>
    <s v="13/14"/>
    <x v="6"/>
    <x v="18"/>
    <x v="381"/>
    <s v="A"/>
    <x v="3"/>
    <x v="107"/>
    <d v="1899-12-30T02:02:00"/>
    <s v="02"/>
    <s v="02"/>
    <x v="2"/>
    <x v="0"/>
    <x v="95"/>
    <d v="1899-12-30T01:01:00"/>
    <x v="2"/>
    <x v="43"/>
    <n v="0"/>
  </r>
  <r>
    <x v="1"/>
    <s v="13/14"/>
    <x v="6"/>
    <x v="18"/>
    <x v="382"/>
    <s v="H"/>
    <x v="2"/>
    <x v="41"/>
    <d v="1899-12-30T03:01:00"/>
    <s v="03"/>
    <s v="01"/>
    <x v="0"/>
    <x v="2"/>
    <x v="27"/>
    <d v="1899-12-30T03:01:00"/>
    <x v="3"/>
    <x v="65"/>
    <n v="0"/>
  </r>
  <r>
    <x v="1"/>
    <s v="13/14"/>
    <x v="6"/>
    <x v="18"/>
    <x v="382"/>
    <s v="H"/>
    <x v="2"/>
    <x v="41"/>
    <d v="1899-12-30T03:01:00"/>
    <s v="03"/>
    <s v="01"/>
    <x v="0"/>
    <x v="2"/>
    <x v="74"/>
    <d v="1899-12-30T01:00:00"/>
    <x v="6"/>
    <x v="0"/>
    <n v="1"/>
  </r>
  <r>
    <x v="0"/>
    <s v="13/14"/>
    <x v="4"/>
    <x v="19"/>
    <x v="383"/>
    <s v="H"/>
    <x v="3"/>
    <x v="90"/>
    <d v="1899-12-30T05:01:00"/>
    <s v="05"/>
    <s v="01"/>
    <x v="0"/>
    <x v="0"/>
    <x v="18"/>
    <d v="1899-12-30T05:01:00"/>
    <x v="4"/>
    <x v="0"/>
    <n v="1"/>
  </r>
  <r>
    <x v="0"/>
    <s v="13/14"/>
    <x v="4"/>
    <x v="19"/>
    <x v="383"/>
    <s v="H"/>
    <x v="3"/>
    <x v="90"/>
    <d v="1899-12-30T05:01:00"/>
    <s v="05"/>
    <s v="01"/>
    <x v="0"/>
    <x v="0"/>
    <x v="83"/>
    <d v="1899-12-30T03:00:00"/>
    <x v="6"/>
    <x v="0"/>
    <n v="1"/>
  </r>
  <r>
    <x v="0"/>
    <s v="13/14"/>
    <x v="4"/>
    <x v="19"/>
    <x v="383"/>
    <s v="H"/>
    <x v="3"/>
    <x v="90"/>
    <d v="1899-12-30T05:01:00"/>
    <s v="05"/>
    <s v="01"/>
    <x v="0"/>
    <x v="0"/>
    <x v="23"/>
    <d v="1899-12-30T01:00:00"/>
    <x v="2"/>
    <x v="43"/>
    <n v="0"/>
  </r>
  <r>
    <x v="0"/>
    <s v="13/14"/>
    <x v="4"/>
    <x v="51"/>
    <x v="384"/>
    <s v="A"/>
    <x v="3"/>
    <x v="79"/>
    <d v="1899-12-30T00:05:00"/>
    <s v="00"/>
    <s v="05"/>
    <x v="1"/>
    <x v="0"/>
    <x v="69"/>
    <d v="1899-12-30T00:01:00"/>
    <x v="3"/>
    <x v="76"/>
    <n v="0"/>
  </r>
  <r>
    <x v="0"/>
    <s v="13/14"/>
    <x v="6"/>
    <x v="18"/>
    <x v="385"/>
    <s v="A"/>
    <x v="3"/>
    <x v="84"/>
    <d v="1899-12-30T00:02:00"/>
    <s v="00"/>
    <s v="02"/>
    <x v="1"/>
    <x v="0"/>
    <x v="61"/>
    <d v="1899-12-30T00:02:00"/>
    <x v="2"/>
    <x v="42"/>
    <n v="0"/>
  </r>
  <r>
    <x v="0"/>
    <s v="13/14"/>
    <x v="4"/>
    <x v="31"/>
    <x v="386"/>
    <s v="A"/>
    <x v="3"/>
    <x v="58"/>
    <d v="1899-12-30T02:03:00"/>
    <s v="02"/>
    <s v="03"/>
    <x v="1"/>
    <x v="0"/>
    <x v="79"/>
    <d v="1899-12-30T01:02:00"/>
    <x v="1"/>
    <x v="57"/>
    <n v="0"/>
  </r>
  <r>
    <x v="0"/>
    <s v="13/14"/>
    <x v="4"/>
    <x v="42"/>
    <x v="387"/>
    <s v="H"/>
    <x v="3"/>
    <x v="30"/>
    <d v="1899-12-30T03:00:00"/>
    <s v="03"/>
    <s v="00"/>
    <x v="0"/>
    <x v="0"/>
    <x v="26"/>
    <d v="1899-12-30T02:00:00"/>
    <x v="2"/>
    <x v="78"/>
    <n v="0"/>
  </r>
  <r>
    <x v="0"/>
    <s v="13/14"/>
    <x v="4"/>
    <x v="42"/>
    <x v="387"/>
    <s v="H"/>
    <x v="3"/>
    <x v="30"/>
    <d v="1899-12-30T03:00:00"/>
    <s v="03"/>
    <s v="00"/>
    <x v="0"/>
    <x v="0"/>
    <x v="21"/>
    <d v="1899-12-30T03:00:00"/>
    <x v="2"/>
    <x v="77"/>
    <n v="0"/>
  </r>
  <r>
    <x v="1"/>
    <s v="13/14"/>
    <x v="8"/>
    <x v="44"/>
    <x v="388"/>
    <s v="H"/>
    <x v="2"/>
    <x v="40"/>
    <d v="1899-12-30T04:00:00"/>
    <s v="04"/>
    <s v="00"/>
    <x v="0"/>
    <x v="2"/>
    <x v="21"/>
    <d v="1899-12-30T03:00:00"/>
    <x v="3"/>
    <x v="73"/>
    <n v="0"/>
  </r>
  <r>
    <x v="1"/>
    <s v="13/14"/>
    <x v="8"/>
    <x v="44"/>
    <x v="388"/>
    <s v="H"/>
    <x v="2"/>
    <x v="40"/>
    <d v="1899-12-30T04:00:00"/>
    <s v="04"/>
    <s v="00"/>
    <x v="0"/>
    <x v="2"/>
    <x v="63"/>
    <d v="1899-12-30T04:00:00"/>
    <x v="3"/>
    <x v="79"/>
    <n v="0"/>
  </r>
  <r>
    <x v="0"/>
    <s v="13/14"/>
    <x v="8"/>
    <x v="44"/>
    <x v="389"/>
    <s v="A"/>
    <x v="3"/>
    <x v="31"/>
    <d v="1899-12-30T00:02:00"/>
    <s v="00"/>
    <s v="02"/>
    <x v="1"/>
    <x v="0"/>
    <x v="60"/>
    <d v="1899-12-30T00:01:00"/>
    <x v="4"/>
    <x v="0"/>
    <n v="1"/>
  </r>
  <r>
    <x v="1"/>
    <s v="13/14"/>
    <x v="8"/>
    <x v="44"/>
    <x v="390"/>
    <s v="A"/>
    <x v="2"/>
    <x v="40"/>
    <d v="1899-12-30T00:02:00"/>
    <s v="00"/>
    <s v="02"/>
    <x v="1"/>
    <x v="2"/>
    <x v="51"/>
    <d v="1899-12-30T00:01:00"/>
    <x v="2"/>
    <x v="69"/>
    <n v="0"/>
  </r>
  <r>
    <x v="1"/>
    <s v="13/14"/>
    <x v="8"/>
    <x v="44"/>
    <x v="390"/>
    <s v="A"/>
    <x v="2"/>
    <x v="40"/>
    <d v="1899-12-30T00:02:00"/>
    <s v="00"/>
    <s v="02"/>
    <x v="1"/>
    <x v="2"/>
    <x v="20"/>
    <d v="1899-12-30T00:02:00"/>
    <x v="3"/>
    <x v="0"/>
    <n v="1"/>
  </r>
  <r>
    <x v="0"/>
    <s v="13/14"/>
    <x v="4"/>
    <x v="21"/>
    <x v="391"/>
    <s v="A"/>
    <x v="3"/>
    <x v="27"/>
    <d v="1899-12-30T00:05:00"/>
    <s v="00"/>
    <s v="05"/>
    <x v="1"/>
    <x v="0"/>
    <x v="39"/>
    <d v="1899-12-30T00:01:00"/>
    <x v="2"/>
    <x v="57"/>
    <n v="0"/>
  </r>
  <r>
    <x v="0"/>
    <s v="13/14"/>
    <x v="4"/>
    <x v="23"/>
    <x v="392"/>
    <s v="H"/>
    <x v="3"/>
    <x v="97"/>
    <d v="1899-12-30T02:00:00"/>
    <s v="02"/>
    <s v="00"/>
    <x v="0"/>
    <x v="0"/>
    <x v="50"/>
    <d v="1899-12-30T01:00:00"/>
    <x v="2"/>
    <x v="74"/>
    <n v="0"/>
  </r>
  <r>
    <x v="1"/>
    <s v="13/14"/>
    <x v="4"/>
    <x v="43"/>
    <x v="393"/>
    <s v="H"/>
    <x v="2"/>
    <x v="58"/>
    <d v="1899-12-30T02:03:00"/>
    <s v="02"/>
    <s v="03"/>
    <x v="1"/>
    <x v="2"/>
    <x v="14"/>
    <d v="1899-12-30T02:02:00"/>
    <x v="6"/>
    <x v="0"/>
    <n v="1"/>
  </r>
  <r>
    <x v="1"/>
    <s v="13/14"/>
    <x v="4"/>
    <x v="32"/>
    <x v="394"/>
    <s v="A"/>
    <x v="2"/>
    <x v="34"/>
    <d v="1899-12-30T01:04:00"/>
    <s v="01"/>
    <s v="04"/>
    <x v="1"/>
    <x v="2"/>
    <x v="10"/>
    <d v="1899-12-30T01:02:00"/>
    <x v="3"/>
    <x v="44"/>
    <n v="0"/>
  </r>
  <r>
    <x v="1"/>
    <s v="13/14"/>
    <x v="4"/>
    <x v="32"/>
    <x v="394"/>
    <s v="A"/>
    <x v="2"/>
    <x v="34"/>
    <d v="1899-12-30T01:04:00"/>
    <s v="01"/>
    <s v="04"/>
    <x v="1"/>
    <x v="2"/>
    <x v="66"/>
    <d v="1899-12-30T01:03:00"/>
    <x v="3"/>
    <x v="16"/>
    <n v="0"/>
  </r>
  <r>
    <x v="0"/>
    <s v="13/14"/>
    <x v="8"/>
    <x v="15"/>
    <x v="395"/>
    <s v="A"/>
    <x v="3"/>
    <x v="42"/>
    <d v="1899-12-30T00:02:00"/>
    <s v="00"/>
    <s v="02"/>
    <x v="1"/>
    <x v="0"/>
    <x v="84"/>
    <d v="1899-12-30T00:02:00"/>
    <x v="6"/>
    <x v="0"/>
    <n v="1"/>
  </r>
  <r>
    <x v="0"/>
    <s v="13/14"/>
    <x v="8"/>
    <x v="15"/>
    <x v="395"/>
    <s v="A"/>
    <x v="3"/>
    <x v="42"/>
    <d v="1899-12-30T00:02:00"/>
    <s v="00"/>
    <s v="02"/>
    <x v="1"/>
    <x v="0"/>
    <x v="80"/>
    <d v="1899-12-30T00:01:00"/>
    <x v="6"/>
    <x v="0"/>
    <n v="1"/>
  </r>
  <r>
    <x v="1"/>
    <s v="13/14"/>
    <x v="8"/>
    <x v="15"/>
    <x v="396"/>
    <s v="A"/>
    <x v="2"/>
    <x v="90"/>
    <d v="1899-12-30T01:01:00"/>
    <s v="01"/>
    <s v="01"/>
    <x v="2"/>
    <x v="2"/>
    <x v="72"/>
    <d v="1899-12-30T00:01:00"/>
    <x v="0"/>
    <x v="0"/>
    <n v="1"/>
  </r>
  <r>
    <x v="1"/>
    <s v="13/14"/>
    <x v="4"/>
    <x v="11"/>
    <x v="397"/>
    <s v="H"/>
    <x v="2"/>
    <x v="92"/>
    <d v="1899-12-30T06:00:00"/>
    <s v="06"/>
    <s v="00"/>
    <x v="0"/>
    <x v="2"/>
    <x v="37"/>
    <d v="1899-12-30T02:00:00"/>
    <x v="3"/>
    <x v="65"/>
    <n v="0"/>
  </r>
  <r>
    <x v="1"/>
    <s v="13/14"/>
    <x v="4"/>
    <x v="11"/>
    <x v="397"/>
    <s v="H"/>
    <x v="2"/>
    <x v="92"/>
    <d v="1899-12-30T06:00:00"/>
    <s v="06"/>
    <s v="00"/>
    <x v="0"/>
    <x v="2"/>
    <x v="24"/>
    <d v="1899-12-30T05:00:00"/>
    <x v="3"/>
    <x v="67"/>
    <n v="0"/>
  </r>
  <r>
    <x v="1"/>
    <s v="13/14"/>
    <x v="6"/>
    <x v="44"/>
    <x v="398"/>
    <s v="A"/>
    <x v="2"/>
    <x v="5"/>
    <d v="1899-12-30T00:02:00"/>
    <s v="00"/>
    <s v="02"/>
    <x v="1"/>
    <x v="2"/>
    <x v="14"/>
    <d v="1899-12-30T00:01:00"/>
    <x v="6"/>
    <x v="0"/>
    <n v="1"/>
  </r>
  <r>
    <x v="1"/>
    <s v="13/14"/>
    <x v="4"/>
    <x v="12"/>
    <x v="399"/>
    <s v="A"/>
    <x v="2"/>
    <x v="90"/>
    <d v="1899-12-30T03:01:00"/>
    <s v="03"/>
    <s v="01"/>
    <x v="0"/>
    <x v="2"/>
    <x v="37"/>
    <d v="1899-12-30T01:01:00"/>
    <x v="3"/>
    <x v="73"/>
    <n v="0"/>
  </r>
  <r>
    <x v="0"/>
    <s v="13/14"/>
    <x v="6"/>
    <x v="44"/>
    <x v="400"/>
    <s v="A"/>
    <x v="3"/>
    <x v="108"/>
    <d v="1899-12-30T01:06:00"/>
    <s v="01"/>
    <s v="06"/>
    <x v="1"/>
    <x v="0"/>
    <x v="95"/>
    <d v="1899-12-30T00:03:00"/>
    <x v="3"/>
    <x v="77"/>
    <n v="0"/>
  </r>
  <r>
    <x v="0"/>
    <s v="13/14"/>
    <x v="6"/>
    <x v="44"/>
    <x v="400"/>
    <s v="A"/>
    <x v="3"/>
    <x v="108"/>
    <d v="1899-12-30T01:06:00"/>
    <s v="01"/>
    <s v="06"/>
    <x v="1"/>
    <x v="0"/>
    <x v="7"/>
    <d v="1899-12-30T00:06:00"/>
    <x v="2"/>
    <x v="43"/>
    <n v="0"/>
  </r>
  <r>
    <x v="1"/>
    <s v="13/14"/>
    <x v="4"/>
    <x v="25"/>
    <x v="401"/>
    <s v="H"/>
    <x v="2"/>
    <x v="50"/>
    <d v="1899-12-30T04:01:00"/>
    <s v="04"/>
    <s v="01"/>
    <x v="0"/>
    <x v="2"/>
    <x v="70"/>
    <d v="1899-12-30T02:00:00"/>
    <x v="4"/>
    <x v="0"/>
    <n v="1"/>
  </r>
  <r>
    <x v="0"/>
    <s v="13/14"/>
    <x v="4"/>
    <x v="25"/>
    <x v="401"/>
    <s v="A"/>
    <x v="3"/>
    <x v="42"/>
    <d v="1899-12-30T02:02:00"/>
    <s v="02"/>
    <s v="02"/>
    <x v="2"/>
    <x v="0"/>
    <x v="26"/>
    <d v="1899-12-30T02:02:00"/>
    <x v="2"/>
    <x v="77"/>
    <n v="0"/>
  </r>
  <r>
    <x v="0"/>
    <s v="13/14"/>
    <x v="4"/>
    <x v="33"/>
    <x v="402"/>
    <s v="H"/>
    <x v="3"/>
    <x v="47"/>
    <d v="1899-12-30T03:00:00"/>
    <s v="03"/>
    <s v="00"/>
    <x v="0"/>
    <x v="0"/>
    <x v="45"/>
    <d v="1899-12-30T01:00:00"/>
    <x v="1"/>
    <x v="57"/>
    <n v="0"/>
  </r>
  <r>
    <x v="1"/>
    <s v="13/14"/>
    <x v="6"/>
    <x v="44"/>
    <x v="403"/>
    <s v="H"/>
    <x v="2"/>
    <x v="5"/>
    <d v="1899-12-30T02:01:00"/>
    <s v="02"/>
    <s v="01"/>
    <x v="0"/>
    <x v="2"/>
    <x v="3"/>
    <d v="1899-12-30T01:00:00"/>
    <x v="3"/>
    <x v="0"/>
    <n v="1"/>
  </r>
  <r>
    <x v="0"/>
    <s v="13/14"/>
    <x v="4"/>
    <x v="26"/>
    <x v="404"/>
    <s v="A"/>
    <x v="3"/>
    <x v="63"/>
    <d v="1899-12-30T00:01:00"/>
    <s v="00"/>
    <s v="01"/>
    <x v="1"/>
    <x v="0"/>
    <x v="35"/>
    <d v="1899-12-30T00:01:00"/>
    <x v="2"/>
    <x v="77"/>
    <n v="0"/>
  </r>
  <r>
    <x v="1"/>
    <s v="13/14"/>
    <x v="4"/>
    <x v="26"/>
    <x v="405"/>
    <s v="H"/>
    <x v="2"/>
    <x v="31"/>
    <d v="1899-12-30T07:00:00"/>
    <s v="07"/>
    <s v="00"/>
    <x v="0"/>
    <x v="2"/>
    <x v="65"/>
    <d v="1899-12-30T01:00:00"/>
    <x v="3"/>
    <x v="67"/>
    <n v="0"/>
  </r>
  <r>
    <x v="1"/>
    <s v="13/14"/>
    <x v="4"/>
    <x v="26"/>
    <x v="405"/>
    <s v="H"/>
    <x v="2"/>
    <x v="31"/>
    <d v="1899-12-30T07:00:00"/>
    <s v="07"/>
    <s v="00"/>
    <x v="0"/>
    <x v="2"/>
    <x v="20"/>
    <d v="1899-12-30T04:00:00"/>
    <x v="3"/>
    <x v="16"/>
    <n v="0"/>
  </r>
  <r>
    <x v="1"/>
    <s v="13/14"/>
    <x v="4"/>
    <x v="26"/>
    <x v="405"/>
    <s v="H"/>
    <x v="2"/>
    <x v="31"/>
    <d v="1899-12-30T07:00:00"/>
    <s v="07"/>
    <s v="00"/>
    <x v="0"/>
    <x v="2"/>
    <x v="2"/>
    <d v="1899-12-30T06:00:00"/>
    <x v="2"/>
    <x v="34"/>
    <n v="0"/>
  </r>
  <r>
    <x v="0"/>
    <s v="13/14"/>
    <x v="6"/>
    <x v="44"/>
    <x v="406"/>
    <s v="H"/>
    <x v="3"/>
    <x v="108"/>
    <d v="1899-12-30T03:01:00"/>
    <s v="03"/>
    <s v="01"/>
    <x v="0"/>
    <x v="0"/>
    <x v="6"/>
    <d v="1899-12-30T02:01:00"/>
    <x v="2"/>
    <x v="0"/>
    <n v="1"/>
  </r>
  <r>
    <x v="0"/>
    <s v="13/14"/>
    <x v="6"/>
    <x v="44"/>
    <x v="406"/>
    <s v="H"/>
    <x v="3"/>
    <x v="108"/>
    <d v="1899-12-30T03:01:00"/>
    <s v="03"/>
    <s v="01"/>
    <x v="0"/>
    <x v="0"/>
    <x v="60"/>
    <d v="1899-12-30T01:00:00"/>
    <x v="2"/>
    <x v="77"/>
    <n v="0"/>
  </r>
  <r>
    <x v="0"/>
    <s v="13/14"/>
    <x v="4"/>
    <x v="5"/>
    <x v="407"/>
    <s v="H"/>
    <x v="3"/>
    <x v="91"/>
    <d v="1899-12-30T03:04:00"/>
    <s v="03"/>
    <s v="04"/>
    <x v="1"/>
    <x v="0"/>
    <x v="82"/>
    <d v="1899-12-30T03:02:00"/>
    <x v="6"/>
    <x v="0"/>
    <n v="1"/>
  </r>
  <r>
    <x v="1"/>
    <s v="13/14"/>
    <x v="4"/>
    <x v="5"/>
    <x v="407"/>
    <s v="A"/>
    <x v="2"/>
    <x v="36"/>
    <d v="1899-12-30T03:04:00"/>
    <s v="03"/>
    <s v="04"/>
    <x v="1"/>
    <x v="2"/>
    <x v="29"/>
    <d v="1899-12-30T02:02:00"/>
    <x v="3"/>
    <x v="75"/>
    <n v="0"/>
  </r>
  <r>
    <x v="1"/>
    <s v="13/14"/>
    <x v="4"/>
    <x v="5"/>
    <x v="407"/>
    <s v="A"/>
    <x v="2"/>
    <x v="36"/>
    <d v="1899-12-30T03:04:00"/>
    <s v="03"/>
    <s v="04"/>
    <x v="1"/>
    <x v="2"/>
    <x v="33"/>
    <d v="1899-12-30T03:04:00"/>
    <x v="6"/>
    <x v="0"/>
    <n v="1"/>
  </r>
  <r>
    <x v="1"/>
    <s v="13/14"/>
    <x v="4"/>
    <x v="5"/>
    <x v="407"/>
    <s v="A"/>
    <x v="2"/>
    <x v="36"/>
    <d v="1899-12-30T03:04:00"/>
    <s v="03"/>
    <s v="04"/>
    <x v="1"/>
    <x v="2"/>
    <x v="77"/>
    <d v="1899-12-30T03:03:00"/>
    <x v="6"/>
    <x v="0"/>
    <n v="1"/>
  </r>
  <r>
    <x v="1"/>
    <s v="13/14"/>
    <x v="4"/>
    <x v="14"/>
    <x v="408"/>
    <s v="H"/>
    <x v="2"/>
    <x v="30"/>
    <d v="1899-12-30T03:00:00"/>
    <s v="03"/>
    <s v="00"/>
    <x v="0"/>
    <x v="2"/>
    <x v="74"/>
    <d v="1899-12-30T02:00:00"/>
    <x v="2"/>
    <x v="16"/>
    <n v="0"/>
  </r>
  <r>
    <x v="0"/>
    <s v="13/14"/>
    <x v="4"/>
    <x v="14"/>
    <x v="408"/>
    <s v="A"/>
    <x v="3"/>
    <x v="34"/>
    <d v="1899-12-30T02:01:00"/>
    <s v="02"/>
    <s v="01"/>
    <x v="0"/>
    <x v="0"/>
    <x v="30"/>
    <d v="1899-12-30T00:01:00"/>
    <x v="4"/>
    <x v="0"/>
    <n v="1"/>
  </r>
  <r>
    <x v="1"/>
    <s v="13/14"/>
    <x v="4"/>
    <x v="45"/>
    <x v="409"/>
    <s v="A"/>
    <x v="2"/>
    <x v="43"/>
    <d v="1899-12-30T00:01:00"/>
    <s v="00"/>
    <s v="01"/>
    <x v="1"/>
    <x v="2"/>
    <x v="43"/>
    <d v="1899-12-30T00:01:00"/>
    <x v="6"/>
    <x v="0"/>
    <n v="1"/>
  </r>
  <r>
    <x v="0"/>
    <s v="13/14"/>
    <x v="4"/>
    <x v="45"/>
    <x v="409"/>
    <s v="H"/>
    <x v="3"/>
    <x v="92"/>
    <d v="1899-12-30T05:00:00"/>
    <s v="05"/>
    <s v="00"/>
    <x v="0"/>
    <x v="0"/>
    <x v="84"/>
    <d v="1899-12-30T01:00:00"/>
    <x v="2"/>
    <x v="77"/>
    <n v="0"/>
  </r>
  <r>
    <x v="0"/>
    <s v="13/14"/>
    <x v="6"/>
    <x v="24"/>
    <x v="410"/>
    <s v="H"/>
    <x v="3"/>
    <x v="102"/>
    <d v="1899-12-30T03:00:00"/>
    <s v="03"/>
    <s v="00"/>
    <x v="0"/>
    <x v="0"/>
    <x v="50"/>
    <d v="1899-12-30T03:00:00"/>
    <x v="3"/>
    <x v="74"/>
    <n v="0"/>
  </r>
  <r>
    <x v="1"/>
    <s v="13/14"/>
    <x v="4"/>
    <x v="6"/>
    <x v="411"/>
    <s v="H"/>
    <x v="2"/>
    <x v="27"/>
    <d v="1899-12-30T03:01:00"/>
    <s v="03"/>
    <s v="01"/>
    <x v="0"/>
    <x v="2"/>
    <x v="46"/>
    <d v="1899-12-30T03:01:00"/>
    <x v="7"/>
    <x v="80"/>
    <n v="0"/>
  </r>
  <r>
    <x v="1"/>
    <s v="13/14"/>
    <x v="4"/>
    <x v="6"/>
    <x v="411"/>
    <s v="H"/>
    <x v="2"/>
    <x v="27"/>
    <d v="1899-12-30T03:01:00"/>
    <s v="03"/>
    <s v="01"/>
    <x v="0"/>
    <x v="2"/>
    <x v="84"/>
    <d v="1899-12-30T01:00:00"/>
    <x v="6"/>
    <x v="0"/>
    <n v="1"/>
  </r>
  <r>
    <x v="1"/>
    <s v="13/14"/>
    <x v="4"/>
    <x v="16"/>
    <x v="412"/>
    <s v="H"/>
    <x v="2"/>
    <x v="23"/>
    <d v="1899-12-30T02:01:00"/>
    <s v="02"/>
    <s v="01"/>
    <x v="0"/>
    <x v="2"/>
    <x v="6"/>
    <d v="1899-12-30T02:01:00"/>
    <x v="4"/>
    <x v="0"/>
    <n v="1"/>
  </r>
  <r>
    <x v="0"/>
    <s v="13/14"/>
    <x v="4"/>
    <x v="36"/>
    <x v="413"/>
    <s v="H"/>
    <x v="3"/>
    <x v="31"/>
    <d v="1899-12-30T04:00:00"/>
    <s v="04"/>
    <s v="00"/>
    <x v="0"/>
    <x v="0"/>
    <x v="80"/>
    <d v="1899-12-30T01:00:00"/>
    <x v="10"/>
    <x v="57"/>
    <n v="0"/>
  </r>
  <r>
    <x v="0"/>
    <s v="13/14"/>
    <x v="4"/>
    <x v="36"/>
    <x v="413"/>
    <s v="H"/>
    <x v="3"/>
    <x v="31"/>
    <d v="1899-12-30T04:00:00"/>
    <s v="04"/>
    <s v="00"/>
    <x v="0"/>
    <x v="0"/>
    <x v="95"/>
    <d v="1899-12-30T02:00:00"/>
    <x v="10"/>
    <x v="76"/>
    <n v="0"/>
  </r>
  <r>
    <x v="1"/>
    <s v="13/14"/>
    <x v="4"/>
    <x v="36"/>
    <x v="414"/>
    <s v="A"/>
    <x v="2"/>
    <x v="76"/>
    <d v="1899-12-30T02:03:00"/>
    <s v="02"/>
    <s v="03"/>
    <x v="1"/>
    <x v="2"/>
    <x v="27"/>
    <d v="1899-12-30T02:03:00"/>
    <x v="2"/>
    <x v="65"/>
    <n v="0"/>
  </r>
  <r>
    <x v="0"/>
    <s v="13/14"/>
    <x v="6"/>
    <x v="15"/>
    <x v="415"/>
    <s v="A"/>
    <x v="3"/>
    <x v="70"/>
    <d v="1899-12-30T00:04:00"/>
    <s v="00"/>
    <s v="04"/>
    <x v="1"/>
    <x v="0"/>
    <x v="21"/>
    <d v="1899-12-30T00:04:00"/>
    <x v="4"/>
    <x v="0"/>
    <n v="1"/>
  </r>
  <r>
    <x v="0"/>
    <s v="13/14"/>
    <x v="6"/>
    <x v="15"/>
    <x v="415"/>
    <s v="A"/>
    <x v="3"/>
    <x v="70"/>
    <d v="1899-12-30T00:04:00"/>
    <s v="00"/>
    <s v="04"/>
    <x v="1"/>
    <x v="0"/>
    <x v="0"/>
    <d v="1899-12-30T00:03:00"/>
    <x v="9"/>
    <x v="77"/>
    <n v="0"/>
  </r>
  <r>
    <x v="1"/>
    <s v="13/14"/>
    <x v="4"/>
    <x v="48"/>
    <x v="416"/>
    <s v="H"/>
    <x v="2"/>
    <x v="40"/>
    <d v="1899-12-30T02:02:00"/>
    <s v="02"/>
    <s v="02"/>
    <x v="2"/>
    <x v="2"/>
    <x v="35"/>
    <d v="1899-12-30T01:00:00"/>
    <x v="3"/>
    <x v="34"/>
    <n v="0"/>
  </r>
  <r>
    <x v="0"/>
    <s v="13/14"/>
    <x v="4"/>
    <x v="48"/>
    <x v="417"/>
    <s v="H"/>
    <x v="3"/>
    <x v="58"/>
    <d v="1899-12-30T02:02:00"/>
    <s v="02"/>
    <s v="02"/>
    <x v="2"/>
    <x v="0"/>
    <x v="21"/>
    <d v="1899-12-30T02:02:00"/>
    <x v="2"/>
    <x v="57"/>
    <n v="0"/>
  </r>
  <r>
    <x v="0"/>
    <s v="13/14"/>
    <x v="6"/>
    <x v="8"/>
    <x v="418"/>
    <s v="H"/>
    <x v="3"/>
    <x v="42"/>
    <d v="1899-12-30T04:01:00"/>
    <n v="4"/>
    <n v="1"/>
    <x v="0"/>
    <x v="0"/>
    <x v="100"/>
    <d v="1899-12-30T04:01:00"/>
    <x v="6"/>
    <x v="0"/>
    <n v="1"/>
  </r>
  <r>
    <x v="0"/>
    <s v="14/15"/>
    <x v="11"/>
    <x v="8"/>
    <x v="419"/>
    <s v="H"/>
    <x v="3"/>
    <x v="34"/>
    <d v="1899-12-30T02:00:00"/>
    <s v="02"/>
    <s v="00"/>
    <x v="0"/>
    <x v="0"/>
    <x v="74"/>
    <d v="1899-12-30T01:00:00"/>
    <x v="2"/>
    <x v="77"/>
    <n v="0"/>
  </r>
  <r>
    <x v="0"/>
    <s v="14/15"/>
    <x v="11"/>
    <x v="8"/>
    <x v="419"/>
    <s v="H"/>
    <x v="3"/>
    <x v="34"/>
    <d v="1899-12-30T02:00:00"/>
    <s v="02"/>
    <s v="00"/>
    <x v="0"/>
    <x v="0"/>
    <x v="47"/>
    <d v="1899-12-30T02:00:00"/>
    <x v="3"/>
    <x v="43"/>
    <n v="0"/>
  </r>
  <r>
    <x v="1"/>
    <s v="14/15"/>
    <x v="4"/>
    <x v="27"/>
    <x v="420"/>
    <s v="H"/>
    <x v="2"/>
    <x v="106"/>
    <d v="1899-12-30T03:00:00"/>
    <s v="03"/>
    <s v="00"/>
    <x v="0"/>
    <x v="2"/>
    <x v="87"/>
    <d v="1899-12-30T03:00:00"/>
    <x v="3"/>
    <x v="0"/>
    <n v="1"/>
  </r>
  <r>
    <x v="1"/>
    <s v="14/15"/>
    <x v="4"/>
    <x v="27"/>
    <x v="420"/>
    <s v="H"/>
    <x v="2"/>
    <x v="106"/>
    <d v="1899-12-30T03:00:00"/>
    <s v="03"/>
    <s v="00"/>
    <x v="0"/>
    <x v="2"/>
    <x v="29"/>
    <d v="1899-12-30T01:00:00"/>
    <x v="3"/>
    <x v="64"/>
    <n v="0"/>
  </r>
  <r>
    <x v="0"/>
    <s v="14/15"/>
    <x v="4"/>
    <x v="27"/>
    <x v="421"/>
    <s v="H"/>
    <x v="3"/>
    <x v="103"/>
    <d v="1899-12-30T02:00:00"/>
    <s v="02"/>
    <s v="00"/>
    <x v="0"/>
    <x v="0"/>
    <x v="21"/>
    <d v="1899-12-30T02:00:00"/>
    <x v="2"/>
    <x v="76"/>
    <n v="0"/>
  </r>
  <r>
    <x v="0"/>
    <s v="14/15"/>
    <x v="4"/>
    <x v="47"/>
    <x v="422"/>
    <s v="H"/>
    <x v="3"/>
    <x v="42"/>
    <d v="1899-12-30T01:02:00"/>
    <s v="01"/>
    <s v="02"/>
    <x v="1"/>
    <x v="0"/>
    <x v="73"/>
    <d v="1899-12-30T01:01:00"/>
    <x v="6"/>
    <x v="0"/>
    <n v="1"/>
  </r>
  <r>
    <x v="0"/>
    <s v="14/15"/>
    <x v="6"/>
    <x v="18"/>
    <x v="423"/>
    <s v="H"/>
    <x v="3"/>
    <x v="62"/>
    <d v="1899-12-30T05:01:00"/>
    <s v="05"/>
    <s v="01"/>
    <x v="0"/>
    <x v="0"/>
    <x v="78"/>
    <d v="1899-12-30T03:00:00"/>
    <x v="2"/>
    <x v="77"/>
    <n v="0"/>
  </r>
  <r>
    <x v="0"/>
    <s v="14/15"/>
    <x v="4"/>
    <x v="37"/>
    <x v="424"/>
    <s v="A"/>
    <x v="3"/>
    <x v="73"/>
    <d v="1899-12-30T02:08:00"/>
    <s v="02"/>
    <s v="08"/>
    <x v="1"/>
    <x v="1"/>
    <x v="48"/>
    <d v="1899-12-30T00:01:00"/>
    <x v="1"/>
    <x v="66"/>
    <n v="0"/>
  </r>
  <r>
    <x v="0"/>
    <s v="14/15"/>
    <x v="4"/>
    <x v="37"/>
    <x v="424"/>
    <s v="A"/>
    <x v="3"/>
    <x v="73"/>
    <d v="1899-12-30T02:08:00"/>
    <s v="02"/>
    <s v="08"/>
    <x v="1"/>
    <x v="1"/>
    <x v="56"/>
    <d v="1899-12-30T00:03:00"/>
    <x v="3"/>
    <x v="43"/>
    <n v="0"/>
  </r>
  <r>
    <x v="0"/>
    <s v="14/15"/>
    <x v="4"/>
    <x v="37"/>
    <x v="424"/>
    <s v="A"/>
    <x v="3"/>
    <x v="73"/>
    <d v="1899-12-30T02:08:00"/>
    <s v="02"/>
    <s v="08"/>
    <x v="1"/>
    <x v="1"/>
    <x v="76"/>
    <d v="1899-12-30T01:06:00"/>
    <x v="3"/>
    <x v="81"/>
    <n v="0"/>
  </r>
  <r>
    <x v="1"/>
    <s v="14/15"/>
    <x v="4"/>
    <x v="37"/>
    <x v="425"/>
    <s v="A"/>
    <x v="2"/>
    <x v="47"/>
    <d v="1899-12-30T00:05:00"/>
    <s v="00"/>
    <s v="05"/>
    <x v="1"/>
    <x v="2"/>
    <x v="43"/>
    <d v="1899-12-30T00:05:00"/>
    <x v="2"/>
    <x v="0"/>
    <n v="1"/>
  </r>
  <r>
    <x v="0"/>
    <s v="14/15"/>
    <x v="4"/>
    <x v="38"/>
    <x v="426"/>
    <s v="H"/>
    <x v="3"/>
    <x v="106"/>
    <d v="1899-12-30T05:01:00"/>
    <s v="05"/>
    <s v="01"/>
    <x v="0"/>
    <x v="2"/>
    <x v="44"/>
    <d v="1899-12-30T02:01:00"/>
    <x v="6"/>
    <x v="0"/>
    <n v="1"/>
  </r>
  <r>
    <x v="0"/>
    <s v="14/15"/>
    <x v="4"/>
    <x v="38"/>
    <x v="426"/>
    <s v="H"/>
    <x v="3"/>
    <x v="106"/>
    <d v="1899-12-30T05:01:00"/>
    <s v="05"/>
    <s v="01"/>
    <x v="0"/>
    <x v="2"/>
    <x v="21"/>
    <d v="1899-12-30T05:01:00"/>
    <x v="2"/>
    <x v="77"/>
    <n v="0"/>
  </r>
  <r>
    <x v="0"/>
    <s v="14/15"/>
    <x v="4"/>
    <x v="38"/>
    <x v="426"/>
    <s v="H"/>
    <x v="3"/>
    <x v="106"/>
    <d v="1899-12-30T05:01:00"/>
    <s v="05"/>
    <s v="01"/>
    <x v="0"/>
    <x v="2"/>
    <x v="5"/>
    <d v="1899-12-30T04:01:00"/>
    <x v="6"/>
    <x v="0"/>
    <n v="1"/>
  </r>
  <r>
    <x v="0"/>
    <s v="14/15"/>
    <x v="4"/>
    <x v="38"/>
    <x v="426"/>
    <s v="H"/>
    <x v="3"/>
    <x v="106"/>
    <d v="1899-12-30T05:01:00"/>
    <s v="05"/>
    <s v="01"/>
    <x v="0"/>
    <x v="2"/>
    <x v="71"/>
    <d v="1899-12-30T03:01:00"/>
    <x v="1"/>
    <x v="52"/>
    <n v="0"/>
  </r>
  <r>
    <x v="0"/>
    <s v="14/15"/>
    <x v="4"/>
    <x v="0"/>
    <x v="427"/>
    <s v="A"/>
    <x v="3"/>
    <x v="76"/>
    <d v="1899-12-30T00:02:00"/>
    <s v="00"/>
    <s v="02"/>
    <x v="1"/>
    <x v="2"/>
    <x v="79"/>
    <d v="1899-12-30T00:02:00"/>
    <x v="2"/>
    <x v="43"/>
    <n v="0"/>
  </r>
  <r>
    <x v="1"/>
    <s v="14/15"/>
    <x v="4"/>
    <x v="0"/>
    <x v="427"/>
    <s v="H"/>
    <x v="2"/>
    <x v="97"/>
    <d v="1899-12-30T06:00:00"/>
    <s v="06"/>
    <s v="00"/>
    <x v="0"/>
    <x v="2"/>
    <x v="52"/>
    <d v="1899-12-30T04:00:00"/>
    <x v="1"/>
    <x v="34"/>
    <n v="0"/>
  </r>
  <r>
    <x v="1"/>
    <s v="14/15"/>
    <x v="4"/>
    <x v="0"/>
    <x v="427"/>
    <s v="H"/>
    <x v="2"/>
    <x v="97"/>
    <d v="1899-12-30T06:00:00"/>
    <s v="06"/>
    <s v="00"/>
    <x v="0"/>
    <x v="2"/>
    <x v="26"/>
    <d v="1899-12-30T06:00:00"/>
    <x v="2"/>
    <x v="0"/>
    <n v="1"/>
  </r>
  <r>
    <x v="1"/>
    <s v="14/15"/>
    <x v="6"/>
    <x v="18"/>
    <x v="428"/>
    <s v="A"/>
    <x v="2"/>
    <x v="104"/>
    <d v="1899-12-30T03:02:00"/>
    <s v="03"/>
    <s v="02"/>
    <x v="0"/>
    <x v="1"/>
    <x v="23"/>
    <d v="1899-12-30T01:01:00"/>
    <x v="3"/>
    <x v="16"/>
    <n v="0"/>
  </r>
  <r>
    <x v="0"/>
    <s v="14/15"/>
    <x v="6"/>
    <x v="18"/>
    <x v="429"/>
    <s v="A"/>
    <x v="3"/>
    <x v="109"/>
    <d v="1899-12-30T01:02:00"/>
    <s v="01"/>
    <s v="02"/>
    <x v="1"/>
    <x v="2"/>
    <x v="73"/>
    <d v="1899-12-30T01:01:00"/>
    <x v="6"/>
    <x v="0"/>
    <n v="1"/>
  </r>
  <r>
    <x v="1"/>
    <s v="14/15"/>
    <x v="4"/>
    <x v="40"/>
    <x v="430"/>
    <s v="A"/>
    <x v="2"/>
    <x v="92"/>
    <d v="1899-12-30T00:02:00"/>
    <s v="00"/>
    <s v="02"/>
    <x v="1"/>
    <x v="2"/>
    <x v="57"/>
    <d v="1899-12-30T00:01:00"/>
    <x v="3"/>
    <x v="37"/>
    <n v="0"/>
  </r>
  <r>
    <x v="0"/>
    <s v="14/15"/>
    <x v="4"/>
    <x v="40"/>
    <x v="431"/>
    <s v="H"/>
    <x v="3"/>
    <x v="23"/>
    <d v="1899-12-30T05:00:00"/>
    <s v="05"/>
    <s v="00"/>
    <x v="0"/>
    <x v="0"/>
    <x v="7"/>
    <d v="1899-12-30T05:00:00"/>
    <x v="8"/>
    <x v="42"/>
    <n v="0"/>
  </r>
  <r>
    <x v="0"/>
    <s v="14/15"/>
    <x v="4"/>
    <x v="40"/>
    <x v="431"/>
    <s v="H"/>
    <x v="3"/>
    <x v="23"/>
    <d v="1899-12-30T05:00:00"/>
    <s v="05"/>
    <s v="00"/>
    <x v="0"/>
    <x v="0"/>
    <x v="69"/>
    <d v="1899-12-30T01:00:00"/>
    <x v="1"/>
    <x v="77"/>
    <n v="0"/>
  </r>
  <r>
    <x v="0"/>
    <s v="14/15"/>
    <x v="4"/>
    <x v="40"/>
    <x v="431"/>
    <s v="H"/>
    <x v="3"/>
    <x v="23"/>
    <d v="1899-12-30T05:00:00"/>
    <s v="05"/>
    <s v="00"/>
    <x v="0"/>
    <x v="0"/>
    <x v="82"/>
    <d v="1899-12-30T03:00:00"/>
    <x v="2"/>
    <x v="77"/>
    <n v="0"/>
  </r>
  <r>
    <x v="1"/>
    <s v="14/15"/>
    <x v="4"/>
    <x v="1"/>
    <x v="432"/>
    <s v="H"/>
    <x v="2"/>
    <x v="110"/>
    <d v="1899-12-30T03:00:00"/>
    <s v="03"/>
    <s v="00"/>
    <x v="0"/>
    <x v="2"/>
    <x v="6"/>
    <d v="1899-12-30T03:00:00"/>
    <x v="3"/>
    <x v="75"/>
    <n v="0"/>
  </r>
  <r>
    <x v="0"/>
    <s v="14/15"/>
    <x v="4"/>
    <x v="1"/>
    <x v="432"/>
    <s v="A"/>
    <x v="3"/>
    <x v="47"/>
    <d v="1899-12-30T00:05:00"/>
    <s v="00"/>
    <s v="05"/>
    <x v="1"/>
    <x v="2"/>
    <x v="4"/>
    <d v="1899-12-30T00:01:00"/>
    <x v="6"/>
    <x v="0"/>
    <n v="1"/>
  </r>
  <r>
    <x v="0"/>
    <s v="14/15"/>
    <x v="4"/>
    <x v="1"/>
    <x v="432"/>
    <s v="A"/>
    <x v="3"/>
    <x v="47"/>
    <d v="1899-12-30T00:05:00"/>
    <s v="00"/>
    <s v="05"/>
    <x v="1"/>
    <x v="2"/>
    <x v="75"/>
    <d v="1899-12-30T00:03:00"/>
    <x v="2"/>
    <x v="76"/>
    <n v="0"/>
  </r>
  <r>
    <x v="1"/>
    <s v="14/15"/>
    <x v="6"/>
    <x v="18"/>
    <x v="433"/>
    <s v="H"/>
    <x v="2"/>
    <x v="88"/>
    <d v="1899-12-30T03:01:00"/>
    <s v="03"/>
    <s v="01"/>
    <x v="0"/>
    <x v="2"/>
    <x v="70"/>
    <d v="1899-12-30T02:00:00"/>
    <x v="3"/>
    <x v="16"/>
    <n v="0"/>
  </r>
  <r>
    <x v="0"/>
    <s v="14/15"/>
    <x v="6"/>
    <x v="18"/>
    <x v="434"/>
    <s v="A"/>
    <x v="3"/>
    <x v="57"/>
    <d v="1899-12-30T00:03:00"/>
    <s v="00"/>
    <s v="03"/>
    <x v="1"/>
    <x v="2"/>
    <x v="35"/>
    <d v="1899-12-30T00:01:00"/>
    <x v="2"/>
    <x v="81"/>
    <n v="0"/>
  </r>
  <r>
    <x v="0"/>
    <s v="14/15"/>
    <x v="4"/>
    <x v="39"/>
    <x v="435"/>
    <s v="H"/>
    <x v="3"/>
    <x v="91"/>
    <d v="1899-12-30T03:01:00"/>
    <s v="03"/>
    <s v="01"/>
    <x v="0"/>
    <x v="2"/>
    <x v="57"/>
    <d v="1899-12-30T01:01:00"/>
    <x v="6"/>
    <x v="0"/>
    <n v="1"/>
  </r>
  <r>
    <x v="0"/>
    <s v="14/15"/>
    <x v="4"/>
    <x v="29"/>
    <x v="436"/>
    <s v="A"/>
    <x v="3"/>
    <x v="97"/>
    <d v="1899-12-30T00:04:00"/>
    <s v="00"/>
    <s v="04"/>
    <x v="1"/>
    <x v="2"/>
    <x v="86"/>
    <d v="1899-12-30T00:01:00"/>
    <x v="2"/>
    <x v="43"/>
    <n v="0"/>
  </r>
  <r>
    <x v="1"/>
    <s v="14/15"/>
    <x v="6"/>
    <x v="18"/>
    <x v="437"/>
    <s v="A"/>
    <x v="2"/>
    <x v="88"/>
    <d v="1899-12-30T00:02:00"/>
    <s v="00"/>
    <s v="02"/>
    <x v="1"/>
    <x v="1"/>
    <x v="37"/>
    <d v="1899-12-30T00:01:00"/>
    <x v="1"/>
    <x v="82"/>
    <n v="0"/>
  </r>
  <r>
    <x v="1"/>
    <s v="14/15"/>
    <x v="6"/>
    <x v="18"/>
    <x v="437"/>
    <s v="A"/>
    <x v="2"/>
    <x v="88"/>
    <d v="1899-12-30T00:02:00"/>
    <s v="00"/>
    <s v="02"/>
    <x v="1"/>
    <x v="1"/>
    <x v="18"/>
    <d v="1899-12-30T00:02:00"/>
    <x v="3"/>
    <x v="44"/>
    <n v="0"/>
  </r>
  <r>
    <x v="0"/>
    <s v="14/15"/>
    <x v="4"/>
    <x v="4"/>
    <x v="438"/>
    <s v="H"/>
    <x v="3"/>
    <x v="92"/>
    <d v="1899-12-30T05:01:00"/>
    <s v="05"/>
    <s v="01"/>
    <x v="0"/>
    <x v="2"/>
    <x v="27"/>
    <d v="1899-12-30T05:01:00"/>
    <x v="2"/>
    <x v="76"/>
    <n v="0"/>
  </r>
  <r>
    <x v="0"/>
    <s v="14/15"/>
    <x v="4"/>
    <x v="41"/>
    <x v="439"/>
    <s v="A"/>
    <x v="3"/>
    <x v="110"/>
    <d v="1899-12-30T00:04:00"/>
    <s v="00"/>
    <s v="04"/>
    <x v="1"/>
    <x v="2"/>
    <x v="27"/>
    <d v="1899-12-30T00:04:00"/>
    <x v="6"/>
    <x v="0"/>
    <n v="1"/>
  </r>
  <r>
    <x v="1"/>
    <s v="14/15"/>
    <x v="4"/>
    <x v="41"/>
    <x v="439"/>
    <s v="H"/>
    <x v="2"/>
    <x v="34"/>
    <d v="1899-12-30T05:01:00"/>
    <s v="05"/>
    <s v="01"/>
    <x v="0"/>
    <x v="1"/>
    <x v="76"/>
    <d v="1899-12-30T05:01:00"/>
    <x v="3"/>
    <x v="75"/>
    <n v="0"/>
  </r>
  <r>
    <x v="1"/>
    <s v="14/15"/>
    <x v="4"/>
    <x v="41"/>
    <x v="439"/>
    <s v="H"/>
    <x v="2"/>
    <x v="34"/>
    <d v="1899-12-30T05:01:00"/>
    <s v="05"/>
    <s v="01"/>
    <x v="0"/>
    <x v="1"/>
    <x v="38"/>
    <d v="1899-12-30T04:01:00"/>
    <x v="5"/>
    <x v="75"/>
    <n v="0"/>
  </r>
  <r>
    <x v="1"/>
    <s v="14/15"/>
    <x v="4"/>
    <x v="41"/>
    <x v="439"/>
    <s v="H"/>
    <x v="2"/>
    <x v="34"/>
    <d v="1899-12-30T05:01:00"/>
    <s v="05"/>
    <s v="01"/>
    <x v="0"/>
    <x v="1"/>
    <x v="17"/>
    <d v="1899-12-30T01:00:00"/>
    <x v="4"/>
    <x v="0"/>
    <n v="1"/>
  </r>
  <r>
    <x v="0"/>
    <s v="14/15"/>
    <x v="4"/>
    <x v="41"/>
    <x v="439"/>
    <s v="A"/>
    <x v="3"/>
    <x v="110"/>
    <d v="1899-12-30T00:04:00"/>
    <s v="00"/>
    <s v="04"/>
    <x v="1"/>
    <x v="2"/>
    <x v="51"/>
    <d v="1899-12-30T00:02:00"/>
    <x v="2"/>
    <x v="78"/>
    <n v="0"/>
  </r>
  <r>
    <x v="1"/>
    <s v="14/15"/>
    <x v="6"/>
    <x v="18"/>
    <x v="440"/>
    <s v="A"/>
    <x v="2"/>
    <x v="100"/>
    <d v="1899-12-30T00:04:00"/>
    <s v="00"/>
    <s v="04"/>
    <x v="1"/>
    <x v="5"/>
    <x v="11"/>
    <d v="1899-12-30T00:04:00"/>
    <x v="2"/>
    <x v="44"/>
    <n v="0"/>
  </r>
  <r>
    <x v="1"/>
    <s v="14/15"/>
    <x v="6"/>
    <x v="18"/>
    <x v="440"/>
    <s v="A"/>
    <x v="2"/>
    <x v="100"/>
    <d v="1899-12-30T00:04:00"/>
    <s v="00"/>
    <s v="04"/>
    <x v="1"/>
    <x v="5"/>
    <x v="15"/>
    <d v="1899-12-30T00:03:00"/>
    <x v="2"/>
    <x v="34"/>
    <n v="0"/>
  </r>
  <r>
    <x v="1"/>
    <s v="14/15"/>
    <x v="6"/>
    <x v="18"/>
    <x v="440"/>
    <s v="A"/>
    <x v="2"/>
    <x v="100"/>
    <d v="1899-12-30T00:04:00"/>
    <s v="00"/>
    <s v="04"/>
    <x v="1"/>
    <x v="5"/>
    <x v="31"/>
    <d v="1899-12-30T00:02:00"/>
    <x v="2"/>
    <x v="83"/>
    <n v="0"/>
  </r>
  <r>
    <x v="0"/>
    <s v="14/15"/>
    <x v="6"/>
    <x v="18"/>
    <x v="441"/>
    <s v="A"/>
    <x v="3"/>
    <x v="62"/>
    <d v="1899-12-30T00:01:00"/>
    <s v="00"/>
    <s v="01"/>
    <x v="1"/>
    <x v="0"/>
    <x v="57"/>
    <d v="1899-12-30T00:01:00"/>
    <x v="3"/>
    <x v="43"/>
    <n v="0"/>
  </r>
  <r>
    <x v="0"/>
    <s v="14/15"/>
    <x v="4"/>
    <x v="51"/>
    <x v="442"/>
    <s v="H"/>
    <x v="3"/>
    <x v="30"/>
    <d v="1899-12-30T03:00:00"/>
    <s v="03"/>
    <s v="00"/>
    <x v="0"/>
    <x v="2"/>
    <x v="77"/>
    <d v="1899-12-30T02:00:00"/>
    <x v="2"/>
    <x v="0"/>
    <n v="1"/>
  </r>
  <r>
    <x v="0"/>
    <s v="14/15"/>
    <x v="4"/>
    <x v="51"/>
    <x v="442"/>
    <s v="H"/>
    <x v="3"/>
    <x v="30"/>
    <d v="1899-12-30T03:00:00"/>
    <s v="03"/>
    <s v="00"/>
    <x v="0"/>
    <x v="2"/>
    <x v="58"/>
    <d v="1899-12-30T03:00:00"/>
    <x v="3"/>
    <x v="52"/>
    <n v="0"/>
  </r>
  <r>
    <x v="0"/>
    <s v="14/15"/>
    <x v="4"/>
    <x v="51"/>
    <x v="442"/>
    <s v="H"/>
    <x v="3"/>
    <x v="30"/>
    <d v="1899-12-30T03:00:00"/>
    <s v="03"/>
    <s v="00"/>
    <x v="0"/>
    <x v="2"/>
    <x v="37"/>
    <d v="1899-12-30T01:00:00"/>
    <x v="6"/>
    <x v="0"/>
    <n v="1"/>
  </r>
  <r>
    <x v="1"/>
    <s v="14/15"/>
    <x v="4"/>
    <x v="51"/>
    <x v="443"/>
    <s v="H"/>
    <x v="2"/>
    <x v="43"/>
    <d v="1899-12-30T05:01:00"/>
    <s v="05"/>
    <s v="01"/>
    <x v="0"/>
    <x v="1"/>
    <x v="16"/>
    <d v="1899-12-30T01:01:00"/>
    <x v="3"/>
    <x v="19"/>
    <n v="0"/>
  </r>
  <r>
    <x v="1"/>
    <s v="14/15"/>
    <x v="4"/>
    <x v="51"/>
    <x v="443"/>
    <s v="H"/>
    <x v="2"/>
    <x v="43"/>
    <d v="1899-12-30T05:01:00"/>
    <s v="05"/>
    <s v="01"/>
    <x v="0"/>
    <x v="1"/>
    <x v="25"/>
    <d v="1899-12-30T02:01:00"/>
    <x v="2"/>
    <x v="84"/>
    <n v="0"/>
  </r>
  <r>
    <x v="1"/>
    <s v="14/15"/>
    <x v="4"/>
    <x v="51"/>
    <x v="443"/>
    <s v="H"/>
    <x v="2"/>
    <x v="43"/>
    <d v="1899-12-30T05:01:00"/>
    <s v="05"/>
    <s v="01"/>
    <x v="0"/>
    <x v="1"/>
    <x v="58"/>
    <d v="1899-12-30T05:01:00"/>
    <x v="2"/>
    <x v="44"/>
    <n v="0"/>
  </r>
  <r>
    <x v="0"/>
    <s v="14/15"/>
    <x v="6"/>
    <x v="18"/>
    <x v="444"/>
    <s v="H"/>
    <x v="3"/>
    <x v="109"/>
    <d v="1899-12-30T04:00:00"/>
    <s v="04"/>
    <s v="00"/>
    <x v="0"/>
    <x v="5"/>
    <x v="92"/>
    <d v="1899-12-30T01:00:00"/>
    <x v="6"/>
    <x v="0"/>
    <n v="1"/>
  </r>
  <r>
    <x v="1"/>
    <s v="14/15"/>
    <x v="6"/>
    <x v="18"/>
    <x v="445"/>
    <s v="H"/>
    <x v="2"/>
    <x v="104"/>
    <d v="1899-12-30T03:01:00"/>
    <s v="03"/>
    <s v="01"/>
    <x v="0"/>
    <x v="6"/>
    <x v="36"/>
    <d v="1899-12-30T01:01:00"/>
    <x v="2"/>
    <x v="84"/>
    <n v="0"/>
  </r>
  <r>
    <x v="0"/>
    <s v="14/15"/>
    <x v="4"/>
    <x v="30"/>
    <x v="446"/>
    <s v="A"/>
    <x v="3"/>
    <x v="79"/>
    <d v="1899-12-30T01:04:00"/>
    <s v="01"/>
    <s v="04"/>
    <x v="1"/>
    <x v="2"/>
    <x v="58"/>
    <d v="1899-12-30T01:03:00"/>
    <x v="2"/>
    <x v="43"/>
    <n v="0"/>
  </r>
  <r>
    <x v="0"/>
    <s v="14/15"/>
    <x v="4"/>
    <x v="30"/>
    <x v="446"/>
    <s v="A"/>
    <x v="3"/>
    <x v="79"/>
    <d v="1899-12-30T01:04:00"/>
    <s v="01"/>
    <s v="04"/>
    <x v="1"/>
    <x v="2"/>
    <x v="7"/>
    <d v="1899-12-30T01:04:00"/>
    <x v="2"/>
    <x v="78"/>
    <n v="0"/>
  </r>
  <r>
    <x v="1"/>
    <s v="14/15"/>
    <x v="4"/>
    <x v="9"/>
    <x v="447"/>
    <s v="H"/>
    <x v="2"/>
    <x v="103"/>
    <d v="1899-12-30T05:00:00"/>
    <s v="05"/>
    <s v="00"/>
    <x v="0"/>
    <x v="1"/>
    <x v="26"/>
    <d v="1899-12-30T04:00:00"/>
    <x v="2"/>
    <x v="0"/>
    <n v="1"/>
  </r>
  <r>
    <x v="1"/>
    <s v="14/15"/>
    <x v="4"/>
    <x v="9"/>
    <x v="447"/>
    <s v="H"/>
    <x v="2"/>
    <x v="103"/>
    <d v="1899-12-30T05:00:00"/>
    <s v="05"/>
    <s v="00"/>
    <x v="0"/>
    <x v="1"/>
    <x v="21"/>
    <d v="1899-12-30T05:00:00"/>
    <x v="2"/>
    <x v="0"/>
    <n v="1"/>
  </r>
  <r>
    <x v="0"/>
    <s v="14/15"/>
    <x v="4"/>
    <x v="31"/>
    <x v="448"/>
    <s v="A"/>
    <x v="3"/>
    <x v="58"/>
    <d v="1899-12-30T02:01:00"/>
    <s v="02"/>
    <s v="01"/>
    <x v="0"/>
    <x v="0"/>
    <x v="30"/>
    <d v="1899-12-30T00:01:00"/>
    <x v="6"/>
    <x v="0"/>
    <n v="1"/>
  </r>
  <r>
    <x v="1"/>
    <s v="14/15"/>
    <x v="8"/>
    <x v="44"/>
    <x v="449"/>
    <s v="H"/>
    <x v="2"/>
    <x v="106"/>
    <d v="1899-12-30T05:00:00"/>
    <s v="05"/>
    <s v="00"/>
    <x v="0"/>
    <x v="7"/>
    <x v="32"/>
    <d v="1899-12-30T03:00:00"/>
    <x v="6"/>
    <x v="0"/>
    <n v="1"/>
  </r>
  <r>
    <x v="1"/>
    <s v="14/15"/>
    <x v="4"/>
    <x v="42"/>
    <x v="450"/>
    <s v="H"/>
    <x v="2"/>
    <x v="42"/>
    <d v="1899-12-30T03:01:00"/>
    <s v="03"/>
    <s v="01"/>
    <x v="0"/>
    <x v="1"/>
    <x v="11"/>
    <d v="1899-12-30T03:01:00"/>
    <x v="3"/>
    <x v="0"/>
    <n v="1"/>
  </r>
  <r>
    <x v="0"/>
    <s v="14/15"/>
    <x v="8"/>
    <x v="44"/>
    <x v="451"/>
    <s v="H"/>
    <x v="3"/>
    <x v="42"/>
    <d v="1899-12-30T02:02:00"/>
    <s v="02"/>
    <s v="02"/>
    <x v="2"/>
    <x v="2"/>
    <x v="14"/>
    <d v="1899-12-30T02:02:00"/>
    <x v="1"/>
    <x v="77"/>
    <n v="0"/>
  </r>
  <r>
    <x v="0"/>
    <s v="14/15"/>
    <x v="4"/>
    <x v="22"/>
    <x v="452"/>
    <s v="A"/>
    <x v="3"/>
    <x v="40"/>
    <d v="1899-12-30T00:03:00"/>
    <s v="00"/>
    <s v="03"/>
    <x v="1"/>
    <x v="0"/>
    <x v="20"/>
    <d v="1899-12-30T00:01:00"/>
    <x v="3"/>
    <x v="43"/>
    <n v="0"/>
  </r>
  <r>
    <x v="0"/>
    <s v="14/15"/>
    <x v="4"/>
    <x v="22"/>
    <x v="452"/>
    <s v="A"/>
    <x v="3"/>
    <x v="40"/>
    <d v="1899-12-30T00:03:00"/>
    <s v="00"/>
    <s v="03"/>
    <x v="1"/>
    <x v="0"/>
    <x v="54"/>
    <d v="1899-12-30T00:03:00"/>
    <x v="1"/>
    <x v="81"/>
    <n v="0"/>
  </r>
  <r>
    <x v="1"/>
    <s v="14/15"/>
    <x v="4"/>
    <x v="22"/>
    <x v="452"/>
    <s v="A"/>
    <x v="2"/>
    <x v="38"/>
    <d v="1899-12-30T00:04:00"/>
    <s v="00"/>
    <s v="04"/>
    <x v="1"/>
    <x v="1"/>
    <x v="45"/>
    <d v="1899-12-30T00:01:00"/>
    <x v="1"/>
    <x v="85"/>
    <n v="0"/>
  </r>
  <r>
    <x v="1"/>
    <s v="14/15"/>
    <x v="4"/>
    <x v="22"/>
    <x v="452"/>
    <s v="A"/>
    <x v="2"/>
    <x v="38"/>
    <d v="1899-12-30T00:04:00"/>
    <s v="00"/>
    <s v="04"/>
    <x v="1"/>
    <x v="1"/>
    <x v="94"/>
    <d v="1899-12-30T00:02:00"/>
    <x v="3"/>
    <x v="84"/>
    <n v="0"/>
  </r>
  <r>
    <x v="1"/>
    <s v="14/15"/>
    <x v="4"/>
    <x v="22"/>
    <x v="452"/>
    <s v="A"/>
    <x v="2"/>
    <x v="38"/>
    <d v="1899-12-30T00:04:00"/>
    <s v="00"/>
    <s v="04"/>
    <x v="1"/>
    <x v="1"/>
    <x v="52"/>
    <d v="1899-12-30T00:03:00"/>
    <x v="3"/>
    <x v="85"/>
    <n v="0"/>
  </r>
  <r>
    <x v="1"/>
    <s v="14/15"/>
    <x v="8"/>
    <x v="24"/>
    <x v="453"/>
    <s v="H"/>
    <x v="2"/>
    <x v="42"/>
    <d v="1899-12-30T01:00:00"/>
    <s v="01"/>
    <s v="00"/>
    <x v="0"/>
    <x v="7"/>
    <x v="41"/>
    <d v="1899-12-30T01:00:00"/>
    <x v="7"/>
    <x v="0"/>
    <n v="1"/>
  </r>
  <r>
    <x v="1"/>
    <s v="14/15"/>
    <x v="4"/>
    <x v="21"/>
    <x v="454"/>
    <s v="A"/>
    <x v="2"/>
    <x v="106"/>
    <d v="1899-12-30T00:06:00"/>
    <s v="00"/>
    <s v="06"/>
    <x v="1"/>
    <x v="2"/>
    <x v="2"/>
    <d v="1899-12-30T00:05:00"/>
    <x v="3"/>
    <x v="82"/>
    <n v="0"/>
  </r>
  <r>
    <x v="1"/>
    <s v="14/15"/>
    <x v="4"/>
    <x v="21"/>
    <x v="454"/>
    <s v="A"/>
    <x v="2"/>
    <x v="106"/>
    <d v="1899-12-30T00:06:00"/>
    <s v="00"/>
    <s v="06"/>
    <x v="1"/>
    <x v="2"/>
    <x v="82"/>
    <d v="1899-12-30T00:02:00"/>
    <x v="6"/>
    <x v="0"/>
    <n v="1"/>
  </r>
  <r>
    <x v="1"/>
    <s v="14/15"/>
    <x v="4"/>
    <x v="23"/>
    <x v="455"/>
    <s v="H"/>
    <x v="2"/>
    <x v="76"/>
    <d v="1899-12-30T03:02:00"/>
    <s v="03"/>
    <s v="02"/>
    <x v="0"/>
    <x v="1"/>
    <x v="82"/>
    <d v="1899-12-30T03:02:00"/>
    <x v="2"/>
    <x v="84"/>
    <n v="0"/>
  </r>
  <r>
    <x v="1"/>
    <s v="14/15"/>
    <x v="4"/>
    <x v="43"/>
    <x v="456"/>
    <s v="A"/>
    <x v="2"/>
    <x v="23"/>
    <d v="1899-12-30T02:05:00"/>
    <s v="02"/>
    <s v="05"/>
    <x v="1"/>
    <x v="1"/>
    <x v="84"/>
    <d v="1899-12-30T00:01:00"/>
    <x v="4"/>
    <x v="0"/>
    <n v="1"/>
  </r>
  <r>
    <x v="1"/>
    <s v="14/15"/>
    <x v="8"/>
    <x v="15"/>
    <x v="457"/>
    <s v="H"/>
    <x v="2"/>
    <x v="76"/>
    <d v="1899-12-30T03:01:00"/>
    <s v="03"/>
    <s v="01"/>
    <x v="0"/>
    <x v="1"/>
    <x v="56"/>
    <d v="1899-12-30T01:00:00"/>
    <x v="3"/>
    <x v="84"/>
    <n v="0"/>
  </r>
  <r>
    <x v="1"/>
    <s v="14/15"/>
    <x v="4"/>
    <x v="32"/>
    <x v="458"/>
    <s v="H"/>
    <x v="2"/>
    <x v="47"/>
    <d v="1899-12-30T05:00:00"/>
    <s v="05"/>
    <s v="00"/>
    <x v="0"/>
    <x v="2"/>
    <x v="31"/>
    <d v="1899-12-30T02:00:00"/>
    <x v="2"/>
    <x v="82"/>
    <n v="0"/>
  </r>
  <r>
    <x v="1"/>
    <s v="14/15"/>
    <x v="4"/>
    <x v="32"/>
    <x v="458"/>
    <s v="H"/>
    <x v="2"/>
    <x v="47"/>
    <d v="1899-12-30T05:00:00"/>
    <s v="05"/>
    <s v="00"/>
    <x v="0"/>
    <x v="2"/>
    <x v="34"/>
    <d v="1899-12-30T03:00:00"/>
    <x v="2"/>
    <x v="44"/>
    <n v="0"/>
  </r>
  <r>
    <x v="1"/>
    <s v="14/15"/>
    <x v="4"/>
    <x v="32"/>
    <x v="458"/>
    <s v="H"/>
    <x v="2"/>
    <x v="47"/>
    <d v="1899-12-30T05:00:00"/>
    <s v="05"/>
    <s v="00"/>
    <x v="0"/>
    <x v="2"/>
    <x v="77"/>
    <d v="1899-12-30T04:00:00"/>
    <x v="6"/>
    <x v="0"/>
    <n v="1"/>
  </r>
  <r>
    <x v="0"/>
    <s v="14/15"/>
    <x v="6"/>
    <x v="44"/>
    <x v="459"/>
    <s v="A"/>
    <x v="3"/>
    <x v="108"/>
    <d v="1899-12-30T00:02:00"/>
    <s v="00"/>
    <s v="02"/>
    <x v="1"/>
    <x v="0"/>
    <x v="72"/>
    <d v="1899-12-30T00:01:00"/>
    <x v="1"/>
    <x v="78"/>
    <n v="0"/>
  </r>
  <r>
    <x v="0"/>
    <s v="14/15"/>
    <x v="4"/>
    <x v="11"/>
    <x v="460"/>
    <s v="A"/>
    <x v="3"/>
    <x v="106"/>
    <d v="1899-12-30T00:02:00"/>
    <s v="00"/>
    <s v="02"/>
    <x v="1"/>
    <x v="2"/>
    <x v="64"/>
    <d v="1899-12-30T00:02:00"/>
    <x v="1"/>
    <x v="76"/>
    <n v="0"/>
  </r>
  <r>
    <x v="1"/>
    <s v="14/15"/>
    <x v="4"/>
    <x v="12"/>
    <x v="461"/>
    <s v="A"/>
    <x v="2"/>
    <x v="97"/>
    <d v="1899-12-30T01:03:00"/>
    <s v="01"/>
    <s v="03"/>
    <x v="1"/>
    <x v="1"/>
    <x v="62"/>
    <d v="1899-12-30T01:03:00"/>
    <x v="2"/>
    <x v="84"/>
    <n v="0"/>
  </r>
  <r>
    <x v="0"/>
    <s v="14/15"/>
    <x v="4"/>
    <x v="12"/>
    <x v="462"/>
    <s v="H"/>
    <x v="3"/>
    <x v="76"/>
    <d v="1899-12-30T01:01:00"/>
    <s v="01"/>
    <s v="01"/>
    <x v="2"/>
    <x v="2"/>
    <x v="95"/>
    <d v="1899-12-30T01:00:00"/>
    <x v="6"/>
    <x v="0"/>
    <n v="1"/>
  </r>
  <r>
    <x v="1"/>
    <s v="14/15"/>
    <x v="4"/>
    <x v="25"/>
    <x v="463"/>
    <s v="H"/>
    <x v="2"/>
    <x v="92"/>
    <d v="1899-12-30T06:01:00"/>
    <s v="06"/>
    <s v="01"/>
    <x v="0"/>
    <x v="1"/>
    <x v="66"/>
    <d v="1899-12-30T03:00:00"/>
    <x v="6"/>
    <x v="0"/>
    <n v="1"/>
  </r>
  <r>
    <x v="1"/>
    <s v="14/15"/>
    <x v="4"/>
    <x v="25"/>
    <x v="463"/>
    <s v="H"/>
    <x v="2"/>
    <x v="92"/>
    <d v="1899-12-30T06:01:00"/>
    <s v="06"/>
    <s v="01"/>
    <x v="0"/>
    <x v="1"/>
    <x v="24"/>
    <d v="1899-12-30T05:00:00"/>
    <x v="3"/>
    <x v="44"/>
    <n v="0"/>
  </r>
  <r>
    <x v="1"/>
    <s v="14/15"/>
    <x v="4"/>
    <x v="25"/>
    <x v="463"/>
    <s v="H"/>
    <x v="2"/>
    <x v="92"/>
    <d v="1899-12-30T06:01:00"/>
    <s v="06"/>
    <s v="01"/>
    <x v="0"/>
    <x v="1"/>
    <x v="20"/>
    <d v="1899-12-30T04:00:00"/>
    <x v="5"/>
    <x v="0"/>
    <n v="1"/>
  </r>
  <r>
    <x v="0"/>
    <s v="14/15"/>
    <x v="6"/>
    <x v="44"/>
    <x v="464"/>
    <s v="H"/>
    <x v="3"/>
    <x v="108"/>
    <d v="1899-12-30T03:04:00"/>
    <s v="03"/>
    <s v="04"/>
    <x v="1"/>
    <x v="2"/>
    <x v="32"/>
    <d v="1899-12-30T02:02:00"/>
    <x v="1"/>
    <x v="68"/>
    <n v="0"/>
  </r>
  <r>
    <x v="0"/>
    <s v="14/15"/>
    <x v="6"/>
    <x v="44"/>
    <x v="464"/>
    <s v="H"/>
    <x v="3"/>
    <x v="108"/>
    <d v="1899-12-30T03:04:00"/>
    <s v="03"/>
    <s v="04"/>
    <x v="1"/>
    <x v="2"/>
    <x v="73"/>
    <d v="1899-12-30T01:01:00"/>
    <x v="1"/>
    <x v="86"/>
    <n v="0"/>
  </r>
  <r>
    <x v="1"/>
    <s v="14/15"/>
    <x v="4"/>
    <x v="33"/>
    <x v="465"/>
    <s v="A"/>
    <x v="2"/>
    <x v="110"/>
    <d v="1899-12-30T00:02:00"/>
    <s v="00"/>
    <s v="02"/>
    <x v="1"/>
    <x v="7"/>
    <x v="82"/>
    <d v="1899-12-30T00:02:00"/>
    <x v="1"/>
    <x v="85"/>
    <n v="0"/>
  </r>
  <r>
    <x v="1"/>
    <s v="14/15"/>
    <x v="4"/>
    <x v="33"/>
    <x v="465"/>
    <s v="A"/>
    <x v="2"/>
    <x v="110"/>
    <d v="1899-12-30T00:02:00"/>
    <s v="00"/>
    <s v="02"/>
    <x v="1"/>
    <x v="7"/>
    <x v="78"/>
    <d v="1899-12-30T00:01:00"/>
    <x v="6"/>
    <x v="0"/>
    <n v="1"/>
  </r>
  <r>
    <x v="0"/>
    <s v="14/15"/>
    <x v="4"/>
    <x v="26"/>
    <x v="466"/>
    <s v="A"/>
    <x v="3"/>
    <x v="91"/>
    <d v="1899-12-30T02:01:00"/>
    <s v="02"/>
    <s v="01"/>
    <x v="0"/>
    <x v="0"/>
    <x v="78"/>
    <d v="1899-12-30T01:01:00"/>
    <x v="2"/>
    <x v="43"/>
    <n v="0"/>
  </r>
  <r>
    <x v="0"/>
    <s v="14/15"/>
    <x v="4"/>
    <x v="5"/>
    <x v="467"/>
    <s v="H"/>
    <x v="3"/>
    <x v="97"/>
    <d v="1899-12-30T09:01:00"/>
    <s v="09"/>
    <s v="01"/>
    <x v="0"/>
    <x v="2"/>
    <x v="31"/>
    <d v="1899-12-30T04:00:00"/>
    <x v="10"/>
    <x v="77"/>
    <n v="0"/>
  </r>
  <r>
    <x v="0"/>
    <s v="14/15"/>
    <x v="4"/>
    <x v="5"/>
    <x v="467"/>
    <s v="H"/>
    <x v="3"/>
    <x v="97"/>
    <d v="1899-12-30T09:01:00"/>
    <s v="09"/>
    <s v="01"/>
    <x v="0"/>
    <x v="2"/>
    <x v="21"/>
    <d v="1899-12-30T09:01:00"/>
    <x v="1"/>
    <x v="74"/>
    <n v="0"/>
  </r>
  <r>
    <x v="0"/>
    <s v="14/15"/>
    <x v="4"/>
    <x v="5"/>
    <x v="467"/>
    <s v="H"/>
    <x v="3"/>
    <x v="97"/>
    <d v="1899-12-30T09:01:00"/>
    <s v="09"/>
    <s v="01"/>
    <x v="0"/>
    <x v="2"/>
    <x v="74"/>
    <d v="1899-12-30T02:00:00"/>
    <x v="2"/>
    <x v="81"/>
    <n v="0"/>
  </r>
  <r>
    <x v="0"/>
    <s v="14/15"/>
    <x v="4"/>
    <x v="5"/>
    <x v="467"/>
    <s v="H"/>
    <x v="3"/>
    <x v="97"/>
    <d v="1899-12-30T09:01:00"/>
    <s v="09"/>
    <s v="01"/>
    <x v="0"/>
    <x v="2"/>
    <x v="37"/>
    <d v="1899-12-30T03:00:00"/>
    <x v="2"/>
    <x v="0"/>
    <n v="1"/>
  </r>
  <r>
    <x v="0"/>
    <s v="14/15"/>
    <x v="4"/>
    <x v="5"/>
    <x v="467"/>
    <s v="H"/>
    <x v="3"/>
    <x v="97"/>
    <d v="1899-12-30T09:01:00"/>
    <s v="09"/>
    <s v="01"/>
    <x v="0"/>
    <x v="2"/>
    <x v="14"/>
    <d v="1899-12-30T06:00:00"/>
    <x v="1"/>
    <x v="77"/>
    <n v="0"/>
  </r>
  <r>
    <x v="0"/>
    <s v="14/15"/>
    <x v="4"/>
    <x v="14"/>
    <x v="468"/>
    <s v="A"/>
    <x v="3"/>
    <x v="92"/>
    <d v="1899-12-30T00:02:00"/>
    <s v="00"/>
    <s v="02"/>
    <x v="1"/>
    <x v="0"/>
    <x v="24"/>
    <d v="1899-12-30T00:01:00"/>
    <x v="1"/>
    <x v="78"/>
    <n v="0"/>
  </r>
  <r>
    <x v="1"/>
    <s v="14/15"/>
    <x v="4"/>
    <x v="14"/>
    <x v="468"/>
    <s v="H"/>
    <x v="2"/>
    <x v="50"/>
    <d v="1899-12-30T04:00:00"/>
    <s v="04"/>
    <s v="00"/>
    <x v="0"/>
    <x v="1"/>
    <x v="94"/>
    <d v="1899-12-30T01:00:00"/>
    <x v="3"/>
    <x v="82"/>
    <n v="0"/>
  </r>
  <r>
    <x v="1"/>
    <s v="14/15"/>
    <x v="4"/>
    <x v="45"/>
    <x v="469"/>
    <s v="A"/>
    <x v="2"/>
    <x v="34"/>
    <d v="1899-12-30T02:02:00"/>
    <s v="02"/>
    <s v="02"/>
    <x v="2"/>
    <x v="1"/>
    <x v="84"/>
    <d v="1899-12-30T00:01:00"/>
    <x v="3"/>
    <x v="75"/>
    <n v="0"/>
  </r>
  <r>
    <x v="0"/>
    <s v="14/15"/>
    <x v="4"/>
    <x v="45"/>
    <x v="469"/>
    <s v="H"/>
    <x v="3"/>
    <x v="110"/>
    <d v="1899-12-30T03:00:00"/>
    <s v="03"/>
    <s v="00"/>
    <x v="0"/>
    <x v="0"/>
    <x v="17"/>
    <d v="1899-12-30T01:00:00"/>
    <x v="4"/>
    <x v="0"/>
    <n v="1"/>
  </r>
  <r>
    <x v="1"/>
    <s v="14/15"/>
    <x v="4"/>
    <x v="6"/>
    <x v="470"/>
    <s v="H"/>
    <x v="2"/>
    <x v="58"/>
    <d v="1899-12-30T02:00:00"/>
    <s v="02"/>
    <s v="00"/>
    <x v="0"/>
    <x v="1"/>
    <x v="98"/>
    <d v="1899-12-30T02:00:00"/>
    <x v="3"/>
    <x v="0"/>
    <n v="1"/>
  </r>
  <r>
    <x v="0"/>
    <s v="14/15"/>
    <x v="4"/>
    <x v="6"/>
    <x v="470"/>
    <s v="H"/>
    <x v="3"/>
    <x v="63"/>
    <d v="1899-12-30T03:01:00"/>
    <s v="03"/>
    <s v="01"/>
    <x v="0"/>
    <x v="2"/>
    <x v="63"/>
    <d v="1899-12-30T03:01:00"/>
    <x v="3"/>
    <x v="87"/>
    <n v="0"/>
  </r>
  <r>
    <x v="1"/>
    <s v="14/15"/>
    <x v="4"/>
    <x v="46"/>
    <x v="471"/>
    <s v="A"/>
    <x v="2"/>
    <x v="43"/>
    <d v="1899-12-30T00:02:00"/>
    <s v="00"/>
    <s v="02"/>
    <x v="1"/>
    <x v="1"/>
    <x v="73"/>
    <d v="1899-12-30T00:02:00"/>
    <x v="3"/>
    <x v="84"/>
    <n v="0"/>
  </r>
  <r>
    <x v="1"/>
    <s v="14/15"/>
    <x v="4"/>
    <x v="16"/>
    <x v="472"/>
    <s v="H"/>
    <x v="2"/>
    <x v="40"/>
    <d v="1899-12-30T06:00:00"/>
    <s v="06"/>
    <s v="00"/>
    <x v="0"/>
    <x v="1"/>
    <x v="42"/>
    <d v="1899-12-30T06:00:00"/>
    <x v="3"/>
    <x v="84"/>
    <n v="0"/>
  </r>
  <r>
    <x v="1"/>
    <s v="14/15"/>
    <x v="4"/>
    <x v="16"/>
    <x v="472"/>
    <s v="H"/>
    <x v="2"/>
    <x v="40"/>
    <d v="1899-12-30T06:00:00"/>
    <s v="06"/>
    <s v="00"/>
    <x v="0"/>
    <x v="1"/>
    <x v="12"/>
    <d v="1899-12-30T01:00:00"/>
    <x v="6"/>
    <x v="0"/>
    <n v="1"/>
  </r>
  <r>
    <x v="0"/>
    <s v="14/15"/>
    <x v="4"/>
    <x v="36"/>
    <x v="473"/>
    <s v="A"/>
    <x v="3"/>
    <x v="34"/>
    <d v="1899-12-30T02:03:00"/>
    <s v="02"/>
    <s v="03"/>
    <x v="1"/>
    <x v="2"/>
    <x v="64"/>
    <d v="1899-12-30T01:03:00"/>
    <x v="1"/>
    <x v="77"/>
    <n v="0"/>
  </r>
  <r>
    <x v="0"/>
    <s v="14/15"/>
    <x v="4"/>
    <x v="36"/>
    <x v="473"/>
    <s v="A"/>
    <x v="3"/>
    <x v="34"/>
    <d v="1899-12-30T02:03:00"/>
    <s v="02"/>
    <s v="03"/>
    <x v="1"/>
    <x v="2"/>
    <x v="91"/>
    <d v="1899-12-30T00:02:00"/>
    <x v="2"/>
    <x v="87"/>
    <n v="0"/>
  </r>
  <r>
    <x v="1"/>
    <s v="14/15"/>
    <x v="4"/>
    <x v="36"/>
    <x v="473"/>
    <s v="A"/>
    <x v="2"/>
    <x v="103"/>
    <d v="1899-12-30T00:08:00"/>
    <s v="00"/>
    <s v="08"/>
    <x v="1"/>
    <x v="1"/>
    <x v="5"/>
    <d v="1899-12-30T00:06:00"/>
    <x v="3"/>
    <x v="84"/>
    <n v="0"/>
  </r>
  <r>
    <x v="1"/>
    <s v="14/15"/>
    <x v="4"/>
    <x v="36"/>
    <x v="473"/>
    <s v="A"/>
    <x v="2"/>
    <x v="103"/>
    <d v="1899-12-30T00:08:00"/>
    <s v="00"/>
    <s v="08"/>
    <x v="1"/>
    <x v="1"/>
    <x v="42"/>
    <d v="1899-12-30T00:03:00"/>
    <x v="1"/>
    <x v="34"/>
    <n v="0"/>
  </r>
  <r>
    <x v="0"/>
    <s v="14/15"/>
    <x v="4"/>
    <x v="36"/>
    <x v="473"/>
    <s v="A"/>
    <x v="3"/>
    <x v="34"/>
    <d v="1899-12-30T02:03:00"/>
    <s v="02"/>
    <s v="03"/>
    <x v="1"/>
    <x v="2"/>
    <x v="37"/>
    <d v="1899-12-30T00:01:00"/>
    <x v="1"/>
    <x v="76"/>
    <n v="0"/>
  </r>
  <r>
    <x v="0"/>
    <s v="14/15"/>
    <x v="6"/>
    <x v="15"/>
    <x v="474"/>
    <s v="A"/>
    <x v="3"/>
    <x v="107"/>
    <d v="1899-12-30T02:01:00"/>
    <s v="02"/>
    <s v="01"/>
    <x v="0"/>
    <x v="2"/>
    <x v="83"/>
    <d v="1899-12-30T01:01:00"/>
    <x v="1"/>
    <x v="81"/>
    <n v="0"/>
  </r>
  <r>
    <x v="1"/>
    <s v="14/15"/>
    <x v="6"/>
    <x v="15"/>
    <x v="475"/>
    <s v="H"/>
    <x v="2"/>
    <x v="70"/>
    <d v="1899-12-30T03:00:00"/>
    <s v="03"/>
    <s v="00"/>
    <x v="0"/>
    <x v="1"/>
    <x v="5"/>
    <d v="1899-12-30T02:00:00"/>
    <x v="2"/>
    <x v="85"/>
    <n v="0"/>
  </r>
  <r>
    <x v="1"/>
    <s v="14/15"/>
    <x v="6"/>
    <x v="15"/>
    <x v="475"/>
    <s v="H"/>
    <x v="2"/>
    <x v="70"/>
    <d v="1899-12-30T03:00:00"/>
    <s v="03"/>
    <s v="00"/>
    <x v="0"/>
    <x v="1"/>
    <x v="43"/>
    <d v="1899-12-30T01:00:00"/>
    <x v="3"/>
    <x v="34"/>
    <n v="0"/>
  </r>
  <r>
    <x v="0"/>
    <s v="14/15"/>
    <x v="6"/>
    <x v="15"/>
    <x v="476"/>
    <s v="H"/>
    <x v="3"/>
    <x v="107"/>
    <d v="1899-12-30T01:01:00"/>
    <s v="01"/>
    <s v="01"/>
    <x v="2"/>
    <x v="0"/>
    <x v="35"/>
    <d v="1899-12-30T01:00:00"/>
    <x v="6"/>
    <x v="0"/>
    <n v="1"/>
  </r>
  <r>
    <x v="0"/>
    <s v="14/15"/>
    <x v="4"/>
    <x v="35"/>
    <x v="477"/>
    <s v="A"/>
    <x v="3"/>
    <x v="43"/>
    <d v="1899-12-30T01:04:00"/>
    <s v="01"/>
    <s v="04"/>
    <x v="1"/>
    <x v="0"/>
    <x v="34"/>
    <d v="1899-12-30T00:01:00"/>
    <x v="3"/>
    <x v="43"/>
    <n v="0"/>
  </r>
  <r>
    <x v="0"/>
    <s v="14/15"/>
    <x v="4"/>
    <x v="35"/>
    <x v="477"/>
    <s v="A"/>
    <x v="3"/>
    <x v="43"/>
    <d v="1899-12-30T01:04:00"/>
    <s v="01"/>
    <s v="04"/>
    <x v="1"/>
    <x v="0"/>
    <x v="27"/>
    <d v="1899-12-30T01:03:00"/>
    <x v="2"/>
    <x v="87"/>
    <n v="0"/>
  </r>
  <r>
    <x v="0"/>
    <s v="14/15"/>
    <x v="4"/>
    <x v="35"/>
    <x v="477"/>
    <s v="A"/>
    <x v="3"/>
    <x v="43"/>
    <d v="1899-12-30T01:04:00"/>
    <s v="01"/>
    <s v="04"/>
    <x v="1"/>
    <x v="0"/>
    <x v="19"/>
    <d v="1899-12-30T01:04:00"/>
    <x v="1"/>
    <x v="81"/>
    <n v="0"/>
  </r>
  <r>
    <x v="1"/>
    <s v="14/15"/>
    <x v="4"/>
    <x v="35"/>
    <x v="477"/>
    <s v="A"/>
    <x v="2"/>
    <x v="42"/>
    <d v="1899-12-30T00:01:00"/>
    <s v="00"/>
    <s v="01"/>
    <x v="1"/>
    <x v="1"/>
    <x v="77"/>
    <d v="1899-12-30T00:01:00"/>
    <x v="3"/>
    <x v="44"/>
    <n v="0"/>
  </r>
  <r>
    <x v="0"/>
    <s v="14/15"/>
    <x v="4"/>
    <x v="7"/>
    <x v="478"/>
    <s v="H"/>
    <x v="3"/>
    <x v="40"/>
    <d v="1899-12-30T07:03:00"/>
    <s v="07"/>
    <s v="03"/>
    <x v="0"/>
    <x v="0"/>
    <x v="71"/>
    <d v="1899-12-30T02:02:00"/>
    <x v="4"/>
    <x v="0"/>
    <n v="1"/>
  </r>
  <r>
    <x v="0"/>
    <s v="14/15"/>
    <x v="4"/>
    <x v="7"/>
    <x v="478"/>
    <s v="H"/>
    <x v="3"/>
    <x v="40"/>
    <d v="1899-12-30T07:03:00"/>
    <s v="07"/>
    <s v="03"/>
    <x v="0"/>
    <x v="0"/>
    <x v="0"/>
    <d v="1899-12-30T03:02:00"/>
    <x v="6"/>
    <x v="0"/>
    <n v="1"/>
  </r>
  <r>
    <x v="1"/>
    <s v="14/15"/>
    <x v="4"/>
    <x v="7"/>
    <x v="478"/>
    <s v="H"/>
    <x v="2"/>
    <x v="38"/>
    <d v="1899-12-30T02:02:00"/>
    <s v="02"/>
    <s v="02"/>
    <x v="2"/>
    <x v="1"/>
    <x v="34"/>
    <d v="1899-12-30T02:00:00"/>
    <x v="2"/>
    <x v="75"/>
    <n v="0"/>
  </r>
  <r>
    <x v="1"/>
    <s v="14/15"/>
    <x v="4"/>
    <x v="7"/>
    <x v="478"/>
    <s v="H"/>
    <x v="2"/>
    <x v="38"/>
    <d v="1899-12-30T02:02:00"/>
    <s v="02"/>
    <s v="02"/>
    <x v="2"/>
    <x v="1"/>
    <x v="49"/>
    <d v="1899-12-30T01:00:00"/>
    <x v="1"/>
    <x v="83"/>
    <n v="0"/>
  </r>
  <r>
    <x v="0"/>
    <s v="14/15"/>
    <x v="4"/>
    <x v="7"/>
    <x v="478"/>
    <s v="H"/>
    <x v="3"/>
    <x v="40"/>
    <d v="1899-12-30T07:03:00"/>
    <s v="07"/>
    <s v="03"/>
    <x v="0"/>
    <x v="0"/>
    <x v="4"/>
    <d v="1899-12-30T01:00:00"/>
    <x v="1"/>
    <x v="52"/>
    <n v="0"/>
  </r>
  <r>
    <x v="1"/>
    <s v="14/15"/>
    <x v="8"/>
    <x v="8"/>
    <x v="479"/>
    <s v="A"/>
    <x v="2"/>
    <x v="23"/>
    <d v="1899-12-30T01:03:00"/>
    <s v="01"/>
    <s v="03"/>
    <x v="1"/>
    <x v="1"/>
    <x v="6"/>
    <d v="1899-12-30T00:03:00"/>
    <x v="3"/>
    <x v="34"/>
    <n v="0"/>
  </r>
  <r>
    <x v="1"/>
    <s v="14/15"/>
    <x v="8"/>
    <x v="8"/>
    <x v="479"/>
    <s v="A"/>
    <x v="2"/>
    <x v="23"/>
    <d v="1899-12-30T01:03:00"/>
    <s v="01"/>
    <s v="03"/>
    <x v="1"/>
    <x v="1"/>
    <x v="92"/>
    <d v="1899-12-30T00:01:00"/>
    <x v="0"/>
    <x v="0"/>
    <n v="1"/>
  </r>
  <r>
    <x v="1"/>
    <s v="15/16"/>
    <x v="11"/>
    <x v="8"/>
    <x v="480"/>
    <s v="H"/>
    <x v="2"/>
    <x v="34"/>
    <d v="1899-12-30T05:04:00"/>
    <n v="5"/>
    <n v="4"/>
    <x v="0"/>
    <x v="1"/>
    <x v="67"/>
    <d v="1899-12-30T02:01:00"/>
    <x v="4"/>
    <x v="0"/>
    <n v="1"/>
  </r>
  <r>
    <x v="1"/>
    <s v="15/16"/>
    <x v="11"/>
    <x v="8"/>
    <x v="480"/>
    <s v="H"/>
    <x v="2"/>
    <x v="34"/>
    <d v="1899-12-30T05:04:00"/>
    <n v="5"/>
    <n v="4"/>
    <x v="0"/>
    <x v="1"/>
    <x v="89"/>
    <d v="1899-12-30T01:01:00"/>
    <x v="4"/>
    <x v="0"/>
    <n v="1"/>
  </r>
  <r>
    <x v="1"/>
    <s v="15/16"/>
    <x v="10"/>
    <x v="8"/>
    <x v="481"/>
    <s v="H"/>
    <x v="2"/>
    <x v="23"/>
    <d v="1899-12-30T01:01:00"/>
    <s v="01"/>
    <s v="01"/>
    <x v="2"/>
    <x v="1"/>
    <x v="51"/>
    <d v="1899-12-30T01:00:00"/>
    <x v="3"/>
    <x v="84"/>
    <n v="0"/>
  </r>
  <r>
    <x v="0"/>
    <s v="15/16"/>
    <x v="4"/>
    <x v="47"/>
    <x v="482"/>
    <s v="A"/>
    <x v="3"/>
    <x v="43"/>
    <d v="1899-12-30T00:06:00"/>
    <s v="00"/>
    <s v="06"/>
    <x v="1"/>
    <x v="0"/>
    <x v="81"/>
    <d v="1899-12-30T00:02:00"/>
    <x v="6"/>
    <x v="0"/>
    <n v="1"/>
  </r>
  <r>
    <x v="0"/>
    <s v="15/16"/>
    <x v="4"/>
    <x v="47"/>
    <x v="482"/>
    <s v="A"/>
    <x v="3"/>
    <x v="43"/>
    <d v="1899-12-30T00:06:00"/>
    <s v="00"/>
    <s v="06"/>
    <x v="1"/>
    <x v="0"/>
    <x v="58"/>
    <d v="1899-12-30T00:06:00"/>
    <x v="2"/>
    <x v="88"/>
    <n v="0"/>
  </r>
  <r>
    <x v="0"/>
    <s v="15/16"/>
    <x v="4"/>
    <x v="47"/>
    <x v="482"/>
    <s v="A"/>
    <x v="3"/>
    <x v="43"/>
    <d v="1899-12-30T00:06:00"/>
    <s v="00"/>
    <s v="06"/>
    <x v="1"/>
    <x v="0"/>
    <x v="52"/>
    <d v="1899-12-30T00:05:00"/>
    <x v="2"/>
    <x v="77"/>
    <n v="0"/>
  </r>
  <r>
    <x v="0"/>
    <s v="15/16"/>
    <x v="4"/>
    <x v="47"/>
    <x v="482"/>
    <s v="A"/>
    <x v="3"/>
    <x v="43"/>
    <d v="1899-12-30T00:06:00"/>
    <s v="00"/>
    <s v="06"/>
    <x v="1"/>
    <x v="0"/>
    <x v="92"/>
    <d v="1899-12-30T00:03:00"/>
    <x v="3"/>
    <x v="77"/>
    <n v="0"/>
  </r>
  <r>
    <x v="0"/>
    <s v="15/16"/>
    <x v="4"/>
    <x v="47"/>
    <x v="482"/>
    <s v="A"/>
    <x v="3"/>
    <x v="43"/>
    <d v="1899-12-30T00:06:00"/>
    <s v="00"/>
    <s v="06"/>
    <x v="1"/>
    <x v="0"/>
    <x v="89"/>
    <d v="1899-12-30T00:01:00"/>
    <x v="2"/>
    <x v="74"/>
    <n v="0"/>
  </r>
  <r>
    <x v="1"/>
    <s v="15/16"/>
    <x v="4"/>
    <x v="47"/>
    <x v="482"/>
    <s v="A"/>
    <x v="2"/>
    <x v="42"/>
    <d v="1899-12-30T01:02:00"/>
    <s v="01"/>
    <s v="02"/>
    <x v="1"/>
    <x v="1"/>
    <x v="43"/>
    <d v="1899-12-30T01:02:00"/>
    <x v="3"/>
    <x v="84"/>
    <n v="0"/>
  </r>
  <r>
    <x v="0"/>
    <s v="15/16"/>
    <x v="6"/>
    <x v="18"/>
    <x v="483"/>
    <s v="H"/>
    <x v="3"/>
    <x v="61"/>
    <d v="1899-12-30T04:00:00"/>
    <s v="04"/>
    <s v="00"/>
    <x v="0"/>
    <x v="0"/>
    <x v="87"/>
    <d v="1899-12-30T03:00:00"/>
    <x v="6"/>
    <x v="0"/>
    <n v="1"/>
  </r>
  <r>
    <x v="0"/>
    <s v="15/16"/>
    <x v="6"/>
    <x v="18"/>
    <x v="483"/>
    <s v="H"/>
    <x v="3"/>
    <x v="61"/>
    <d v="1899-12-30T04:00:00"/>
    <s v="04"/>
    <s v="00"/>
    <x v="0"/>
    <x v="0"/>
    <x v="66"/>
    <d v="1899-12-30T02:00:00"/>
    <x v="6"/>
    <x v="0"/>
    <n v="1"/>
  </r>
  <r>
    <x v="0"/>
    <s v="15/16"/>
    <x v="6"/>
    <x v="18"/>
    <x v="483"/>
    <s v="H"/>
    <x v="3"/>
    <x v="61"/>
    <d v="1899-12-30T04:00:00"/>
    <s v="04"/>
    <s v="00"/>
    <x v="0"/>
    <x v="0"/>
    <x v="26"/>
    <d v="1899-12-30T04:00:00"/>
    <x v="1"/>
    <x v="0"/>
    <n v="1"/>
  </r>
  <r>
    <x v="1"/>
    <s v="15/16"/>
    <x v="4"/>
    <x v="37"/>
    <x v="484"/>
    <s v="H"/>
    <x v="2"/>
    <x v="47"/>
    <d v="1899-12-30T04:01:00"/>
    <s v="04"/>
    <s v="01"/>
    <x v="0"/>
    <x v="8"/>
    <x v="75"/>
    <d v="1899-12-30T03:00:00"/>
    <x v="6"/>
    <x v="0"/>
    <n v="1"/>
  </r>
  <r>
    <x v="1"/>
    <s v="15/16"/>
    <x v="4"/>
    <x v="37"/>
    <x v="484"/>
    <s v="H"/>
    <x v="2"/>
    <x v="47"/>
    <d v="1899-12-30T04:01:00"/>
    <s v="04"/>
    <s v="01"/>
    <x v="0"/>
    <x v="8"/>
    <x v="21"/>
    <d v="1899-12-30T04:01:00"/>
    <x v="3"/>
    <x v="82"/>
    <n v="0"/>
  </r>
  <r>
    <x v="0"/>
    <s v="15/16"/>
    <x v="6"/>
    <x v="18"/>
    <x v="485"/>
    <s v="A"/>
    <x v="3"/>
    <x v="111"/>
    <d v="1899-12-30T00:02:00"/>
    <s v="00"/>
    <s v="02"/>
    <x v="1"/>
    <x v="4"/>
    <x v="21"/>
    <d v="1899-12-30T00:02:00"/>
    <x v="3"/>
    <x v="88"/>
    <n v="0"/>
  </r>
  <r>
    <x v="0"/>
    <s v="15/16"/>
    <x v="6"/>
    <x v="18"/>
    <x v="485"/>
    <s v="A"/>
    <x v="3"/>
    <x v="111"/>
    <d v="1899-12-30T00:02:00"/>
    <s v="00"/>
    <s v="02"/>
    <x v="1"/>
    <x v="4"/>
    <x v="48"/>
    <d v="1899-12-30T00:01:00"/>
    <x v="2"/>
    <x v="76"/>
    <n v="0"/>
  </r>
  <r>
    <x v="0"/>
    <s v="15/16"/>
    <x v="4"/>
    <x v="1"/>
    <x v="486"/>
    <s v="H"/>
    <x v="3"/>
    <x v="47"/>
    <d v="1899-12-30T03:00:00"/>
    <s v="03"/>
    <s v="00"/>
    <x v="0"/>
    <x v="2"/>
    <x v="74"/>
    <d v="1899-12-30T02:00:00"/>
    <x v="2"/>
    <x v="86"/>
    <n v="0"/>
  </r>
  <r>
    <x v="0"/>
    <s v="15/16"/>
    <x v="4"/>
    <x v="39"/>
    <x v="487"/>
    <s v="A"/>
    <x v="3"/>
    <x v="30"/>
    <d v="1899-12-30T01:03:00"/>
    <s v="01"/>
    <s v="03"/>
    <x v="1"/>
    <x v="2"/>
    <x v="13"/>
    <d v="1899-12-30T00:01:00"/>
    <x v="2"/>
    <x v="88"/>
    <n v="0"/>
  </r>
  <r>
    <x v="0"/>
    <s v="15/16"/>
    <x v="4"/>
    <x v="29"/>
    <x v="488"/>
    <s v="H"/>
    <x v="3"/>
    <x v="112"/>
    <d v="1899-12-30T03:01:00"/>
    <s v="03"/>
    <s v="01"/>
    <x v="0"/>
    <x v="2"/>
    <x v="30"/>
    <d v="1899-12-30T02:00:00"/>
    <x v="1"/>
    <x v="52"/>
    <n v="0"/>
  </r>
  <r>
    <x v="1"/>
    <s v="15/16"/>
    <x v="6"/>
    <x v="18"/>
    <x v="489"/>
    <s v="H"/>
    <x v="2"/>
    <x v="39"/>
    <d v="1899-12-30T06:01:00"/>
    <s v="06"/>
    <s v="01"/>
    <x v="0"/>
    <x v="7"/>
    <x v="8"/>
    <d v="1899-12-30T05:00:00"/>
    <x v="5"/>
    <x v="0"/>
    <n v="1"/>
  </r>
  <r>
    <x v="1"/>
    <s v="15/16"/>
    <x v="6"/>
    <x v="18"/>
    <x v="489"/>
    <s v="H"/>
    <x v="2"/>
    <x v="39"/>
    <d v="1899-12-30T06:01:00"/>
    <s v="06"/>
    <s v="01"/>
    <x v="0"/>
    <x v="7"/>
    <x v="65"/>
    <d v="1899-12-30T02:00:00"/>
    <x v="3"/>
    <x v="84"/>
    <n v="0"/>
  </r>
  <r>
    <x v="0"/>
    <s v="15/16"/>
    <x v="6"/>
    <x v="18"/>
    <x v="490"/>
    <s v="A"/>
    <x v="3"/>
    <x v="61"/>
    <d v="1899-12-30T03:04:00"/>
    <s v="03"/>
    <s v="04"/>
    <x v="1"/>
    <x v="2"/>
    <x v="62"/>
    <d v="1899-12-30T00:04:00"/>
    <x v="2"/>
    <x v="77"/>
    <n v="0"/>
  </r>
  <r>
    <x v="0"/>
    <s v="15/16"/>
    <x v="6"/>
    <x v="18"/>
    <x v="490"/>
    <s v="A"/>
    <x v="3"/>
    <x v="61"/>
    <d v="1899-12-30T03:04:00"/>
    <s v="03"/>
    <s v="04"/>
    <x v="1"/>
    <x v="2"/>
    <x v="65"/>
    <d v="1899-12-30T00:01:00"/>
    <x v="1"/>
    <x v="77"/>
    <n v="0"/>
  </r>
  <r>
    <x v="1"/>
    <s v="15/16"/>
    <x v="4"/>
    <x v="19"/>
    <x v="491"/>
    <s v="H"/>
    <x v="2"/>
    <x v="90"/>
    <d v="1899-12-30T04:00:00"/>
    <s v="04"/>
    <s v="00"/>
    <x v="0"/>
    <x v="1"/>
    <x v="19"/>
    <d v="1899-12-30T04:00:00"/>
    <x v="3"/>
    <x v="75"/>
    <n v="0"/>
  </r>
  <r>
    <x v="0"/>
    <s v="15/16"/>
    <x v="4"/>
    <x v="19"/>
    <x v="492"/>
    <s v="A"/>
    <x v="3"/>
    <x v="110"/>
    <d v="1899-12-30T00:02:00"/>
    <s v="00"/>
    <s v="02"/>
    <x v="1"/>
    <x v="2"/>
    <x v="26"/>
    <d v="1899-12-30T00:02:00"/>
    <x v="6"/>
    <x v="0"/>
    <n v="1"/>
  </r>
  <r>
    <x v="0"/>
    <s v="15/16"/>
    <x v="4"/>
    <x v="51"/>
    <x v="493"/>
    <s v="H"/>
    <x v="3"/>
    <x v="40"/>
    <d v="1899-12-30T04:01:00"/>
    <s v="04"/>
    <s v="01"/>
    <x v="0"/>
    <x v="0"/>
    <x v="31"/>
    <d v="1899-12-30T04:00:00"/>
    <x v="2"/>
    <x v="86"/>
    <n v="0"/>
  </r>
  <r>
    <x v="0"/>
    <s v="15/16"/>
    <x v="6"/>
    <x v="18"/>
    <x v="494"/>
    <s v="H"/>
    <x v="3"/>
    <x v="111"/>
    <d v="1899-12-30T08:00:00"/>
    <s v="08"/>
    <s v="00"/>
    <x v="0"/>
    <x v="0"/>
    <x v="34"/>
    <d v="1899-12-30T06:00:00"/>
    <x v="2"/>
    <x v="76"/>
    <n v="0"/>
  </r>
  <r>
    <x v="0"/>
    <s v="15/16"/>
    <x v="6"/>
    <x v="18"/>
    <x v="494"/>
    <s v="H"/>
    <x v="3"/>
    <x v="111"/>
    <d v="1899-12-30T08:00:00"/>
    <s v="08"/>
    <s v="00"/>
    <x v="0"/>
    <x v="0"/>
    <x v="25"/>
    <d v="1899-12-30T05:00:00"/>
    <x v="2"/>
    <x v="89"/>
    <n v="0"/>
  </r>
  <r>
    <x v="0"/>
    <s v="15/16"/>
    <x v="6"/>
    <x v="18"/>
    <x v="494"/>
    <s v="H"/>
    <x v="3"/>
    <x v="111"/>
    <d v="1899-12-30T08:00:00"/>
    <s v="08"/>
    <s v="00"/>
    <x v="0"/>
    <x v="0"/>
    <x v="42"/>
    <d v="1899-12-30T04:00:00"/>
    <x v="5"/>
    <x v="0"/>
    <n v="1"/>
  </r>
  <r>
    <x v="0"/>
    <s v="15/16"/>
    <x v="6"/>
    <x v="18"/>
    <x v="494"/>
    <s v="H"/>
    <x v="3"/>
    <x v="111"/>
    <d v="1899-12-30T08:00:00"/>
    <s v="08"/>
    <s v="00"/>
    <x v="0"/>
    <x v="0"/>
    <x v="40"/>
    <d v="1899-12-30T03:00:00"/>
    <x v="4"/>
    <x v="0"/>
    <n v="1"/>
  </r>
  <r>
    <x v="1"/>
    <s v="15/16"/>
    <x v="6"/>
    <x v="18"/>
    <x v="495"/>
    <s v="A"/>
    <x v="2"/>
    <x v="98"/>
    <d v="1899-12-30T01:01:00"/>
    <s v="01"/>
    <s v="01"/>
    <x v="2"/>
    <x v="5"/>
    <x v="92"/>
    <d v="1899-12-30T00:01:00"/>
    <x v="2"/>
    <x v="85"/>
    <n v="0"/>
  </r>
  <r>
    <x v="1"/>
    <s v="15/16"/>
    <x v="4"/>
    <x v="30"/>
    <x v="496"/>
    <s v="H"/>
    <x v="2"/>
    <x v="38"/>
    <d v="1899-12-30T02:02:00"/>
    <s v="02"/>
    <s v="02"/>
    <x v="2"/>
    <x v="1"/>
    <x v="40"/>
    <d v="1899-12-30T01:00:00"/>
    <x v="4"/>
    <x v="0"/>
    <n v="1"/>
  </r>
  <r>
    <x v="0"/>
    <s v="15/16"/>
    <x v="4"/>
    <x v="9"/>
    <x v="497"/>
    <s v="H"/>
    <x v="3"/>
    <x v="92"/>
    <d v="1899-12-30T10:02:00"/>
    <s v="10"/>
    <s v="02"/>
    <x v="0"/>
    <x v="0"/>
    <x v="14"/>
    <d v="1899-12-30T06:02:00"/>
    <x v="1"/>
    <x v="81"/>
    <n v="0"/>
  </r>
  <r>
    <x v="0"/>
    <s v="15/16"/>
    <x v="4"/>
    <x v="9"/>
    <x v="497"/>
    <s v="H"/>
    <x v="3"/>
    <x v="92"/>
    <d v="1899-12-30T10:02:00"/>
    <s v="10"/>
    <s v="02"/>
    <x v="0"/>
    <x v="0"/>
    <x v="74"/>
    <d v="1899-12-30T03:02:00"/>
    <x v="6"/>
    <x v="0"/>
    <n v="1"/>
  </r>
  <r>
    <x v="1"/>
    <s v="15/16"/>
    <x v="9"/>
    <x v="8"/>
    <x v="497"/>
    <s v="A"/>
    <x v="2"/>
    <x v="113"/>
    <d v="1899-12-30T00:03:00"/>
    <s v="00"/>
    <s v="03"/>
    <x v="1"/>
    <x v="1"/>
    <x v="37"/>
    <d v="1899-12-30T00:01:00"/>
    <x v="3"/>
    <x v="75"/>
    <n v="0"/>
  </r>
  <r>
    <x v="0"/>
    <s v="15/16"/>
    <x v="4"/>
    <x v="31"/>
    <x v="498"/>
    <s v="H"/>
    <x v="3"/>
    <x v="90"/>
    <d v="1899-12-30T03:01:00"/>
    <s v="03"/>
    <s v="01"/>
    <x v="0"/>
    <x v="0"/>
    <x v="24"/>
    <d v="1899-12-30T02:01:00"/>
    <x v="3"/>
    <x v="52"/>
    <n v="0"/>
  </r>
  <r>
    <x v="0"/>
    <s v="15/16"/>
    <x v="4"/>
    <x v="31"/>
    <x v="498"/>
    <s v="H"/>
    <x v="3"/>
    <x v="90"/>
    <d v="1899-12-30T03:01:00"/>
    <s v="03"/>
    <s v="01"/>
    <x v="0"/>
    <x v="0"/>
    <x v="29"/>
    <d v="1899-12-30T01:00:00"/>
    <x v="6"/>
    <x v="0"/>
    <n v="1"/>
  </r>
  <r>
    <x v="1"/>
    <s v="15/16"/>
    <x v="4"/>
    <x v="31"/>
    <x v="498"/>
    <s v="H"/>
    <x v="2"/>
    <x v="27"/>
    <d v="1899-12-30T04:00:00"/>
    <s v="04"/>
    <s v="00"/>
    <x v="0"/>
    <x v="7"/>
    <x v="94"/>
    <d v="1899-12-30T02:00:00"/>
    <x v="2"/>
    <x v="75"/>
    <n v="0"/>
  </r>
  <r>
    <x v="1"/>
    <s v="15/16"/>
    <x v="8"/>
    <x v="44"/>
    <x v="499"/>
    <s v="H"/>
    <x v="2"/>
    <x v="43"/>
    <d v="1899-12-30T04:01:00"/>
    <s v="04"/>
    <s v="01"/>
    <x v="0"/>
    <x v="1"/>
    <x v="10"/>
    <d v="1899-12-30T02:01:00"/>
    <x v="4"/>
    <x v="0"/>
    <n v="1"/>
  </r>
  <r>
    <x v="1"/>
    <s v="15/16"/>
    <x v="8"/>
    <x v="44"/>
    <x v="499"/>
    <s v="H"/>
    <x v="2"/>
    <x v="43"/>
    <d v="1899-12-30T04:01:00"/>
    <s v="04"/>
    <s v="01"/>
    <x v="0"/>
    <x v="1"/>
    <x v="4"/>
    <d v="1899-12-30T01:01:00"/>
    <x v="3"/>
    <x v="16"/>
    <n v="0"/>
  </r>
  <r>
    <x v="1"/>
    <s v="15/16"/>
    <x v="4"/>
    <x v="22"/>
    <x v="500"/>
    <s v="H"/>
    <x v="2"/>
    <x v="97"/>
    <d v="1899-12-30T04:00:00"/>
    <s v="04"/>
    <s v="00"/>
    <x v="0"/>
    <x v="7"/>
    <x v="13"/>
    <d v="1899-12-30T01:00:00"/>
    <x v="3"/>
    <x v="90"/>
    <n v="0"/>
  </r>
  <r>
    <x v="1"/>
    <s v="15/16"/>
    <x v="4"/>
    <x v="22"/>
    <x v="500"/>
    <s v="H"/>
    <x v="2"/>
    <x v="97"/>
    <d v="1899-12-30T04:00:00"/>
    <s v="04"/>
    <s v="00"/>
    <x v="0"/>
    <x v="7"/>
    <x v="15"/>
    <d v="1899-12-30T03:00:00"/>
    <x v="5"/>
    <x v="0"/>
    <n v="1"/>
  </r>
  <r>
    <x v="1"/>
    <s v="15/16"/>
    <x v="4"/>
    <x v="22"/>
    <x v="500"/>
    <s v="H"/>
    <x v="2"/>
    <x v="97"/>
    <d v="1899-12-30T04:00:00"/>
    <s v="04"/>
    <s v="00"/>
    <x v="0"/>
    <x v="7"/>
    <x v="30"/>
    <d v="1899-12-30T02:00:00"/>
    <x v="3"/>
    <x v="84"/>
    <n v="0"/>
  </r>
  <r>
    <x v="0"/>
    <s v="15/16"/>
    <x v="4"/>
    <x v="21"/>
    <x v="501"/>
    <s v="H"/>
    <x v="3"/>
    <x v="60"/>
    <d v="1899-12-30T05:01:00"/>
    <s v="05"/>
    <s v="01"/>
    <x v="0"/>
    <x v="0"/>
    <x v="65"/>
    <d v="1899-12-30T04:00:00"/>
    <x v="3"/>
    <x v="78"/>
    <n v="0"/>
  </r>
  <r>
    <x v="0"/>
    <s v="15/16"/>
    <x v="4"/>
    <x v="21"/>
    <x v="501"/>
    <s v="H"/>
    <x v="3"/>
    <x v="60"/>
    <d v="1899-12-30T05:01:00"/>
    <s v="05"/>
    <s v="01"/>
    <x v="0"/>
    <x v="0"/>
    <x v="12"/>
    <d v="1899-12-30T02:00:00"/>
    <x v="3"/>
    <x v="43"/>
    <n v="0"/>
  </r>
  <r>
    <x v="1"/>
    <s v="15/16"/>
    <x v="4"/>
    <x v="21"/>
    <x v="501"/>
    <s v="H"/>
    <x v="2"/>
    <x v="23"/>
    <d v="1899-12-30T06:00:00"/>
    <s v="06"/>
    <s v="00"/>
    <x v="0"/>
    <x v="1"/>
    <x v="89"/>
    <d v="1899-12-30T01:00:00"/>
    <x v="6"/>
    <x v="0"/>
    <n v="1"/>
  </r>
  <r>
    <x v="1"/>
    <s v="15/16"/>
    <x v="4"/>
    <x v="23"/>
    <x v="502"/>
    <s v="A"/>
    <x v="2"/>
    <x v="63"/>
    <d v="1899-12-30T01:02:00"/>
    <s v="01"/>
    <s v="02"/>
    <x v="1"/>
    <x v="1"/>
    <x v="22"/>
    <d v="1899-12-30T01:02:00"/>
    <x v="3"/>
    <x v="60"/>
    <n v="0"/>
  </r>
  <r>
    <x v="1"/>
    <s v="15/16"/>
    <x v="4"/>
    <x v="43"/>
    <x v="503"/>
    <s v="H"/>
    <x v="2"/>
    <x v="42"/>
    <d v="1899-12-30T02:01:00"/>
    <s v="02"/>
    <s v="01"/>
    <x v="0"/>
    <x v="1"/>
    <x v="74"/>
    <d v="1899-12-30T01:01:00"/>
    <x v="3"/>
    <x v="71"/>
    <n v="0"/>
  </r>
  <r>
    <x v="0"/>
    <s v="15/16"/>
    <x v="4"/>
    <x v="43"/>
    <x v="504"/>
    <s v="H"/>
    <x v="3"/>
    <x v="43"/>
    <d v="1899-12-30T06:00:00"/>
    <s v="06"/>
    <s v="00"/>
    <x v="0"/>
    <x v="0"/>
    <x v="26"/>
    <d v="1899-12-30T05:00:00"/>
    <x v="1"/>
    <x v="91"/>
    <n v="0"/>
  </r>
  <r>
    <x v="0"/>
    <s v="15/16"/>
    <x v="4"/>
    <x v="43"/>
    <x v="504"/>
    <s v="H"/>
    <x v="3"/>
    <x v="43"/>
    <d v="1899-12-30T06:00:00"/>
    <s v="06"/>
    <s v="00"/>
    <x v="0"/>
    <x v="0"/>
    <x v="23"/>
    <d v="1899-12-30T02:00:00"/>
    <x v="6"/>
    <x v="0"/>
    <n v="1"/>
  </r>
  <r>
    <x v="0"/>
    <s v="15/16"/>
    <x v="4"/>
    <x v="43"/>
    <x v="504"/>
    <s v="H"/>
    <x v="3"/>
    <x v="43"/>
    <d v="1899-12-30T06:00:00"/>
    <s v="06"/>
    <s v="00"/>
    <x v="0"/>
    <x v="0"/>
    <x v="32"/>
    <d v="1899-12-30T04:00:00"/>
    <x v="3"/>
    <x v="0"/>
    <n v="1"/>
  </r>
  <r>
    <x v="1"/>
    <s v="15/16"/>
    <x v="8"/>
    <x v="15"/>
    <x v="505"/>
    <s v="H"/>
    <x v="2"/>
    <x v="58"/>
    <d v="1899-12-30T07:00:00"/>
    <s v="07"/>
    <s v="00"/>
    <x v="0"/>
    <x v="1"/>
    <x v="34"/>
    <d v="1899-12-30T04:00:00"/>
    <x v="3"/>
    <x v="84"/>
    <n v="0"/>
  </r>
  <r>
    <x v="1"/>
    <s v="15/16"/>
    <x v="8"/>
    <x v="15"/>
    <x v="505"/>
    <s v="H"/>
    <x v="2"/>
    <x v="58"/>
    <d v="1899-12-30T07:00:00"/>
    <s v="07"/>
    <s v="00"/>
    <x v="0"/>
    <x v="1"/>
    <x v="6"/>
    <d v="1899-12-30T05:00:00"/>
    <x v="3"/>
    <x v="0"/>
    <n v="1"/>
  </r>
  <r>
    <x v="1"/>
    <s v="15/16"/>
    <x v="8"/>
    <x v="15"/>
    <x v="505"/>
    <s v="H"/>
    <x v="2"/>
    <x v="58"/>
    <d v="1899-12-30T07:00:00"/>
    <s v="07"/>
    <s v="00"/>
    <x v="0"/>
    <x v="1"/>
    <x v="48"/>
    <d v="1899-12-30T03:00:00"/>
    <x v="3"/>
    <x v="75"/>
    <n v="0"/>
  </r>
  <r>
    <x v="0"/>
    <s v="15/16"/>
    <x v="4"/>
    <x v="11"/>
    <x v="506"/>
    <s v="H"/>
    <x v="3"/>
    <x v="23"/>
    <d v="1899-12-30T04:02:00"/>
    <s v="04"/>
    <s v="02"/>
    <x v="0"/>
    <x v="0"/>
    <x v="11"/>
    <d v="1899-12-30T04:01:00"/>
    <x v="2"/>
    <x v="88"/>
    <n v="0"/>
  </r>
  <r>
    <x v="0"/>
    <s v="15/16"/>
    <x v="4"/>
    <x v="11"/>
    <x v="506"/>
    <s v="H"/>
    <x v="3"/>
    <x v="23"/>
    <d v="1899-12-30T04:02:00"/>
    <s v="04"/>
    <s v="02"/>
    <x v="0"/>
    <x v="0"/>
    <x v="69"/>
    <d v="1899-12-30T01:00:00"/>
    <x v="2"/>
    <x v="43"/>
    <n v="0"/>
  </r>
  <r>
    <x v="1"/>
    <s v="15/16"/>
    <x v="4"/>
    <x v="11"/>
    <x v="507"/>
    <s v="H"/>
    <x v="2"/>
    <x v="30"/>
    <d v="1899-12-30T06:01:00"/>
    <s v="06"/>
    <s v="01"/>
    <x v="0"/>
    <x v="1"/>
    <x v="44"/>
    <d v="1899-12-30T01:00:00"/>
    <x v="4"/>
    <x v="0"/>
    <n v="1"/>
  </r>
  <r>
    <x v="1"/>
    <s v="15/16"/>
    <x v="4"/>
    <x v="9"/>
    <x v="508"/>
    <s v="A"/>
    <x v="2"/>
    <x v="60"/>
    <d v="1899-12-30T01:03:00"/>
    <s v="01"/>
    <s v="03"/>
    <x v="1"/>
    <x v="7"/>
    <x v="73"/>
    <d v="1899-12-30T00:01:00"/>
    <x v="3"/>
    <x v="84"/>
    <n v="0"/>
  </r>
  <r>
    <x v="1"/>
    <s v="15/16"/>
    <x v="4"/>
    <x v="9"/>
    <x v="508"/>
    <s v="A"/>
    <x v="2"/>
    <x v="60"/>
    <d v="1899-12-30T01:03:00"/>
    <s v="01"/>
    <s v="03"/>
    <x v="1"/>
    <x v="7"/>
    <x v="78"/>
    <d v="1899-12-30T01:02:00"/>
    <x v="3"/>
    <x v="84"/>
    <n v="0"/>
  </r>
  <r>
    <x v="0"/>
    <s v="15/16"/>
    <x v="6"/>
    <x v="44"/>
    <x v="508"/>
    <s v="A"/>
    <x v="3"/>
    <x v="39"/>
    <d v="1899-12-30T00:02:00"/>
    <s v="00"/>
    <s v="02"/>
    <x v="1"/>
    <x v="0"/>
    <x v="50"/>
    <d v="1899-12-30T00:01:00"/>
    <x v="2"/>
    <x v="52"/>
    <n v="0"/>
  </r>
  <r>
    <x v="0"/>
    <s v="15/16"/>
    <x v="4"/>
    <x v="12"/>
    <x v="509"/>
    <s v="A"/>
    <x v="3"/>
    <x v="63"/>
    <d v="1899-12-30T01:01:00"/>
    <s v="01"/>
    <s v="01"/>
    <x v="2"/>
    <x v="0"/>
    <x v="94"/>
    <d v="1899-12-30T00:01:00"/>
    <x v="1"/>
    <x v="86"/>
    <n v="0"/>
  </r>
  <r>
    <x v="1"/>
    <s v="15/16"/>
    <x v="6"/>
    <x v="44"/>
    <x v="510"/>
    <s v="A"/>
    <x v="2"/>
    <x v="12"/>
    <d v="1899-12-30T00:02:00"/>
    <s v="00"/>
    <s v="02"/>
    <x v="1"/>
    <x v="1"/>
    <x v="90"/>
    <d v="1899-12-30T00:01:00"/>
    <x v="3"/>
    <x v="75"/>
    <n v="0"/>
  </r>
  <r>
    <x v="1"/>
    <s v="15/16"/>
    <x v="6"/>
    <x v="44"/>
    <x v="510"/>
    <s v="A"/>
    <x v="2"/>
    <x v="12"/>
    <d v="1899-12-30T00:02:00"/>
    <s v="00"/>
    <s v="02"/>
    <x v="1"/>
    <x v="1"/>
    <x v="27"/>
    <d v="1899-12-30T00:02:00"/>
    <x v="6"/>
    <x v="0"/>
    <n v="1"/>
  </r>
  <r>
    <x v="1"/>
    <s v="15/16"/>
    <x v="4"/>
    <x v="25"/>
    <x v="511"/>
    <s v="H"/>
    <x v="2"/>
    <x v="34"/>
    <d v="1899-12-30T02:01:00"/>
    <s v="02"/>
    <s v="01"/>
    <x v="0"/>
    <x v="7"/>
    <x v="78"/>
    <d v="1899-12-30T01:01:00"/>
    <x v="4"/>
    <x v="0"/>
    <n v="1"/>
  </r>
  <r>
    <x v="0"/>
    <s v="15/16"/>
    <x v="4"/>
    <x v="33"/>
    <x v="512"/>
    <s v="A"/>
    <x v="3"/>
    <x v="47"/>
    <d v="1899-12-30T01:03:00"/>
    <s v="01"/>
    <s v="03"/>
    <x v="1"/>
    <x v="0"/>
    <x v="0"/>
    <d v="1899-12-30T00:01:00"/>
    <x v="6"/>
    <x v="0"/>
    <n v="1"/>
  </r>
  <r>
    <x v="1"/>
    <s v="15/16"/>
    <x v="4"/>
    <x v="33"/>
    <x v="513"/>
    <s v="A"/>
    <x v="2"/>
    <x v="92"/>
    <d v="1899-12-30T01:05:00"/>
    <s v="01"/>
    <s v="05"/>
    <x v="1"/>
    <x v="1"/>
    <x v="53"/>
    <d v="1899-12-30T01:04:00"/>
    <x v="3"/>
    <x v="64"/>
    <n v="0"/>
  </r>
  <r>
    <x v="1"/>
    <s v="15/16"/>
    <x v="4"/>
    <x v="33"/>
    <x v="513"/>
    <s v="A"/>
    <x v="2"/>
    <x v="92"/>
    <d v="1899-12-30T01:05:00"/>
    <s v="01"/>
    <s v="05"/>
    <x v="1"/>
    <x v="1"/>
    <x v="68"/>
    <d v="1899-12-30T00:03:00"/>
    <x v="3"/>
    <x v="0"/>
    <n v="1"/>
  </r>
  <r>
    <x v="1"/>
    <s v="15/16"/>
    <x v="4"/>
    <x v="33"/>
    <x v="513"/>
    <s v="A"/>
    <x v="2"/>
    <x v="92"/>
    <d v="1899-12-30T01:05:00"/>
    <s v="01"/>
    <s v="05"/>
    <x v="1"/>
    <x v="1"/>
    <x v="35"/>
    <d v="1899-12-30T00:02:00"/>
    <x v="3"/>
    <x v="75"/>
    <n v="0"/>
  </r>
  <r>
    <x v="0"/>
    <s v="15/16"/>
    <x v="4"/>
    <x v="26"/>
    <x v="514"/>
    <s v="H"/>
    <x v="3"/>
    <x v="30"/>
    <d v="1899-12-30T07:01:00"/>
    <s v="07"/>
    <s v="01"/>
    <x v="0"/>
    <x v="0"/>
    <x v="25"/>
    <d v="1899-12-30T02:00:00"/>
    <x v="10"/>
    <x v="53"/>
    <n v="0"/>
  </r>
  <r>
    <x v="0"/>
    <s v="15/16"/>
    <x v="4"/>
    <x v="26"/>
    <x v="514"/>
    <s v="H"/>
    <x v="3"/>
    <x v="30"/>
    <d v="1899-12-30T07:01:00"/>
    <s v="07"/>
    <s v="01"/>
    <x v="0"/>
    <x v="0"/>
    <x v="15"/>
    <d v="1899-12-30T03:00:00"/>
    <x v="4"/>
    <x v="0"/>
    <n v="1"/>
  </r>
  <r>
    <x v="0"/>
    <s v="15/16"/>
    <x v="4"/>
    <x v="26"/>
    <x v="514"/>
    <s v="H"/>
    <x v="3"/>
    <x v="30"/>
    <d v="1899-12-30T07:01:00"/>
    <s v="07"/>
    <s v="01"/>
    <x v="0"/>
    <x v="0"/>
    <x v="87"/>
    <d v="1899-12-30T04:01:00"/>
    <x v="2"/>
    <x v="76"/>
    <n v="0"/>
  </r>
  <r>
    <x v="0"/>
    <s v="15/16"/>
    <x v="4"/>
    <x v="26"/>
    <x v="514"/>
    <s v="H"/>
    <x v="3"/>
    <x v="30"/>
    <d v="1899-12-30T07:01:00"/>
    <s v="07"/>
    <s v="01"/>
    <x v="0"/>
    <x v="0"/>
    <x v="18"/>
    <d v="1899-12-30T05:01:00"/>
    <x v="1"/>
    <x v="91"/>
    <n v="0"/>
  </r>
  <r>
    <x v="1"/>
    <s v="15/16"/>
    <x v="4"/>
    <x v="26"/>
    <x v="515"/>
    <s v="A"/>
    <x v="2"/>
    <x v="110"/>
    <d v="1899-12-30T00:04:00"/>
    <s v="00"/>
    <s v="04"/>
    <x v="1"/>
    <x v="7"/>
    <x v="29"/>
    <d v="1899-12-30T00:02:00"/>
    <x v="3"/>
    <x v="92"/>
    <n v="0"/>
  </r>
  <r>
    <x v="1"/>
    <s v="15/16"/>
    <x v="4"/>
    <x v="26"/>
    <x v="515"/>
    <s v="A"/>
    <x v="2"/>
    <x v="110"/>
    <d v="1899-12-30T00:04:00"/>
    <s v="00"/>
    <s v="04"/>
    <x v="1"/>
    <x v="7"/>
    <x v="18"/>
    <d v="1899-12-30T00:03:00"/>
    <x v="6"/>
    <x v="0"/>
    <n v="1"/>
  </r>
  <r>
    <x v="0"/>
    <s v="15/16"/>
    <x v="6"/>
    <x v="44"/>
    <x v="516"/>
    <s v="H"/>
    <x v="3"/>
    <x v="39"/>
    <d v="1899-12-30T02:00:00"/>
    <s v="02"/>
    <s v="00"/>
    <x v="0"/>
    <x v="2"/>
    <x v="87"/>
    <d v="1899-12-30T01:00:00"/>
    <x v="2"/>
    <x v="88"/>
    <n v="0"/>
  </r>
  <r>
    <x v="1"/>
    <s v="15/16"/>
    <x v="4"/>
    <x v="5"/>
    <x v="517"/>
    <s v="H"/>
    <x v="2"/>
    <x v="40"/>
    <d v="1899-12-30T06:00:00"/>
    <s v="06"/>
    <s v="00"/>
    <x v="0"/>
    <x v="2"/>
    <x v="56"/>
    <d v="1899-12-30T04:00:00"/>
    <x v="3"/>
    <x v="90"/>
    <n v="0"/>
  </r>
  <r>
    <x v="1"/>
    <s v="15/16"/>
    <x v="6"/>
    <x v="44"/>
    <x v="518"/>
    <s v="H"/>
    <x v="2"/>
    <x v="12"/>
    <d v="1899-12-30T03:01:00"/>
    <s v="03"/>
    <s v="01"/>
    <x v="0"/>
    <x v="1"/>
    <x v="46"/>
    <d v="1899-12-30T03:01:00"/>
    <x v="3"/>
    <x v="75"/>
    <n v="0"/>
  </r>
  <r>
    <x v="0"/>
    <s v="15/16"/>
    <x v="4"/>
    <x v="14"/>
    <x v="519"/>
    <s v="H"/>
    <x v="3"/>
    <x v="34"/>
    <d v="1899-12-30T04:00:00"/>
    <s v="04"/>
    <s v="00"/>
    <x v="0"/>
    <x v="0"/>
    <x v="87"/>
    <d v="1899-12-30T02:00:00"/>
    <x v="3"/>
    <x v="89"/>
    <n v="0"/>
  </r>
  <r>
    <x v="0"/>
    <s v="15/16"/>
    <x v="4"/>
    <x v="45"/>
    <x v="520"/>
    <s v="A"/>
    <x v="3"/>
    <x v="91"/>
    <d v="1899-12-30T01:02:00"/>
    <s v="01"/>
    <s v="02"/>
    <x v="1"/>
    <x v="0"/>
    <x v="41"/>
    <d v="1899-12-30T01:02:00"/>
    <x v="2"/>
    <x v="77"/>
    <n v="0"/>
  </r>
  <r>
    <x v="0"/>
    <s v="15/16"/>
    <x v="4"/>
    <x v="6"/>
    <x v="521"/>
    <s v="H"/>
    <x v="3"/>
    <x v="110"/>
    <d v="1899-12-30T04:00:00"/>
    <s v="04"/>
    <s v="00"/>
    <x v="0"/>
    <x v="2"/>
    <x v="36"/>
    <d v="1899-12-30T03:00:00"/>
    <x v="2"/>
    <x v="91"/>
    <n v="0"/>
  </r>
  <r>
    <x v="0"/>
    <s v="15/16"/>
    <x v="6"/>
    <x v="24"/>
    <x v="522"/>
    <s v="H"/>
    <x v="3"/>
    <x v="114"/>
    <d v="1899-12-30T03:00:00"/>
    <s v="03"/>
    <s v="00"/>
    <x v="0"/>
    <x v="0"/>
    <x v="81"/>
    <d v="1899-12-30T02:00:00"/>
    <x v="1"/>
    <x v="86"/>
    <n v="0"/>
  </r>
  <r>
    <x v="0"/>
    <s v="15/16"/>
    <x v="6"/>
    <x v="24"/>
    <x v="522"/>
    <s v="H"/>
    <x v="3"/>
    <x v="114"/>
    <d v="1899-12-30T03:00:00"/>
    <s v="03"/>
    <s v="00"/>
    <x v="0"/>
    <x v="0"/>
    <x v="43"/>
    <d v="1899-12-30T03:00:00"/>
    <x v="4"/>
    <x v="0"/>
    <n v="1"/>
  </r>
  <r>
    <x v="0"/>
    <s v="15/16"/>
    <x v="6"/>
    <x v="24"/>
    <x v="522"/>
    <s v="H"/>
    <x v="3"/>
    <x v="114"/>
    <d v="1899-12-30T03:00:00"/>
    <s v="03"/>
    <s v="00"/>
    <x v="0"/>
    <x v="0"/>
    <x v="67"/>
    <d v="1899-12-30T01:00:00"/>
    <x v="2"/>
    <x v="78"/>
    <n v="0"/>
  </r>
  <r>
    <x v="0"/>
    <s v="15/16"/>
    <x v="4"/>
    <x v="46"/>
    <x v="523"/>
    <s v="A"/>
    <x v="3"/>
    <x v="40"/>
    <d v="1899-12-30T01:05:00"/>
    <s v="01"/>
    <s v="05"/>
    <x v="1"/>
    <x v="0"/>
    <x v="63"/>
    <d v="1899-12-30T01:05:00"/>
    <x v="3"/>
    <x v="91"/>
    <n v="0"/>
  </r>
  <r>
    <x v="1"/>
    <s v="15/16"/>
    <x v="4"/>
    <x v="46"/>
    <x v="524"/>
    <s v="H"/>
    <x v="2"/>
    <x v="58"/>
    <d v="1899-12-30T01:02:00"/>
    <s v="01"/>
    <s v="02"/>
    <x v="1"/>
    <x v="1"/>
    <x v="20"/>
    <d v="1899-12-30T01:02:00"/>
    <x v="3"/>
    <x v="71"/>
    <n v="0"/>
  </r>
  <r>
    <x v="1"/>
    <s v="15/16"/>
    <x v="4"/>
    <x v="16"/>
    <x v="525"/>
    <s v="A"/>
    <x v="2"/>
    <x v="38"/>
    <d v="1899-12-30T00:08:00"/>
    <s v="00"/>
    <s v="08"/>
    <x v="1"/>
    <x v="1"/>
    <x v="38"/>
    <d v="1899-12-30T00:06:00"/>
    <x v="3"/>
    <x v="84"/>
    <n v="0"/>
  </r>
  <r>
    <x v="1"/>
    <s v="15/16"/>
    <x v="4"/>
    <x v="36"/>
    <x v="526"/>
    <s v="H"/>
    <x v="2"/>
    <x v="60"/>
    <d v="1899-12-30T06:00:00"/>
    <s v="06"/>
    <s v="00"/>
    <x v="0"/>
    <x v="1"/>
    <x v="4"/>
    <d v="1899-12-30T01:00:00"/>
    <x v="1"/>
    <x v="0"/>
    <n v="1"/>
  </r>
  <r>
    <x v="1"/>
    <s v="15/16"/>
    <x v="4"/>
    <x v="35"/>
    <x v="527"/>
    <s v="H"/>
    <x v="2"/>
    <x v="43"/>
    <d v="1899-12-30T05:00:00"/>
    <s v="05"/>
    <s v="00"/>
    <x v="0"/>
    <x v="1"/>
    <x v="13"/>
    <d v="1899-12-30T01:00:00"/>
    <x v="4"/>
    <x v="0"/>
    <n v="1"/>
  </r>
  <r>
    <x v="0"/>
    <s v="15/16"/>
    <x v="4"/>
    <x v="35"/>
    <x v="527"/>
    <s v="H"/>
    <x v="3"/>
    <x v="58"/>
    <d v="1899-12-30T03:02:00"/>
    <s v="03"/>
    <s v="02"/>
    <x v="0"/>
    <x v="0"/>
    <x v="34"/>
    <d v="1899-12-30T03:01:00"/>
    <x v="3"/>
    <x v="81"/>
    <n v="0"/>
  </r>
  <r>
    <x v="0"/>
    <s v="15/16"/>
    <x v="4"/>
    <x v="35"/>
    <x v="527"/>
    <s v="H"/>
    <x v="3"/>
    <x v="58"/>
    <d v="1899-12-30T03:02:00"/>
    <s v="03"/>
    <s v="02"/>
    <x v="0"/>
    <x v="0"/>
    <x v="72"/>
    <d v="1899-12-30T01:00:00"/>
    <x v="2"/>
    <x v="52"/>
    <n v="0"/>
  </r>
  <r>
    <x v="0"/>
    <s v="15/16"/>
    <x v="4"/>
    <x v="7"/>
    <x v="528"/>
    <s v="A"/>
    <x v="3"/>
    <x v="73"/>
    <d v="1899-12-30T00:02:00"/>
    <s v="00"/>
    <s v="02"/>
    <x v="1"/>
    <x v="0"/>
    <x v="73"/>
    <d v="1899-12-30T00:02:00"/>
    <x v="1"/>
    <x v="86"/>
    <n v="0"/>
  </r>
  <r>
    <x v="0"/>
    <s v="15/16"/>
    <x v="4"/>
    <x v="7"/>
    <x v="528"/>
    <s v="A"/>
    <x v="3"/>
    <x v="73"/>
    <d v="1899-12-30T00:02:00"/>
    <s v="00"/>
    <s v="02"/>
    <x v="1"/>
    <x v="0"/>
    <x v="13"/>
    <d v="1899-12-30T00:01:00"/>
    <x v="3"/>
    <x v="43"/>
    <n v="0"/>
  </r>
  <r>
    <x v="1"/>
    <s v="16/17"/>
    <x v="10"/>
    <x v="8"/>
    <x v="529"/>
    <s v="H"/>
    <x v="2"/>
    <x v="34"/>
    <d v="1899-12-30T03:00:00"/>
    <s v="03"/>
    <s v="00"/>
    <x v="0"/>
    <x v="7"/>
    <x v="82"/>
    <d v="1899-12-30T03:00:00"/>
    <x v="1"/>
    <x v="93"/>
    <n v="0"/>
  </r>
  <r>
    <x v="1"/>
    <s v="16/17"/>
    <x v="4"/>
    <x v="27"/>
    <x v="530"/>
    <s v="H"/>
    <x v="2"/>
    <x v="27"/>
    <d v="1899-12-30T06:02:00"/>
    <s v="06"/>
    <s v="02"/>
    <x v="0"/>
    <x v="7"/>
    <x v="15"/>
    <d v="1899-12-30T05:01:00"/>
    <x v="3"/>
    <x v="90"/>
    <n v="0"/>
  </r>
  <r>
    <x v="1"/>
    <s v="16/17"/>
    <x v="4"/>
    <x v="27"/>
    <x v="530"/>
    <s v="H"/>
    <x v="2"/>
    <x v="27"/>
    <d v="1899-12-30T06:02:00"/>
    <s v="06"/>
    <s v="02"/>
    <x v="0"/>
    <x v="7"/>
    <x v="91"/>
    <d v="1899-12-30T02:01:00"/>
    <x v="3"/>
    <x v="94"/>
    <n v="0"/>
  </r>
  <r>
    <x v="0"/>
    <s v="16/17"/>
    <x v="4"/>
    <x v="47"/>
    <x v="531"/>
    <s v="H"/>
    <x v="3"/>
    <x v="31"/>
    <d v="1899-12-30T05:02:00"/>
    <s v="05"/>
    <s v="02"/>
    <x v="0"/>
    <x v="0"/>
    <x v="80"/>
    <d v="1899-12-30T01:00:00"/>
    <x v="2"/>
    <x v="77"/>
    <n v="0"/>
  </r>
  <r>
    <x v="1"/>
    <s v="16/17"/>
    <x v="6"/>
    <x v="18"/>
    <x v="532"/>
    <s v="H"/>
    <x v="2"/>
    <x v="56"/>
    <d v="1899-12-30T07:00:00"/>
    <s v="07"/>
    <s v="00"/>
    <x v="0"/>
    <x v="7"/>
    <x v="83"/>
    <d v="1899-12-30T02:00:00"/>
    <x v="3"/>
    <x v="75"/>
    <n v="0"/>
  </r>
  <r>
    <x v="1"/>
    <s v="16/17"/>
    <x v="6"/>
    <x v="18"/>
    <x v="532"/>
    <s v="H"/>
    <x v="2"/>
    <x v="56"/>
    <d v="1899-12-30T07:00:00"/>
    <s v="07"/>
    <s v="00"/>
    <x v="0"/>
    <x v="7"/>
    <x v="69"/>
    <d v="1899-12-30T01:00:00"/>
    <x v="3"/>
    <x v="75"/>
    <n v="0"/>
  </r>
  <r>
    <x v="1"/>
    <s v="16/17"/>
    <x v="6"/>
    <x v="18"/>
    <x v="532"/>
    <s v="H"/>
    <x v="2"/>
    <x v="56"/>
    <d v="1899-12-30T07:00:00"/>
    <s v="07"/>
    <s v="00"/>
    <x v="0"/>
    <x v="7"/>
    <x v="8"/>
    <d v="1899-12-30T05:00:00"/>
    <x v="3"/>
    <x v="84"/>
    <n v="0"/>
  </r>
  <r>
    <x v="0"/>
    <s v="16/17"/>
    <x v="6"/>
    <x v="18"/>
    <x v="533"/>
    <s v="H"/>
    <x v="3"/>
    <x v="45"/>
    <d v="1899-12-30T02:01:00"/>
    <s v="02"/>
    <s v="01"/>
    <x v="0"/>
    <x v="0"/>
    <x v="7"/>
    <d v="1899-12-30T01:01:00"/>
    <x v="4"/>
    <x v="0"/>
    <n v="1"/>
  </r>
  <r>
    <x v="1"/>
    <s v="16/17"/>
    <x v="4"/>
    <x v="37"/>
    <x v="534"/>
    <s v="A"/>
    <x v="2"/>
    <x v="115"/>
    <d v="1899-12-30T01:05:00"/>
    <s v="01"/>
    <s v="05"/>
    <x v="1"/>
    <x v="1"/>
    <x v="84"/>
    <d v="1899-12-30T00:01:00"/>
    <x v="3"/>
    <x v="84"/>
    <n v="0"/>
  </r>
  <r>
    <x v="1"/>
    <s v="16/17"/>
    <x v="4"/>
    <x v="37"/>
    <x v="534"/>
    <s v="A"/>
    <x v="2"/>
    <x v="115"/>
    <d v="1899-12-30T01:05:00"/>
    <s v="01"/>
    <s v="05"/>
    <x v="1"/>
    <x v="1"/>
    <x v="82"/>
    <d v="1899-12-30T00:04:00"/>
    <x v="6"/>
    <x v="0"/>
    <n v="1"/>
  </r>
  <r>
    <x v="0"/>
    <s v="16/17"/>
    <x v="6"/>
    <x v="18"/>
    <x v="535"/>
    <s v="A"/>
    <x v="3"/>
    <x v="102"/>
    <d v="1899-12-30T02:02:00"/>
    <s v="02"/>
    <s v="02"/>
    <x v="2"/>
    <x v="0"/>
    <x v="81"/>
    <d v="1899-12-30T00:01:00"/>
    <x v="2"/>
    <x v="77"/>
    <n v="0"/>
  </r>
  <r>
    <x v="1"/>
    <s v="16/17"/>
    <x v="4"/>
    <x v="1"/>
    <x v="536"/>
    <s v="H"/>
    <x v="2"/>
    <x v="38"/>
    <d v="1899-12-30T04:00:00"/>
    <s v="04"/>
    <s v="00"/>
    <x v="0"/>
    <x v="1"/>
    <x v="15"/>
    <d v="1899-12-30T04:00:00"/>
    <x v="3"/>
    <x v="75"/>
    <n v="0"/>
  </r>
  <r>
    <x v="0"/>
    <s v="16/17"/>
    <x v="4"/>
    <x v="1"/>
    <x v="536"/>
    <s v="A"/>
    <x v="3"/>
    <x v="27"/>
    <d v="1899-12-30T01:06:00"/>
    <s v="01"/>
    <s v="06"/>
    <x v="1"/>
    <x v="0"/>
    <x v="76"/>
    <d v="1899-12-30T01:06:00"/>
    <x v="2"/>
    <x v="95"/>
    <n v="0"/>
  </r>
  <r>
    <x v="1"/>
    <s v="16/17"/>
    <x v="6"/>
    <x v="18"/>
    <x v="537"/>
    <s v="H"/>
    <x v="2"/>
    <x v="5"/>
    <d v="1899-12-30T04:00:00"/>
    <s v="04"/>
    <s v="00"/>
    <x v="0"/>
    <x v="1"/>
    <x v="64"/>
    <d v="1899-12-30T03:00:00"/>
    <x v="3"/>
    <x v="84"/>
    <n v="0"/>
  </r>
  <r>
    <x v="1"/>
    <s v="16/17"/>
    <x v="6"/>
    <x v="18"/>
    <x v="537"/>
    <s v="H"/>
    <x v="2"/>
    <x v="5"/>
    <d v="1899-12-30T04:00:00"/>
    <s v="04"/>
    <s v="00"/>
    <x v="0"/>
    <x v="1"/>
    <x v="75"/>
    <d v="1899-12-30T02:00:00"/>
    <x v="3"/>
    <x v="16"/>
    <n v="0"/>
  </r>
  <r>
    <x v="1"/>
    <s v="16/17"/>
    <x v="6"/>
    <x v="18"/>
    <x v="537"/>
    <s v="H"/>
    <x v="2"/>
    <x v="5"/>
    <d v="1899-12-30T04:00:00"/>
    <s v="04"/>
    <s v="00"/>
    <x v="0"/>
    <x v="1"/>
    <x v="81"/>
    <d v="1899-12-30T01:00:00"/>
    <x v="3"/>
    <x v="16"/>
    <n v="0"/>
  </r>
  <r>
    <x v="1"/>
    <s v="16/17"/>
    <x v="4"/>
    <x v="39"/>
    <x v="538"/>
    <s v="A"/>
    <x v="2"/>
    <x v="58"/>
    <d v="1899-12-30T02:03:00"/>
    <s v="02"/>
    <s v="03"/>
    <x v="1"/>
    <x v="1"/>
    <x v="98"/>
    <d v="1899-12-30T02:03:00"/>
    <x v="6"/>
    <x v="0"/>
    <n v="1"/>
  </r>
  <r>
    <x v="1"/>
    <s v="16/17"/>
    <x v="4"/>
    <x v="39"/>
    <x v="538"/>
    <s v="A"/>
    <x v="2"/>
    <x v="58"/>
    <d v="1899-12-30T02:03:00"/>
    <s v="02"/>
    <s v="03"/>
    <x v="1"/>
    <x v="1"/>
    <x v="60"/>
    <d v="1899-12-30T00:01:00"/>
    <x v="3"/>
    <x v="85"/>
    <n v="0"/>
  </r>
  <r>
    <x v="0"/>
    <s v="16/17"/>
    <x v="4"/>
    <x v="29"/>
    <x v="539"/>
    <s v="A"/>
    <x v="3"/>
    <x v="24"/>
    <d v="1899-12-30T01:04:00"/>
    <s v="01"/>
    <s v="04"/>
    <x v="1"/>
    <x v="0"/>
    <x v="81"/>
    <d v="1899-12-30T01:01:00"/>
    <x v="6"/>
    <x v="0"/>
    <n v="1"/>
  </r>
  <r>
    <x v="0"/>
    <s v="16/17"/>
    <x v="4"/>
    <x v="29"/>
    <x v="539"/>
    <s v="A"/>
    <x v="3"/>
    <x v="24"/>
    <d v="1899-12-30T01:04:00"/>
    <s v="01"/>
    <s v="04"/>
    <x v="1"/>
    <x v="0"/>
    <x v="94"/>
    <d v="1899-12-30T01:02:00"/>
    <x v="2"/>
    <x v="43"/>
    <n v="0"/>
  </r>
  <r>
    <x v="0"/>
    <s v="16/17"/>
    <x v="4"/>
    <x v="29"/>
    <x v="539"/>
    <s v="A"/>
    <x v="3"/>
    <x v="24"/>
    <d v="1899-12-30T01:04:00"/>
    <s v="01"/>
    <s v="04"/>
    <x v="1"/>
    <x v="0"/>
    <x v="2"/>
    <d v="1899-12-30T01:04:00"/>
    <x v="2"/>
    <x v="52"/>
    <n v="0"/>
  </r>
  <r>
    <x v="1"/>
    <s v="16/17"/>
    <x v="6"/>
    <x v="18"/>
    <x v="540"/>
    <s v="A"/>
    <x v="2"/>
    <x v="5"/>
    <d v="1899-12-30T03:01:00"/>
    <s v="03"/>
    <s v="01"/>
    <x v="0"/>
    <x v="7"/>
    <x v="17"/>
    <d v="1899-12-30T00:01:00"/>
    <x v="3"/>
    <x v="75"/>
    <n v="0"/>
  </r>
  <r>
    <x v="1"/>
    <s v="16/17"/>
    <x v="4"/>
    <x v="4"/>
    <x v="541"/>
    <s v="A"/>
    <x v="2"/>
    <x v="34"/>
    <d v="1899-12-30T01:02:00"/>
    <s v="01"/>
    <s v="02"/>
    <x v="1"/>
    <x v="7"/>
    <x v="51"/>
    <d v="1899-12-30T01:01:00"/>
    <x v="3"/>
    <x v="75"/>
    <n v="0"/>
  </r>
  <r>
    <x v="0"/>
    <s v="16/17"/>
    <x v="4"/>
    <x v="41"/>
    <x v="542"/>
    <s v="A"/>
    <x v="3"/>
    <x v="42"/>
    <d v="1899-12-30T00:03:00"/>
    <s v="00"/>
    <s v="03"/>
    <x v="1"/>
    <x v="2"/>
    <x v="43"/>
    <d v="1899-12-30T00:03:00"/>
    <x v="2"/>
    <x v="77"/>
    <n v="0"/>
  </r>
  <r>
    <x v="0"/>
    <s v="16/17"/>
    <x v="4"/>
    <x v="41"/>
    <x v="542"/>
    <s v="A"/>
    <x v="3"/>
    <x v="42"/>
    <d v="1899-12-30T00:03:00"/>
    <s v="00"/>
    <s v="03"/>
    <x v="1"/>
    <x v="2"/>
    <x v="90"/>
    <d v="1899-12-30T00:02:00"/>
    <x v="6"/>
    <x v="0"/>
    <n v="1"/>
  </r>
  <r>
    <x v="0"/>
    <s v="16/17"/>
    <x v="4"/>
    <x v="41"/>
    <x v="542"/>
    <s v="A"/>
    <x v="3"/>
    <x v="42"/>
    <d v="1899-12-30T00:03:00"/>
    <s v="00"/>
    <s v="03"/>
    <x v="1"/>
    <x v="2"/>
    <x v="35"/>
    <d v="1899-12-30T00:01:00"/>
    <x v="4"/>
    <x v="0"/>
    <n v="1"/>
  </r>
  <r>
    <x v="1"/>
    <s v="16/17"/>
    <x v="6"/>
    <x v="18"/>
    <x v="543"/>
    <s v="A"/>
    <x v="2"/>
    <x v="56"/>
    <d v="1899-12-30T00:02:00"/>
    <s v="00"/>
    <s v="02"/>
    <x v="1"/>
    <x v="7"/>
    <x v="70"/>
    <d v="1899-12-30T00:01:00"/>
    <x v="3"/>
    <x v="75"/>
    <n v="0"/>
  </r>
  <r>
    <x v="1"/>
    <s v="16/17"/>
    <x v="6"/>
    <x v="18"/>
    <x v="543"/>
    <s v="A"/>
    <x v="2"/>
    <x v="56"/>
    <d v="1899-12-30T00:02:00"/>
    <s v="00"/>
    <s v="02"/>
    <x v="1"/>
    <x v="7"/>
    <x v="82"/>
    <d v="1899-12-30T00:02:00"/>
    <x v="6"/>
    <x v="0"/>
    <n v="1"/>
  </r>
  <r>
    <x v="0"/>
    <s v="16/17"/>
    <x v="4"/>
    <x v="19"/>
    <x v="544"/>
    <s v="H"/>
    <x v="3"/>
    <x v="60"/>
    <d v="1899-12-30T02:01:00"/>
    <s v="02"/>
    <s v="01"/>
    <x v="0"/>
    <x v="0"/>
    <x v="49"/>
    <d v="1899-12-30T01:00:00"/>
    <x v="6"/>
    <x v="0"/>
    <n v="1"/>
  </r>
  <r>
    <x v="0"/>
    <s v="16/17"/>
    <x v="4"/>
    <x v="19"/>
    <x v="544"/>
    <s v="H"/>
    <x v="3"/>
    <x v="60"/>
    <d v="1899-12-30T02:01:00"/>
    <s v="02"/>
    <s v="01"/>
    <x v="0"/>
    <x v="0"/>
    <x v="65"/>
    <d v="1899-12-30T02:00:00"/>
    <x v="1"/>
    <x v="96"/>
    <n v="0"/>
  </r>
  <r>
    <x v="1"/>
    <s v="16/17"/>
    <x v="4"/>
    <x v="19"/>
    <x v="545"/>
    <s v="A"/>
    <x v="2"/>
    <x v="90"/>
    <d v="1899-12-30T01:01:00"/>
    <s v="01"/>
    <s v="01"/>
    <x v="2"/>
    <x v="7"/>
    <x v="34"/>
    <d v="1899-12-30T01:01:00"/>
    <x v="3"/>
    <x v="75"/>
    <n v="0"/>
  </r>
  <r>
    <x v="1"/>
    <s v="16/17"/>
    <x v="6"/>
    <x v="18"/>
    <x v="546"/>
    <s v="H"/>
    <x v="2"/>
    <x v="116"/>
    <d v="1899-12-30T04:00:00"/>
    <s v="04"/>
    <s v="00"/>
    <x v="0"/>
    <x v="1"/>
    <x v="67"/>
    <d v="1899-12-30T01:00:00"/>
    <x v="3"/>
    <x v="90"/>
    <n v="0"/>
  </r>
  <r>
    <x v="1"/>
    <s v="16/17"/>
    <x v="4"/>
    <x v="30"/>
    <x v="547"/>
    <s v="A"/>
    <x v="2"/>
    <x v="31"/>
    <d v="1899-12-30T00:03:00"/>
    <s v="00"/>
    <s v="03"/>
    <x v="1"/>
    <x v="1"/>
    <x v="53"/>
    <d v="1899-12-30T00:02:00"/>
    <x v="3"/>
    <x v="71"/>
    <n v="0"/>
  </r>
  <r>
    <x v="1"/>
    <s v="16/17"/>
    <x v="4"/>
    <x v="30"/>
    <x v="547"/>
    <s v="A"/>
    <x v="2"/>
    <x v="31"/>
    <d v="1899-12-30T00:03:00"/>
    <s v="00"/>
    <s v="03"/>
    <x v="1"/>
    <x v="1"/>
    <x v="63"/>
    <d v="1899-12-30T00:03:00"/>
    <x v="3"/>
    <x v="64"/>
    <n v="0"/>
  </r>
  <r>
    <x v="0"/>
    <s v="16/17"/>
    <x v="9"/>
    <x v="15"/>
    <x v="548"/>
    <s v="A"/>
    <x v="3"/>
    <x v="117"/>
    <d v="1899-12-30T00:02:00"/>
    <s v="00"/>
    <s v="02"/>
    <x v="1"/>
    <x v="0"/>
    <x v="59"/>
    <d v="1899-12-30T00:02:00"/>
    <x v="2"/>
    <x v="81"/>
    <n v="0"/>
  </r>
  <r>
    <x v="0"/>
    <s v="16/17"/>
    <x v="9"/>
    <x v="8"/>
    <x v="549"/>
    <s v="H"/>
    <x v="3"/>
    <x v="118"/>
    <d v="1899-12-30T04:02:00"/>
    <n v="4"/>
    <n v="2"/>
    <x v="0"/>
    <x v="0"/>
    <x v="101"/>
    <d v="1899-12-30T04:02:00"/>
    <x v="3"/>
    <x v="86"/>
    <n v="0"/>
  </r>
  <r>
    <x v="0"/>
    <s v="16/17"/>
    <x v="9"/>
    <x v="8"/>
    <x v="549"/>
    <s v="H"/>
    <x v="3"/>
    <x v="118"/>
    <d v="1899-12-30T04:02:00"/>
    <n v="4"/>
    <n v="2"/>
    <x v="0"/>
    <x v="0"/>
    <x v="8"/>
    <d v="1899-12-30T02:02:00"/>
    <x v="6"/>
    <x v="0"/>
    <n v="1"/>
  </r>
  <r>
    <x v="0"/>
    <s v="16/17"/>
    <x v="9"/>
    <x v="8"/>
    <x v="549"/>
    <s v="H"/>
    <x v="3"/>
    <x v="118"/>
    <d v="1899-12-30T04:02:00"/>
    <n v="4"/>
    <n v="2"/>
    <x v="0"/>
    <x v="0"/>
    <x v="102"/>
    <d v="1899-12-30T03:02:00"/>
    <x v="3"/>
    <x v="43"/>
    <n v="0"/>
  </r>
  <r>
    <x v="1"/>
    <s v="16/17"/>
    <x v="4"/>
    <x v="9"/>
    <x v="549"/>
    <s v="H"/>
    <x v="2"/>
    <x v="43"/>
    <d v="1899-12-30T04:01:00"/>
    <s v="04"/>
    <s v="01"/>
    <x v="0"/>
    <x v="1"/>
    <x v="21"/>
    <d v="1899-12-30T04:01:00"/>
    <x v="3"/>
    <x v="84"/>
    <n v="0"/>
  </r>
  <r>
    <x v="1"/>
    <s v="16/17"/>
    <x v="8"/>
    <x v="44"/>
    <x v="550"/>
    <s v="A"/>
    <x v="2"/>
    <x v="23"/>
    <d v="1899-12-30T02:01:00"/>
    <s v="02"/>
    <s v="01"/>
    <x v="0"/>
    <x v="1"/>
    <x v="95"/>
    <d v="1899-12-30T02:01:00"/>
    <x v="4"/>
    <x v="0"/>
    <n v="1"/>
  </r>
  <r>
    <x v="0"/>
    <s v="16/17"/>
    <x v="4"/>
    <x v="31"/>
    <x v="551"/>
    <s v="H"/>
    <x v="3"/>
    <x v="97"/>
    <d v="1899-12-30T05:00:00"/>
    <s v="05"/>
    <s v="00"/>
    <x v="0"/>
    <x v="0"/>
    <x v="83"/>
    <d v="1899-12-30T03:00:00"/>
    <x v="1"/>
    <x v="52"/>
    <n v="0"/>
  </r>
  <r>
    <x v="1"/>
    <s v="16/17"/>
    <x v="4"/>
    <x v="31"/>
    <x v="552"/>
    <s v="A"/>
    <x v="2"/>
    <x v="76"/>
    <d v="1899-12-30T01:01:00"/>
    <s v="01"/>
    <s v="01"/>
    <x v="2"/>
    <x v="1"/>
    <x v="21"/>
    <d v="1899-12-30T01:01:00"/>
    <x v="4"/>
    <x v="0"/>
    <n v="1"/>
  </r>
  <r>
    <x v="1"/>
    <s v="16/17"/>
    <x v="8"/>
    <x v="44"/>
    <x v="553"/>
    <s v="H"/>
    <x v="2"/>
    <x v="23"/>
    <d v="1899-12-30T03:01:00"/>
    <s v="03"/>
    <s v="01"/>
    <x v="0"/>
    <x v="1"/>
    <x v="76"/>
    <d v="1899-12-30T03:01:00"/>
    <x v="4"/>
    <x v="0"/>
    <n v="1"/>
  </r>
  <r>
    <x v="1"/>
    <s v="16/17"/>
    <x v="4"/>
    <x v="42"/>
    <x v="554"/>
    <s v="H"/>
    <x v="2"/>
    <x v="112"/>
    <d v="1899-12-30T05:00:00"/>
    <s v="05"/>
    <s v="00"/>
    <x v="0"/>
    <x v="7"/>
    <x v="95"/>
    <d v="1899-12-30T02:00:00"/>
    <x v="2"/>
    <x v="0"/>
    <n v="1"/>
  </r>
  <r>
    <x v="0"/>
    <s v="16/17"/>
    <x v="4"/>
    <x v="42"/>
    <x v="555"/>
    <s v="A"/>
    <x v="3"/>
    <x v="34"/>
    <d v="1899-12-30T02:01:00"/>
    <s v="02"/>
    <s v="01"/>
    <x v="0"/>
    <x v="2"/>
    <x v="3"/>
    <d v="1899-12-30T00:01:00"/>
    <x v="6"/>
    <x v="0"/>
    <n v="1"/>
  </r>
  <r>
    <x v="1"/>
    <s v="16/17"/>
    <x v="4"/>
    <x v="22"/>
    <x v="556"/>
    <s v="A"/>
    <x v="2"/>
    <x v="110"/>
    <d v="1899-12-30T00:04:00"/>
    <s v="00"/>
    <s v="04"/>
    <x v="1"/>
    <x v="7"/>
    <x v="25"/>
    <d v="1899-12-30T00:02:00"/>
    <x v="3"/>
    <x v="84"/>
    <n v="0"/>
  </r>
  <r>
    <x v="0"/>
    <s v="16/17"/>
    <x v="8"/>
    <x v="24"/>
    <x v="557"/>
    <s v="A"/>
    <x v="3"/>
    <x v="30"/>
    <d v="1899-12-30T02:02:00"/>
    <s v="02"/>
    <s v="02"/>
    <x v="2"/>
    <x v="2"/>
    <x v="52"/>
    <d v="1899-12-30T01:01:00"/>
    <x v="4"/>
    <x v="0"/>
    <n v="1"/>
  </r>
  <r>
    <x v="1"/>
    <s v="16/17"/>
    <x v="8"/>
    <x v="24"/>
    <x v="558"/>
    <s v="H"/>
    <x v="2"/>
    <x v="90"/>
    <d v="1899-12-30T05:02:00"/>
    <s v="05"/>
    <s v="02"/>
    <x v="0"/>
    <x v="7"/>
    <x v="82"/>
    <d v="1899-12-30T02:00:00"/>
    <x v="6"/>
    <x v="0"/>
    <n v="1"/>
  </r>
  <r>
    <x v="0"/>
    <s v="16/17"/>
    <x v="4"/>
    <x v="21"/>
    <x v="559"/>
    <s v="H"/>
    <x v="3"/>
    <x v="90"/>
    <d v="1899-12-30T03:00:00"/>
    <s v="03"/>
    <s v="00"/>
    <x v="0"/>
    <x v="0"/>
    <x v="22"/>
    <d v="1899-12-30T02:00:00"/>
    <x v="2"/>
    <x v="97"/>
    <n v="0"/>
  </r>
  <r>
    <x v="1"/>
    <s v="16/17"/>
    <x v="8"/>
    <x v="15"/>
    <x v="560"/>
    <s v="A"/>
    <x v="2"/>
    <x v="42"/>
    <d v="1899-12-30T01:02:00"/>
    <s v="01"/>
    <s v="02"/>
    <x v="1"/>
    <x v="7"/>
    <x v="94"/>
    <d v="1899-12-30T00:02:00"/>
    <x v="3"/>
    <x v="85"/>
    <n v="0"/>
  </r>
  <r>
    <x v="1"/>
    <s v="16/17"/>
    <x v="4"/>
    <x v="23"/>
    <x v="561"/>
    <s v="H"/>
    <x v="2"/>
    <x v="23"/>
    <d v="1899-12-30T03:00:00"/>
    <s v="03"/>
    <s v="00"/>
    <x v="0"/>
    <x v="7"/>
    <x v="79"/>
    <d v="1899-12-30T02:00:00"/>
    <x v="4"/>
    <x v="0"/>
    <n v="1"/>
  </r>
  <r>
    <x v="1"/>
    <s v="16/17"/>
    <x v="4"/>
    <x v="43"/>
    <x v="562"/>
    <s v="A"/>
    <x v="2"/>
    <x v="24"/>
    <d v="1899-12-30T00:06:00"/>
    <s v="00"/>
    <s v="06"/>
    <x v="1"/>
    <x v="7"/>
    <x v="34"/>
    <d v="1899-12-30T00:03:00"/>
    <x v="3"/>
    <x v="75"/>
    <n v="0"/>
  </r>
  <r>
    <x v="0"/>
    <s v="16/17"/>
    <x v="4"/>
    <x v="43"/>
    <x v="562"/>
    <s v="A"/>
    <x v="3"/>
    <x v="31"/>
    <d v="1899-12-30T01:03:00"/>
    <s v="01"/>
    <s v="03"/>
    <x v="1"/>
    <x v="2"/>
    <x v="70"/>
    <d v="1899-12-30T00:01:00"/>
    <x v="2"/>
    <x v="43"/>
    <n v="0"/>
  </r>
  <r>
    <x v="1"/>
    <s v="16/17"/>
    <x v="4"/>
    <x v="32"/>
    <x v="563"/>
    <s v="H"/>
    <x v="2"/>
    <x v="115"/>
    <d v="1899-12-30T02:01:00"/>
    <s v="02"/>
    <s v="01"/>
    <x v="0"/>
    <x v="1"/>
    <x v="9"/>
    <d v="1899-12-30T01:00:00"/>
    <x v="2"/>
    <x v="84"/>
    <n v="0"/>
  </r>
  <r>
    <x v="1"/>
    <s v="16/17"/>
    <x v="4"/>
    <x v="32"/>
    <x v="563"/>
    <s v="H"/>
    <x v="2"/>
    <x v="115"/>
    <d v="1899-12-30T02:01:00"/>
    <s v="02"/>
    <s v="01"/>
    <x v="0"/>
    <x v="1"/>
    <x v="21"/>
    <d v="1899-12-30T02:01:00"/>
    <x v="6"/>
    <x v="0"/>
    <n v="1"/>
  </r>
  <r>
    <x v="0"/>
    <s v="16/17"/>
    <x v="4"/>
    <x v="9"/>
    <x v="564"/>
    <s v="A"/>
    <x v="3"/>
    <x v="58"/>
    <d v="1899-12-30T02:01:00"/>
    <s v="02"/>
    <s v="01"/>
    <x v="0"/>
    <x v="0"/>
    <x v="10"/>
    <d v="1899-12-30T02:01:00"/>
    <x v="1"/>
    <x v="52"/>
    <n v="0"/>
  </r>
  <r>
    <x v="0"/>
    <s v="16/17"/>
    <x v="4"/>
    <x v="11"/>
    <x v="565"/>
    <s v="A"/>
    <x v="3"/>
    <x v="76"/>
    <d v="1899-12-30T02:03:00"/>
    <s v="02"/>
    <s v="03"/>
    <x v="1"/>
    <x v="0"/>
    <x v="6"/>
    <d v="1899-12-30T02:02:00"/>
    <x v="6"/>
    <x v="0"/>
    <n v="1"/>
  </r>
  <r>
    <x v="1"/>
    <s v="16/17"/>
    <x v="4"/>
    <x v="11"/>
    <x v="565"/>
    <s v="A"/>
    <x v="2"/>
    <x v="42"/>
    <d v="1899-12-30T01:02:00"/>
    <s v="01"/>
    <s v="02"/>
    <x v="1"/>
    <x v="1"/>
    <x v="46"/>
    <d v="1899-12-30T01:02:00"/>
    <x v="3"/>
    <x v="0"/>
    <n v="1"/>
  </r>
  <r>
    <x v="0"/>
    <s v="16/17"/>
    <x v="4"/>
    <x v="12"/>
    <x v="566"/>
    <s v="H"/>
    <x v="3"/>
    <x v="112"/>
    <d v="1899-12-30T03:03:00"/>
    <s v="03"/>
    <s v="03"/>
    <x v="2"/>
    <x v="0"/>
    <x v="46"/>
    <d v="1899-12-30T02:03:00"/>
    <x v="6"/>
    <x v="0"/>
    <n v="1"/>
  </r>
  <r>
    <x v="1"/>
    <s v="16/17"/>
    <x v="4"/>
    <x v="12"/>
    <x v="566"/>
    <s v="H"/>
    <x v="2"/>
    <x v="60"/>
    <d v="1899-12-30T06:01:00"/>
    <s v="06"/>
    <s v="01"/>
    <x v="0"/>
    <x v="7"/>
    <x v="12"/>
    <d v="1899-12-30T01:00:00"/>
    <x v="1"/>
    <x v="98"/>
    <n v="0"/>
  </r>
  <r>
    <x v="0"/>
    <s v="16/17"/>
    <x v="4"/>
    <x v="12"/>
    <x v="566"/>
    <s v="H"/>
    <x v="3"/>
    <x v="112"/>
    <d v="1899-12-30T03:03:00"/>
    <s v="03"/>
    <s v="03"/>
    <x v="2"/>
    <x v="0"/>
    <x v="7"/>
    <d v="1899-12-30T03:03:00"/>
    <x v="1"/>
    <x v="81"/>
    <n v="0"/>
  </r>
  <r>
    <x v="1"/>
    <s v="16/17"/>
    <x v="4"/>
    <x v="25"/>
    <x v="567"/>
    <s v="H"/>
    <x v="2"/>
    <x v="30"/>
    <d v="1899-12-30T05:00:00"/>
    <s v="05"/>
    <s v="00"/>
    <x v="0"/>
    <x v="8"/>
    <x v="87"/>
    <d v="1899-12-30T05:00:00"/>
    <x v="3"/>
    <x v="0"/>
    <n v="1"/>
  </r>
  <r>
    <x v="1"/>
    <s v="16/17"/>
    <x v="4"/>
    <x v="25"/>
    <x v="567"/>
    <s v="H"/>
    <x v="2"/>
    <x v="30"/>
    <d v="1899-12-30T05:00:00"/>
    <s v="05"/>
    <s v="00"/>
    <x v="0"/>
    <x v="8"/>
    <x v="70"/>
    <d v="1899-12-30T01:00:00"/>
    <x v="3"/>
    <x v="64"/>
    <n v="0"/>
  </r>
  <r>
    <x v="1"/>
    <s v="16/17"/>
    <x v="6"/>
    <x v="44"/>
    <x v="568"/>
    <s v="H"/>
    <x v="2"/>
    <x v="104"/>
    <d v="1899-12-30T06:01:00"/>
    <s v="06"/>
    <s v="01"/>
    <x v="0"/>
    <x v="6"/>
    <x v="25"/>
    <d v="1899-12-30T03:00:00"/>
    <x v="6"/>
    <x v="0"/>
    <n v="1"/>
  </r>
  <r>
    <x v="0"/>
    <s v="16/17"/>
    <x v="4"/>
    <x v="33"/>
    <x v="569"/>
    <s v="H"/>
    <x v="3"/>
    <x v="27"/>
    <d v="1899-12-30T02:01:00"/>
    <s v="02"/>
    <s v="01"/>
    <x v="0"/>
    <x v="0"/>
    <x v="56"/>
    <d v="1899-12-30T01:01:00"/>
    <x v="1"/>
    <x v="52"/>
    <n v="0"/>
  </r>
  <r>
    <x v="1"/>
    <s v="16/17"/>
    <x v="4"/>
    <x v="26"/>
    <x v="570"/>
    <s v="H"/>
    <x v="2"/>
    <x v="58"/>
    <d v="1899-12-30T04:02:00"/>
    <s v="04"/>
    <s v="02"/>
    <x v="0"/>
    <x v="6"/>
    <x v="32"/>
    <d v="1899-12-30T02:01:00"/>
    <x v="6"/>
    <x v="0"/>
    <n v="1"/>
  </r>
  <r>
    <x v="1"/>
    <s v="16/17"/>
    <x v="4"/>
    <x v="26"/>
    <x v="570"/>
    <s v="H"/>
    <x v="2"/>
    <x v="58"/>
    <d v="1899-12-30T04:02:00"/>
    <s v="04"/>
    <s v="02"/>
    <x v="0"/>
    <x v="6"/>
    <x v="68"/>
    <d v="1899-12-30T03:02:00"/>
    <x v="2"/>
    <x v="98"/>
    <n v="0"/>
  </r>
  <r>
    <x v="1"/>
    <s v="16/17"/>
    <x v="4"/>
    <x v="14"/>
    <x v="571"/>
    <s v="H"/>
    <x v="2"/>
    <x v="34"/>
    <d v="1899-12-30T03:00:00"/>
    <s v="03"/>
    <s v="00"/>
    <x v="0"/>
    <x v="1"/>
    <x v="94"/>
    <d v="1899-12-30T03:00:00"/>
    <x v="3"/>
    <x v="0"/>
    <n v="1"/>
  </r>
  <r>
    <x v="1"/>
    <s v="16/17"/>
    <x v="4"/>
    <x v="14"/>
    <x v="571"/>
    <s v="H"/>
    <x v="2"/>
    <x v="34"/>
    <d v="1899-12-30T03:00:00"/>
    <s v="03"/>
    <s v="00"/>
    <x v="0"/>
    <x v="1"/>
    <x v="44"/>
    <d v="1899-12-30T02:00:00"/>
    <x v="2"/>
    <x v="84"/>
    <n v="0"/>
  </r>
  <r>
    <x v="0"/>
    <s v="16/17"/>
    <x v="6"/>
    <x v="24"/>
    <x v="572"/>
    <s v="A"/>
    <x v="3"/>
    <x v="70"/>
    <d v="1899-12-30T01:02:00"/>
    <s v="01"/>
    <s v="02"/>
    <x v="1"/>
    <x v="0"/>
    <x v="42"/>
    <d v="1899-12-30T01:01:00"/>
    <x v="2"/>
    <x v="78"/>
    <n v="0"/>
  </r>
  <r>
    <x v="0"/>
    <s v="16/17"/>
    <x v="6"/>
    <x v="24"/>
    <x v="572"/>
    <s v="A"/>
    <x v="3"/>
    <x v="70"/>
    <d v="1899-12-30T01:02:00"/>
    <s v="01"/>
    <s v="02"/>
    <x v="1"/>
    <x v="0"/>
    <x v="43"/>
    <d v="1899-12-30T01:02:00"/>
    <x v="2"/>
    <x v="99"/>
    <n v="0"/>
  </r>
  <r>
    <x v="1"/>
    <s v="16/17"/>
    <x v="4"/>
    <x v="6"/>
    <x v="573"/>
    <s v="H"/>
    <x v="2"/>
    <x v="90"/>
    <d v="1899-12-30T03:02:00"/>
    <s v="03"/>
    <s v="02"/>
    <x v="0"/>
    <x v="7"/>
    <x v="81"/>
    <d v="1899-12-30T01:00:00"/>
    <x v="3"/>
    <x v="84"/>
    <n v="0"/>
  </r>
  <r>
    <x v="1"/>
    <s v="16/17"/>
    <x v="4"/>
    <x v="6"/>
    <x v="573"/>
    <s v="H"/>
    <x v="2"/>
    <x v="90"/>
    <d v="1899-12-30T03:02:00"/>
    <s v="03"/>
    <s v="02"/>
    <x v="0"/>
    <x v="7"/>
    <x v="91"/>
    <d v="1899-12-30T02:00:00"/>
    <x v="5"/>
    <x v="0"/>
    <n v="1"/>
  </r>
  <r>
    <x v="0"/>
    <s v="16/17"/>
    <x v="6"/>
    <x v="24"/>
    <x v="574"/>
    <s v="H"/>
    <x v="3"/>
    <x v="70"/>
    <d v="1899-12-30T04:02:00"/>
    <n v="4"/>
    <n v="2"/>
    <x v="0"/>
    <x v="2"/>
    <x v="18"/>
    <d v="1899-12-30T01:01:00"/>
    <x v="1"/>
    <x v="100"/>
    <n v="0"/>
  </r>
  <r>
    <x v="0"/>
    <s v="16/17"/>
    <x v="6"/>
    <x v="24"/>
    <x v="574"/>
    <s v="H"/>
    <x v="3"/>
    <x v="70"/>
    <d v="1899-12-30T04:02:00"/>
    <n v="4"/>
    <n v="2"/>
    <x v="0"/>
    <x v="2"/>
    <x v="103"/>
    <d v="1899-12-30T02:02:00"/>
    <x v="3"/>
    <x v="53"/>
    <n v="0"/>
  </r>
  <r>
    <x v="0"/>
    <s v="16/17"/>
    <x v="6"/>
    <x v="24"/>
    <x v="574"/>
    <s v="H"/>
    <x v="3"/>
    <x v="70"/>
    <d v="1899-12-30T04:02:00"/>
    <n v="4"/>
    <n v="2"/>
    <x v="0"/>
    <x v="2"/>
    <x v="104"/>
    <d v="1899-12-30T03:02:00"/>
    <x v="2"/>
    <x v="52"/>
    <n v="0"/>
  </r>
  <r>
    <x v="1"/>
    <s v="16/17"/>
    <x v="4"/>
    <x v="46"/>
    <x v="575"/>
    <s v="A"/>
    <x v="2"/>
    <x v="36"/>
    <d v="1899-12-30T02:03:00"/>
    <s v="02"/>
    <s v="03"/>
    <x v="1"/>
    <x v="1"/>
    <x v="94"/>
    <d v="1899-12-30T01:01:00"/>
    <x v="3"/>
    <x v="85"/>
    <n v="0"/>
  </r>
  <r>
    <x v="1"/>
    <s v="16/17"/>
    <x v="4"/>
    <x v="46"/>
    <x v="575"/>
    <s v="A"/>
    <x v="2"/>
    <x v="36"/>
    <d v="1899-12-30T02:03:00"/>
    <s v="02"/>
    <s v="03"/>
    <x v="1"/>
    <x v="1"/>
    <x v="63"/>
    <d v="1899-12-30T02:03:00"/>
    <x v="3"/>
    <x v="71"/>
    <n v="0"/>
  </r>
  <r>
    <x v="1"/>
    <s v="16/17"/>
    <x v="4"/>
    <x v="16"/>
    <x v="576"/>
    <s v="H"/>
    <x v="2"/>
    <x v="31"/>
    <d v="1899-12-30T07:01:00"/>
    <s v="07"/>
    <s v="01"/>
    <x v="0"/>
    <x v="8"/>
    <x v="23"/>
    <d v="1899-12-30T01:00:00"/>
    <x v="3"/>
    <x v="0"/>
    <n v="1"/>
  </r>
  <r>
    <x v="1"/>
    <s v="16/17"/>
    <x v="4"/>
    <x v="16"/>
    <x v="576"/>
    <s v="H"/>
    <x v="2"/>
    <x v="31"/>
    <d v="1899-12-30T07:01:00"/>
    <s v="07"/>
    <s v="01"/>
    <x v="0"/>
    <x v="8"/>
    <x v="75"/>
    <d v="1899-12-30T04:01:00"/>
    <x v="3"/>
    <x v="85"/>
    <n v="0"/>
  </r>
  <r>
    <x v="0"/>
    <s v="16/17"/>
    <x v="4"/>
    <x v="36"/>
    <x v="577"/>
    <s v="H"/>
    <x v="3"/>
    <x v="58"/>
    <d v="1899-12-30T02:01:00"/>
    <s v="02"/>
    <s v="01"/>
    <x v="0"/>
    <x v="0"/>
    <x v="83"/>
    <d v="1899-12-30T01:00:00"/>
    <x v="1"/>
    <x v="78"/>
    <n v="0"/>
  </r>
  <r>
    <x v="0"/>
    <s v="16/17"/>
    <x v="6"/>
    <x v="15"/>
    <x v="578"/>
    <s v="H"/>
    <x v="3"/>
    <x v="42"/>
    <d v="1899-12-30T03:00:00"/>
    <s v="03"/>
    <s v="00"/>
    <x v="0"/>
    <x v="2"/>
    <x v="46"/>
    <d v="1899-12-30T03:00:00"/>
    <x v="2"/>
    <x v="88"/>
    <n v="0"/>
  </r>
  <r>
    <x v="0"/>
    <s v="16/17"/>
    <x v="6"/>
    <x v="15"/>
    <x v="578"/>
    <s v="H"/>
    <x v="3"/>
    <x v="42"/>
    <d v="1899-12-30T03:00:00"/>
    <s v="03"/>
    <s v="00"/>
    <x v="0"/>
    <x v="2"/>
    <x v="38"/>
    <d v="1899-12-30T02:00:00"/>
    <x v="2"/>
    <x v="43"/>
    <n v="0"/>
  </r>
  <r>
    <x v="0"/>
    <s v="16/17"/>
    <x v="6"/>
    <x v="15"/>
    <x v="578"/>
    <s v="H"/>
    <x v="3"/>
    <x v="42"/>
    <d v="1899-12-30T03:00:00"/>
    <s v="03"/>
    <s v="00"/>
    <x v="0"/>
    <x v="2"/>
    <x v="39"/>
    <d v="1899-12-30T01:00:00"/>
    <x v="1"/>
    <x v="100"/>
    <n v="0"/>
  </r>
  <r>
    <x v="1"/>
    <s v="16/17"/>
    <x v="4"/>
    <x v="48"/>
    <x v="579"/>
    <s v="H"/>
    <x v="2"/>
    <x v="76"/>
    <d v="1899-12-30T04:01:00"/>
    <s v="04"/>
    <s v="01"/>
    <x v="0"/>
    <x v="1"/>
    <x v="32"/>
    <d v="1899-12-30T02:01:00"/>
    <x v="3"/>
    <x v="64"/>
    <n v="0"/>
  </r>
  <r>
    <x v="1"/>
    <s v="16/17"/>
    <x v="4"/>
    <x v="48"/>
    <x v="579"/>
    <s v="H"/>
    <x v="2"/>
    <x v="76"/>
    <d v="1899-12-30T04:01:00"/>
    <s v="04"/>
    <s v="01"/>
    <x v="0"/>
    <x v="1"/>
    <x v="26"/>
    <d v="1899-12-30T04:01:00"/>
    <x v="6"/>
    <x v="0"/>
    <n v="1"/>
  </r>
  <r>
    <x v="0"/>
    <s v="16/17"/>
    <x v="4"/>
    <x v="35"/>
    <x v="580"/>
    <s v="H"/>
    <x v="3"/>
    <x v="34"/>
    <d v="1899-12-30T04:01:00"/>
    <s v="04"/>
    <s v="01"/>
    <x v="0"/>
    <x v="0"/>
    <x v="76"/>
    <d v="1899-12-30T03:01:00"/>
    <x v="3"/>
    <x v="86"/>
    <n v="0"/>
  </r>
  <r>
    <x v="0"/>
    <s v="16/17"/>
    <x v="4"/>
    <x v="35"/>
    <x v="580"/>
    <s v="H"/>
    <x v="3"/>
    <x v="34"/>
    <d v="1899-12-30T04:01:00"/>
    <s v="04"/>
    <s v="01"/>
    <x v="0"/>
    <x v="0"/>
    <x v="35"/>
    <d v="1899-12-30T02:00:00"/>
    <x v="2"/>
    <x v="0"/>
    <n v="1"/>
  </r>
  <r>
    <x v="0"/>
    <s v="16/17"/>
    <x v="4"/>
    <x v="23"/>
    <x v="581"/>
    <s v="A"/>
    <x v="3"/>
    <x v="30"/>
    <d v="1899-12-30T01:04:00"/>
    <s v="01"/>
    <s v="04"/>
    <x v="1"/>
    <x v="2"/>
    <x v="39"/>
    <d v="1899-12-30T00:01:00"/>
    <x v="3"/>
    <x v="0"/>
    <n v="1"/>
  </r>
  <r>
    <x v="0"/>
    <s v="16/17"/>
    <x v="4"/>
    <x v="23"/>
    <x v="581"/>
    <s v="A"/>
    <x v="3"/>
    <x v="30"/>
    <d v="1899-12-30T01:04:00"/>
    <s v="01"/>
    <s v="04"/>
    <x v="1"/>
    <x v="2"/>
    <x v="61"/>
    <d v="1899-12-30T00:02:00"/>
    <x v="3"/>
    <x v="76"/>
    <n v="0"/>
  </r>
  <r>
    <x v="0"/>
    <s v="16/17"/>
    <x v="4"/>
    <x v="7"/>
    <x v="582"/>
    <s v="A"/>
    <x v="3"/>
    <x v="63"/>
    <d v="1899-12-30T00:02:00"/>
    <s v="00"/>
    <s v="02"/>
    <x v="1"/>
    <x v="2"/>
    <x v="86"/>
    <d v="1899-12-30T00:01:00"/>
    <x v="2"/>
    <x v="76"/>
    <n v="0"/>
  </r>
  <r>
    <x v="1"/>
    <s v="16/17"/>
    <x v="4"/>
    <x v="7"/>
    <x v="582"/>
    <s v="H"/>
    <x v="2"/>
    <x v="110"/>
    <d v="1899-12-30T04:02:00"/>
    <s v="04"/>
    <s v="02"/>
    <x v="0"/>
    <x v="1"/>
    <x v="28"/>
    <d v="1899-12-30T03:02:00"/>
    <x v="6"/>
    <x v="0"/>
    <n v="1"/>
  </r>
  <r>
    <x v="1"/>
    <s v="16/17"/>
    <x v="4"/>
    <x v="7"/>
    <x v="582"/>
    <s v="H"/>
    <x v="2"/>
    <x v="110"/>
    <d v="1899-12-30T04:02:00"/>
    <s v="04"/>
    <s v="02"/>
    <x v="0"/>
    <x v="1"/>
    <x v="63"/>
    <d v="1899-12-30T04:02:00"/>
    <x v="2"/>
    <x v="0"/>
    <n v="1"/>
  </r>
  <r>
    <x v="1"/>
    <s v="16/17"/>
    <x v="8"/>
    <x v="8"/>
    <x v="583"/>
    <s v="H"/>
    <x v="2"/>
    <x v="24"/>
    <d v="1899-12-30T03:01:00"/>
    <s v="03"/>
    <s v="01"/>
    <x v="0"/>
    <x v="1"/>
    <x v="74"/>
    <d v="1899-12-30T01:00:00"/>
    <x v="3"/>
    <x v="75"/>
    <n v="0"/>
  </r>
  <r>
    <x v="0"/>
    <s v="16/17"/>
    <x v="6"/>
    <x v="8"/>
    <x v="584"/>
    <s v="A"/>
    <x v="3"/>
    <x v="107"/>
    <d v="1899-12-30T01:04:00"/>
    <s v="01"/>
    <s v="04"/>
    <x v="1"/>
    <x v="2"/>
    <x v="92"/>
    <d v="1899-12-30T00:01:00"/>
    <x v="2"/>
    <x v="78"/>
    <n v="0"/>
  </r>
  <r>
    <x v="0"/>
    <s v="16/17"/>
    <x v="6"/>
    <x v="8"/>
    <x v="584"/>
    <s v="A"/>
    <x v="3"/>
    <x v="107"/>
    <d v="1899-12-30T01:04:00"/>
    <s v="01"/>
    <s v="04"/>
    <x v="1"/>
    <x v="2"/>
    <x v="87"/>
    <d v="1899-12-30T01:03:00"/>
    <x v="2"/>
    <x v="74"/>
    <n v="0"/>
  </r>
  <r>
    <x v="0"/>
    <s v="17/18"/>
    <x v="10"/>
    <x v="8"/>
    <x v="585"/>
    <s v="A"/>
    <x v="3"/>
    <x v="91"/>
    <d v="1899-12-30T01:03:00"/>
    <s v="01"/>
    <s v="03"/>
    <x v="1"/>
    <x v="2"/>
    <x v="5"/>
    <d v="1899-12-30T01:02:00"/>
    <x v="2"/>
    <x v="76"/>
    <n v="0"/>
  </r>
  <r>
    <x v="1"/>
    <s v="17/18"/>
    <x v="10"/>
    <x v="8"/>
    <x v="585"/>
    <s v="H"/>
    <x v="2"/>
    <x v="36"/>
    <d v="1899-12-30T01:03:00"/>
    <s v="01"/>
    <s v="03"/>
    <x v="1"/>
    <x v="1"/>
    <x v="43"/>
    <d v="1899-12-30T01:01:00"/>
    <x v="6"/>
    <x v="0"/>
    <n v="1"/>
  </r>
  <r>
    <x v="1"/>
    <s v="17/18"/>
    <x v="4"/>
    <x v="28"/>
    <x v="586"/>
    <s v="A"/>
    <x v="2"/>
    <x v="24"/>
    <d v="1899-12-30T00:02:00"/>
    <s v="00"/>
    <s v="02"/>
    <x v="1"/>
    <x v="2"/>
    <x v="55"/>
    <d v="1899-12-30T00:02:00"/>
    <x v="3"/>
    <x v="101"/>
    <n v="0"/>
  </r>
  <r>
    <x v="1"/>
    <s v="17/18"/>
    <x v="4"/>
    <x v="28"/>
    <x v="586"/>
    <s v="A"/>
    <x v="2"/>
    <x v="24"/>
    <d v="1899-12-30T00:02:00"/>
    <s v="00"/>
    <s v="02"/>
    <x v="1"/>
    <x v="2"/>
    <x v="82"/>
    <d v="1899-12-30T00:01:00"/>
    <x v="3"/>
    <x v="71"/>
    <n v="0"/>
  </r>
  <r>
    <x v="1"/>
    <s v="17/18"/>
    <x v="4"/>
    <x v="47"/>
    <x v="587"/>
    <s v="H"/>
    <x v="2"/>
    <x v="43"/>
    <d v="1899-12-30T05:00:00"/>
    <s v="05"/>
    <s v="00"/>
    <x v="0"/>
    <x v="2"/>
    <x v="72"/>
    <d v="1899-12-30T01:00:00"/>
    <x v="3"/>
    <x v="85"/>
    <n v="0"/>
  </r>
  <r>
    <x v="1"/>
    <s v="17/18"/>
    <x v="4"/>
    <x v="47"/>
    <x v="587"/>
    <s v="H"/>
    <x v="2"/>
    <x v="43"/>
    <d v="1899-12-30T05:00:00"/>
    <s v="05"/>
    <s v="00"/>
    <x v="0"/>
    <x v="2"/>
    <x v="3"/>
    <d v="1899-12-30T03:00:00"/>
    <x v="3"/>
    <x v="71"/>
    <n v="0"/>
  </r>
  <r>
    <x v="1"/>
    <s v="17/18"/>
    <x v="4"/>
    <x v="47"/>
    <x v="587"/>
    <s v="H"/>
    <x v="2"/>
    <x v="43"/>
    <d v="1899-12-30T05:00:00"/>
    <s v="05"/>
    <s v="00"/>
    <x v="0"/>
    <x v="2"/>
    <x v="57"/>
    <d v="1899-12-30T02:00:00"/>
    <x v="2"/>
    <x v="71"/>
    <n v="0"/>
  </r>
  <r>
    <x v="1"/>
    <s v="17/18"/>
    <x v="6"/>
    <x v="18"/>
    <x v="588"/>
    <s v="H"/>
    <x v="2"/>
    <x v="107"/>
    <d v="1899-12-30T03:00:00"/>
    <s v="03"/>
    <s v="00"/>
    <x v="0"/>
    <x v="2"/>
    <x v="64"/>
    <d v="1899-12-30T03:00:00"/>
    <x v="3"/>
    <x v="0"/>
    <n v="1"/>
  </r>
  <r>
    <x v="1"/>
    <s v="17/18"/>
    <x v="6"/>
    <x v="18"/>
    <x v="588"/>
    <s v="H"/>
    <x v="2"/>
    <x v="107"/>
    <d v="1899-12-30T03:00:00"/>
    <s v="03"/>
    <s v="00"/>
    <x v="0"/>
    <x v="2"/>
    <x v="32"/>
    <d v="1899-12-30T01:00:00"/>
    <x v="3"/>
    <x v="84"/>
    <n v="0"/>
  </r>
  <r>
    <x v="0"/>
    <s v="17/18"/>
    <x v="6"/>
    <x v="18"/>
    <x v="589"/>
    <s v="H"/>
    <x v="3"/>
    <x v="100"/>
    <d v="1899-12-30T03:00:00"/>
    <s v="03"/>
    <s v="00"/>
    <x v="0"/>
    <x v="2"/>
    <x v="23"/>
    <d v="1899-12-30T01:00:00"/>
    <x v="9"/>
    <x v="77"/>
    <n v="0"/>
  </r>
  <r>
    <x v="0"/>
    <s v="17/18"/>
    <x v="6"/>
    <x v="18"/>
    <x v="589"/>
    <s v="H"/>
    <x v="3"/>
    <x v="100"/>
    <d v="1899-12-30T03:00:00"/>
    <s v="03"/>
    <s v="00"/>
    <x v="0"/>
    <x v="2"/>
    <x v="22"/>
    <d v="1899-12-30T02:00:00"/>
    <x v="6"/>
    <x v="0"/>
    <n v="1"/>
  </r>
  <r>
    <x v="1"/>
    <s v="17/18"/>
    <x v="4"/>
    <x v="38"/>
    <x v="590"/>
    <s v="H"/>
    <x v="2"/>
    <x v="110"/>
    <d v="1899-12-30T06:01:00"/>
    <s v="06"/>
    <s v="01"/>
    <x v="0"/>
    <x v="2"/>
    <x v="34"/>
    <d v="1899-12-30T04:01:00"/>
    <x v="3"/>
    <x v="64"/>
    <n v="0"/>
  </r>
  <r>
    <x v="1"/>
    <s v="17/18"/>
    <x v="4"/>
    <x v="38"/>
    <x v="590"/>
    <s v="H"/>
    <x v="2"/>
    <x v="110"/>
    <d v="1899-12-30T06:01:00"/>
    <s v="06"/>
    <s v="01"/>
    <x v="0"/>
    <x v="2"/>
    <x v="11"/>
    <d v="1899-12-30T06:01:00"/>
    <x v="3"/>
    <x v="102"/>
    <n v="0"/>
  </r>
  <r>
    <x v="1"/>
    <s v="17/18"/>
    <x v="4"/>
    <x v="38"/>
    <x v="590"/>
    <s v="H"/>
    <x v="2"/>
    <x v="110"/>
    <d v="1899-12-30T06:01:00"/>
    <s v="06"/>
    <s v="01"/>
    <x v="0"/>
    <x v="2"/>
    <x v="17"/>
    <d v="1899-12-30T01:00:00"/>
    <x v="6"/>
    <x v="0"/>
    <n v="1"/>
  </r>
  <r>
    <x v="1"/>
    <s v="17/18"/>
    <x v="4"/>
    <x v="38"/>
    <x v="590"/>
    <s v="H"/>
    <x v="2"/>
    <x v="110"/>
    <d v="1899-12-30T06:01:00"/>
    <s v="06"/>
    <s v="01"/>
    <x v="0"/>
    <x v="2"/>
    <x v="52"/>
    <d v="1899-12-30T05:01:00"/>
    <x v="3"/>
    <x v="103"/>
    <n v="0"/>
  </r>
  <r>
    <x v="0"/>
    <s v="17/18"/>
    <x v="6"/>
    <x v="18"/>
    <x v="591"/>
    <s v="A"/>
    <x v="3"/>
    <x v="102"/>
    <d v="1899-12-30T01:03:00"/>
    <s v="01"/>
    <s v="03"/>
    <x v="1"/>
    <x v="2"/>
    <x v="54"/>
    <d v="1899-12-30T01:03:00"/>
    <x v="2"/>
    <x v="74"/>
    <n v="0"/>
  </r>
  <r>
    <x v="0"/>
    <s v="17/18"/>
    <x v="6"/>
    <x v="18"/>
    <x v="591"/>
    <s v="A"/>
    <x v="3"/>
    <x v="102"/>
    <d v="1899-12-30T01:03:00"/>
    <s v="01"/>
    <s v="03"/>
    <x v="1"/>
    <x v="2"/>
    <x v="47"/>
    <d v="1899-12-30T00:02:00"/>
    <x v="3"/>
    <x v="77"/>
    <n v="0"/>
  </r>
  <r>
    <x v="1"/>
    <s v="17/18"/>
    <x v="4"/>
    <x v="40"/>
    <x v="592"/>
    <s v="H"/>
    <x v="2"/>
    <x v="112"/>
    <d v="1899-12-30T03:00:00"/>
    <s v="03"/>
    <s v="00"/>
    <x v="0"/>
    <x v="3"/>
    <x v="62"/>
    <d v="1899-12-30T02:00:00"/>
    <x v="3"/>
    <x v="104"/>
    <n v="0"/>
  </r>
  <r>
    <x v="1"/>
    <s v="17/18"/>
    <x v="4"/>
    <x v="40"/>
    <x v="592"/>
    <s v="H"/>
    <x v="2"/>
    <x v="112"/>
    <d v="1899-12-30T03:00:00"/>
    <s v="03"/>
    <s v="00"/>
    <x v="0"/>
    <x v="3"/>
    <x v="43"/>
    <d v="1899-12-30T03:00:00"/>
    <x v="3"/>
    <x v="84"/>
    <n v="0"/>
  </r>
  <r>
    <x v="0"/>
    <s v="17/18"/>
    <x v="4"/>
    <x v="1"/>
    <x v="593"/>
    <s v="A"/>
    <x v="3"/>
    <x v="40"/>
    <d v="1899-12-30T01:02:00"/>
    <s v="01"/>
    <s v="02"/>
    <x v="1"/>
    <x v="2"/>
    <x v="41"/>
    <d v="1899-12-30T01:02:00"/>
    <x v="2"/>
    <x v="76"/>
    <n v="0"/>
  </r>
  <r>
    <x v="0"/>
    <s v="17/18"/>
    <x v="6"/>
    <x v="18"/>
    <x v="594"/>
    <s v="H"/>
    <x v="3"/>
    <x v="6"/>
    <d v="1899-12-30T01:01:00"/>
    <s v="01"/>
    <s v="01"/>
    <x v="2"/>
    <x v="0"/>
    <x v="51"/>
    <d v="1899-12-30T01:01:00"/>
    <x v="6"/>
    <x v="0"/>
    <n v="1"/>
  </r>
  <r>
    <x v="1"/>
    <s v="17/18"/>
    <x v="6"/>
    <x v="18"/>
    <x v="595"/>
    <s v="H"/>
    <x v="2"/>
    <x v="119"/>
    <d v="1899-12-30T03:01:00"/>
    <s v="03"/>
    <s v="01"/>
    <x v="0"/>
    <x v="2"/>
    <x v="75"/>
    <d v="1899-12-30T02:00:00"/>
    <x v="4"/>
    <x v="0"/>
    <n v="1"/>
  </r>
  <r>
    <x v="1"/>
    <s v="17/18"/>
    <x v="4"/>
    <x v="29"/>
    <x v="596"/>
    <s v="A"/>
    <x v="2"/>
    <x v="23"/>
    <d v="1899-12-30T00:02:00"/>
    <s v="00"/>
    <s v="02"/>
    <x v="1"/>
    <x v="9"/>
    <x v="91"/>
    <d v="1899-12-30T00:01:00"/>
    <x v="3"/>
    <x v="71"/>
    <n v="0"/>
  </r>
  <r>
    <x v="0"/>
    <s v="17/18"/>
    <x v="6"/>
    <x v="18"/>
    <x v="597"/>
    <s v="A"/>
    <x v="3"/>
    <x v="6"/>
    <d v="1899-12-30T03:01:00"/>
    <s v="03"/>
    <s v="01"/>
    <x v="0"/>
    <x v="0"/>
    <x v="5"/>
    <d v="1899-12-30T03:01:00"/>
    <x v="2"/>
    <x v="105"/>
    <n v="0"/>
  </r>
  <r>
    <x v="0"/>
    <s v="17/18"/>
    <x v="6"/>
    <x v="18"/>
    <x v="598"/>
    <s v="A"/>
    <x v="3"/>
    <x v="100"/>
    <d v="1899-12-30T00:06:00"/>
    <s v="00"/>
    <s v="06"/>
    <x v="1"/>
    <x v="0"/>
    <x v="47"/>
    <d v="1899-12-30T00:05:00"/>
    <x v="1"/>
    <x v="52"/>
    <n v="0"/>
  </r>
  <r>
    <x v="0"/>
    <s v="17/18"/>
    <x v="6"/>
    <x v="18"/>
    <x v="598"/>
    <s v="A"/>
    <x v="3"/>
    <x v="100"/>
    <d v="1899-12-30T00:06:00"/>
    <s v="00"/>
    <s v="06"/>
    <x v="1"/>
    <x v="0"/>
    <x v="14"/>
    <d v="1899-12-30T00:06:00"/>
    <x v="3"/>
    <x v="0"/>
    <n v="1"/>
  </r>
  <r>
    <x v="0"/>
    <s v="17/18"/>
    <x v="4"/>
    <x v="19"/>
    <x v="599"/>
    <s v="H"/>
    <x v="3"/>
    <x v="63"/>
    <d v="1899-12-30T03:02:00"/>
    <s v="03"/>
    <s v="02"/>
    <x v="0"/>
    <x v="2"/>
    <x v="18"/>
    <d v="1899-12-30T03:02:00"/>
    <x v="7"/>
    <x v="0"/>
    <n v="1"/>
  </r>
  <r>
    <x v="1"/>
    <s v="17/18"/>
    <x v="4"/>
    <x v="51"/>
    <x v="600"/>
    <s v="H"/>
    <x v="2"/>
    <x v="30"/>
    <d v="1899-12-30T02:02:00"/>
    <s v="02"/>
    <s v="02"/>
    <x v="2"/>
    <x v="3"/>
    <x v="60"/>
    <d v="1899-12-30T01:01:00"/>
    <x v="3"/>
    <x v="103"/>
    <n v="0"/>
  </r>
  <r>
    <x v="0"/>
    <s v="17/18"/>
    <x v="6"/>
    <x v="18"/>
    <x v="601"/>
    <s v="H"/>
    <x v="3"/>
    <x v="102"/>
    <d v="1899-12-30T03:02:00"/>
    <s v="03"/>
    <s v="02"/>
    <x v="0"/>
    <x v="0"/>
    <x v="23"/>
    <d v="1899-12-30T02:00:00"/>
    <x v="2"/>
    <x v="97"/>
    <n v="0"/>
  </r>
  <r>
    <x v="0"/>
    <s v="17/18"/>
    <x v="4"/>
    <x v="30"/>
    <x v="602"/>
    <s v="H"/>
    <x v="3"/>
    <x v="34"/>
    <d v="1899-12-30T05:00:00"/>
    <s v="05"/>
    <s v="00"/>
    <x v="0"/>
    <x v="2"/>
    <x v="78"/>
    <d v="1899-12-30T03:00:00"/>
    <x v="6"/>
    <x v="0"/>
    <n v="1"/>
  </r>
  <r>
    <x v="0"/>
    <s v="17/18"/>
    <x v="4"/>
    <x v="30"/>
    <x v="602"/>
    <s v="H"/>
    <x v="3"/>
    <x v="34"/>
    <d v="1899-12-30T05:00:00"/>
    <s v="05"/>
    <s v="00"/>
    <x v="0"/>
    <x v="2"/>
    <x v="35"/>
    <d v="1899-12-30T02:00:00"/>
    <x v="2"/>
    <x v="99"/>
    <n v="0"/>
  </r>
  <r>
    <x v="1"/>
    <s v="17/18"/>
    <x v="4"/>
    <x v="30"/>
    <x v="603"/>
    <s v="A"/>
    <x v="2"/>
    <x v="76"/>
    <d v="1899-12-30T00:02:00"/>
    <s v="00"/>
    <s v="02"/>
    <x v="1"/>
    <x v="7"/>
    <x v="27"/>
    <d v="1899-12-30T00:02:00"/>
    <x v="3"/>
    <x v="64"/>
    <n v="0"/>
  </r>
  <r>
    <x v="0"/>
    <s v="17/18"/>
    <x v="9"/>
    <x v="15"/>
    <x v="604"/>
    <s v="A"/>
    <x v="3"/>
    <x v="120"/>
    <d v="1899-12-30T01:02:00"/>
    <s v="01"/>
    <s v="02"/>
    <x v="1"/>
    <x v="0"/>
    <x v="68"/>
    <d v="1899-12-30T01:01:00"/>
    <x v="2"/>
    <x v="74"/>
    <n v="0"/>
  </r>
  <r>
    <x v="0"/>
    <s v="17/18"/>
    <x v="9"/>
    <x v="8"/>
    <x v="605"/>
    <s v="H"/>
    <x v="3"/>
    <x v="121"/>
    <d v="1899-12-30T01:00:00"/>
    <s v="01"/>
    <s v="00"/>
    <x v="0"/>
    <x v="0"/>
    <x v="68"/>
    <d v="1899-12-30T01:00:00"/>
    <x v="4"/>
    <x v="0"/>
    <n v="1"/>
  </r>
  <r>
    <x v="1"/>
    <s v="17/18"/>
    <x v="4"/>
    <x v="31"/>
    <x v="606"/>
    <s v="A"/>
    <x v="2"/>
    <x v="36"/>
    <d v="1899-12-30T00:03:00"/>
    <s v="00"/>
    <s v="03"/>
    <x v="1"/>
    <x v="3"/>
    <x v="87"/>
    <d v="1899-12-30T00:02:00"/>
    <x v="6"/>
    <x v="0"/>
    <n v="1"/>
  </r>
  <r>
    <x v="1"/>
    <s v="17/18"/>
    <x v="4"/>
    <x v="42"/>
    <x v="607"/>
    <s v="H"/>
    <x v="2"/>
    <x v="47"/>
    <d v="1899-12-30T03:00:00"/>
    <s v="03"/>
    <s v="00"/>
    <x v="0"/>
    <x v="3"/>
    <x v="23"/>
    <d v="1899-12-30T01:00:00"/>
    <x v="3"/>
    <x v="71"/>
    <n v="0"/>
  </r>
  <r>
    <x v="1"/>
    <s v="17/18"/>
    <x v="8"/>
    <x v="44"/>
    <x v="608"/>
    <s v="H"/>
    <x v="2"/>
    <x v="30"/>
    <d v="1899-12-30T05:00:00"/>
    <s v="05"/>
    <s v="00"/>
    <x v="0"/>
    <x v="3"/>
    <x v="84"/>
    <d v="1899-12-30T02:00:00"/>
    <x v="3"/>
    <x v="71"/>
    <n v="0"/>
  </r>
  <r>
    <x v="1"/>
    <s v="17/18"/>
    <x v="8"/>
    <x v="44"/>
    <x v="608"/>
    <s v="H"/>
    <x v="2"/>
    <x v="30"/>
    <d v="1899-12-30T05:00:00"/>
    <s v="05"/>
    <s v="00"/>
    <x v="0"/>
    <x v="3"/>
    <x v="4"/>
    <d v="1899-12-30T01:00:00"/>
    <x v="3"/>
    <x v="71"/>
    <n v="0"/>
  </r>
  <r>
    <x v="1"/>
    <s v="17/18"/>
    <x v="4"/>
    <x v="22"/>
    <x v="609"/>
    <s v="A"/>
    <x v="2"/>
    <x v="90"/>
    <d v="1899-12-30T02:04:00"/>
    <s v="02"/>
    <s v="04"/>
    <x v="1"/>
    <x v="9"/>
    <x v="41"/>
    <d v="1899-12-30T02:04:00"/>
    <x v="4"/>
    <x v="0"/>
    <n v="1"/>
  </r>
  <r>
    <x v="1"/>
    <s v="17/18"/>
    <x v="4"/>
    <x v="21"/>
    <x v="610"/>
    <s v="A"/>
    <x v="2"/>
    <x v="27"/>
    <d v="1899-12-30T00:05:00"/>
    <s v="00"/>
    <s v="05"/>
    <x v="1"/>
    <x v="9"/>
    <x v="5"/>
    <d v="1899-12-30T00:04:00"/>
    <x v="3"/>
    <x v="84"/>
    <n v="0"/>
  </r>
  <r>
    <x v="0"/>
    <s v="17/18"/>
    <x v="4"/>
    <x v="21"/>
    <x v="610"/>
    <s v="H"/>
    <x v="3"/>
    <x v="73"/>
    <d v="1899-12-30T07:01:00"/>
    <s v="07"/>
    <s v="01"/>
    <x v="0"/>
    <x v="0"/>
    <x v="33"/>
    <d v="1899-12-30T06:01:00"/>
    <x v="1"/>
    <x v="88"/>
    <n v="0"/>
  </r>
  <r>
    <x v="0"/>
    <s v="17/18"/>
    <x v="4"/>
    <x v="21"/>
    <x v="610"/>
    <s v="H"/>
    <x v="3"/>
    <x v="73"/>
    <d v="1899-12-30T07:01:00"/>
    <s v="07"/>
    <s v="01"/>
    <x v="0"/>
    <x v="0"/>
    <x v="76"/>
    <d v="1899-12-30T05:01:00"/>
    <x v="3"/>
    <x v="100"/>
    <n v="0"/>
  </r>
  <r>
    <x v="1"/>
    <s v="17/18"/>
    <x v="4"/>
    <x v="21"/>
    <x v="610"/>
    <s v="A"/>
    <x v="2"/>
    <x v="27"/>
    <d v="1899-12-30T00:05:00"/>
    <s v="00"/>
    <s v="05"/>
    <x v="1"/>
    <x v="9"/>
    <x v="87"/>
    <d v="1899-12-30T00:02:00"/>
    <x v="3"/>
    <x v="64"/>
    <n v="0"/>
  </r>
  <r>
    <x v="1"/>
    <s v="17/18"/>
    <x v="8"/>
    <x v="24"/>
    <x v="611"/>
    <s v="H"/>
    <x v="2"/>
    <x v="43"/>
    <d v="1899-12-30T02:00:00"/>
    <s v="02"/>
    <s v="00"/>
    <x v="0"/>
    <x v="3"/>
    <x v="73"/>
    <d v="1899-12-30T02:00:00"/>
    <x v="8"/>
    <x v="0"/>
    <n v="1"/>
  </r>
  <r>
    <x v="0"/>
    <s v="17/18"/>
    <x v="4"/>
    <x v="23"/>
    <x v="612"/>
    <s v="A"/>
    <x v="3"/>
    <x v="58"/>
    <d v="1899-12-30T01:04:00"/>
    <s v="01"/>
    <s v="04"/>
    <x v="1"/>
    <x v="0"/>
    <x v="31"/>
    <d v="1899-12-30T00:02:00"/>
    <x v="6"/>
    <x v="0"/>
    <n v="1"/>
  </r>
  <r>
    <x v="0"/>
    <s v="17/18"/>
    <x v="4"/>
    <x v="23"/>
    <x v="612"/>
    <s v="A"/>
    <x v="3"/>
    <x v="58"/>
    <d v="1899-12-30T01:04:00"/>
    <s v="01"/>
    <s v="04"/>
    <x v="1"/>
    <x v="0"/>
    <x v="67"/>
    <d v="1899-12-30T00:01:00"/>
    <x v="6"/>
    <x v="0"/>
    <n v="1"/>
  </r>
  <r>
    <x v="1"/>
    <s v="17/18"/>
    <x v="4"/>
    <x v="23"/>
    <x v="613"/>
    <s v="H"/>
    <x v="2"/>
    <x v="24"/>
    <d v="1899-12-30T02:01:00"/>
    <s v="02"/>
    <s v="01"/>
    <x v="0"/>
    <x v="3"/>
    <x v="33"/>
    <d v="1899-12-30T02:01:00"/>
    <x v="4"/>
    <x v="0"/>
    <n v="1"/>
  </r>
  <r>
    <x v="0"/>
    <s v="17/18"/>
    <x v="4"/>
    <x v="32"/>
    <x v="614"/>
    <s v="H"/>
    <x v="3"/>
    <x v="90"/>
    <d v="1899-12-30T05:02:00"/>
    <s v="05"/>
    <s v="02"/>
    <x v="0"/>
    <x v="2"/>
    <x v="5"/>
    <d v="1899-12-30T05:01:00"/>
    <x v="5"/>
    <x v="0"/>
    <n v="1"/>
  </r>
  <r>
    <x v="0"/>
    <s v="17/18"/>
    <x v="4"/>
    <x v="32"/>
    <x v="614"/>
    <s v="H"/>
    <x v="3"/>
    <x v="90"/>
    <d v="1899-12-30T05:02:00"/>
    <s v="05"/>
    <s v="02"/>
    <x v="0"/>
    <x v="2"/>
    <x v="91"/>
    <d v="1899-12-30T04:00:00"/>
    <x v="1"/>
    <x v="74"/>
    <n v="0"/>
  </r>
  <r>
    <x v="0"/>
    <s v="17/18"/>
    <x v="4"/>
    <x v="32"/>
    <x v="614"/>
    <s v="H"/>
    <x v="3"/>
    <x v="90"/>
    <d v="1899-12-30T05:02:00"/>
    <s v="05"/>
    <s v="02"/>
    <x v="0"/>
    <x v="2"/>
    <x v="83"/>
    <d v="1899-12-30T02:00:00"/>
    <x v="2"/>
    <x v="52"/>
    <n v="0"/>
  </r>
  <r>
    <x v="0"/>
    <s v="17/18"/>
    <x v="6"/>
    <x v="44"/>
    <x v="615"/>
    <s v="H"/>
    <x v="3"/>
    <x v="104"/>
    <d v="1899-12-30T03:01:00"/>
    <s v="03"/>
    <s v="01"/>
    <x v="0"/>
    <x v="0"/>
    <x v="32"/>
    <d v="1899-12-30T01:01:00"/>
    <x v="6"/>
    <x v="0"/>
    <n v="1"/>
  </r>
  <r>
    <x v="0"/>
    <s v="17/18"/>
    <x v="6"/>
    <x v="44"/>
    <x v="615"/>
    <s v="H"/>
    <x v="3"/>
    <x v="104"/>
    <d v="1899-12-30T03:01:00"/>
    <s v="03"/>
    <s v="01"/>
    <x v="0"/>
    <x v="0"/>
    <x v="27"/>
    <d v="1899-12-30T02:01:00"/>
    <x v="5"/>
    <x v="0"/>
    <n v="1"/>
  </r>
  <r>
    <x v="0"/>
    <s v="17/18"/>
    <x v="4"/>
    <x v="11"/>
    <x v="616"/>
    <s v="A"/>
    <x v="3"/>
    <x v="27"/>
    <d v="1899-12-30T03:05:00"/>
    <s v="03"/>
    <s v="05"/>
    <x v="1"/>
    <x v="2"/>
    <x v="77"/>
    <d v="1899-12-30T02:04:00"/>
    <x v="2"/>
    <x v="100"/>
    <n v="0"/>
  </r>
  <r>
    <x v="1"/>
    <s v="17/18"/>
    <x v="6"/>
    <x v="44"/>
    <x v="617"/>
    <s v="A"/>
    <x v="2"/>
    <x v="59"/>
    <d v="1899-12-30T01:01:00"/>
    <s v="01"/>
    <s v="01"/>
    <x v="2"/>
    <x v="3"/>
    <x v="28"/>
    <d v="1899-12-30T01:01:00"/>
    <x v="3"/>
    <x v="16"/>
    <n v="0"/>
  </r>
  <r>
    <x v="0"/>
    <s v="17/18"/>
    <x v="4"/>
    <x v="12"/>
    <x v="618"/>
    <s v="H"/>
    <x v="3"/>
    <x v="24"/>
    <d v="1899-12-30T04:00:00"/>
    <s v="04"/>
    <s v="00"/>
    <x v="0"/>
    <x v="5"/>
    <x v="10"/>
    <d v="1899-12-30T01:00:00"/>
    <x v="3"/>
    <x v="43"/>
    <n v="0"/>
  </r>
  <r>
    <x v="0"/>
    <s v="17/18"/>
    <x v="4"/>
    <x v="12"/>
    <x v="618"/>
    <s v="H"/>
    <x v="3"/>
    <x v="24"/>
    <d v="1899-12-30T04:00:00"/>
    <s v="04"/>
    <s v="00"/>
    <x v="0"/>
    <x v="5"/>
    <x v="75"/>
    <d v="1899-12-30T03:00:00"/>
    <x v="2"/>
    <x v="88"/>
    <n v="0"/>
  </r>
  <r>
    <x v="1"/>
    <s v="17/18"/>
    <x v="4"/>
    <x v="12"/>
    <x v="618"/>
    <s v="H"/>
    <x v="2"/>
    <x v="122"/>
    <d v="1899-12-30T06:01:00"/>
    <s v="06"/>
    <s v="01"/>
    <x v="0"/>
    <x v="9"/>
    <x v="37"/>
    <d v="1899-12-30T03:01:00"/>
    <x v="4"/>
    <x v="0"/>
    <n v="1"/>
  </r>
  <r>
    <x v="1"/>
    <s v="17/18"/>
    <x v="4"/>
    <x v="12"/>
    <x v="618"/>
    <s v="H"/>
    <x v="2"/>
    <x v="122"/>
    <d v="1899-12-30T06:01:00"/>
    <s v="06"/>
    <s v="01"/>
    <x v="0"/>
    <x v="9"/>
    <x v="74"/>
    <d v="1899-12-30T02:01:00"/>
    <x v="3"/>
    <x v="84"/>
    <n v="0"/>
  </r>
  <r>
    <x v="1"/>
    <s v="17/18"/>
    <x v="4"/>
    <x v="25"/>
    <x v="619"/>
    <s v="A"/>
    <x v="2"/>
    <x v="112"/>
    <d v="1899-12-30T01:01:00"/>
    <s v="01"/>
    <s v="01"/>
    <x v="2"/>
    <x v="3"/>
    <x v="17"/>
    <d v="1899-12-30T00:01:00"/>
    <x v="4"/>
    <x v="0"/>
    <n v="1"/>
  </r>
  <r>
    <x v="0"/>
    <s v="17/18"/>
    <x v="4"/>
    <x v="33"/>
    <x v="620"/>
    <s v="H"/>
    <x v="3"/>
    <x v="40"/>
    <d v="1899-12-30T03:01:00"/>
    <s v="03"/>
    <s v="01"/>
    <x v="0"/>
    <x v="2"/>
    <x v="16"/>
    <d v="1899-12-30T02:00:00"/>
    <x v="3"/>
    <x v="43"/>
    <n v="0"/>
  </r>
  <r>
    <x v="0"/>
    <s v="17/18"/>
    <x v="4"/>
    <x v="33"/>
    <x v="620"/>
    <s v="H"/>
    <x v="3"/>
    <x v="40"/>
    <d v="1899-12-30T03:01:00"/>
    <s v="03"/>
    <s v="01"/>
    <x v="0"/>
    <x v="2"/>
    <x v="76"/>
    <d v="1899-12-30T03:01:00"/>
    <x v="1"/>
    <x v="52"/>
    <n v="0"/>
  </r>
  <r>
    <x v="1"/>
    <s v="17/18"/>
    <x v="4"/>
    <x v="33"/>
    <x v="621"/>
    <s v="H"/>
    <x v="2"/>
    <x v="42"/>
    <d v="1899-12-30T01:00:00"/>
    <s v="01"/>
    <s v="00"/>
    <x v="0"/>
    <x v="3"/>
    <x v="72"/>
    <d v="1899-12-30T01:00:00"/>
    <x v="4"/>
    <x v="0"/>
    <n v="1"/>
  </r>
  <r>
    <x v="0"/>
    <s v="17/18"/>
    <x v="6"/>
    <x v="44"/>
    <x v="622"/>
    <s v="A"/>
    <x v="3"/>
    <x v="104"/>
    <d v="1899-12-30T01:02:00"/>
    <s v="01"/>
    <s v="02"/>
    <x v="1"/>
    <x v="2"/>
    <x v="22"/>
    <d v="1899-12-30T00:01:00"/>
    <x v="1"/>
    <x v="88"/>
    <n v="0"/>
  </r>
  <r>
    <x v="0"/>
    <s v="17/18"/>
    <x v="4"/>
    <x v="26"/>
    <x v="623"/>
    <s v="A"/>
    <x v="3"/>
    <x v="110"/>
    <d v="1899-12-30T01:02:00"/>
    <s v="01"/>
    <s v="02"/>
    <x v="1"/>
    <x v="2"/>
    <x v="94"/>
    <d v="1899-12-30T00:01:00"/>
    <x v="2"/>
    <x v="74"/>
    <n v="0"/>
  </r>
  <r>
    <x v="0"/>
    <s v="17/18"/>
    <x v="4"/>
    <x v="26"/>
    <x v="623"/>
    <s v="A"/>
    <x v="3"/>
    <x v="110"/>
    <d v="1899-12-30T01:02:00"/>
    <s v="01"/>
    <s v="02"/>
    <x v="1"/>
    <x v="2"/>
    <x v="33"/>
    <d v="1899-12-30T01:02:00"/>
    <x v="1"/>
    <x v="78"/>
    <n v="0"/>
  </r>
  <r>
    <x v="1"/>
    <s v="17/18"/>
    <x v="6"/>
    <x v="44"/>
    <x v="624"/>
    <s v="H"/>
    <x v="2"/>
    <x v="59"/>
    <d v="1899-12-30T03:00:00"/>
    <s v="03"/>
    <s v="00"/>
    <x v="0"/>
    <x v="3"/>
    <x v="20"/>
    <d v="1899-12-30T03:00:00"/>
    <x v="3"/>
    <x v="84"/>
    <n v="0"/>
  </r>
  <r>
    <x v="1"/>
    <s v="17/18"/>
    <x v="6"/>
    <x v="44"/>
    <x v="624"/>
    <s v="H"/>
    <x v="2"/>
    <x v="59"/>
    <d v="1899-12-30T03:00:00"/>
    <s v="03"/>
    <s v="00"/>
    <x v="0"/>
    <x v="3"/>
    <x v="69"/>
    <d v="1899-12-30T01:00:00"/>
    <x v="2"/>
    <x v="84"/>
    <n v="0"/>
  </r>
  <r>
    <x v="1"/>
    <s v="17/18"/>
    <x v="4"/>
    <x v="5"/>
    <x v="625"/>
    <s v="H"/>
    <x v="2"/>
    <x v="23"/>
    <d v="1899-12-30T02:00:00"/>
    <s v="02"/>
    <s v="00"/>
    <x v="0"/>
    <x v="9"/>
    <x v="74"/>
    <d v="1899-12-30T02:00:00"/>
    <x v="3"/>
    <x v="106"/>
    <n v="0"/>
  </r>
  <r>
    <x v="0"/>
    <s v="17/18"/>
    <x v="4"/>
    <x v="5"/>
    <x v="625"/>
    <s v="H"/>
    <x v="3"/>
    <x v="122"/>
    <d v="1899-12-30T06:03:00"/>
    <s v="06"/>
    <s v="03"/>
    <x v="0"/>
    <x v="2"/>
    <x v="42"/>
    <d v="1899-12-30T02:01:00"/>
    <x v="3"/>
    <x v="43"/>
    <n v="0"/>
  </r>
  <r>
    <x v="0"/>
    <s v="17/18"/>
    <x v="4"/>
    <x v="5"/>
    <x v="625"/>
    <s v="H"/>
    <x v="3"/>
    <x v="122"/>
    <d v="1899-12-30T06:03:00"/>
    <s v="06"/>
    <s v="03"/>
    <x v="0"/>
    <x v="2"/>
    <x v="87"/>
    <d v="1899-12-30T04:01:00"/>
    <x v="5"/>
    <x v="0"/>
    <n v="1"/>
  </r>
  <r>
    <x v="0"/>
    <s v="17/18"/>
    <x v="4"/>
    <x v="5"/>
    <x v="625"/>
    <s v="H"/>
    <x v="3"/>
    <x v="122"/>
    <d v="1899-12-30T06:03:00"/>
    <s v="06"/>
    <s v="03"/>
    <x v="0"/>
    <x v="2"/>
    <x v="19"/>
    <d v="1899-12-30T06:03:00"/>
    <x v="2"/>
    <x v="86"/>
    <n v="0"/>
  </r>
  <r>
    <x v="0"/>
    <s v="17/18"/>
    <x v="4"/>
    <x v="5"/>
    <x v="625"/>
    <s v="H"/>
    <x v="3"/>
    <x v="122"/>
    <d v="1899-12-30T06:03:00"/>
    <s v="06"/>
    <s v="03"/>
    <x v="0"/>
    <x v="2"/>
    <x v="45"/>
    <d v="1899-12-30T01:00:00"/>
    <x v="3"/>
    <x v="86"/>
    <n v="0"/>
  </r>
  <r>
    <x v="1"/>
    <s v="17/18"/>
    <x v="4"/>
    <x v="14"/>
    <x v="626"/>
    <s v="A"/>
    <x v="2"/>
    <x v="34"/>
    <d v="1899-12-30T02:02:00"/>
    <s v="02"/>
    <s v="02"/>
    <x v="2"/>
    <x v="1"/>
    <x v="7"/>
    <d v="1899-12-30T02:02:00"/>
    <x v="3"/>
    <x v="107"/>
    <n v="0"/>
  </r>
  <r>
    <x v="0"/>
    <s v="17/18"/>
    <x v="6"/>
    <x v="24"/>
    <x v="627"/>
    <s v="A"/>
    <x v="3"/>
    <x v="107"/>
    <d v="1899-12-30T00:03:00"/>
    <s v="00"/>
    <s v="03"/>
    <x v="1"/>
    <x v="2"/>
    <x v="69"/>
    <d v="1899-12-30T00:01:00"/>
    <x v="2"/>
    <x v="76"/>
    <n v="0"/>
  </r>
  <r>
    <x v="0"/>
    <s v="17/18"/>
    <x v="6"/>
    <x v="24"/>
    <x v="627"/>
    <s v="A"/>
    <x v="3"/>
    <x v="107"/>
    <d v="1899-12-30T00:03:00"/>
    <s v="00"/>
    <s v="03"/>
    <x v="1"/>
    <x v="2"/>
    <x v="87"/>
    <d v="1899-12-30T00:02:00"/>
    <x v="2"/>
    <x v="78"/>
    <n v="0"/>
  </r>
  <r>
    <x v="1"/>
    <s v="17/18"/>
    <x v="4"/>
    <x v="45"/>
    <x v="628"/>
    <s v="H"/>
    <x v="2"/>
    <x v="115"/>
    <d v="1899-12-30T03:01:00"/>
    <s v="03"/>
    <s v="01"/>
    <x v="0"/>
    <x v="9"/>
    <x v="83"/>
    <d v="1899-12-30T01:00:00"/>
    <x v="4"/>
    <x v="0"/>
    <n v="1"/>
  </r>
  <r>
    <x v="1"/>
    <s v="17/18"/>
    <x v="4"/>
    <x v="45"/>
    <x v="628"/>
    <s v="H"/>
    <x v="2"/>
    <x v="115"/>
    <d v="1899-12-30T03:01:00"/>
    <s v="03"/>
    <s v="01"/>
    <x v="0"/>
    <x v="9"/>
    <x v="71"/>
    <d v="1899-12-30T02:00:00"/>
    <x v="3"/>
    <x v="107"/>
    <n v="0"/>
  </r>
  <r>
    <x v="1"/>
    <s v="17/18"/>
    <x v="4"/>
    <x v="45"/>
    <x v="628"/>
    <s v="H"/>
    <x v="2"/>
    <x v="115"/>
    <d v="1899-12-30T03:01:00"/>
    <s v="03"/>
    <s v="01"/>
    <x v="0"/>
    <x v="9"/>
    <x v="11"/>
    <d v="1899-12-30T03:01:00"/>
    <x v="3"/>
    <x v="106"/>
    <n v="0"/>
  </r>
  <r>
    <x v="0"/>
    <s v="17/18"/>
    <x v="4"/>
    <x v="45"/>
    <x v="629"/>
    <s v="H"/>
    <x v="3"/>
    <x v="42"/>
    <d v="1899-12-30T01:01:00"/>
    <s v="01"/>
    <s v="01"/>
    <x v="2"/>
    <x v="2"/>
    <x v="68"/>
    <d v="1899-12-30T01:00:00"/>
    <x v="2"/>
    <x v="77"/>
    <n v="0"/>
  </r>
  <r>
    <x v="0"/>
    <s v="17/18"/>
    <x v="6"/>
    <x v="24"/>
    <x v="630"/>
    <s v="H"/>
    <x v="3"/>
    <x v="107"/>
    <d v="1899-12-30T01:03:00"/>
    <s v="01"/>
    <s v="03"/>
    <x v="1"/>
    <x v="2"/>
    <x v="105"/>
    <d v="1899-12-30T01:03:00"/>
    <x v="6"/>
    <x v="0"/>
    <n v="1"/>
  </r>
  <r>
    <x v="0"/>
    <s v="17/18"/>
    <x v="4"/>
    <x v="46"/>
    <x v="631"/>
    <s v="H"/>
    <x v="3"/>
    <x v="23"/>
    <d v="1899-12-30T01:01:00"/>
    <s v="01"/>
    <s v="01"/>
    <x v="2"/>
    <x v="2"/>
    <x v="11"/>
    <d v="1899-12-30T01:01:00"/>
    <x v="2"/>
    <x v="74"/>
    <n v="0"/>
  </r>
  <r>
    <x v="1"/>
    <s v="17/18"/>
    <x v="8"/>
    <x v="8"/>
    <x v="632"/>
    <s v="A"/>
    <x v="2"/>
    <x v="34"/>
    <d v="1899-12-30T00:05:00"/>
    <s v="00"/>
    <s v="05"/>
    <x v="1"/>
    <x v="3"/>
    <x v="78"/>
    <d v="1899-12-30T00:02:00"/>
    <x v="3"/>
    <x v="71"/>
    <n v="0"/>
  </r>
  <r>
    <x v="1"/>
    <s v="17/18"/>
    <x v="4"/>
    <x v="36"/>
    <x v="633"/>
    <s v="A"/>
    <x v="2"/>
    <x v="38"/>
    <d v="1899-12-30T02:04:00"/>
    <s v="02"/>
    <s v="04"/>
    <x v="1"/>
    <x v="5"/>
    <x v="26"/>
    <d v="1899-12-30T02:03:00"/>
    <x v="2"/>
    <x v="84"/>
    <n v="0"/>
  </r>
  <r>
    <x v="1"/>
    <s v="17/18"/>
    <x v="4"/>
    <x v="36"/>
    <x v="633"/>
    <s v="A"/>
    <x v="2"/>
    <x v="38"/>
    <d v="1899-12-30T02:04:00"/>
    <s v="02"/>
    <s v="04"/>
    <x v="1"/>
    <x v="5"/>
    <x v="41"/>
    <d v="1899-12-30T02:04:00"/>
    <x v="3"/>
    <x v="84"/>
    <n v="0"/>
  </r>
  <r>
    <x v="1"/>
    <s v="17/18"/>
    <x v="4"/>
    <x v="36"/>
    <x v="633"/>
    <s v="A"/>
    <x v="2"/>
    <x v="38"/>
    <d v="1899-12-30T02:04:00"/>
    <s v="02"/>
    <s v="04"/>
    <x v="1"/>
    <x v="5"/>
    <x v="31"/>
    <d v="1899-12-30T00:02:00"/>
    <x v="3"/>
    <x v="84"/>
    <n v="0"/>
  </r>
  <r>
    <x v="0"/>
    <s v="17/18"/>
    <x v="4"/>
    <x v="48"/>
    <x v="634"/>
    <s v="A"/>
    <x v="3"/>
    <x v="91"/>
    <d v="1899-12-30T02:02:00"/>
    <s v="02"/>
    <s v="02"/>
    <x v="2"/>
    <x v="0"/>
    <x v="30"/>
    <d v="1899-12-30T01:01:00"/>
    <x v="2"/>
    <x v="43"/>
    <n v="0"/>
  </r>
  <r>
    <x v="1"/>
    <s v="17/18"/>
    <x v="4"/>
    <x v="48"/>
    <x v="634"/>
    <s v="H"/>
    <x v="2"/>
    <x v="36"/>
    <d v="1899-12-30T02:02:00"/>
    <s v="02"/>
    <s v="02"/>
    <x v="2"/>
    <x v="3"/>
    <x v="95"/>
    <d v="1899-12-30T02:01:00"/>
    <x v="3"/>
    <x v="84"/>
    <n v="0"/>
  </r>
  <r>
    <x v="1"/>
    <s v="17/18"/>
    <x v="4"/>
    <x v="16"/>
    <x v="635"/>
    <s v="H"/>
    <x v="2"/>
    <x v="76"/>
    <d v="1899-12-30T05:01:00"/>
    <s v="05"/>
    <s v="01"/>
    <x v="0"/>
    <x v="2"/>
    <x v="32"/>
    <d v="1899-12-30T03:00:00"/>
    <x v="3"/>
    <x v="16"/>
    <n v="0"/>
  </r>
  <r>
    <x v="0"/>
    <s v="17/18"/>
    <x v="4"/>
    <x v="7"/>
    <x v="636"/>
    <s v="A"/>
    <x v="3"/>
    <x v="76"/>
    <d v="1899-12-30T02:02:00"/>
    <s v="02"/>
    <s v="02"/>
    <x v="2"/>
    <x v="2"/>
    <x v="71"/>
    <d v="1899-12-30T00:02:00"/>
    <x v="1"/>
    <x v="52"/>
    <n v="0"/>
  </r>
  <r>
    <x v="1"/>
    <s v="18/19"/>
    <x v="4"/>
    <x v="27"/>
    <x v="637"/>
    <s v="H"/>
    <x v="2"/>
    <x v="24"/>
    <d v="1899-12-30T03:00:00"/>
    <s v="03"/>
    <s v="00"/>
    <x v="0"/>
    <x v="7"/>
    <x v="87"/>
    <d v="1899-12-30T01:00:00"/>
    <x v="4"/>
    <x v="0"/>
    <n v="1"/>
  </r>
  <r>
    <x v="1"/>
    <s v="18/19"/>
    <x v="4"/>
    <x v="27"/>
    <x v="637"/>
    <s v="H"/>
    <x v="2"/>
    <x v="24"/>
    <d v="1899-12-30T03:00:00"/>
    <s v="03"/>
    <s v="00"/>
    <x v="0"/>
    <x v="7"/>
    <x v="63"/>
    <d v="1899-12-30T03:00:00"/>
    <x v="3"/>
    <x v="84"/>
    <n v="0"/>
  </r>
  <r>
    <x v="1"/>
    <s v="18/19"/>
    <x v="4"/>
    <x v="47"/>
    <x v="638"/>
    <s v="H"/>
    <x v="2"/>
    <x v="123"/>
    <d v="1899-12-30T08:02:00"/>
    <s v="08"/>
    <s v="02"/>
    <x v="0"/>
    <x v="7"/>
    <x v="67"/>
    <d v="1899-12-30T01:01:00"/>
    <x v="2"/>
    <x v="85"/>
    <n v="0"/>
  </r>
  <r>
    <x v="1"/>
    <s v="18/19"/>
    <x v="4"/>
    <x v="47"/>
    <x v="638"/>
    <s v="H"/>
    <x v="2"/>
    <x v="123"/>
    <d v="1899-12-30T08:02:00"/>
    <s v="08"/>
    <s v="02"/>
    <x v="0"/>
    <x v="7"/>
    <x v="75"/>
    <d v="1899-12-30T06:02:00"/>
    <x v="3"/>
    <x v="107"/>
    <n v="0"/>
  </r>
  <r>
    <x v="0"/>
    <s v="18/19"/>
    <x v="12"/>
    <x v="37"/>
    <x v="639"/>
    <s v="H"/>
    <x v="4"/>
    <x v="124"/>
    <d v="1899-12-30T02:01:00"/>
    <s v="02"/>
    <s v="01"/>
    <x v="0"/>
    <x v="2"/>
    <x v="25"/>
    <d v="1899-12-30T01:00:00"/>
    <x v="5"/>
    <x v="0"/>
    <n v="1"/>
  </r>
  <r>
    <x v="0"/>
    <s v="18/19"/>
    <x v="12"/>
    <x v="37"/>
    <x v="639"/>
    <s v="H"/>
    <x v="4"/>
    <x v="124"/>
    <d v="1899-12-30T02:01:00"/>
    <s v="02"/>
    <s v="01"/>
    <x v="0"/>
    <x v="2"/>
    <x v="77"/>
    <d v="1899-12-30T02:00:00"/>
    <x v="3"/>
    <x v="108"/>
    <n v="0"/>
  </r>
  <r>
    <x v="1"/>
    <s v="18/19"/>
    <x v="6"/>
    <x v="18"/>
    <x v="640"/>
    <s v="H"/>
    <x v="2"/>
    <x v="125"/>
    <d v="1899-12-30T04:00:00"/>
    <s v="04"/>
    <s v="00"/>
    <x v="0"/>
    <x v="7"/>
    <x v="78"/>
    <d v="1899-12-30T01:00:00"/>
    <x v="4"/>
    <x v="0"/>
    <n v="1"/>
  </r>
  <r>
    <x v="1"/>
    <s v="18/19"/>
    <x v="6"/>
    <x v="18"/>
    <x v="640"/>
    <s v="H"/>
    <x v="2"/>
    <x v="125"/>
    <d v="1899-12-30T04:00:00"/>
    <s v="04"/>
    <s v="00"/>
    <x v="0"/>
    <x v="7"/>
    <x v="43"/>
    <d v="1899-12-30T03:00:00"/>
    <x v="3"/>
    <x v="85"/>
    <n v="0"/>
  </r>
  <r>
    <x v="1"/>
    <s v="18/19"/>
    <x v="6"/>
    <x v="18"/>
    <x v="640"/>
    <s v="H"/>
    <x v="2"/>
    <x v="125"/>
    <d v="1899-12-30T04:00:00"/>
    <s v="04"/>
    <s v="00"/>
    <x v="0"/>
    <x v="7"/>
    <x v="11"/>
    <d v="1899-12-30T04:00:00"/>
    <x v="2"/>
    <x v="84"/>
    <n v="0"/>
  </r>
  <r>
    <x v="0"/>
    <s v="18/19"/>
    <x v="12"/>
    <x v="38"/>
    <x v="641"/>
    <s v="A"/>
    <x v="4"/>
    <x v="126"/>
    <d v="1899-12-30T00:02:00"/>
    <s v="00"/>
    <s v="02"/>
    <x v="1"/>
    <x v="0"/>
    <x v="58"/>
    <d v="1899-12-30T00:01:00"/>
    <x v="3"/>
    <x v="0"/>
    <n v="1"/>
  </r>
  <r>
    <x v="1"/>
    <s v="18/19"/>
    <x v="4"/>
    <x v="38"/>
    <x v="641"/>
    <s v="H"/>
    <x v="2"/>
    <x v="122"/>
    <d v="1899-12-30T02:02:00"/>
    <s v="02"/>
    <s v="02"/>
    <x v="2"/>
    <x v="7"/>
    <x v="36"/>
    <d v="1899-12-30T01:00:00"/>
    <x v="3"/>
    <x v="109"/>
    <n v="0"/>
  </r>
  <r>
    <x v="1"/>
    <s v="18/19"/>
    <x v="6"/>
    <x v="18"/>
    <x v="642"/>
    <s v="A"/>
    <x v="2"/>
    <x v="6"/>
    <d v="1899-12-30T02:04:00"/>
    <s v="02"/>
    <s v="04"/>
    <x v="1"/>
    <x v="7"/>
    <x v="66"/>
    <d v="1899-12-30T01:03:00"/>
    <x v="3"/>
    <x v="71"/>
    <n v="0"/>
  </r>
  <r>
    <x v="1"/>
    <s v="18/19"/>
    <x v="6"/>
    <x v="18"/>
    <x v="642"/>
    <s v="A"/>
    <x v="2"/>
    <x v="6"/>
    <d v="1899-12-30T02:04:00"/>
    <s v="02"/>
    <s v="04"/>
    <x v="1"/>
    <x v="7"/>
    <x v="21"/>
    <d v="1899-12-30T02:04:00"/>
    <x v="3"/>
    <x v="71"/>
    <n v="0"/>
  </r>
  <r>
    <x v="0"/>
    <s v="18/19"/>
    <x v="12"/>
    <x v="1"/>
    <x v="643"/>
    <s v="A"/>
    <x v="4"/>
    <x v="127"/>
    <d v="1899-12-30T00:02:00"/>
    <s v="00"/>
    <s v="02"/>
    <x v="1"/>
    <x v="0"/>
    <x v="91"/>
    <d v="1899-12-30T00:02:00"/>
    <x v="3"/>
    <x v="110"/>
    <n v="0"/>
  </r>
  <r>
    <x v="1"/>
    <s v="18/19"/>
    <x v="4"/>
    <x v="1"/>
    <x v="644"/>
    <s v="A"/>
    <x v="2"/>
    <x v="58"/>
    <d v="1899-12-30T01:01:00"/>
    <s v="01"/>
    <s v="01"/>
    <x v="2"/>
    <x v="7"/>
    <x v="35"/>
    <d v="1899-12-30T01:01:00"/>
    <x v="3"/>
    <x v="84"/>
    <n v="0"/>
  </r>
  <r>
    <x v="0"/>
    <s v="18/19"/>
    <x v="12"/>
    <x v="39"/>
    <x v="645"/>
    <s v="H"/>
    <x v="4"/>
    <x v="128"/>
    <d v="1899-12-30T01:01:00"/>
    <s v="01"/>
    <s v="01"/>
    <x v="2"/>
    <x v="0"/>
    <x v="65"/>
    <d v="1899-12-30T01:00:00"/>
    <x v="5"/>
    <x v="0"/>
    <n v="1"/>
  </r>
  <r>
    <x v="1"/>
    <s v="18/19"/>
    <x v="4"/>
    <x v="39"/>
    <x v="645"/>
    <s v="H"/>
    <x v="2"/>
    <x v="34"/>
    <d v="1899-12-30T04:02:00"/>
    <s v="04"/>
    <s v="02"/>
    <x v="0"/>
    <x v="7"/>
    <x v="23"/>
    <d v="1899-12-30T02:00:00"/>
    <x v="3"/>
    <x v="84"/>
    <n v="0"/>
  </r>
  <r>
    <x v="0"/>
    <s v="18/19"/>
    <x v="12"/>
    <x v="29"/>
    <x v="646"/>
    <s v="A"/>
    <x v="4"/>
    <x v="129"/>
    <d v="1899-12-30T01:02:00"/>
    <s v="01"/>
    <s v="02"/>
    <x v="1"/>
    <x v="2"/>
    <x v="14"/>
    <d v="1899-12-30T01:01:00"/>
    <x v="6"/>
    <x v="0"/>
    <n v="1"/>
  </r>
  <r>
    <x v="0"/>
    <s v="18/19"/>
    <x v="12"/>
    <x v="29"/>
    <x v="646"/>
    <s v="A"/>
    <x v="4"/>
    <x v="129"/>
    <d v="1899-12-30T01:02:00"/>
    <s v="01"/>
    <s v="02"/>
    <x v="1"/>
    <x v="2"/>
    <x v="62"/>
    <d v="1899-12-30T01:02:00"/>
    <x v="2"/>
    <x v="111"/>
    <n v="0"/>
  </r>
  <r>
    <x v="0"/>
    <s v="18/19"/>
    <x v="6"/>
    <x v="18"/>
    <x v="647"/>
    <s v="H"/>
    <x v="4"/>
    <x v="72"/>
    <d v="1899-12-30T01:02:00"/>
    <s v="01"/>
    <s v="02"/>
    <x v="1"/>
    <x v="2"/>
    <x v="77"/>
    <d v="1899-12-30T01:00:00"/>
    <x v="2"/>
    <x v="112"/>
    <n v="0"/>
  </r>
  <r>
    <x v="0"/>
    <s v="18/19"/>
    <x v="12"/>
    <x v="41"/>
    <x v="648"/>
    <s v="A"/>
    <x v="4"/>
    <x v="41"/>
    <d v="1899-12-30T00:02:00"/>
    <s v="00"/>
    <s v="02"/>
    <x v="1"/>
    <x v="0"/>
    <x v="58"/>
    <d v="1899-12-30T00:02:00"/>
    <x v="5"/>
    <x v="0"/>
    <n v="1"/>
  </r>
  <r>
    <x v="1"/>
    <s v="18/19"/>
    <x v="4"/>
    <x v="41"/>
    <x v="648"/>
    <s v="H"/>
    <x v="2"/>
    <x v="27"/>
    <d v="1899-12-30T03:04:00"/>
    <s v="03"/>
    <s v="04"/>
    <x v="1"/>
    <x v="9"/>
    <x v="98"/>
    <d v="1899-12-30T03:04:00"/>
    <x v="3"/>
    <x v="109"/>
    <n v="0"/>
  </r>
  <r>
    <x v="1"/>
    <s v="18/19"/>
    <x v="4"/>
    <x v="41"/>
    <x v="648"/>
    <s v="H"/>
    <x v="2"/>
    <x v="27"/>
    <d v="1899-12-30T03:04:00"/>
    <s v="03"/>
    <s v="04"/>
    <x v="1"/>
    <x v="9"/>
    <x v="24"/>
    <d v="1899-12-30T01:02:00"/>
    <x v="6"/>
    <x v="0"/>
    <n v="1"/>
  </r>
  <r>
    <x v="0"/>
    <s v="18/19"/>
    <x v="12"/>
    <x v="19"/>
    <x v="649"/>
    <s v="H"/>
    <x v="4"/>
    <x v="130"/>
    <d v="1899-12-30T02:00:00"/>
    <s v="02"/>
    <s v="00"/>
    <x v="0"/>
    <x v="2"/>
    <x v="48"/>
    <d v="1899-12-30T01:00:00"/>
    <x v="3"/>
    <x v="113"/>
    <n v="0"/>
  </r>
  <r>
    <x v="1"/>
    <s v="18/19"/>
    <x v="6"/>
    <x v="18"/>
    <x v="650"/>
    <s v="A"/>
    <x v="2"/>
    <x v="125"/>
    <d v="1899-12-30T01:02:00"/>
    <s v="01"/>
    <s v="02"/>
    <x v="1"/>
    <x v="5"/>
    <x v="75"/>
    <d v="1899-12-30T00:01:00"/>
    <x v="3"/>
    <x v="106"/>
    <n v="0"/>
  </r>
  <r>
    <x v="0"/>
    <s v="18/19"/>
    <x v="12"/>
    <x v="51"/>
    <x v="651"/>
    <s v="A"/>
    <x v="4"/>
    <x v="131"/>
    <d v="1899-12-30T00:03:00"/>
    <s v="00"/>
    <s v="03"/>
    <x v="1"/>
    <x v="0"/>
    <x v="54"/>
    <d v="1899-12-30T00:03:00"/>
    <x v="6"/>
    <x v="0"/>
    <n v="1"/>
  </r>
  <r>
    <x v="1"/>
    <s v="18/19"/>
    <x v="4"/>
    <x v="30"/>
    <x v="652"/>
    <s v="A"/>
    <x v="2"/>
    <x v="43"/>
    <d v="1899-12-30T00:04:00"/>
    <s v="00"/>
    <s v="04"/>
    <x v="1"/>
    <x v="7"/>
    <x v="77"/>
    <d v="1899-12-30T00:04:00"/>
    <x v="4"/>
    <x v="0"/>
    <n v="1"/>
  </r>
  <r>
    <x v="1"/>
    <s v="18/19"/>
    <x v="4"/>
    <x v="30"/>
    <x v="652"/>
    <s v="A"/>
    <x v="2"/>
    <x v="43"/>
    <d v="1899-12-30T00:04:00"/>
    <s v="00"/>
    <s v="04"/>
    <x v="1"/>
    <x v="7"/>
    <x v="81"/>
    <d v="1899-12-30T00:01:00"/>
    <x v="4"/>
    <x v="0"/>
    <n v="1"/>
  </r>
  <r>
    <x v="0"/>
    <s v="18/19"/>
    <x v="12"/>
    <x v="9"/>
    <x v="653"/>
    <s v="A"/>
    <x v="4"/>
    <x v="132"/>
    <d v="1899-12-30T00:01:00"/>
    <s v="00"/>
    <s v="01"/>
    <x v="1"/>
    <x v="0"/>
    <x v="62"/>
    <d v="1899-12-30T00:01:00"/>
    <x v="6"/>
    <x v="0"/>
    <n v="1"/>
  </r>
  <r>
    <x v="1"/>
    <s v="18/19"/>
    <x v="4"/>
    <x v="9"/>
    <x v="654"/>
    <s v="A"/>
    <x v="2"/>
    <x v="47"/>
    <d v="1899-12-30T00:05:00"/>
    <s v="00"/>
    <s v="05"/>
    <x v="1"/>
    <x v="9"/>
    <x v="51"/>
    <d v="1899-12-30T00:02:00"/>
    <x v="2"/>
    <x v="64"/>
    <n v="0"/>
  </r>
  <r>
    <x v="1"/>
    <s v="18/19"/>
    <x v="4"/>
    <x v="9"/>
    <x v="654"/>
    <s v="A"/>
    <x v="2"/>
    <x v="47"/>
    <d v="1899-12-30T00:05:00"/>
    <s v="00"/>
    <s v="05"/>
    <x v="1"/>
    <x v="9"/>
    <x v="42"/>
    <d v="1899-12-30T00:03:00"/>
    <x v="3"/>
    <x v="0"/>
    <n v="1"/>
  </r>
  <r>
    <x v="1"/>
    <s v="18/19"/>
    <x v="4"/>
    <x v="9"/>
    <x v="654"/>
    <s v="A"/>
    <x v="2"/>
    <x v="47"/>
    <d v="1899-12-30T00:05:00"/>
    <s v="00"/>
    <s v="05"/>
    <x v="1"/>
    <x v="9"/>
    <x v="8"/>
    <d v="1899-12-30T00:04:00"/>
    <x v="3"/>
    <x v="109"/>
    <n v="0"/>
  </r>
  <r>
    <x v="1"/>
    <s v="18/19"/>
    <x v="4"/>
    <x v="31"/>
    <x v="655"/>
    <s v="H"/>
    <x v="2"/>
    <x v="30"/>
    <d v="1899-12-30T02:00:00"/>
    <s v="02"/>
    <s v="00"/>
    <x v="0"/>
    <x v="7"/>
    <x v="32"/>
    <d v="1899-12-30T02:00:00"/>
    <x v="3"/>
    <x v="71"/>
    <n v="0"/>
  </r>
  <r>
    <x v="0"/>
    <s v="18/19"/>
    <x v="12"/>
    <x v="42"/>
    <x v="656"/>
    <s v="A"/>
    <x v="4"/>
    <x v="133"/>
    <d v="1899-12-30T02:02:00"/>
    <s v="02"/>
    <s v="02"/>
    <x v="2"/>
    <x v="2"/>
    <x v="76"/>
    <d v="1899-12-30T02:02:00"/>
    <x v="1"/>
    <x v="114"/>
    <n v="0"/>
  </r>
  <r>
    <x v="0"/>
    <s v="18/19"/>
    <x v="12"/>
    <x v="22"/>
    <x v="657"/>
    <s v="H"/>
    <x v="4"/>
    <x v="134"/>
    <d v="1899-12-30T02:01:00"/>
    <s v="02"/>
    <s v="01"/>
    <x v="0"/>
    <x v="0"/>
    <x v="77"/>
    <d v="1899-12-30T02:01:00"/>
    <x v="6"/>
    <x v="0"/>
    <n v="1"/>
  </r>
  <r>
    <x v="0"/>
    <s v="18/19"/>
    <x v="12"/>
    <x v="22"/>
    <x v="657"/>
    <s v="H"/>
    <x v="4"/>
    <x v="134"/>
    <d v="1899-12-30T02:01:00"/>
    <s v="02"/>
    <s v="01"/>
    <x v="0"/>
    <x v="0"/>
    <x v="86"/>
    <d v="1899-12-30T01:00:00"/>
    <x v="2"/>
    <x v="115"/>
    <n v="0"/>
  </r>
  <r>
    <x v="1"/>
    <s v="18/19"/>
    <x v="4"/>
    <x v="42"/>
    <x v="658"/>
    <s v="A"/>
    <x v="2"/>
    <x v="40"/>
    <d v="1899-12-30T01:02:00"/>
    <s v="01"/>
    <s v="02"/>
    <x v="1"/>
    <x v="7"/>
    <x v="92"/>
    <d v="1899-12-30T00:01:00"/>
    <x v="3"/>
    <x v="0"/>
    <n v="1"/>
  </r>
  <r>
    <x v="1"/>
    <s v="18/19"/>
    <x v="4"/>
    <x v="22"/>
    <x v="659"/>
    <s v="H"/>
    <x v="2"/>
    <x v="110"/>
    <d v="1899-12-30T03:00:00"/>
    <s v="03"/>
    <s v="00"/>
    <x v="0"/>
    <x v="7"/>
    <x v="68"/>
    <d v="1899-12-30T02:00:00"/>
    <x v="3"/>
    <x v="84"/>
    <n v="0"/>
  </r>
  <r>
    <x v="0"/>
    <s v="18/19"/>
    <x v="13"/>
    <x v="8"/>
    <x v="660"/>
    <s v="H"/>
    <x v="4"/>
    <x v="41"/>
    <d v="1899-12-30T01:00:00"/>
    <s v="01"/>
    <s v="00"/>
    <x v="0"/>
    <x v="0"/>
    <x v="75"/>
    <d v="1899-12-30T01:00:00"/>
    <x v="1"/>
    <x v="113"/>
    <n v="0"/>
  </r>
  <r>
    <x v="1"/>
    <s v="18/19"/>
    <x v="8"/>
    <x v="44"/>
    <x v="661"/>
    <s v="H"/>
    <x v="2"/>
    <x v="47"/>
    <d v="1899-12-30T03:00:00"/>
    <s v="03"/>
    <s v="00"/>
    <x v="0"/>
    <x v="5"/>
    <x v="14"/>
    <d v="1899-12-30T03:00:00"/>
    <x v="3"/>
    <x v="116"/>
    <n v="0"/>
  </r>
  <r>
    <x v="1"/>
    <s v="18/19"/>
    <x v="4"/>
    <x v="21"/>
    <x v="662"/>
    <s v="H"/>
    <x v="2"/>
    <x v="115"/>
    <d v="1899-12-30T03:01:00"/>
    <s v="03"/>
    <s v="01"/>
    <x v="0"/>
    <x v="3"/>
    <x v="63"/>
    <d v="1899-12-30T03:01:00"/>
    <x v="2"/>
    <x v="71"/>
    <n v="0"/>
  </r>
  <r>
    <x v="1"/>
    <s v="18/19"/>
    <x v="4"/>
    <x v="23"/>
    <x v="663"/>
    <s v="A"/>
    <x v="2"/>
    <x v="122"/>
    <d v="1899-12-30T00:02:00"/>
    <s v="00"/>
    <s v="02"/>
    <x v="1"/>
    <x v="7"/>
    <x v="64"/>
    <d v="1899-12-30T00:02:00"/>
    <x v="3"/>
    <x v="71"/>
    <n v="0"/>
  </r>
  <r>
    <x v="0"/>
    <s v="18/19"/>
    <x v="12"/>
    <x v="23"/>
    <x v="663"/>
    <s v="A"/>
    <x v="4"/>
    <x v="135"/>
    <d v="1899-12-30T01:02:00"/>
    <s v="01"/>
    <s v="02"/>
    <x v="1"/>
    <x v="0"/>
    <x v="2"/>
    <d v="1899-12-30T01:02:00"/>
    <x v="6"/>
    <x v="0"/>
    <n v="1"/>
  </r>
  <r>
    <x v="1"/>
    <s v="18/19"/>
    <x v="8"/>
    <x v="24"/>
    <x v="664"/>
    <s v="H"/>
    <x v="2"/>
    <x v="34"/>
    <d v="1899-12-30T06:01:00"/>
    <s v="06"/>
    <s v="01"/>
    <x v="0"/>
    <x v="7"/>
    <x v="63"/>
    <d v="1899-12-30T06:01:00"/>
    <x v="3"/>
    <x v="71"/>
    <n v="0"/>
  </r>
  <r>
    <x v="0"/>
    <s v="18/19"/>
    <x v="12"/>
    <x v="43"/>
    <x v="665"/>
    <s v="H"/>
    <x v="4"/>
    <x v="136"/>
    <d v="1899-12-30T03:03:00"/>
    <s v="03"/>
    <s v="03"/>
    <x v="2"/>
    <x v="0"/>
    <x v="37"/>
    <d v="1899-12-30T01:00:00"/>
    <x v="2"/>
    <x v="111"/>
    <n v="0"/>
  </r>
  <r>
    <x v="1"/>
    <s v="18/19"/>
    <x v="4"/>
    <x v="43"/>
    <x v="665"/>
    <s v="H"/>
    <x v="2"/>
    <x v="58"/>
    <d v="1899-12-30T02:02:00"/>
    <s v="02"/>
    <s v="02"/>
    <x v="2"/>
    <x v="7"/>
    <x v="40"/>
    <d v="1899-12-30T01:02:00"/>
    <x v="6"/>
    <x v="0"/>
    <n v="1"/>
  </r>
  <r>
    <x v="1"/>
    <s v="18/19"/>
    <x v="4"/>
    <x v="43"/>
    <x v="665"/>
    <s v="H"/>
    <x v="2"/>
    <x v="58"/>
    <d v="1899-12-30T02:02:00"/>
    <s v="02"/>
    <s v="02"/>
    <x v="2"/>
    <x v="7"/>
    <x v="87"/>
    <d v="1899-12-30T02:02:00"/>
    <x v="3"/>
    <x v="109"/>
    <n v="0"/>
  </r>
  <r>
    <x v="0"/>
    <s v="18/19"/>
    <x v="12"/>
    <x v="43"/>
    <x v="665"/>
    <s v="H"/>
    <x v="4"/>
    <x v="136"/>
    <d v="1899-12-30T03:03:00"/>
    <s v="03"/>
    <s v="03"/>
    <x v="2"/>
    <x v="0"/>
    <x v="55"/>
    <d v="1899-12-30T03:01:00"/>
    <x v="1"/>
    <x v="110"/>
    <n v="0"/>
  </r>
  <r>
    <x v="0"/>
    <s v="18/19"/>
    <x v="12"/>
    <x v="32"/>
    <x v="666"/>
    <s v="A"/>
    <x v="4"/>
    <x v="124"/>
    <d v="1899-12-30T00:03:00"/>
    <s v="00"/>
    <s v="03"/>
    <x v="1"/>
    <x v="0"/>
    <x v="62"/>
    <d v="1899-12-30T00:02:00"/>
    <x v="1"/>
    <x v="113"/>
    <n v="0"/>
  </r>
  <r>
    <x v="0"/>
    <s v="18/19"/>
    <x v="12"/>
    <x v="11"/>
    <x v="667"/>
    <s v="H"/>
    <x v="4"/>
    <x v="126"/>
    <d v="1899-12-30T03:00:00"/>
    <s v="03"/>
    <s v="00"/>
    <x v="0"/>
    <x v="0"/>
    <x v="20"/>
    <d v="1899-12-30T03:00:00"/>
    <x v="2"/>
    <x v="110"/>
    <n v="0"/>
  </r>
  <r>
    <x v="1"/>
    <s v="18/19"/>
    <x v="4"/>
    <x v="11"/>
    <x v="668"/>
    <s v="H"/>
    <x v="2"/>
    <x v="83"/>
    <d v="1899-12-30T01:00:00"/>
    <s v="01"/>
    <s v="00"/>
    <x v="0"/>
    <x v="7"/>
    <x v="51"/>
    <d v="1899-12-30T01:00:00"/>
    <x v="6"/>
    <x v="0"/>
    <n v="1"/>
  </r>
  <r>
    <x v="1"/>
    <s v="18/19"/>
    <x v="4"/>
    <x v="12"/>
    <x v="669"/>
    <s v="A"/>
    <x v="2"/>
    <x v="34"/>
    <d v="1899-12-30T02:04:00"/>
    <s v="02"/>
    <s v="04"/>
    <x v="1"/>
    <x v="7"/>
    <x v="72"/>
    <d v="1899-12-30T01:01:00"/>
    <x v="3"/>
    <x v="85"/>
    <n v="0"/>
  </r>
  <r>
    <x v="1"/>
    <s v="18/19"/>
    <x v="4"/>
    <x v="12"/>
    <x v="669"/>
    <s v="A"/>
    <x v="2"/>
    <x v="34"/>
    <d v="1899-12-30T02:04:00"/>
    <s v="02"/>
    <s v="04"/>
    <x v="1"/>
    <x v="7"/>
    <x v="41"/>
    <d v="1899-12-30T02:03:00"/>
    <x v="3"/>
    <x v="0"/>
    <n v="1"/>
  </r>
  <r>
    <x v="1"/>
    <s v="18/19"/>
    <x v="4"/>
    <x v="12"/>
    <x v="669"/>
    <s v="A"/>
    <x v="2"/>
    <x v="34"/>
    <d v="1899-12-30T02:04:00"/>
    <s v="02"/>
    <s v="04"/>
    <x v="1"/>
    <x v="7"/>
    <x v="3"/>
    <d v="1899-12-30T02:02:00"/>
    <x v="2"/>
    <x v="106"/>
    <n v="0"/>
  </r>
  <r>
    <x v="1"/>
    <s v="18/19"/>
    <x v="4"/>
    <x v="33"/>
    <x v="670"/>
    <s v="H"/>
    <x v="2"/>
    <x v="92"/>
    <d v="1899-12-30T03:01:00"/>
    <s v="03"/>
    <s v="01"/>
    <x v="0"/>
    <x v="7"/>
    <x v="22"/>
    <d v="1899-12-30T02:01:00"/>
    <x v="6"/>
    <x v="0"/>
    <n v="1"/>
  </r>
  <r>
    <x v="0"/>
    <s v="18/19"/>
    <x v="6"/>
    <x v="44"/>
    <x v="671"/>
    <s v="H"/>
    <x v="4"/>
    <x v="42"/>
    <d v="1899-12-30T03:00:00"/>
    <s v="03"/>
    <s v="00"/>
    <x v="0"/>
    <x v="2"/>
    <x v="83"/>
    <d v="1899-12-30T01:00:00"/>
    <x v="1"/>
    <x v="117"/>
    <n v="0"/>
  </r>
  <r>
    <x v="0"/>
    <s v="18/19"/>
    <x v="6"/>
    <x v="44"/>
    <x v="671"/>
    <s v="H"/>
    <x v="4"/>
    <x v="42"/>
    <d v="1899-12-30T03:00:00"/>
    <s v="03"/>
    <s v="00"/>
    <x v="0"/>
    <x v="2"/>
    <x v="47"/>
    <d v="1899-12-30T02:00:00"/>
    <x v="1"/>
    <x v="118"/>
    <n v="0"/>
  </r>
  <r>
    <x v="0"/>
    <s v="18/19"/>
    <x v="6"/>
    <x v="44"/>
    <x v="671"/>
    <s v="H"/>
    <x v="4"/>
    <x v="42"/>
    <d v="1899-12-30T03:00:00"/>
    <s v="03"/>
    <s v="00"/>
    <x v="0"/>
    <x v="2"/>
    <x v="46"/>
    <d v="1899-12-30T03:00:00"/>
    <x v="6"/>
    <x v="0"/>
    <n v="1"/>
  </r>
  <r>
    <x v="1"/>
    <s v="18/19"/>
    <x v="6"/>
    <x v="44"/>
    <x v="672"/>
    <s v="H"/>
    <x v="2"/>
    <x v="46"/>
    <d v="1899-12-30T05:01:00"/>
    <s v="05"/>
    <s v="01"/>
    <x v="0"/>
    <x v="7"/>
    <x v="65"/>
    <d v="1899-12-30T01:00:00"/>
    <x v="6"/>
    <x v="0"/>
    <n v="1"/>
  </r>
  <r>
    <x v="1"/>
    <s v="18/19"/>
    <x v="6"/>
    <x v="44"/>
    <x v="672"/>
    <s v="H"/>
    <x v="2"/>
    <x v="46"/>
    <d v="1899-12-30T05:01:00"/>
    <s v="05"/>
    <s v="01"/>
    <x v="0"/>
    <x v="7"/>
    <x v="76"/>
    <d v="1899-12-30T03:01:00"/>
    <x v="2"/>
    <x v="64"/>
    <n v="0"/>
  </r>
  <r>
    <x v="1"/>
    <s v="18/19"/>
    <x v="4"/>
    <x v="26"/>
    <x v="673"/>
    <s v="A"/>
    <x v="2"/>
    <x v="27"/>
    <d v="1899-12-30T01:04:00"/>
    <s v="01"/>
    <s v="04"/>
    <x v="1"/>
    <x v="9"/>
    <x v="41"/>
    <d v="1899-12-30T01:04:00"/>
    <x v="3"/>
    <x v="85"/>
    <n v="0"/>
  </r>
  <r>
    <x v="1"/>
    <s v="18/19"/>
    <x v="4"/>
    <x v="26"/>
    <x v="673"/>
    <s v="A"/>
    <x v="2"/>
    <x v="27"/>
    <d v="1899-12-30T01:04:00"/>
    <s v="01"/>
    <s v="04"/>
    <x v="1"/>
    <x v="9"/>
    <x v="97"/>
    <d v="1899-12-30T00:02:00"/>
    <x v="3"/>
    <x v="84"/>
    <n v="0"/>
  </r>
  <r>
    <x v="1"/>
    <s v="18/19"/>
    <x v="4"/>
    <x v="26"/>
    <x v="673"/>
    <s v="A"/>
    <x v="2"/>
    <x v="27"/>
    <d v="1899-12-30T01:04:00"/>
    <s v="01"/>
    <s v="04"/>
    <x v="1"/>
    <x v="9"/>
    <x v="65"/>
    <d v="1899-12-30T00:01:00"/>
    <x v="4"/>
    <x v="0"/>
    <n v="1"/>
  </r>
  <r>
    <x v="1"/>
    <s v="18/19"/>
    <x v="4"/>
    <x v="5"/>
    <x v="674"/>
    <s v="H"/>
    <x v="2"/>
    <x v="43"/>
    <d v="1899-12-30T02:00:00"/>
    <s v="02"/>
    <s v="00"/>
    <x v="0"/>
    <x v="7"/>
    <x v="7"/>
    <d v="1899-12-30T02:00:00"/>
    <x v="3"/>
    <x v="119"/>
    <n v="0"/>
  </r>
  <r>
    <x v="1"/>
    <s v="18/19"/>
    <x v="4"/>
    <x v="5"/>
    <x v="674"/>
    <s v="H"/>
    <x v="2"/>
    <x v="43"/>
    <d v="1899-12-30T02:00:00"/>
    <s v="02"/>
    <s v="00"/>
    <x v="0"/>
    <x v="7"/>
    <x v="90"/>
    <d v="1899-12-30T01:00:00"/>
    <x v="4"/>
    <x v="0"/>
    <n v="1"/>
  </r>
  <r>
    <x v="1"/>
    <s v="18/19"/>
    <x v="4"/>
    <x v="14"/>
    <x v="675"/>
    <s v="A"/>
    <x v="2"/>
    <x v="76"/>
    <d v="1899-12-30T04:04:00"/>
    <s v="04"/>
    <s v="04"/>
    <x v="2"/>
    <x v="1"/>
    <x v="21"/>
    <d v="1899-12-30T04:03:00"/>
    <x v="4"/>
    <x v="0"/>
    <n v="1"/>
  </r>
  <r>
    <x v="1"/>
    <s v="18/19"/>
    <x v="4"/>
    <x v="45"/>
    <x v="676"/>
    <s v="H"/>
    <x v="2"/>
    <x v="42"/>
    <d v="1899-12-30T02:00:00"/>
    <s v="02"/>
    <s v="00"/>
    <x v="0"/>
    <x v="9"/>
    <x v="11"/>
    <d v="1899-12-30T02:00:00"/>
    <x v="3"/>
    <x v="0"/>
    <n v="1"/>
  </r>
  <r>
    <x v="0"/>
    <s v="18/19"/>
    <x v="6"/>
    <x v="24"/>
    <x v="677"/>
    <s v="A"/>
    <x v="4"/>
    <x v="88"/>
    <d v="1899-12-30T01:01:00"/>
    <s v="01"/>
    <s v="01"/>
    <x v="2"/>
    <x v="0"/>
    <x v="32"/>
    <d v="1899-12-30T00:01:00"/>
    <x v="1"/>
    <x v="118"/>
    <n v="0"/>
  </r>
  <r>
    <x v="1"/>
    <s v="18/19"/>
    <x v="6"/>
    <x v="24"/>
    <x v="678"/>
    <s v="H"/>
    <x v="2"/>
    <x v="72"/>
    <d v="1899-12-30T03:00:00"/>
    <s v="03"/>
    <s v="00"/>
    <x v="0"/>
    <x v="7"/>
    <x v="92"/>
    <d v="1899-12-30T02:00:00"/>
    <x v="2"/>
    <x v="0"/>
    <n v="1"/>
  </r>
  <r>
    <x v="1"/>
    <s v="18/19"/>
    <x v="6"/>
    <x v="24"/>
    <x v="678"/>
    <s v="H"/>
    <x v="2"/>
    <x v="72"/>
    <d v="1899-12-30T03:00:00"/>
    <s v="03"/>
    <s v="00"/>
    <x v="0"/>
    <x v="7"/>
    <x v="67"/>
    <d v="1899-12-30T01:00:00"/>
    <x v="3"/>
    <x v="0"/>
    <n v="1"/>
  </r>
  <r>
    <x v="0"/>
    <s v="18/19"/>
    <x v="6"/>
    <x v="24"/>
    <x v="678"/>
    <s v="H"/>
    <x v="4"/>
    <x v="88"/>
    <d v="1899-12-30T01:02:00"/>
    <s v="01"/>
    <s v="02"/>
    <x v="1"/>
    <x v="0"/>
    <x v="44"/>
    <d v="1899-12-30T01:00:00"/>
    <x v="1"/>
    <x v="113"/>
    <n v="0"/>
  </r>
  <r>
    <x v="0"/>
    <s v="18/19"/>
    <x v="12"/>
    <x v="16"/>
    <x v="679"/>
    <s v="A"/>
    <x v="4"/>
    <x v="137"/>
    <d v="1899-12-30T01:01:00"/>
    <s v="01"/>
    <s v="01"/>
    <x v="2"/>
    <x v="2"/>
    <x v="52"/>
    <d v="1899-12-30T01:01:00"/>
    <x v="3"/>
    <x v="113"/>
    <n v="0"/>
  </r>
  <r>
    <x v="1"/>
    <s v="18/19"/>
    <x v="4"/>
    <x v="36"/>
    <x v="679"/>
    <s v="H"/>
    <x v="2"/>
    <x v="47"/>
    <d v="1899-12-30T01:00:00"/>
    <s v="01"/>
    <s v="00"/>
    <x v="0"/>
    <x v="1"/>
    <x v="52"/>
    <d v="1899-12-30T01:00:00"/>
    <x v="3"/>
    <x v="109"/>
    <n v="0"/>
  </r>
  <r>
    <x v="1"/>
    <s v="18/19"/>
    <x v="6"/>
    <x v="15"/>
    <x v="680"/>
    <s v="H"/>
    <x v="2"/>
    <x v="57"/>
    <d v="1899-12-30T03:00:00"/>
    <s v="03"/>
    <s v="00"/>
    <x v="0"/>
    <x v="7"/>
    <x v="26"/>
    <d v="1899-12-30T03:00:00"/>
    <x v="4"/>
    <x v="0"/>
    <n v="1"/>
  </r>
  <r>
    <x v="1"/>
    <s v="18/19"/>
    <x v="6"/>
    <x v="15"/>
    <x v="680"/>
    <s v="H"/>
    <x v="2"/>
    <x v="57"/>
    <d v="1899-12-30T03:00:00"/>
    <s v="03"/>
    <s v="00"/>
    <x v="0"/>
    <x v="7"/>
    <x v="28"/>
    <d v="1899-12-30T02:00:00"/>
    <x v="3"/>
    <x v="84"/>
    <n v="0"/>
  </r>
  <r>
    <x v="0"/>
    <s v="18/19"/>
    <x v="12"/>
    <x v="36"/>
    <x v="681"/>
    <s v="H"/>
    <x v="4"/>
    <x v="132"/>
    <d v="1899-12-30T01:01:00"/>
    <s v="01"/>
    <s v="01"/>
    <x v="2"/>
    <x v="2"/>
    <x v="33"/>
    <d v="1899-12-30T01:01:00"/>
    <x v="1"/>
    <x v="120"/>
    <n v="0"/>
  </r>
  <r>
    <x v="1"/>
    <s v="18/19"/>
    <x v="4"/>
    <x v="7"/>
    <x v="682"/>
    <s v="A"/>
    <x v="2"/>
    <x v="110"/>
    <d v="1899-12-30T02:02:00"/>
    <s v="02"/>
    <s v="02"/>
    <x v="2"/>
    <x v="5"/>
    <x v="78"/>
    <d v="1899-12-30T01:01:00"/>
    <x v="3"/>
    <x v="109"/>
    <n v="0"/>
  </r>
  <r>
    <x v="1"/>
    <s v="18/19"/>
    <x v="4"/>
    <x v="7"/>
    <x v="682"/>
    <s v="A"/>
    <x v="2"/>
    <x v="110"/>
    <d v="1899-12-30T02:02:00"/>
    <s v="02"/>
    <s v="02"/>
    <x v="2"/>
    <x v="5"/>
    <x v="71"/>
    <d v="1899-12-30T01:02:00"/>
    <x v="3"/>
    <x v="85"/>
    <n v="0"/>
  </r>
  <r>
    <x v="1"/>
    <s v="18/19"/>
    <x v="8"/>
    <x v="8"/>
    <x v="683"/>
    <s v="H"/>
    <x v="2"/>
    <x v="58"/>
    <d v="1899-12-30T01:02:00"/>
    <s v="01"/>
    <s v="02"/>
    <x v="1"/>
    <x v="5"/>
    <x v="38"/>
    <d v="1899-12-30T01:02:00"/>
    <x v="3"/>
    <x v="121"/>
    <n v="0"/>
  </r>
  <r>
    <x v="0"/>
    <s v="19/20"/>
    <x v="12"/>
    <x v="28"/>
    <x v="684"/>
    <s v="H"/>
    <x v="4"/>
    <x v="138"/>
    <d v="1899-12-30T04:03:00"/>
    <s v="04"/>
    <s v="03"/>
    <x v="0"/>
    <x v="0"/>
    <x v="52"/>
    <d v="1899-12-30T03:00:00"/>
    <x v="3"/>
    <x v="122"/>
    <n v="0"/>
  </r>
  <r>
    <x v="0"/>
    <s v="19/20"/>
    <x v="12"/>
    <x v="37"/>
    <x v="685"/>
    <s v="H"/>
    <x v="4"/>
    <x v="139"/>
    <d v="1899-12-30T02:01:00"/>
    <s v="02"/>
    <s v="01"/>
    <x v="0"/>
    <x v="0"/>
    <x v="47"/>
    <d v="1899-12-30T02:01:00"/>
    <x v="6"/>
    <x v="0"/>
    <n v="1"/>
  </r>
  <r>
    <x v="0"/>
    <s v="19/20"/>
    <x v="12"/>
    <x v="0"/>
    <x v="686"/>
    <s v="H"/>
    <x v="4"/>
    <x v="130"/>
    <d v="1899-12-30T02:00:00"/>
    <s v="02"/>
    <s v="00"/>
    <x v="0"/>
    <x v="2"/>
    <x v="76"/>
    <d v="1899-12-30T02:00:00"/>
    <x v="1"/>
    <x v="115"/>
    <n v="0"/>
  </r>
  <r>
    <x v="0"/>
    <s v="19/20"/>
    <x v="6"/>
    <x v="18"/>
    <x v="687"/>
    <s v="H"/>
    <x v="4"/>
    <x v="98"/>
    <d v="1899-12-30T03:00:00"/>
    <s v="03"/>
    <s v="00"/>
    <x v="0"/>
    <x v="2"/>
    <x v="7"/>
    <d v="1899-12-30T03:00:00"/>
    <x v="2"/>
    <x v="115"/>
    <n v="0"/>
  </r>
  <r>
    <x v="1"/>
    <s v="19/20"/>
    <x v="4"/>
    <x v="1"/>
    <x v="688"/>
    <s v="H"/>
    <x v="2"/>
    <x v="34"/>
    <d v="1899-12-30T04:00:00"/>
    <s v="04"/>
    <s v="00"/>
    <x v="0"/>
    <x v="7"/>
    <x v="76"/>
    <d v="1899-12-30T04:00:00"/>
    <x v="4"/>
    <x v="0"/>
    <n v="1"/>
  </r>
  <r>
    <x v="1"/>
    <s v="19/20"/>
    <x v="4"/>
    <x v="39"/>
    <x v="689"/>
    <s v="A"/>
    <x v="2"/>
    <x v="110"/>
    <d v="1899-12-30T00:03:00"/>
    <s v="00"/>
    <s v="03"/>
    <x v="1"/>
    <x v="7"/>
    <x v="15"/>
    <d v="1899-12-30T00:02:00"/>
    <x v="3"/>
    <x v="123"/>
    <n v="0"/>
  </r>
  <r>
    <x v="0"/>
    <s v="19/20"/>
    <x v="12"/>
    <x v="1"/>
    <x v="689"/>
    <s v="H"/>
    <x v="4"/>
    <x v="140"/>
    <d v="1899-12-30T02:01:00"/>
    <s v="02"/>
    <s v="01"/>
    <x v="0"/>
    <x v="2"/>
    <x v="36"/>
    <d v="1899-12-30T01:00:00"/>
    <x v="2"/>
    <x v="0"/>
    <n v="1"/>
  </r>
  <r>
    <x v="1"/>
    <s v="19/20"/>
    <x v="6"/>
    <x v="18"/>
    <x v="690"/>
    <s v="A"/>
    <x v="2"/>
    <x v="141"/>
    <d v="1899-12-30T01:02:00"/>
    <s v="01"/>
    <s v="02"/>
    <x v="1"/>
    <x v="7"/>
    <x v="69"/>
    <d v="1899-12-30T00:01:00"/>
    <x v="3"/>
    <x v="124"/>
    <n v="0"/>
  </r>
  <r>
    <x v="1"/>
    <s v="19/20"/>
    <x v="4"/>
    <x v="4"/>
    <x v="691"/>
    <s v="H"/>
    <x v="2"/>
    <x v="83"/>
    <d v="1899-12-30T05:01:00"/>
    <s v="05"/>
    <s v="01"/>
    <x v="0"/>
    <x v="7"/>
    <x v="28"/>
    <d v="1899-12-30T04:01:00"/>
    <x v="3"/>
    <x v="85"/>
    <n v="0"/>
  </r>
  <r>
    <x v="1"/>
    <s v="19/20"/>
    <x v="4"/>
    <x v="4"/>
    <x v="691"/>
    <s v="H"/>
    <x v="2"/>
    <x v="83"/>
    <d v="1899-12-30T05:01:00"/>
    <s v="05"/>
    <s v="01"/>
    <x v="0"/>
    <x v="7"/>
    <x v="0"/>
    <d v="1899-12-30T03:01:00"/>
    <x v="4"/>
    <x v="0"/>
    <n v="1"/>
  </r>
  <r>
    <x v="0"/>
    <s v="19/20"/>
    <x v="12"/>
    <x v="29"/>
    <x v="692"/>
    <s v="H"/>
    <x v="4"/>
    <x v="128"/>
    <d v="1899-12-30T02:01:00"/>
    <s v="02"/>
    <s v="01"/>
    <x v="0"/>
    <x v="2"/>
    <x v="99"/>
    <d v="1899-12-30T02:01:00"/>
    <x v="6"/>
    <x v="0"/>
    <n v="1"/>
  </r>
  <r>
    <x v="1"/>
    <s v="19/20"/>
    <x v="4"/>
    <x v="41"/>
    <x v="693"/>
    <s v="A"/>
    <x v="2"/>
    <x v="47"/>
    <d v="1899-12-30T03:01:00"/>
    <s v="03"/>
    <s v="01"/>
    <x v="0"/>
    <x v="7"/>
    <x v="31"/>
    <d v="1899-12-30T00:01:00"/>
    <x v="6"/>
    <x v="0"/>
    <n v="1"/>
  </r>
  <r>
    <x v="1"/>
    <s v="19/20"/>
    <x v="4"/>
    <x v="19"/>
    <x v="694"/>
    <s v="H"/>
    <x v="2"/>
    <x v="30"/>
    <d v="1899-12-30T04:01:00"/>
    <s v="04"/>
    <s v="01"/>
    <x v="0"/>
    <x v="7"/>
    <x v="61"/>
    <d v="1899-12-30T03:01:00"/>
    <x v="4"/>
    <x v="0"/>
    <n v="1"/>
  </r>
  <r>
    <x v="1"/>
    <s v="19/20"/>
    <x v="4"/>
    <x v="19"/>
    <x v="694"/>
    <s v="H"/>
    <x v="2"/>
    <x v="30"/>
    <d v="1899-12-30T04:01:00"/>
    <s v="04"/>
    <s v="01"/>
    <x v="0"/>
    <x v="7"/>
    <x v="16"/>
    <d v="1899-12-30T02:01:00"/>
    <x v="4"/>
    <x v="0"/>
    <n v="1"/>
  </r>
  <r>
    <x v="1"/>
    <s v="19/20"/>
    <x v="4"/>
    <x v="19"/>
    <x v="694"/>
    <s v="H"/>
    <x v="2"/>
    <x v="30"/>
    <d v="1899-12-30T04:01:00"/>
    <s v="04"/>
    <s v="01"/>
    <x v="0"/>
    <x v="7"/>
    <x v="35"/>
    <d v="1899-12-30T01:00:00"/>
    <x v="6"/>
    <x v="0"/>
    <n v="1"/>
  </r>
  <r>
    <x v="1"/>
    <s v="19/20"/>
    <x v="6"/>
    <x v="18"/>
    <x v="695"/>
    <s v="H"/>
    <x v="2"/>
    <x v="102"/>
    <d v="1899-12-30T03:01:00"/>
    <s v="03"/>
    <s v="01"/>
    <x v="0"/>
    <x v="7"/>
    <x v="94"/>
    <d v="1899-12-30T02:00:00"/>
    <x v="3"/>
    <x v="84"/>
    <n v="0"/>
  </r>
  <r>
    <x v="0"/>
    <s v="19/20"/>
    <x v="12"/>
    <x v="51"/>
    <x v="696"/>
    <s v="H"/>
    <x v="4"/>
    <x v="124"/>
    <d v="1899-12-30T02:02:00"/>
    <s v="02"/>
    <s v="02"/>
    <x v="2"/>
    <x v="2"/>
    <x v="24"/>
    <d v="1899-12-30T02:02:00"/>
    <x v="6"/>
    <x v="0"/>
    <n v="1"/>
  </r>
  <r>
    <x v="1"/>
    <s v="19/20"/>
    <x v="4"/>
    <x v="30"/>
    <x v="696"/>
    <s v="A"/>
    <x v="2"/>
    <x v="42"/>
    <d v="1899-12-30T00:01:00"/>
    <s v="00"/>
    <s v="01"/>
    <x v="1"/>
    <x v="7"/>
    <x v="46"/>
    <d v="1899-12-30T00:01:00"/>
    <x v="3"/>
    <x v="84"/>
    <n v="0"/>
  </r>
  <r>
    <x v="1"/>
    <s v="19/20"/>
    <x v="4"/>
    <x v="9"/>
    <x v="697"/>
    <s v="H"/>
    <x v="2"/>
    <x v="25"/>
    <d v="1899-12-30T05:02:00"/>
    <s v="05"/>
    <s v="02"/>
    <x v="0"/>
    <x v="7"/>
    <x v="56"/>
    <d v="1899-12-30T03:01:00"/>
    <x v="3"/>
    <x v="85"/>
    <n v="0"/>
  </r>
  <r>
    <x v="1"/>
    <s v="19/20"/>
    <x v="4"/>
    <x v="9"/>
    <x v="697"/>
    <s v="H"/>
    <x v="2"/>
    <x v="25"/>
    <d v="1899-12-30T05:02:00"/>
    <s v="05"/>
    <s v="02"/>
    <x v="0"/>
    <x v="7"/>
    <x v="27"/>
    <d v="1899-12-30T05:02:00"/>
    <x v="3"/>
    <x v="84"/>
    <n v="0"/>
  </r>
  <r>
    <x v="1"/>
    <s v="19/20"/>
    <x v="4"/>
    <x v="9"/>
    <x v="697"/>
    <s v="H"/>
    <x v="2"/>
    <x v="25"/>
    <d v="1899-12-30T05:02:00"/>
    <s v="05"/>
    <s v="02"/>
    <x v="0"/>
    <x v="7"/>
    <x v="81"/>
    <d v="1899-12-30T02:00:00"/>
    <x v="3"/>
    <x v="123"/>
    <n v="0"/>
  </r>
  <r>
    <x v="0"/>
    <s v="19/20"/>
    <x v="12"/>
    <x v="30"/>
    <x v="697"/>
    <s v="A"/>
    <x v="4"/>
    <x v="135"/>
    <d v="1899-12-30T03:01:00"/>
    <s v="03"/>
    <s v="01"/>
    <x v="0"/>
    <x v="2"/>
    <x v="73"/>
    <d v="1899-12-30T00:01:00"/>
    <x v="5"/>
    <x v="125"/>
    <n v="0"/>
  </r>
  <r>
    <x v="0"/>
    <s v="19/20"/>
    <x v="6"/>
    <x v="18"/>
    <x v="698"/>
    <s v="A"/>
    <x v="4"/>
    <x v="98"/>
    <d v="1899-12-30T00:02:00"/>
    <s v="00"/>
    <s v="02"/>
    <x v="1"/>
    <x v="2"/>
    <x v="28"/>
    <d v="1899-12-30T00:01:00"/>
    <x v="2"/>
    <x v="115"/>
    <n v="0"/>
  </r>
  <r>
    <x v="0"/>
    <s v="19/20"/>
    <x v="12"/>
    <x v="9"/>
    <x v="699"/>
    <s v="H"/>
    <x v="4"/>
    <x v="127"/>
    <d v="1899-12-30T03:01:00"/>
    <s v="03"/>
    <s v="01"/>
    <x v="0"/>
    <x v="2"/>
    <x v="12"/>
    <d v="1899-12-30T01:00:00"/>
    <x v="2"/>
    <x v="0"/>
    <n v="1"/>
  </r>
  <r>
    <x v="0"/>
    <s v="19/20"/>
    <x v="12"/>
    <x v="9"/>
    <x v="699"/>
    <s v="H"/>
    <x v="4"/>
    <x v="127"/>
    <d v="1899-12-30T03:01:00"/>
    <s v="03"/>
    <s v="01"/>
    <x v="0"/>
    <x v="2"/>
    <x v="91"/>
    <d v="1899-12-30T02:00:00"/>
    <x v="3"/>
    <x v="45"/>
    <n v="0"/>
  </r>
  <r>
    <x v="0"/>
    <s v="19/20"/>
    <x v="12"/>
    <x v="31"/>
    <x v="700"/>
    <s v="A"/>
    <x v="4"/>
    <x v="134"/>
    <d v="1899-12-30T01:02:00"/>
    <s v="01"/>
    <s v="02"/>
    <x v="1"/>
    <x v="0"/>
    <x v="32"/>
    <d v="1899-12-30T01:02:00"/>
    <x v="1"/>
    <x v="126"/>
    <n v="0"/>
  </r>
  <r>
    <x v="1"/>
    <s v="19/20"/>
    <x v="4"/>
    <x v="42"/>
    <x v="701"/>
    <s v="H"/>
    <x v="2"/>
    <x v="24"/>
    <d v="1899-12-30T04:01:00"/>
    <s v="04"/>
    <s v="01"/>
    <x v="0"/>
    <x v="7"/>
    <x v="64"/>
    <d v="1899-12-30T03:01:00"/>
    <x v="3"/>
    <x v="84"/>
    <n v="0"/>
  </r>
  <r>
    <x v="0"/>
    <s v="19/20"/>
    <x v="12"/>
    <x v="42"/>
    <x v="702"/>
    <s v="H"/>
    <x v="4"/>
    <x v="142"/>
    <d v="1899-12-30T04:00:00"/>
    <s v="04"/>
    <s v="00"/>
    <x v="0"/>
    <x v="2"/>
    <x v="47"/>
    <d v="1899-12-30T01:00:00"/>
    <x v="2"/>
    <x v="0"/>
    <n v="1"/>
  </r>
  <r>
    <x v="0"/>
    <s v="19/20"/>
    <x v="12"/>
    <x v="42"/>
    <x v="702"/>
    <s v="H"/>
    <x v="4"/>
    <x v="142"/>
    <d v="1899-12-30T04:00:00"/>
    <s v="04"/>
    <s v="00"/>
    <x v="0"/>
    <x v="2"/>
    <x v="3"/>
    <d v="1899-12-30T02:00:00"/>
    <x v="6"/>
    <x v="0"/>
    <n v="1"/>
  </r>
  <r>
    <x v="0"/>
    <s v="19/20"/>
    <x v="12"/>
    <x v="42"/>
    <x v="702"/>
    <s v="H"/>
    <x v="4"/>
    <x v="142"/>
    <d v="1899-12-30T04:00:00"/>
    <s v="04"/>
    <s v="00"/>
    <x v="0"/>
    <x v="2"/>
    <x v="26"/>
    <d v="1899-12-30T04:00:00"/>
    <x v="3"/>
    <x v="122"/>
    <n v="0"/>
  </r>
  <r>
    <x v="1"/>
    <s v="19/20"/>
    <x v="10"/>
    <x v="15"/>
    <x v="703"/>
    <s v="H"/>
    <x v="2"/>
    <x v="42"/>
    <d v="1899-12-30T02:03:00"/>
    <s v="02"/>
    <s v="03"/>
    <x v="1"/>
    <x v="7"/>
    <x v="22"/>
    <d v="1899-12-30T01:01:00"/>
    <x v="2"/>
    <x v="84"/>
    <n v="0"/>
  </r>
  <r>
    <x v="0"/>
    <s v="19/20"/>
    <x v="12"/>
    <x v="22"/>
    <x v="704"/>
    <s v="A"/>
    <x v="4"/>
    <x v="39"/>
    <d v="1899-12-30T01:02:00"/>
    <s v="01"/>
    <s v="02"/>
    <x v="1"/>
    <x v="2"/>
    <x v="39"/>
    <d v="1899-12-30T00:02:00"/>
    <x v="6"/>
    <x v="0"/>
    <n v="1"/>
  </r>
  <r>
    <x v="1"/>
    <s v="19/20"/>
    <x v="4"/>
    <x v="21"/>
    <x v="705"/>
    <s v="H"/>
    <x v="2"/>
    <x v="97"/>
    <d v="1899-12-30T01:00:00"/>
    <s v="01"/>
    <s v="00"/>
    <x v="0"/>
    <x v="5"/>
    <x v="18"/>
    <d v="1899-12-30T01:00:00"/>
    <x v="2"/>
    <x v="109"/>
    <n v="0"/>
  </r>
  <r>
    <x v="0"/>
    <s v="19/20"/>
    <x v="12"/>
    <x v="21"/>
    <x v="705"/>
    <s v="H"/>
    <x v="4"/>
    <x v="136"/>
    <d v="1899-12-30T02:01:00"/>
    <s v="02"/>
    <s v="01"/>
    <x v="0"/>
    <x v="2"/>
    <x v="15"/>
    <d v="1899-12-30T02:01:00"/>
    <x v="2"/>
    <x v="115"/>
    <n v="0"/>
  </r>
  <r>
    <x v="0"/>
    <s v="19/20"/>
    <x v="12"/>
    <x v="21"/>
    <x v="705"/>
    <s v="H"/>
    <x v="4"/>
    <x v="136"/>
    <d v="1899-12-30T02:01:00"/>
    <s v="02"/>
    <s v="01"/>
    <x v="0"/>
    <x v="2"/>
    <x v="51"/>
    <d v="1899-12-30T01:00:00"/>
    <x v="8"/>
    <x v="111"/>
    <n v="0"/>
  </r>
  <r>
    <x v="0"/>
    <s v="19/20"/>
    <x v="14"/>
    <x v="24"/>
    <x v="706"/>
    <s v="H"/>
    <x v="4"/>
    <x v="39"/>
    <d v="1899-12-30T03:01:00"/>
    <s v="03"/>
    <s v="01"/>
    <x v="0"/>
    <x v="0"/>
    <x v="72"/>
    <d v="1899-12-30T01:00:00"/>
    <x v="3"/>
    <x v="45"/>
    <n v="0"/>
  </r>
  <r>
    <x v="0"/>
    <s v="19/20"/>
    <x v="12"/>
    <x v="23"/>
    <x v="707"/>
    <s v="A"/>
    <x v="4"/>
    <x v="138"/>
    <d v="1899-12-30T02:01:00"/>
    <s v="02"/>
    <s v="01"/>
    <x v="0"/>
    <x v="0"/>
    <x v="21"/>
    <d v="1899-12-30T02:01:00"/>
    <x v="2"/>
    <x v="125"/>
    <n v="0"/>
  </r>
  <r>
    <x v="1"/>
    <s v="19/20"/>
    <x v="8"/>
    <x v="20"/>
    <x v="708"/>
    <s v="H"/>
    <x v="2"/>
    <x v="115"/>
    <d v="1899-12-30T05:00:00"/>
    <s v="05"/>
    <s v="00"/>
    <x v="0"/>
    <x v="7"/>
    <x v="34"/>
    <d v="1899-12-30T03:00:00"/>
    <x v="3"/>
    <x v="127"/>
    <n v="0"/>
  </r>
  <r>
    <x v="1"/>
    <s v="19/20"/>
    <x v="8"/>
    <x v="20"/>
    <x v="708"/>
    <s v="H"/>
    <x v="2"/>
    <x v="115"/>
    <d v="1899-12-30T05:00:00"/>
    <s v="05"/>
    <s v="00"/>
    <x v="0"/>
    <x v="7"/>
    <x v="7"/>
    <d v="1899-12-30T05:00:00"/>
    <x v="3"/>
    <x v="85"/>
    <n v="0"/>
  </r>
  <r>
    <x v="0"/>
    <s v="19/20"/>
    <x v="12"/>
    <x v="43"/>
    <x v="709"/>
    <s v="H"/>
    <x v="4"/>
    <x v="131"/>
    <d v="1899-12-30T03:00:00"/>
    <s v="03"/>
    <s v="00"/>
    <x v="0"/>
    <x v="0"/>
    <x v="79"/>
    <d v="1899-12-30T01:00:00"/>
    <x v="6"/>
    <x v="0"/>
    <n v="1"/>
  </r>
  <r>
    <x v="0"/>
    <s v="19/20"/>
    <x v="12"/>
    <x v="43"/>
    <x v="709"/>
    <s v="H"/>
    <x v="4"/>
    <x v="131"/>
    <d v="1899-12-30T03:00:00"/>
    <s v="03"/>
    <s v="00"/>
    <x v="0"/>
    <x v="0"/>
    <x v="5"/>
    <d v="1899-12-30T02:00:00"/>
    <x v="6"/>
    <x v="0"/>
    <n v="1"/>
  </r>
  <r>
    <x v="0"/>
    <s v="19/20"/>
    <x v="12"/>
    <x v="32"/>
    <x v="710"/>
    <s v="A"/>
    <x v="4"/>
    <x v="139"/>
    <d v="1899-12-30T02:01:00"/>
    <s v="02"/>
    <s v="01"/>
    <x v="0"/>
    <x v="0"/>
    <x v="77"/>
    <d v="1899-12-30T00:01:00"/>
    <x v="2"/>
    <x v="125"/>
    <n v="0"/>
  </r>
  <r>
    <x v="0"/>
    <s v="19/20"/>
    <x v="14"/>
    <x v="15"/>
    <x v="711"/>
    <s v="A"/>
    <x v="4"/>
    <x v="41"/>
    <d v="1899-12-30T01:01:00"/>
    <s v="01"/>
    <s v="01"/>
    <x v="2"/>
    <x v="0"/>
    <x v="19"/>
    <d v="1899-12-30T01:01:00"/>
    <x v="6"/>
    <x v="0"/>
    <n v="1"/>
  </r>
  <r>
    <x v="1"/>
    <s v="19/20"/>
    <x v="4"/>
    <x v="12"/>
    <x v="712"/>
    <s v="H"/>
    <x v="2"/>
    <x v="110"/>
    <d v="1899-12-30T05:00:00"/>
    <s v="05"/>
    <s v="00"/>
    <x v="0"/>
    <x v="9"/>
    <x v="91"/>
    <d v="1899-12-30T02:00:00"/>
    <x v="3"/>
    <x v="109"/>
    <n v="0"/>
  </r>
  <r>
    <x v="1"/>
    <s v="19/20"/>
    <x v="4"/>
    <x v="12"/>
    <x v="712"/>
    <s v="H"/>
    <x v="2"/>
    <x v="110"/>
    <d v="1899-12-30T05:00:00"/>
    <s v="05"/>
    <s v="00"/>
    <x v="0"/>
    <x v="9"/>
    <x v="79"/>
    <d v="1899-12-30T03:00:00"/>
    <x v="3"/>
    <x v="0"/>
    <n v="1"/>
  </r>
  <r>
    <x v="1"/>
    <s v="19/20"/>
    <x v="4"/>
    <x v="12"/>
    <x v="712"/>
    <s v="H"/>
    <x v="2"/>
    <x v="110"/>
    <d v="1899-12-30T05:00:00"/>
    <s v="05"/>
    <s v="00"/>
    <x v="0"/>
    <x v="9"/>
    <x v="11"/>
    <d v="1899-12-30T04:00:00"/>
    <x v="3"/>
    <x v="0"/>
    <n v="1"/>
  </r>
  <r>
    <x v="1"/>
    <s v="19/20"/>
    <x v="4"/>
    <x v="12"/>
    <x v="712"/>
    <s v="H"/>
    <x v="2"/>
    <x v="110"/>
    <d v="1899-12-30T05:00:00"/>
    <s v="05"/>
    <s v="00"/>
    <x v="0"/>
    <x v="9"/>
    <x v="30"/>
    <d v="1899-12-30T01:00:00"/>
    <x v="3"/>
    <x v="85"/>
    <n v="0"/>
  </r>
  <r>
    <x v="0"/>
    <s v="19/20"/>
    <x v="12"/>
    <x v="12"/>
    <x v="712"/>
    <s v="A"/>
    <x v="4"/>
    <x v="130"/>
    <d v="1899-12-30T01:02:00"/>
    <s v="01"/>
    <s v="02"/>
    <x v="1"/>
    <x v="0"/>
    <x v="40"/>
    <d v="1899-12-30T00:01:00"/>
    <x v="5"/>
    <x v="128"/>
    <n v="0"/>
  </r>
  <r>
    <x v="1"/>
    <s v="19/20"/>
    <x v="4"/>
    <x v="33"/>
    <x v="713"/>
    <s v="H"/>
    <x v="2"/>
    <x v="90"/>
    <d v="1899-12-30T01:00:00"/>
    <s v="01"/>
    <s v="00"/>
    <x v="0"/>
    <x v="5"/>
    <x v="58"/>
    <d v="1899-12-30T01:00:00"/>
    <x v="6"/>
    <x v="0"/>
    <n v="1"/>
  </r>
  <r>
    <x v="1"/>
    <s v="19/20"/>
    <x v="4"/>
    <x v="26"/>
    <x v="714"/>
    <s v="A"/>
    <x v="2"/>
    <x v="25"/>
    <d v="1899-12-30T00:04:00"/>
    <s v="00"/>
    <s v="04"/>
    <x v="1"/>
    <x v="7"/>
    <x v="59"/>
    <d v="1899-12-30T00:04:00"/>
    <x v="2"/>
    <x v="84"/>
    <n v="0"/>
  </r>
  <r>
    <x v="1"/>
    <s v="19/20"/>
    <x v="4"/>
    <x v="5"/>
    <x v="715"/>
    <s v="H"/>
    <x v="2"/>
    <x v="115"/>
    <d v="1899-12-30T02:00:00"/>
    <s v="02"/>
    <s v="00"/>
    <x v="0"/>
    <x v="7"/>
    <x v="64"/>
    <d v="1899-12-30T02:00:00"/>
    <x v="6"/>
    <x v="0"/>
    <n v="1"/>
  </r>
  <r>
    <x v="0"/>
    <s v="19/20"/>
    <x v="12"/>
    <x v="33"/>
    <x v="716"/>
    <s v="A"/>
    <x v="4"/>
    <x v="140"/>
    <d v="1899-12-30T00:02:00"/>
    <s v="00"/>
    <s v="02"/>
    <x v="1"/>
    <x v="0"/>
    <x v="35"/>
    <d v="1899-12-30T00:01:00"/>
    <x v="6"/>
    <x v="0"/>
    <n v="1"/>
  </r>
  <r>
    <x v="0"/>
    <s v="19/20"/>
    <x v="12"/>
    <x v="26"/>
    <x v="717"/>
    <s v="H"/>
    <x v="4"/>
    <x v="143"/>
    <d v="1899-12-30T04:00:00"/>
    <s v="04"/>
    <s v="00"/>
    <x v="0"/>
    <x v="0"/>
    <x v="52"/>
    <d v="1899-12-30T02:00:00"/>
    <x v="6"/>
    <x v="0"/>
    <n v="1"/>
  </r>
  <r>
    <x v="1"/>
    <s v="19/20"/>
    <x v="4"/>
    <x v="46"/>
    <x v="718"/>
    <s v="H"/>
    <x v="2"/>
    <x v="42"/>
    <d v="1899-12-30T02:02:00"/>
    <s v="02"/>
    <s v="02"/>
    <x v="2"/>
    <x v="9"/>
    <x v="25"/>
    <d v="1899-12-30T02:01:00"/>
    <x v="6"/>
    <x v="0"/>
    <n v="1"/>
  </r>
  <r>
    <x v="0"/>
    <s v="19/20"/>
    <x v="12"/>
    <x v="5"/>
    <x v="718"/>
    <s v="A"/>
    <x v="4"/>
    <x v="128"/>
    <d v="1899-12-30T01:03:00"/>
    <s v="01"/>
    <s v="03"/>
    <x v="1"/>
    <x v="0"/>
    <x v="66"/>
    <d v="1899-12-30T00:02:00"/>
    <x v="10"/>
    <x v="113"/>
    <n v="0"/>
  </r>
  <r>
    <x v="0"/>
    <s v="19/20"/>
    <x v="12"/>
    <x v="14"/>
    <x v="719"/>
    <s v="H"/>
    <x v="4"/>
    <x v="132"/>
    <d v="1899-12-30T04:01:00"/>
    <s v="04"/>
    <s v="01"/>
    <x v="0"/>
    <x v="0"/>
    <x v="75"/>
    <d v="1899-12-30T03:01:00"/>
    <x v="4"/>
    <x v="0"/>
    <n v="1"/>
  </r>
  <r>
    <x v="0"/>
    <s v="19/20"/>
    <x v="12"/>
    <x v="45"/>
    <x v="720"/>
    <s v="A"/>
    <x v="4"/>
    <x v="41"/>
    <d v="1899-12-30T04:02:00"/>
    <s v="04"/>
    <s v="02"/>
    <x v="0"/>
    <x v="0"/>
    <x v="68"/>
    <d v="1899-12-30T00:02:00"/>
    <x v="3"/>
    <x v="128"/>
    <n v="0"/>
  </r>
  <r>
    <x v="0"/>
    <s v="19/20"/>
    <x v="12"/>
    <x v="6"/>
    <x v="721"/>
    <s v="H"/>
    <x v="4"/>
    <x v="133"/>
    <d v="1899-12-30T02:02:00"/>
    <s v="02"/>
    <s v="02"/>
    <x v="2"/>
    <x v="0"/>
    <x v="21"/>
    <d v="1899-12-30T02:02:00"/>
    <x v="6"/>
    <x v="0"/>
    <n v="1"/>
  </r>
  <r>
    <x v="0"/>
    <s v="19/20"/>
    <x v="12"/>
    <x v="6"/>
    <x v="721"/>
    <s v="H"/>
    <x v="4"/>
    <x v="133"/>
    <d v="1899-12-30T02:02:00"/>
    <s v="02"/>
    <s v="02"/>
    <x v="2"/>
    <x v="0"/>
    <x v="82"/>
    <d v="1899-12-30T01:01:00"/>
    <x v="6"/>
    <x v="0"/>
    <n v="1"/>
  </r>
  <r>
    <x v="1"/>
    <s v="19/20"/>
    <x v="4"/>
    <x v="35"/>
    <x v="722"/>
    <s v="H"/>
    <x v="2"/>
    <x v="31"/>
    <d v="1899-12-30T01:02:00"/>
    <s v="01"/>
    <s v="02"/>
    <x v="1"/>
    <x v="7"/>
    <x v="52"/>
    <d v="1899-12-30T01:01:00"/>
    <x v="4"/>
    <x v="0"/>
    <n v="1"/>
  </r>
  <r>
    <x v="1"/>
    <s v="19/20"/>
    <x v="4"/>
    <x v="7"/>
    <x v="723"/>
    <s v="A"/>
    <x v="2"/>
    <x v="24"/>
    <d v="1899-12-30T00:05:00"/>
    <s v="00"/>
    <s v="05"/>
    <x v="1"/>
    <x v="7"/>
    <x v="0"/>
    <d v="1899-12-30T00:02:00"/>
    <x v="3"/>
    <x v="129"/>
    <n v="0"/>
  </r>
  <r>
    <x v="1"/>
    <s v="19/20"/>
    <x v="4"/>
    <x v="7"/>
    <x v="723"/>
    <s v="A"/>
    <x v="2"/>
    <x v="24"/>
    <d v="1899-12-30T00:05:00"/>
    <s v="00"/>
    <s v="05"/>
    <x v="1"/>
    <x v="7"/>
    <x v="28"/>
    <d v="1899-12-30T00:05:00"/>
    <x v="3"/>
    <x v="71"/>
    <n v="0"/>
  </r>
  <r>
    <x v="0"/>
    <s v="19/20"/>
    <x v="12"/>
    <x v="16"/>
    <x v="724"/>
    <s v="H"/>
    <x v="4"/>
    <x v="135"/>
    <d v="1899-12-30T02:01:00"/>
    <s v="02"/>
    <s v="01"/>
    <x v="0"/>
    <x v="0"/>
    <x v="14"/>
    <d v="1899-12-30T02:00:00"/>
    <x v="9"/>
    <x v="115"/>
    <n v="0"/>
  </r>
  <r>
    <x v="0"/>
    <s v="19/20"/>
    <x v="12"/>
    <x v="16"/>
    <x v="724"/>
    <s v="H"/>
    <x v="4"/>
    <x v="135"/>
    <d v="1899-12-30T02:01:00"/>
    <s v="02"/>
    <s v="01"/>
    <x v="0"/>
    <x v="0"/>
    <x v="22"/>
    <d v="1899-12-30T01:00:00"/>
    <x v="6"/>
    <x v="0"/>
    <n v="1"/>
  </r>
  <r>
    <x v="0"/>
    <s v="19/20"/>
    <x v="12"/>
    <x v="48"/>
    <x v="725"/>
    <s v="H"/>
    <x v="4"/>
    <x v="134"/>
    <d v="1899-12-30T02:00:00"/>
    <s v="02"/>
    <s v="00"/>
    <x v="0"/>
    <x v="0"/>
    <x v="106"/>
    <d v="1899-12-30T01:00:00"/>
    <x v="2"/>
    <x v="113"/>
    <n v="0"/>
  </r>
  <r>
    <x v="0"/>
    <s v="19/20"/>
    <x v="6"/>
    <x v="44"/>
    <x v="726"/>
    <s v="H"/>
    <x v="4"/>
    <x v="46"/>
    <d v="1899-12-30T02:01:00"/>
    <s v="02"/>
    <s v="01"/>
    <x v="0"/>
    <x v="0"/>
    <x v="51"/>
    <d v="1899-12-30T01:01:00"/>
    <x v="6"/>
    <x v="0"/>
    <n v="1"/>
  </r>
  <r>
    <x v="0"/>
    <s v="19/20"/>
    <x v="6"/>
    <x v="44"/>
    <x v="726"/>
    <s v="H"/>
    <x v="4"/>
    <x v="46"/>
    <d v="1899-12-30T02:01:00"/>
    <s v="02"/>
    <s v="01"/>
    <x v="0"/>
    <x v="0"/>
    <x v="8"/>
    <d v="1899-12-30T02:01:00"/>
    <x v="3"/>
    <x v="117"/>
    <n v="0"/>
  </r>
  <r>
    <x v="1"/>
    <s v="19/20"/>
    <x v="6"/>
    <x v="44"/>
    <x v="727"/>
    <s v="H"/>
    <x v="2"/>
    <x v="138"/>
    <d v="1899-12-30T03:01:00"/>
    <s v="03"/>
    <s v="01"/>
    <x v="0"/>
    <x v="9"/>
    <x v="35"/>
    <d v="1899-12-30T02:00:00"/>
    <x v="3"/>
    <x v="0"/>
    <n v="1"/>
  </r>
  <r>
    <x v="0"/>
    <s v="20/21"/>
    <x v="12"/>
    <x v="27"/>
    <x v="728"/>
    <s v="H"/>
    <x v="4"/>
    <x v="134"/>
    <d v="1899-12-30T03:00:00"/>
    <s v="03"/>
    <s v="00"/>
    <x v="0"/>
    <x v="2"/>
    <x v="2"/>
    <d v="1899-12-30T03:00:00"/>
    <x v="2"/>
    <x v="130"/>
    <n v="0"/>
  </r>
  <r>
    <x v="0"/>
    <s v="20/21"/>
    <x v="12"/>
    <x v="28"/>
    <x v="729"/>
    <s v="A"/>
    <x v="4"/>
    <x v="39"/>
    <d v="1899-12-30T02:02:00"/>
    <s v="02"/>
    <s v="02"/>
    <x v="2"/>
    <x v="2"/>
    <x v="10"/>
    <d v="1899-12-30T01:01:00"/>
    <x v="6"/>
    <x v="0"/>
    <n v="1"/>
  </r>
  <r>
    <x v="1"/>
    <s v="20/21"/>
    <x v="4"/>
    <x v="47"/>
    <x v="729"/>
    <s v="H"/>
    <x v="2"/>
    <x v="76"/>
    <d v="1899-12-30T04:00:00"/>
    <s v="04"/>
    <s v="00"/>
    <x v="0"/>
    <x v="5"/>
    <x v="57"/>
    <d v="1899-12-30T03:00:00"/>
    <x v="6"/>
    <x v="0"/>
    <n v="1"/>
  </r>
  <r>
    <x v="0"/>
    <s v="20/21"/>
    <x v="12"/>
    <x v="28"/>
    <x v="729"/>
    <s v="A"/>
    <x v="4"/>
    <x v="39"/>
    <d v="1899-12-30T02:02:00"/>
    <s v="02"/>
    <s v="02"/>
    <x v="2"/>
    <x v="2"/>
    <x v="64"/>
    <d v="1899-12-30T02:02:00"/>
    <x v="1"/>
    <x v="89"/>
    <n v="0"/>
  </r>
  <r>
    <x v="1"/>
    <s v="20/21"/>
    <x v="6"/>
    <x v="18"/>
    <x v="730"/>
    <s v="H"/>
    <x v="2"/>
    <x v="144"/>
    <d v="1899-12-30T05:01:00"/>
    <s v="05"/>
    <s v="01"/>
    <x v="0"/>
    <x v="5"/>
    <x v="83"/>
    <d v="1899-12-30T01:00:00"/>
    <x v="6"/>
    <x v="0"/>
    <n v="1"/>
  </r>
  <r>
    <x v="1"/>
    <s v="20/21"/>
    <x v="6"/>
    <x v="18"/>
    <x v="731"/>
    <s v="A"/>
    <x v="2"/>
    <x v="107"/>
    <d v="1899-12-30T00:02:00"/>
    <s v="00"/>
    <s v="02"/>
    <x v="1"/>
    <x v="5"/>
    <x v="19"/>
    <d v="1899-12-30T00:02:00"/>
    <x v="6"/>
    <x v="0"/>
    <n v="1"/>
  </r>
  <r>
    <x v="0"/>
    <s v="20/21"/>
    <x v="12"/>
    <x v="0"/>
    <x v="732"/>
    <s v="A"/>
    <x v="4"/>
    <x v="145"/>
    <d v="1899-12-30T01:04:00"/>
    <s v="01"/>
    <s v="04"/>
    <x v="1"/>
    <x v="2"/>
    <x v="34"/>
    <d v="1899-12-30T01:02:00"/>
    <x v="2"/>
    <x v="95"/>
    <n v="0"/>
  </r>
  <r>
    <x v="0"/>
    <s v="20/21"/>
    <x v="12"/>
    <x v="0"/>
    <x v="732"/>
    <s v="A"/>
    <x v="4"/>
    <x v="145"/>
    <d v="1899-12-30T01:04:00"/>
    <s v="01"/>
    <s v="04"/>
    <x v="1"/>
    <x v="2"/>
    <x v="18"/>
    <d v="1899-12-30T01:04:00"/>
    <x v="6"/>
    <x v="0"/>
    <n v="1"/>
  </r>
  <r>
    <x v="1"/>
    <s v="20/21"/>
    <x v="6"/>
    <x v="18"/>
    <x v="733"/>
    <s v="H"/>
    <x v="2"/>
    <x v="49"/>
    <d v="1899-12-30T02:01:00"/>
    <s v="02"/>
    <s v="01"/>
    <x v="0"/>
    <x v="7"/>
    <x v="49"/>
    <d v="1899-12-30T01:00:00"/>
    <x v="6"/>
    <x v="0"/>
    <n v="1"/>
  </r>
  <r>
    <x v="1"/>
    <s v="20/21"/>
    <x v="4"/>
    <x v="39"/>
    <x v="734"/>
    <s v="H"/>
    <x v="2"/>
    <x v="27"/>
    <d v="1899-12-30T05:02:00"/>
    <s v="05"/>
    <s v="02"/>
    <x v="0"/>
    <x v="2"/>
    <x v="26"/>
    <d v="1899-12-30T04:02:00"/>
    <x v="3"/>
    <x v="94"/>
    <n v="0"/>
  </r>
  <r>
    <x v="1"/>
    <s v="20/21"/>
    <x v="4"/>
    <x v="39"/>
    <x v="734"/>
    <s v="H"/>
    <x v="2"/>
    <x v="27"/>
    <d v="1899-12-30T05:02:00"/>
    <s v="05"/>
    <s v="02"/>
    <x v="0"/>
    <x v="2"/>
    <x v="75"/>
    <d v="1899-12-30T03:01:00"/>
    <x v="6"/>
    <x v="0"/>
    <n v="1"/>
  </r>
  <r>
    <x v="0"/>
    <s v="20/21"/>
    <x v="12"/>
    <x v="40"/>
    <x v="735"/>
    <s v="A"/>
    <x v="4"/>
    <x v="135"/>
    <d v="1899-12-30T01:01:00"/>
    <s v="01"/>
    <s v="01"/>
    <x v="2"/>
    <x v="0"/>
    <x v="84"/>
    <d v="1899-12-30T00:01:00"/>
    <x v="2"/>
    <x v="128"/>
    <n v="0"/>
  </r>
  <r>
    <x v="0"/>
    <s v="20/21"/>
    <x v="12"/>
    <x v="1"/>
    <x v="736"/>
    <s v="H"/>
    <x v="4"/>
    <x v="142"/>
    <d v="1899-12-30T02:00:00"/>
    <s v="02"/>
    <s v="00"/>
    <x v="0"/>
    <x v="2"/>
    <x v="31"/>
    <d v="1899-12-30T01:00:00"/>
    <x v="2"/>
    <x v="95"/>
    <n v="0"/>
  </r>
  <r>
    <x v="0"/>
    <s v="20/21"/>
    <x v="12"/>
    <x v="1"/>
    <x v="736"/>
    <s v="H"/>
    <x v="4"/>
    <x v="142"/>
    <d v="1899-12-30T02:00:00"/>
    <s v="02"/>
    <s v="00"/>
    <x v="0"/>
    <x v="2"/>
    <x v="29"/>
    <d v="1899-12-30T02:00:00"/>
    <x v="2"/>
    <x v="131"/>
    <n v="0"/>
  </r>
  <r>
    <x v="0"/>
    <s v="20/21"/>
    <x v="6"/>
    <x v="18"/>
    <x v="737"/>
    <s v="H"/>
    <x v="4"/>
    <x v="144"/>
    <d v="1899-12-30T02:01:00"/>
    <s v="02"/>
    <s v="01"/>
    <x v="0"/>
    <x v="2"/>
    <x v="57"/>
    <d v="1899-12-30T01:01:00"/>
    <x v="3"/>
    <x v="128"/>
    <n v="0"/>
  </r>
  <r>
    <x v="1"/>
    <s v="20/21"/>
    <x v="4"/>
    <x v="4"/>
    <x v="738"/>
    <s v="H"/>
    <x v="2"/>
    <x v="31"/>
    <d v="1899-12-30T04:00:00"/>
    <s v="04"/>
    <s v="00"/>
    <x v="0"/>
    <x v="7"/>
    <x v="38"/>
    <d v="1899-12-30T04:00:00"/>
    <x v="3"/>
    <x v="132"/>
    <n v="0"/>
  </r>
  <r>
    <x v="0"/>
    <s v="20/21"/>
    <x v="6"/>
    <x v="18"/>
    <x v="739"/>
    <s v="H"/>
    <x v="4"/>
    <x v="49"/>
    <d v="1899-12-30T03:00:00"/>
    <s v="03"/>
    <s v="00"/>
    <x v="0"/>
    <x v="2"/>
    <x v="50"/>
    <d v="1899-12-30T02:00:00"/>
    <x v="2"/>
    <x v="95"/>
    <n v="0"/>
  </r>
  <r>
    <x v="0"/>
    <s v="20/21"/>
    <x v="6"/>
    <x v="18"/>
    <x v="740"/>
    <s v="A"/>
    <x v="4"/>
    <x v="91"/>
    <d v="1899-12-30T00:03:00"/>
    <s v="00"/>
    <s v="03"/>
    <x v="1"/>
    <x v="2"/>
    <x v="4"/>
    <d v="1899-12-30T00:01:00"/>
    <x v="6"/>
    <x v="0"/>
    <n v="1"/>
  </r>
  <r>
    <x v="0"/>
    <s v="20/21"/>
    <x v="6"/>
    <x v="18"/>
    <x v="740"/>
    <s v="A"/>
    <x v="4"/>
    <x v="91"/>
    <d v="1899-12-30T00:03:00"/>
    <s v="00"/>
    <s v="03"/>
    <x v="1"/>
    <x v="2"/>
    <x v="95"/>
    <d v="1899-12-30T00:03:00"/>
    <x v="6"/>
    <x v="0"/>
    <n v="1"/>
  </r>
  <r>
    <x v="0"/>
    <s v="20/21"/>
    <x v="12"/>
    <x v="4"/>
    <x v="741"/>
    <s v="A"/>
    <x v="4"/>
    <x v="128"/>
    <d v="1899-12-30T01:03:00"/>
    <s v="01"/>
    <s v="03"/>
    <x v="1"/>
    <x v="2"/>
    <x v="76"/>
    <d v="1899-12-30T01:02:00"/>
    <x v="6"/>
    <x v="0"/>
    <n v="1"/>
  </r>
  <r>
    <x v="0"/>
    <s v="20/21"/>
    <x v="12"/>
    <x v="4"/>
    <x v="741"/>
    <s v="A"/>
    <x v="4"/>
    <x v="128"/>
    <d v="1899-12-30T01:03:00"/>
    <s v="01"/>
    <s v="03"/>
    <x v="1"/>
    <x v="2"/>
    <x v="7"/>
    <d v="1899-12-30T01:03:00"/>
    <x v="6"/>
    <x v="0"/>
    <n v="1"/>
  </r>
  <r>
    <x v="1"/>
    <s v="20/21"/>
    <x v="4"/>
    <x v="19"/>
    <x v="741"/>
    <s v="H"/>
    <x v="2"/>
    <x v="47"/>
    <d v="1899-12-30T01:00:00"/>
    <s v="01"/>
    <s v="00"/>
    <x v="0"/>
    <x v="5"/>
    <x v="18"/>
    <d v="1899-12-30T01:00:00"/>
    <x v="3"/>
    <x v="127"/>
    <n v="0"/>
  </r>
  <r>
    <x v="1"/>
    <s v="20/21"/>
    <x v="4"/>
    <x v="51"/>
    <x v="742"/>
    <s v="H"/>
    <x v="2"/>
    <x v="58"/>
    <d v="1899-12-30T02:02:00"/>
    <s v="02"/>
    <s v="02"/>
    <x v="2"/>
    <x v="5"/>
    <x v="107"/>
    <d v="1899-12-30T01:01:00"/>
    <x v="1"/>
    <x v="0"/>
    <n v="1"/>
  </r>
  <r>
    <x v="0"/>
    <s v="20/21"/>
    <x v="12"/>
    <x v="19"/>
    <x v="742"/>
    <s v="A"/>
    <x v="4"/>
    <x v="136"/>
    <d v="1899-12-30T00:04:00"/>
    <s v="00"/>
    <s v="04"/>
    <x v="1"/>
    <x v="2"/>
    <x v="61"/>
    <d v="1899-12-30T00:03:00"/>
    <x v="3"/>
    <x v="130"/>
    <n v="0"/>
  </r>
  <r>
    <x v="0"/>
    <s v="20/21"/>
    <x v="12"/>
    <x v="19"/>
    <x v="742"/>
    <s v="A"/>
    <x v="4"/>
    <x v="136"/>
    <d v="1899-12-30T00:04:00"/>
    <s v="00"/>
    <s v="04"/>
    <x v="1"/>
    <x v="2"/>
    <x v="72"/>
    <d v="1899-12-30T00:02:00"/>
    <x v="1"/>
    <x v="95"/>
    <n v="0"/>
  </r>
  <r>
    <x v="1"/>
    <s v="20/21"/>
    <x v="4"/>
    <x v="30"/>
    <x v="743"/>
    <s v="A"/>
    <x v="2"/>
    <x v="83"/>
    <d v="1899-12-30T00:03:00"/>
    <s v="00"/>
    <s v="03"/>
    <x v="1"/>
    <x v="8"/>
    <x v="77"/>
    <d v="1899-12-30T00:03:00"/>
    <x v="3"/>
    <x v="133"/>
    <n v="0"/>
  </r>
  <r>
    <x v="0"/>
    <s v="20/21"/>
    <x v="12"/>
    <x v="30"/>
    <x v="744"/>
    <s v="H"/>
    <x v="4"/>
    <x v="127"/>
    <d v="1899-12-30T04:01:00"/>
    <s v="04"/>
    <s v="01"/>
    <x v="0"/>
    <x v="2"/>
    <x v="62"/>
    <d v="1899-12-30T03:00:00"/>
    <x v="3"/>
    <x v="125"/>
    <n v="0"/>
  </r>
  <r>
    <x v="0"/>
    <s v="20/21"/>
    <x v="12"/>
    <x v="30"/>
    <x v="744"/>
    <s v="H"/>
    <x v="4"/>
    <x v="127"/>
    <d v="1899-12-30T04:01:00"/>
    <s v="04"/>
    <s v="01"/>
    <x v="0"/>
    <x v="2"/>
    <x v="78"/>
    <d v="1899-12-30T01:00:00"/>
    <x v="2"/>
    <x v="130"/>
    <n v="0"/>
  </r>
  <r>
    <x v="1"/>
    <s v="20/21"/>
    <x v="4"/>
    <x v="28"/>
    <x v="745"/>
    <s v="A"/>
    <x v="2"/>
    <x v="23"/>
    <d v="1899-12-30T02:03:00"/>
    <s v="02"/>
    <s v="03"/>
    <x v="1"/>
    <x v="5"/>
    <x v="52"/>
    <d v="1899-12-30T01:03:00"/>
    <x v="3"/>
    <x v="123"/>
    <n v="0"/>
  </r>
  <r>
    <x v="1"/>
    <s v="20/21"/>
    <x v="4"/>
    <x v="28"/>
    <x v="745"/>
    <s v="A"/>
    <x v="2"/>
    <x v="23"/>
    <d v="1899-12-30T02:03:00"/>
    <s v="02"/>
    <s v="03"/>
    <x v="1"/>
    <x v="5"/>
    <x v="31"/>
    <d v="1899-12-30T01:02:00"/>
    <x v="3"/>
    <x v="133"/>
    <n v="0"/>
  </r>
  <r>
    <x v="1"/>
    <s v="20/21"/>
    <x v="4"/>
    <x v="42"/>
    <x v="746"/>
    <s v="A"/>
    <x v="2"/>
    <x v="97"/>
    <d v="1899-12-30T00:04:00"/>
    <s v="00"/>
    <s v="04"/>
    <x v="1"/>
    <x v="5"/>
    <x v="57"/>
    <d v="1899-12-30T00:02:00"/>
    <x v="3"/>
    <x v="123"/>
    <n v="0"/>
  </r>
  <r>
    <x v="1"/>
    <s v="20/21"/>
    <x v="4"/>
    <x v="42"/>
    <x v="746"/>
    <s v="A"/>
    <x v="2"/>
    <x v="97"/>
    <d v="1899-12-30T00:04:00"/>
    <s v="00"/>
    <s v="04"/>
    <x v="1"/>
    <x v="5"/>
    <x v="29"/>
    <d v="1899-12-30T00:03:00"/>
    <x v="4"/>
    <x v="0"/>
    <n v="1"/>
  </r>
  <r>
    <x v="0"/>
    <s v="20/21"/>
    <x v="12"/>
    <x v="31"/>
    <x v="747"/>
    <s v="H"/>
    <x v="4"/>
    <x v="124"/>
    <d v="1899-12-30T03:01:00"/>
    <s v="03"/>
    <s v="01"/>
    <x v="0"/>
    <x v="2"/>
    <x v="63"/>
    <d v="1899-12-30T03:01:00"/>
    <x v="2"/>
    <x v="89"/>
    <n v="0"/>
  </r>
  <r>
    <x v="0"/>
    <s v="20/21"/>
    <x v="13"/>
    <x v="8"/>
    <x v="748"/>
    <s v="H"/>
    <x v="4"/>
    <x v="138"/>
    <d v="1899-12-30T02:00:00"/>
    <s v="02"/>
    <s v="00"/>
    <x v="0"/>
    <x v="2"/>
    <x v="87"/>
    <d v="1899-12-30T01:00:00"/>
    <x v="5"/>
    <x v="0"/>
    <n v="1"/>
  </r>
  <r>
    <x v="1"/>
    <s v="20/21"/>
    <x v="8"/>
    <x v="20"/>
    <x v="749"/>
    <s v="A"/>
    <x v="2"/>
    <x v="92"/>
    <d v="1899-12-30T01:02:00"/>
    <s v="01"/>
    <s v="02"/>
    <x v="1"/>
    <x v="5"/>
    <x v="64"/>
    <d v="1899-12-30T01:01:00"/>
    <x v="3"/>
    <x v="123"/>
    <n v="0"/>
  </r>
  <r>
    <x v="1"/>
    <s v="20/21"/>
    <x v="4"/>
    <x v="23"/>
    <x v="750"/>
    <s v="H"/>
    <x v="2"/>
    <x v="23"/>
    <d v="1899-12-30T02:01:00"/>
    <s v="02"/>
    <s v="01"/>
    <x v="0"/>
    <x v="5"/>
    <x v="92"/>
    <d v="1899-12-30T01:00:00"/>
    <x v="4"/>
    <x v="0"/>
    <n v="1"/>
  </r>
  <r>
    <x v="0"/>
    <s v="20/21"/>
    <x v="14"/>
    <x v="15"/>
    <x v="751"/>
    <s v="A"/>
    <x v="4"/>
    <x v="137"/>
    <d v="1899-12-30T01:02:00"/>
    <s v="01"/>
    <s v="02"/>
    <x v="1"/>
    <x v="2"/>
    <x v="57"/>
    <d v="1899-12-30T01:02:00"/>
    <x v="3"/>
    <x v="0"/>
    <n v="1"/>
  </r>
  <r>
    <x v="0"/>
    <s v="20/21"/>
    <x v="14"/>
    <x v="15"/>
    <x v="751"/>
    <s v="A"/>
    <x v="4"/>
    <x v="137"/>
    <d v="1899-12-30T01:02:00"/>
    <s v="01"/>
    <s v="02"/>
    <x v="1"/>
    <x v="2"/>
    <x v="72"/>
    <d v="1899-12-30T01:01:00"/>
    <x v="6"/>
    <x v="0"/>
    <n v="1"/>
  </r>
  <r>
    <x v="0"/>
    <s v="20/21"/>
    <x v="12"/>
    <x v="23"/>
    <x v="752"/>
    <s v="H"/>
    <x v="4"/>
    <x v="39"/>
    <d v="1899-12-30T02:00:00"/>
    <s v="02"/>
    <s v="00"/>
    <x v="0"/>
    <x v="2"/>
    <x v="4"/>
    <d v="1899-12-30T01:00:00"/>
    <x v="3"/>
    <x v="95"/>
    <n v="0"/>
  </r>
  <r>
    <x v="1"/>
    <s v="20/21"/>
    <x v="4"/>
    <x v="43"/>
    <x v="753"/>
    <s v="A"/>
    <x v="2"/>
    <x v="27"/>
    <d v="1899-12-30T02:03:00"/>
    <s v="02"/>
    <s v="03"/>
    <x v="1"/>
    <x v="2"/>
    <x v="34"/>
    <d v="1899-12-30T01:01:00"/>
    <x v="3"/>
    <x v="106"/>
    <n v="0"/>
  </r>
  <r>
    <x v="1"/>
    <s v="20/21"/>
    <x v="4"/>
    <x v="32"/>
    <x v="754"/>
    <s v="H"/>
    <x v="2"/>
    <x v="24"/>
    <d v="1899-12-30T05:01:00"/>
    <s v="05"/>
    <s v="01"/>
    <x v="0"/>
    <x v="5"/>
    <x v="28"/>
    <d v="1899-12-30T04:01:00"/>
    <x v="3"/>
    <x v="123"/>
    <n v="0"/>
  </r>
  <r>
    <x v="1"/>
    <s v="20/21"/>
    <x v="4"/>
    <x v="32"/>
    <x v="754"/>
    <s v="H"/>
    <x v="2"/>
    <x v="24"/>
    <d v="1899-12-30T05:01:00"/>
    <s v="05"/>
    <s v="01"/>
    <x v="0"/>
    <x v="5"/>
    <x v="16"/>
    <d v="1899-12-30T02:00:00"/>
    <x v="3"/>
    <x v="64"/>
    <n v="0"/>
  </r>
  <r>
    <x v="1"/>
    <s v="20/21"/>
    <x v="6"/>
    <x v="44"/>
    <x v="755"/>
    <s v="H"/>
    <x v="2"/>
    <x v="104"/>
    <d v="1899-12-30T01:04:00"/>
    <s v="01"/>
    <s v="04"/>
    <x v="1"/>
    <x v="5"/>
    <x v="83"/>
    <d v="1899-12-30T01:00:00"/>
    <x v="6"/>
    <x v="0"/>
    <n v="1"/>
  </r>
  <r>
    <x v="1"/>
    <s v="20/21"/>
    <x v="4"/>
    <x v="11"/>
    <x v="756"/>
    <s v="H"/>
    <x v="2"/>
    <x v="146"/>
    <d v="1899-12-30T01:01:00"/>
    <s v="01"/>
    <s v="01"/>
    <x v="2"/>
    <x v="5"/>
    <x v="71"/>
    <d v="1899-12-30T01:00:00"/>
    <x v="6"/>
    <x v="0"/>
    <n v="1"/>
  </r>
  <r>
    <x v="0"/>
    <s v="20/21"/>
    <x v="12"/>
    <x v="32"/>
    <x v="757"/>
    <s v="H"/>
    <x v="4"/>
    <x v="147"/>
    <d v="1899-12-30T03:00:00"/>
    <s v="03"/>
    <s v="00"/>
    <x v="0"/>
    <x v="2"/>
    <x v="31"/>
    <d v="1899-12-30T01:00:00"/>
    <x v="1"/>
    <x v="126"/>
    <n v="0"/>
  </r>
  <r>
    <x v="0"/>
    <s v="20/21"/>
    <x v="12"/>
    <x v="32"/>
    <x v="757"/>
    <s v="H"/>
    <x v="4"/>
    <x v="147"/>
    <d v="1899-12-30T03:00:00"/>
    <s v="03"/>
    <s v="00"/>
    <x v="0"/>
    <x v="2"/>
    <x v="16"/>
    <d v="1899-12-30T02:00:00"/>
    <x v="1"/>
    <x v="130"/>
    <n v="0"/>
  </r>
  <r>
    <x v="1"/>
    <s v="20/21"/>
    <x v="4"/>
    <x v="27"/>
    <x v="758"/>
    <s v="H"/>
    <x v="2"/>
    <x v="106"/>
    <d v="1899-12-30T03:00:00"/>
    <s v="03"/>
    <s v="00"/>
    <x v="0"/>
    <x v="5"/>
    <x v="61"/>
    <d v="1899-12-30T01:00:00"/>
    <x v="3"/>
    <x v="134"/>
    <n v="0"/>
  </r>
  <r>
    <x v="1"/>
    <s v="20/21"/>
    <x v="4"/>
    <x v="27"/>
    <x v="758"/>
    <s v="H"/>
    <x v="2"/>
    <x v="106"/>
    <d v="1899-12-30T03:00:00"/>
    <s v="03"/>
    <s v="00"/>
    <x v="0"/>
    <x v="5"/>
    <x v="24"/>
    <d v="1899-12-30T02:00:00"/>
    <x v="3"/>
    <x v="127"/>
    <n v="0"/>
  </r>
  <r>
    <x v="1"/>
    <s v="20/21"/>
    <x v="4"/>
    <x v="12"/>
    <x v="759"/>
    <s v="A"/>
    <x v="2"/>
    <x v="34"/>
    <d v="1899-12-30T00:02:00"/>
    <s v="00"/>
    <s v="02"/>
    <x v="1"/>
    <x v="5"/>
    <x v="41"/>
    <d v="1899-12-30T00:02:00"/>
    <x v="2"/>
    <x v="135"/>
    <n v="0"/>
  </r>
  <r>
    <x v="0"/>
    <s v="20/21"/>
    <x v="12"/>
    <x v="11"/>
    <x v="759"/>
    <s v="A"/>
    <x v="4"/>
    <x v="139"/>
    <d v="1899-12-30T01:01:00"/>
    <s v="01"/>
    <s v="01"/>
    <x v="2"/>
    <x v="2"/>
    <x v="47"/>
    <d v="1899-12-30T00:01:00"/>
    <x v="2"/>
    <x v="136"/>
    <n v="0"/>
  </r>
  <r>
    <x v="0"/>
    <s v="20/21"/>
    <x v="12"/>
    <x v="12"/>
    <x v="760"/>
    <s v="H"/>
    <x v="4"/>
    <x v="145"/>
    <d v="1899-12-30T03:00:00"/>
    <s v="03"/>
    <s v="00"/>
    <x v="0"/>
    <x v="2"/>
    <x v="7"/>
    <d v="1899-12-30T03:00:00"/>
    <x v="9"/>
    <x v="125"/>
    <n v="0"/>
  </r>
  <r>
    <x v="1"/>
    <s v="20/21"/>
    <x v="6"/>
    <x v="44"/>
    <x v="761"/>
    <s v="A"/>
    <x v="2"/>
    <x v="104"/>
    <d v="1899-12-30T01:01:00"/>
    <s v="01"/>
    <s v="01"/>
    <x v="2"/>
    <x v="9"/>
    <x v="91"/>
    <d v="1899-12-30T01:01:00"/>
    <x v="10"/>
    <x v="133"/>
    <n v="0"/>
  </r>
  <r>
    <x v="0"/>
    <s v="20/21"/>
    <x v="12"/>
    <x v="33"/>
    <x v="762"/>
    <s v="A"/>
    <x v="4"/>
    <x v="142"/>
    <d v="1899-12-30T01:03:00"/>
    <s v="01"/>
    <s v="03"/>
    <x v="1"/>
    <x v="2"/>
    <x v="73"/>
    <d v="1899-12-30T00:02:00"/>
    <x v="6"/>
    <x v="0"/>
    <n v="1"/>
  </r>
  <r>
    <x v="0"/>
    <s v="20/21"/>
    <x v="12"/>
    <x v="33"/>
    <x v="762"/>
    <s v="A"/>
    <x v="4"/>
    <x v="142"/>
    <d v="1899-12-30T01:03:00"/>
    <s v="01"/>
    <s v="03"/>
    <x v="1"/>
    <x v="2"/>
    <x v="71"/>
    <d v="1899-12-30T00:03:00"/>
    <x v="3"/>
    <x v="136"/>
    <n v="0"/>
  </r>
  <r>
    <x v="0"/>
    <s v="20/21"/>
    <x v="12"/>
    <x v="33"/>
    <x v="762"/>
    <s v="A"/>
    <x v="4"/>
    <x v="142"/>
    <d v="1899-12-30T01:03:00"/>
    <s v="01"/>
    <s v="03"/>
    <x v="1"/>
    <x v="2"/>
    <x v="39"/>
    <d v="1899-12-30T00:01:00"/>
    <x v="1"/>
    <x v="128"/>
    <n v="0"/>
  </r>
  <r>
    <x v="1"/>
    <s v="20/21"/>
    <x v="4"/>
    <x v="33"/>
    <x v="763"/>
    <s v="H"/>
    <x v="2"/>
    <x v="123"/>
    <d v="1899-12-30T04:01:00"/>
    <s v="04"/>
    <s v="01"/>
    <x v="0"/>
    <x v="9"/>
    <x v="21"/>
    <d v="1899-12-30T04:01:00"/>
    <x v="3"/>
    <x v="132"/>
    <n v="0"/>
  </r>
  <r>
    <x v="1"/>
    <s v="20/21"/>
    <x v="4"/>
    <x v="33"/>
    <x v="763"/>
    <s v="H"/>
    <x v="2"/>
    <x v="123"/>
    <d v="1899-12-30T04:01:00"/>
    <s v="04"/>
    <s v="01"/>
    <x v="0"/>
    <x v="9"/>
    <x v="4"/>
    <d v="1899-12-30T01:00:00"/>
    <x v="3"/>
    <x v="64"/>
    <n v="0"/>
  </r>
  <r>
    <x v="1"/>
    <s v="20/21"/>
    <x v="4"/>
    <x v="26"/>
    <x v="764"/>
    <s v="A"/>
    <x v="2"/>
    <x v="90"/>
    <d v="1899-12-30T01:06:00"/>
    <s v="01"/>
    <s v="06"/>
    <x v="1"/>
    <x v="9"/>
    <x v="7"/>
    <d v="1899-12-30T01:06:00"/>
    <x v="3"/>
    <x v="71"/>
    <n v="0"/>
  </r>
  <r>
    <x v="1"/>
    <s v="20/21"/>
    <x v="4"/>
    <x v="26"/>
    <x v="764"/>
    <s v="A"/>
    <x v="2"/>
    <x v="90"/>
    <d v="1899-12-30T01:06:00"/>
    <s v="01"/>
    <s v="06"/>
    <x v="1"/>
    <x v="9"/>
    <x v="66"/>
    <d v="1899-12-30T00:04:00"/>
    <x v="3"/>
    <x v="64"/>
    <n v="0"/>
  </r>
  <r>
    <x v="0"/>
    <s v="20/21"/>
    <x v="12"/>
    <x v="5"/>
    <x v="765"/>
    <s v="A"/>
    <x v="4"/>
    <x v="132"/>
    <d v="1899-12-30T02:02:00"/>
    <s v="02"/>
    <s v="02"/>
    <x v="2"/>
    <x v="2"/>
    <x v="54"/>
    <d v="1899-12-30T02:02:00"/>
    <x v="1"/>
    <x v="114"/>
    <n v="0"/>
  </r>
  <r>
    <x v="0"/>
    <s v="20/21"/>
    <x v="12"/>
    <x v="47"/>
    <x v="766"/>
    <s v="H"/>
    <x v="4"/>
    <x v="138"/>
    <d v="1899-12-30T02:01:00"/>
    <s v="02"/>
    <s v="01"/>
    <x v="0"/>
    <x v="2"/>
    <x v="4"/>
    <d v="1899-12-30T01:00:00"/>
    <x v="2"/>
    <x v="136"/>
    <n v="0"/>
  </r>
  <r>
    <x v="1"/>
    <s v="20/21"/>
    <x v="8"/>
    <x v="8"/>
    <x v="767"/>
    <s v="A"/>
    <x v="2"/>
    <x v="23"/>
    <d v="1899-12-30T00:04:00"/>
    <s v="00"/>
    <s v="04"/>
    <x v="1"/>
    <x v="5"/>
    <x v="53"/>
    <d v="1899-12-30T00:04:00"/>
    <x v="3"/>
    <x v="71"/>
    <n v="0"/>
  </r>
  <r>
    <x v="1"/>
    <s v="20/21"/>
    <x v="8"/>
    <x v="8"/>
    <x v="767"/>
    <s v="A"/>
    <x v="2"/>
    <x v="23"/>
    <d v="1899-12-30T00:04:00"/>
    <s v="00"/>
    <s v="04"/>
    <x v="1"/>
    <x v="5"/>
    <x v="24"/>
    <d v="1899-12-30T00:03:00"/>
    <x v="3"/>
    <x v="127"/>
    <n v="0"/>
  </r>
  <r>
    <x v="1"/>
    <s v="20/21"/>
    <x v="4"/>
    <x v="45"/>
    <x v="768"/>
    <s v="H"/>
    <x v="2"/>
    <x v="40"/>
    <d v="1899-12-30T05:02:00"/>
    <s v="05"/>
    <s v="02"/>
    <x v="0"/>
    <x v="5"/>
    <x v="13"/>
    <d v="1899-12-30T01:00:00"/>
    <x v="3"/>
    <x v="64"/>
    <n v="0"/>
  </r>
  <r>
    <x v="1"/>
    <s v="20/21"/>
    <x v="4"/>
    <x v="45"/>
    <x v="768"/>
    <s v="H"/>
    <x v="2"/>
    <x v="40"/>
    <d v="1899-12-30T05:02:00"/>
    <s v="05"/>
    <s v="02"/>
    <x v="0"/>
    <x v="5"/>
    <x v="94"/>
    <d v="1899-12-30T03:01:00"/>
    <x v="3"/>
    <x v="0"/>
    <n v="1"/>
  </r>
  <r>
    <x v="1"/>
    <s v="20/21"/>
    <x v="4"/>
    <x v="46"/>
    <x v="769"/>
    <s v="H"/>
    <x v="2"/>
    <x v="97"/>
    <d v="1899-12-30T01:02:00"/>
    <s v="01"/>
    <s v="02"/>
    <x v="1"/>
    <x v="5"/>
    <x v="35"/>
    <d v="1899-12-30T01:00:00"/>
    <x v="3"/>
    <x v="123"/>
    <n v="0"/>
  </r>
  <r>
    <x v="1"/>
    <s v="20/21"/>
    <x v="4"/>
    <x v="16"/>
    <x v="770"/>
    <s v="A"/>
    <x v="2"/>
    <x v="58"/>
    <d v="1899-12-30T02:03:00"/>
    <s v="02"/>
    <s v="03"/>
    <x v="1"/>
    <x v="5"/>
    <x v="64"/>
    <d v="1899-12-30T01:03:00"/>
    <x v="4"/>
    <x v="0"/>
    <n v="1"/>
  </r>
  <r>
    <x v="1"/>
    <s v="20/21"/>
    <x v="4"/>
    <x v="16"/>
    <x v="770"/>
    <s v="A"/>
    <x v="2"/>
    <x v="58"/>
    <d v="1899-12-30T02:03:00"/>
    <s v="02"/>
    <s v="03"/>
    <x v="1"/>
    <x v="5"/>
    <x v="50"/>
    <d v="1899-12-30T01:01:00"/>
    <x v="3"/>
    <x v="0"/>
    <n v="1"/>
  </r>
  <r>
    <x v="0"/>
    <s v="20/21"/>
    <x v="12"/>
    <x v="16"/>
    <x v="770"/>
    <s v="A"/>
    <x v="4"/>
    <x v="127"/>
    <d v="1899-12-30T01:02:00"/>
    <s v="01"/>
    <s v="02"/>
    <x v="1"/>
    <x v="2"/>
    <x v="7"/>
    <d v="1899-12-30T01:02:00"/>
    <x v="1"/>
    <x v="137"/>
    <n v="0"/>
  </r>
  <r>
    <x v="0"/>
    <s v="20/21"/>
    <x v="12"/>
    <x v="16"/>
    <x v="770"/>
    <s v="A"/>
    <x v="4"/>
    <x v="127"/>
    <d v="1899-12-30T01:02:00"/>
    <s v="01"/>
    <s v="02"/>
    <x v="1"/>
    <x v="2"/>
    <x v="27"/>
    <d v="1899-12-30T01:01:00"/>
    <x v="6"/>
    <x v="0"/>
    <n v="1"/>
  </r>
  <r>
    <x v="1"/>
    <s v="20/21"/>
    <x v="4"/>
    <x v="48"/>
    <x v="771"/>
    <s v="A"/>
    <x v="2"/>
    <x v="47"/>
    <d v="1899-12-30T03:03:00"/>
    <s v="03"/>
    <s v="03"/>
    <x v="2"/>
    <x v="9"/>
    <x v="73"/>
    <d v="1899-12-30T00:01:00"/>
    <x v="3"/>
    <x v="0"/>
    <n v="1"/>
  </r>
  <r>
    <x v="0"/>
    <s v="20/21"/>
    <x v="12"/>
    <x v="48"/>
    <x v="772"/>
    <s v="A"/>
    <x v="4"/>
    <x v="124"/>
    <d v="1899-12-30T01:03:00"/>
    <s v="01"/>
    <s v="03"/>
    <x v="1"/>
    <x v="2"/>
    <x v="32"/>
    <d v="1899-12-30T00:02:00"/>
    <x v="3"/>
    <x v="0"/>
    <n v="1"/>
  </r>
  <r>
    <x v="0"/>
    <s v="20/21"/>
    <x v="12"/>
    <x v="35"/>
    <x v="773"/>
    <s v="H"/>
    <x v="4"/>
    <x v="137"/>
    <d v="1899-12-30T03:02:00"/>
    <s v="03"/>
    <s v="02"/>
    <x v="0"/>
    <x v="2"/>
    <x v="70"/>
    <d v="1899-12-30T01:00:00"/>
    <x v="7"/>
    <x v="0"/>
    <n v="1"/>
  </r>
  <r>
    <x v="1"/>
    <s v="20/21"/>
    <x v="4"/>
    <x v="35"/>
    <x v="774"/>
    <s v="H"/>
    <x v="2"/>
    <x v="30"/>
    <d v="1899-12-30T01:02:00"/>
    <s v="01"/>
    <s v="02"/>
    <x v="1"/>
    <x v="9"/>
    <x v="44"/>
    <d v="1899-12-30T01:00:00"/>
    <x v="1"/>
    <x v="64"/>
    <n v="0"/>
  </r>
  <r>
    <x v="0"/>
    <s v="21/22"/>
    <x v="2"/>
    <x v="37"/>
    <x v="775"/>
    <s v="H"/>
    <x v="1"/>
    <x v="15"/>
    <d v="1899-12-30T04:01:00"/>
    <s v="04"/>
    <s v="01"/>
    <x v="0"/>
    <x v="2"/>
    <x v="52"/>
    <d v="1899-12-30T02:01:00"/>
    <x v="3"/>
    <x v="138"/>
    <n v="0"/>
  </r>
  <r>
    <x v="0"/>
    <s v="21/22"/>
    <x v="2"/>
    <x v="37"/>
    <x v="775"/>
    <s v="H"/>
    <x v="1"/>
    <x v="15"/>
    <d v="1899-12-30T04:01:00"/>
    <s v="04"/>
    <s v="01"/>
    <x v="0"/>
    <x v="2"/>
    <x v="97"/>
    <d v="1899-12-30T01:00:00"/>
    <x v="5"/>
    <x v="0"/>
    <n v="1"/>
  </r>
  <r>
    <x v="0"/>
    <s v="21/22"/>
    <x v="6"/>
    <x v="18"/>
    <x v="776"/>
    <s v="A"/>
    <x v="1"/>
    <x v="148"/>
    <d v="1899-12-30T02:01:00"/>
    <s v="02"/>
    <s v="01"/>
    <x v="0"/>
    <x v="2"/>
    <x v="4"/>
    <d v="1899-12-30T00:01:00"/>
    <x v="2"/>
    <x v="139"/>
    <n v="0"/>
  </r>
  <r>
    <x v="0"/>
    <s v="21/22"/>
    <x v="2"/>
    <x v="38"/>
    <x v="777"/>
    <s v="A"/>
    <x v="1"/>
    <x v="55"/>
    <d v="1899-12-30T01:02:00"/>
    <s v="01"/>
    <s v="02"/>
    <x v="1"/>
    <x v="2"/>
    <x v="57"/>
    <d v="1899-12-30T01:01:00"/>
    <x v="2"/>
    <x v="0"/>
    <n v="1"/>
  </r>
  <r>
    <x v="1"/>
    <s v="21/22"/>
    <x v="6"/>
    <x v="18"/>
    <x v="778"/>
    <s v="H"/>
    <x v="5"/>
    <x v="5"/>
    <d v="1899-12-30T02:00:00"/>
    <s v="02"/>
    <s v="00"/>
    <x v="0"/>
    <x v="1"/>
    <x v="6"/>
    <d v="1899-12-30T02:00:00"/>
    <x v="3"/>
    <x v="140"/>
    <n v="0"/>
  </r>
  <r>
    <x v="0"/>
    <s v="21/22"/>
    <x v="6"/>
    <x v="18"/>
    <x v="779"/>
    <s v="H"/>
    <x v="1"/>
    <x v="76"/>
    <d v="1899-12-30T02:01:00"/>
    <s v="02"/>
    <s v="01"/>
    <x v="0"/>
    <x v="2"/>
    <x v="1"/>
    <d v="1899-12-30T02:01:00"/>
    <x v="2"/>
    <x v="141"/>
    <n v="0"/>
  </r>
  <r>
    <x v="1"/>
    <s v="21/22"/>
    <x v="6"/>
    <x v="18"/>
    <x v="780"/>
    <s v="H"/>
    <x v="5"/>
    <x v="149"/>
    <d v="1899-12-30T03:02:00"/>
    <s v="03"/>
    <s v="02"/>
    <x v="0"/>
    <x v="1"/>
    <x v="6"/>
    <d v="1899-12-30T03:02:00"/>
    <x v="6"/>
    <x v="0"/>
    <n v="1"/>
  </r>
  <r>
    <x v="1"/>
    <s v="21/22"/>
    <x v="6"/>
    <x v="18"/>
    <x v="780"/>
    <s v="H"/>
    <x v="5"/>
    <x v="149"/>
    <d v="1899-12-30T03:02:00"/>
    <s v="03"/>
    <s v="02"/>
    <x v="0"/>
    <x v="1"/>
    <x v="3"/>
    <d v="1899-12-30T02:02:00"/>
    <x v="3"/>
    <x v="140"/>
    <n v="0"/>
  </r>
  <r>
    <x v="0"/>
    <s v="21/22"/>
    <x v="6"/>
    <x v="18"/>
    <x v="781"/>
    <s v="H"/>
    <x v="1"/>
    <x v="133"/>
    <d v="1899-12-30T03:02:00"/>
    <s v="03"/>
    <s v="02"/>
    <x v="0"/>
    <x v="2"/>
    <x v="58"/>
    <d v="1899-12-30T03:02:00"/>
    <x v="1"/>
    <x v="138"/>
    <n v="0"/>
  </r>
  <r>
    <x v="0"/>
    <s v="21/22"/>
    <x v="2"/>
    <x v="29"/>
    <x v="782"/>
    <s v="A"/>
    <x v="1"/>
    <x v="6"/>
    <d v="1899-12-30T00:03:00"/>
    <s v="00"/>
    <s v="03"/>
    <x v="1"/>
    <x v="2"/>
    <x v="40"/>
    <d v="1899-12-30T00:01:00"/>
    <x v="2"/>
    <x v="139"/>
    <n v="0"/>
  </r>
  <r>
    <x v="0"/>
    <s v="21/22"/>
    <x v="6"/>
    <x v="18"/>
    <x v="783"/>
    <s v="A"/>
    <x v="1"/>
    <x v="133"/>
    <d v="1899-12-30T02:02:00"/>
    <s v="02"/>
    <s v="02"/>
    <x v="2"/>
    <x v="2"/>
    <x v="19"/>
    <d v="1899-12-30T02:02:00"/>
    <x v="2"/>
    <x v="142"/>
    <n v="0"/>
  </r>
  <r>
    <x v="0"/>
    <s v="21/22"/>
    <x v="6"/>
    <x v="18"/>
    <x v="783"/>
    <s v="A"/>
    <x v="1"/>
    <x v="133"/>
    <d v="1899-12-30T02:02:00"/>
    <s v="02"/>
    <s v="02"/>
    <x v="2"/>
    <x v="2"/>
    <x v="16"/>
    <d v="1899-12-30T01:01:00"/>
    <x v="2"/>
    <x v="139"/>
    <n v="0"/>
  </r>
  <r>
    <x v="1"/>
    <s v="21/22"/>
    <x v="15"/>
    <x v="51"/>
    <x v="784"/>
    <s v="H"/>
    <x v="5"/>
    <x v="150"/>
    <d v="1899-12-30T03:01:00"/>
    <s v="03"/>
    <s v="01"/>
    <x v="0"/>
    <x v="1"/>
    <x v="11"/>
    <d v="1899-12-30T03:01:00"/>
    <x v="3"/>
    <x v="140"/>
    <n v="0"/>
  </r>
  <r>
    <x v="0"/>
    <s v="21/22"/>
    <x v="6"/>
    <x v="18"/>
    <x v="785"/>
    <s v="A"/>
    <x v="1"/>
    <x v="76"/>
    <d v="1899-12-30T00:02:00"/>
    <s v="00"/>
    <s v="02"/>
    <x v="1"/>
    <x v="2"/>
    <x v="76"/>
    <d v="1899-12-30T00:01:00"/>
    <x v="2"/>
    <x v="0"/>
    <n v="1"/>
  </r>
  <r>
    <x v="0"/>
    <s v="21/22"/>
    <x v="2"/>
    <x v="51"/>
    <x v="786"/>
    <s v="H"/>
    <x v="1"/>
    <x v="12"/>
    <d v="1899-12-30T03:02:00"/>
    <s v="03"/>
    <s v="02"/>
    <x v="0"/>
    <x v="2"/>
    <x v="62"/>
    <d v="1899-12-30T03:02:00"/>
    <x v="6"/>
    <x v="0"/>
    <n v="1"/>
  </r>
  <r>
    <x v="0"/>
    <s v="21/22"/>
    <x v="2"/>
    <x v="51"/>
    <x v="786"/>
    <s v="H"/>
    <x v="1"/>
    <x v="12"/>
    <d v="1899-12-30T03:02:00"/>
    <s v="03"/>
    <s v="02"/>
    <x v="0"/>
    <x v="2"/>
    <x v="95"/>
    <d v="1899-12-30T02:01:00"/>
    <x v="2"/>
    <x v="143"/>
    <n v="0"/>
  </r>
  <r>
    <x v="1"/>
    <s v="21/22"/>
    <x v="6"/>
    <x v="18"/>
    <x v="787"/>
    <s v="H"/>
    <x v="5"/>
    <x v="151"/>
    <d v="1899-12-30T04:01:00"/>
    <s v="04"/>
    <s v="01"/>
    <x v="0"/>
    <x v="2"/>
    <x v="31"/>
    <d v="1899-12-30T03:00:00"/>
    <x v="3"/>
    <x v="140"/>
    <n v="0"/>
  </r>
  <r>
    <x v="1"/>
    <s v="21/22"/>
    <x v="6"/>
    <x v="18"/>
    <x v="787"/>
    <s v="H"/>
    <x v="5"/>
    <x v="151"/>
    <d v="1899-12-30T04:01:00"/>
    <s v="04"/>
    <s v="01"/>
    <x v="0"/>
    <x v="2"/>
    <x v="18"/>
    <d v="1899-12-30T04:01:00"/>
    <x v="6"/>
    <x v="0"/>
    <n v="1"/>
  </r>
  <r>
    <x v="0"/>
    <s v="21/22"/>
    <x v="2"/>
    <x v="9"/>
    <x v="788"/>
    <s v="A"/>
    <x v="1"/>
    <x v="152"/>
    <d v="1899-12-30T00:01:00"/>
    <s v="00"/>
    <s v="01"/>
    <x v="1"/>
    <x v="2"/>
    <x v="28"/>
    <d v="1899-12-30T00:01:00"/>
    <x v="6"/>
    <x v="0"/>
    <n v="1"/>
  </r>
  <r>
    <x v="0"/>
    <s v="21/22"/>
    <x v="2"/>
    <x v="21"/>
    <x v="789"/>
    <s v="H"/>
    <x v="1"/>
    <x v="153"/>
    <d v="1899-12-30T03:01:00"/>
    <s v="03"/>
    <s v="01"/>
    <x v="0"/>
    <x v="2"/>
    <x v="57"/>
    <d v="1899-12-30T03:00:00"/>
    <x v="2"/>
    <x v="0"/>
    <n v="1"/>
  </r>
  <r>
    <x v="1"/>
    <s v="21/22"/>
    <x v="15"/>
    <x v="32"/>
    <x v="790"/>
    <s v="A"/>
    <x v="5"/>
    <x v="154"/>
    <d v="1899-12-30T01:05:00"/>
    <s v="01"/>
    <s v="05"/>
    <x v="1"/>
    <x v="2"/>
    <x v="31"/>
    <d v="1899-12-30T01:03:00"/>
    <x v="3"/>
    <x v="0"/>
    <n v="1"/>
  </r>
  <r>
    <x v="0"/>
    <s v="21/22"/>
    <x v="2"/>
    <x v="42"/>
    <x v="791"/>
    <s v="H"/>
    <x v="1"/>
    <x v="155"/>
    <d v="1899-12-30T02:00:00"/>
    <s v="02"/>
    <s v="00"/>
    <x v="0"/>
    <x v="2"/>
    <x v="22"/>
    <d v="1899-12-30T01:00:00"/>
    <x v="2"/>
    <x v="144"/>
    <n v="0"/>
  </r>
  <r>
    <x v="0"/>
    <s v="21/22"/>
    <x v="2"/>
    <x v="5"/>
    <x v="792"/>
    <s v="H"/>
    <x v="1"/>
    <x v="6"/>
    <d v="1899-12-30T03:02:00"/>
    <s v="03"/>
    <s v="02"/>
    <x v="0"/>
    <x v="2"/>
    <x v="58"/>
    <d v="1899-12-30T03:02:00"/>
    <x v="1"/>
    <x v="145"/>
    <n v="0"/>
  </r>
  <r>
    <x v="0"/>
    <s v="21/22"/>
    <x v="2"/>
    <x v="5"/>
    <x v="792"/>
    <s v="H"/>
    <x v="1"/>
    <x v="6"/>
    <d v="1899-12-30T03:02:00"/>
    <s v="03"/>
    <s v="02"/>
    <x v="0"/>
    <x v="2"/>
    <x v="31"/>
    <d v="1899-12-30T02:01:00"/>
    <x v="2"/>
    <x v="146"/>
    <n v="0"/>
  </r>
  <r>
    <x v="0"/>
    <s v="21/22"/>
    <x v="2"/>
    <x v="5"/>
    <x v="792"/>
    <s v="H"/>
    <x v="1"/>
    <x v="6"/>
    <d v="1899-12-30T03:02:00"/>
    <s v="03"/>
    <s v="02"/>
    <x v="0"/>
    <x v="2"/>
    <x v="23"/>
    <d v="1899-12-30T01:00:00"/>
    <x v="2"/>
    <x v="147"/>
    <n v="0"/>
  </r>
  <r>
    <x v="1"/>
    <s v="21/22"/>
    <x v="15"/>
    <x v="14"/>
    <x v="793"/>
    <s v="H"/>
    <x v="5"/>
    <x v="156"/>
    <d v="1899-12-30T05:01:00"/>
    <s v="05"/>
    <s v="01"/>
    <x v="0"/>
    <x v="1"/>
    <x v="38"/>
    <d v="1899-12-30T04:01:00"/>
    <x v="3"/>
    <x v="140"/>
    <n v="0"/>
  </r>
  <r>
    <x v="0"/>
    <s v="21/22"/>
    <x v="2"/>
    <x v="46"/>
    <x v="794"/>
    <s v="H"/>
    <x v="1"/>
    <x v="152"/>
    <d v="1899-12-30T03:02:00"/>
    <s v="03"/>
    <s v="02"/>
    <x v="0"/>
    <x v="2"/>
    <x v="89"/>
    <d v="1899-12-30T01:00:00"/>
    <x v="2"/>
    <x v="148"/>
    <n v="0"/>
  </r>
  <r>
    <x v="0"/>
    <s v="21/22"/>
    <x v="2"/>
    <x v="46"/>
    <x v="794"/>
    <s v="H"/>
    <x v="1"/>
    <x v="152"/>
    <d v="1899-12-30T03:02:00"/>
    <s v="03"/>
    <s v="02"/>
    <x v="0"/>
    <x v="2"/>
    <x v="71"/>
    <d v="1899-12-30T02:00:00"/>
    <x v="1"/>
    <x v="145"/>
    <n v="0"/>
  </r>
  <r>
    <x v="0"/>
    <s v="21/22"/>
    <x v="2"/>
    <x v="46"/>
    <x v="794"/>
    <s v="H"/>
    <x v="1"/>
    <x v="152"/>
    <d v="1899-12-30T03:02:00"/>
    <s v="03"/>
    <s v="02"/>
    <x v="0"/>
    <x v="2"/>
    <x v="18"/>
    <d v="1899-12-30T03:02:00"/>
    <x v="4"/>
    <x v="0"/>
    <n v="1"/>
  </r>
  <r>
    <x v="0"/>
    <s v="21/22"/>
    <x v="2"/>
    <x v="16"/>
    <x v="795"/>
    <s v="A"/>
    <x v="1"/>
    <x v="12"/>
    <d v="1899-12-30T03:01:00"/>
    <s v="03"/>
    <s v="01"/>
    <x v="0"/>
    <x v="2"/>
    <x v="0"/>
    <d v="1899-12-30T02:01:00"/>
    <x v="3"/>
    <x v="149"/>
    <n v="0"/>
  </r>
  <r>
    <x v="1"/>
    <s v="21/22"/>
    <x v="15"/>
    <x v="16"/>
    <x v="795"/>
    <s v="H"/>
    <x v="5"/>
    <x v="157"/>
    <d v="1899-12-30T01:01:00"/>
    <s v="01"/>
    <s v="01"/>
    <x v="2"/>
    <x v="1"/>
    <x v="24"/>
    <d v="1899-12-30T01:00:00"/>
    <x v="3"/>
    <x v="75"/>
    <n v="0"/>
  </r>
  <r>
    <x v="0"/>
    <s v="21/22"/>
    <x v="2"/>
    <x v="35"/>
    <x v="796"/>
    <s v="H"/>
    <x v="1"/>
    <x v="59"/>
    <d v="1899-12-30T01:01:00"/>
    <s v="01"/>
    <s v="01"/>
    <x v="2"/>
    <x v="2"/>
    <x v="52"/>
    <d v="1899-12-30T01:01:00"/>
    <x v="2"/>
    <x v="149"/>
    <n v="0"/>
  </r>
  <r>
    <x v="0"/>
    <s v="21/22"/>
    <x v="2"/>
    <x v="36"/>
    <x v="797"/>
    <s v="H"/>
    <x v="1"/>
    <x v="158"/>
    <d v="1899-12-30T03:00:00"/>
    <s v="03"/>
    <s v="00"/>
    <x v="0"/>
    <x v="2"/>
    <x v="75"/>
    <d v="1899-12-30T02:00:00"/>
    <x v="6"/>
    <x v="0"/>
    <n v="1"/>
  </r>
  <r>
    <x v="1"/>
    <s v="21/22"/>
    <x v="15"/>
    <x v="35"/>
    <x v="798"/>
    <s v="A"/>
    <x v="5"/>
    <x v="159"/>
    <d v="1899-12-30T00:04:00"/>
    <s v="00"/>
    <s v="04"/>
    <x v="1"/>
    <x v="2"/>
    <x v="80"/>
    <d v="1899-12-30T00:01:00"/>
    <x v="3"/>
    <x v="150"/>
    <n v="0"/>
  </r>
  <r>
    <x v="1"/>
    <s v="21/22"/>
    <x v="15"/>
    <x v="35"/>
    <x v="798"/>
    <s v="A"/>
    <x v="5"/>
    <x v="159"/>
    <d v="1899-12-30T00:04:00"/>
    <s v="00"/>
    <s v="04"/>
    <x v="1"/>
    <x v="2"/>
    <x v="92"/>
    <d v="1899-12-30T00:02:00"/>
    <x v="3"/>
    <x v="150"/>
    <n v="0"/>
  </r>
  <r>
    <x v="1"/>
    <s v="22/23"/>
    <x v="16"/>
    <x v="8"/>
    <x v="799"/>
    <s v="H"/>
    <x v="5"/>
    <x v="150"/>
    <d v="1899-12-30T04:00:00"/>
    <s v="04"/>
    <s v="00"/>
    <x v="0"/>
    <x v="2"/>
    <x v="60"/>
    <d v="1899-12-30T01:00:00"/>
    <x v="2"/>
    <x v="0"/>
    <n v="1"/>
  </r>
  <r>
    <x v="1"/>
    <s v="21/22"/>
    <x v="17"/>
    <x v="8"/>
    <x v="799"/>
    <s v="H"/>
    <x v="5"/>
    <x v="150"/>
    <d v="1899-12-30T04:00:00"/>
    <s v="04"/>
    <s v="00"/>
    <x v="0"/>
    <x v="2"/>
    <x v="60"/>
    <d v="1899-12-30T01:00:00"/>
    <x v="2"/>
    <x v="0"/>
    <n v="1"/>
  </r>
  <r>
    <x v="1"/>
    <s v="22/23"/>
    <x v="15"/>
    <x v="27"/>
    <x v="800"/>
    <s v="A"/>
    <x v="5"/>
    <x v="160"/>
    <d v="1899-12-30T00:05:00"/>
    <s v="00"/>
    <s v="05"/>
    <x v="1"/>
    <x v="2"/>
    <x v="5"/>
    <d v="1899-12-30T00:04:00"/>
    <x v="3"/>
    <x v="75"/>
    <n v="0"/>
  </r>
  <r>
    <x v="1"/>
    <s v="22/23"/>
    <x v="15"/>
    <x v="27"/>
    <x v="800"/>
    <s v="A"/>
    <x v="5"/>
    <x v="160"/>
    <d v="1899-12-30T00:05:00"/>
    <s v="00"/>
    <s v="05"/>
    <x v="1"/>
    <x v="2"/>
    <x v="46"/>
    <d v="1899-12-30T00:05:00"/>
    <x v="3"/>
    <x v="151"/>
    <n v="0"/>
  </r>
  <r>
    <x v="1"/>
    <s v="21/22"/>
    <x v="15"/>
    <x v="27"/>
    <x v="800"/>
    <s v="A"/>
    <x v="5"/>
    <x v="160"/>
    <d v="1899-12-30T00:05:00"/>
    <s v="00"/>
    <s v="05"/>
    <x v="1"/>
    <x v="2"/>
    <x v="46"/>
    <d v="1899-12-30T00:05:00"/>
    <x v="3"/>
    <x v="151"/>
    <n v="0"/>
  </r>
  <r>
    <x v="1"/>
    <s v="21/22"/>
    <x v="15"/>
    <x v="27"/>
    <x v="800"/>
    <s v="A"/>
    <x v="5"/>
    <x v="160"/>
    <d v="1899-12-30T00:05:00"/>
    <s v="00"/>
    <s v="05"/>
    <x v="1"/>
    <x v="2"/>
    <x v="5"/>
    <d v="1899-12-30T00:04:00"/>
    <x v="3"/>
    <x v="75"/>
    <n v="0"/>
  </r>
  <r>
    <x v="1"/>
    <s v="22/23"/>
    <x v="15"/>
    <x v="47"/>
    <x v="801"/>
    <s v="A"/>
    <x v="5"/>
    <x v="154"/>
    <d v="1899-12-30T01:07:00"/>
    <s v="01"/>
    <s v="07"/>
    <x v="1"/>
    <x v="6"/>
    <x v="83"/>
    <d v="1899-12-30T00:02:00"/>
    <x v="2"/>
    <x v="152"/>
    <n v="0"/>
  </r>
  <r>
    <x v="1"/>
    <s v="22/23"/>
    <x v="18"/>
    <x v="18"/>
    <x v="802"/>
    <s v="A"/>
    <x v="5"/>
    <x v="161"/>
    <d v="1899-12-30T01:03:00"/>
    <s v="01"/>
    <s v="03"/>
    <x v="1"/>
    <x v="3"/>
    <x v="91"/>
    <d v="1899-12-30T01:01:00"/>
    <x v="3"/>
    <x v="0"/>
    <n v="1"/>
  </r>
  <r>
    <x v="0"/>
    <s v="22/23"/>
    <x v="19"/>
    <x v="18"/>
    <x v="803"/>
    <s v="A"/>
    <x v="1"/>
    <x v="162"/>
    <d v="1899-12-30T00:02:00"/>
    <s v="00"/>
    <s v="02"/>
    <x v="1"/>
    <x v="2"/>
    <x v="40"/>
    <d v="1899-12-30T00:02:00"/>
    <x v="6"/>
    <x v="0"/>
    <n v="1"/>
  </r>
  <r>
    <x v="1"/>
    <s v="22/23"/>
    <x v="15"/>
    <x v="1"/>
    <x v="804"/>
    <s v="A"/>
    <x v="5"/>
    <x v="46"/>
    <d v="1899-12-30T00:01:00"/>
    <s v="00"/>
    <s v="01"/>
    <x v="1"/>
    <x v="6"/>
    <x v="49"/>
    <d v="1899-12-30T00:01:00"/>
    <x v="3"/>
    <x v="75"/>
    <n v="0"/>
  </r>
  <r>
    <x v="1"/>
    <s v="22/23"/>
    <x v="15"/>
    <x v="39"/>
    <x v="805"/>
    <s v="H"/>
    <x v="5"/>
    <x v="163"/>
    <d v="1899-12-30T02:01:00"/>
    <s v="02"/>
    <s v="01"/>
    <x v="0"/>
    <x v="6"/>
    <x v="44"/>
    <d v="1899-12-30T01:00:00"/>
    <x v="4"/>
    <x v="0"/>
    <n v="1"/>
  </r>
  <r>
    <x v="1"/>
    <s v="22/23"/>
    <x v="6"/>
    <x v="18"/>
    <x v="806"/>
    <s v="A"/>
    <x v="5"/>
    <x v="164"/>
    <d v="1899-12-30T01:01:00"/>
    <s v="01"/>
    <s v="01"/>
    <x v="2"/>
    <x v="6"/>
    <x v="60"/>
    <d v="1899-12-30T00:01:00"/>
    <x v="3"/>
    <x v="75"/>
    <n v="0"/>
  </r>
  <r>
    <x v="0"/>
    <s v="22/23"/>
    <x v="2"/>
    <x v="29"/>
    <x v="807"/>
    <s v="A"/>
    <x v="1"/>
    <x v="13"/>
    <d v="1899-12-30T01:02:00"/>
    <s v="01"/>
    <s v="02"/>
    <x v="1"/>
    <x v="6"/>
    <x v="10"/>
    <d v="1899-12-30T01:02:00"/>
    <x v="9"/>
    <x v="100"/>
    <n v="0"/>
  </r>
  <r>
    <x v="1"/>
    <s v="22/23"/>
    <x v="15"/>
    <x v="41"/>
    <x v="808"/>
    <s v="A"/>
    <x v="5"/>
    <x v="165"/>
    <d v="1899-12-30T00:03:00"/>
    <s v="00"/>
    <s v="03"/>
    <x v="1"/>
    <x v="2"/>
    <x v="76"/>
    <d v="1899-12-30T00:02:00"/>
    <x v="3"/>
    <x v="140"/>
    <n v="0"/>
  </r>
  <r>
    <x v="1"/>
    <s v="22/23"/>
    <x v="6"/>
    <x v="18"/>
    <x v="809"/>
    <s v="H"/>
    <x v="5"/>
    <x v="161"/>
    <d v="1899-12-30T07:02:00"/>
    <s v="07"/>
    <s v="02"/>
    <x v="0"/>
    <x v="3"/>
    <x v="10"/>
    <d v="1899-12-30T04:01:00"/>
    <x v="3"/>
    <x v="140"/>
    <n v="0"/>
  </r>
  <r>
    <x v="1"/>
    <s v="22/23"/>
    <x v="6"/>
    <x v="18"/>
    <x v="809"/>
    <s v="H"/>
    <x v="5"/>
    <x v="161"/>
    <d v="1899-12-30T07:02:00"/>
    <s v="07"/>
    <s v="02"/>
    <x v="0"/>
    <x v="3"/>
    <x v="36"/>
    <d v="1899-12-30T01:00:00"/>
    <x v="3"/>
    <x v="140"/>
    <n v="0"/>
  </r>
  <r>
    <x v="0"/>
    <s v="22/23"/>
    <x v="19"/>
    <x v="18"/>
    <x v="810"/>
    <s v="H"/>
    <x v="1"/>
    <x v="162"/>
    <d v="1899-12-30T03:00:00"/>
    <s v="03"/>
    <s v="00"/>
    <x v="0"/>
    <x v="2"/>
    <x v="58"/>
    <d v="1899-12-30T03:00:00"/>
    <x v="3"/>
    <x v="0"/>
    <n v="1"/>
  </r>
  <r>
    <x v="1"/>
    <s v="22/23"/>
    <x v="15"/>
    <x v="19"/>
    <x v="811"/>
    <s v="H"/>
    <x v="5"/>
    <x v="166"/>
    <d v="1899-12-30T04:03:00"/>
    <s v="04"/>
    <s v="03"/>
    <x v="0"/>
    <x v="1"/>
    <x v="82"/>
    <d v="1899-12-30T02:02:00"/>
    <x v="3"/>
    <x v="53"/>
    <n v="0"/>
  </r>
  <r>
    <x v="1"/>
    <s v="22/23"/>
    <x v="15"/>
    <x v="23"/>
    <x v="812"/>
    <s v="A"/>
    <x v="5"/>
    <x v="167"/>
    <d v="1899-12-30T01:03:00"/>
    <s v="01"/>
    <s v="03"/>
    <x v="1"/>
    <x v="3"/>
    <x v="53"/>
    <d v="1899-12-30T00:02:00"/>
    <x v="3"/>
    <x v="153"/>
    <n v="0"/>
  </r>
  <r>
    <x v="0"/>
    <s v="22/23"/>
    <x v="20"/>
    <x v="30"/>
    <x v="813"/>
    <s v="A"/>
    <x v="6"/>
    <x v="168"/>
    <d v="1899-12-30T02:02:00"/>
    <s v="02"/>
    <s v="02"/>
    <x v="2"/>
    <x v="2"/>
    <x v="59"/>
    <d v="1899-12-30T02:02:00"/>
    <x v="6"/>
    <x v="0"/>
    <n v="1"/>
  </r>
  <r>
    <x v="1"/>
    <s v="22/23"/>
    <x v="15"/>
    <x v="43"/>
    <x v="814"/>
    <s v="H"/>
    <x v="5"/>
    <x v="169"/>
    <d v="1899-12-30T02:01:00"/>
    <s v="02"/>
    <s v="01"/>
    <x v="0"/>
    <x v="3"/>
    <x v="15"/>
    <d v="1899-12-30T02:01:00"/>
    <x v="3"/>
    <x v="154"/>
    <n v="0"/>
  </r>
  <r>
    <x v="0"/>
    <s v="22/23"/>
    <x v="20"/>
    <x v="9"/>
    <x v="815"/>
    <s v="A"/>
    <x v="6"/>
    <x v="170"/>
    <d v="1899-12-30T00:04:00"/>
    <s v="00"/>
    <s v="04"/>
    <x v="1"/>
    <x v="2"/>
    <x v="75"/>
    <d v="1899-12-30T00:04:00"/>
    <x v="2"/>
    <x v="0"/>
    <n v="1"/>
  </r>
  <r>
    <x v="0"/>
    <s v="22/23"/>
    <x v="20"/>
    <x v="9"/>
    <x v="815"/>
    <s v="A"/>
    <x v="6"/>
    <x v="170"/>
    <d v="1899-12-30T00:04:00"/>
    <s v="00"/>
    <s v="04"/>
    <x v="1"/>
    <x v="2"/>
    <x v="68"/>
    <d v="1899-12-30T00:03:00"/>
    <x v="6"/>
    <x v="0"/>
    <n v="1"/>
  </r>
  <r>
    <x v="0"/>
    <s v="22/23"/>
    <x v="20"/>
    <x v="9"/>
    <x v="815"/>
    <s v="A"/>
    <x v="6"/>
    <x v="170"/>
    <d v="1899-12-30T00:04:00"/>
    <s v="00"/>
    <s v="04"/>
    <x v="1"/>
    <x v="2"/>
    <x v="17"/>
    <d v="1899-12-30T00:01:00"/>
    <x v="3"/>
    <x v="155"/>
    <n v="0"/>
  </r>
  <r>
    <x v="0"/>
    <s v="22/23"/>
    <x v="20"/>
    <x v="9"/>
    <x v="815"/>
    <s v="A"/>
    <x v="6"/>
    <x v="170"/>
    <d v="1899-12-30T00:04:00"/>
    <s v="00"/>
    <s v="04"/>
    <x v="1"/>
    <x v="2"/>
    <x v="79"/>
    <d v="1899-12-30T00:02:00"/>
    <x v="2"/>
    <x v="156"/>
    <n v="0"/>
  </r>
  <r>
    <x v="1"/>
    <s v="22/23"/>
    <x v="15"/>
    <x v="11"/>
    <x v="816"/>
    <s v="H"/>
    <x v="5"/>
    <x v="154"/>
    <d v="1899-12-30T04:03:00"/>
    <s v="04"/>
    <s v="03"/>
    <x v="0"/>
    <x v="2"/>
    <x v="1"/>
    <d v="1899-12-30T04:03:00"/>
    <x v="4"/>
    <x v="157"/>
    <n v="0"/>
  </r>
  <r>
    <x v="0"/>
    <s v="22/23"/>
    <x v="20"/>
    <x v="42"/>
    <x v="817"/>
    <s v="A"/>
    <x v="6"/>
    <x v="171"/>
    <d v="1899-12-30T00:03:00"/>
    <s v="00"/>
    <s v="03"/>
    <x v="1"/>
    <x v="2"/>
    <x v="65"/>
    <d v="1899-12-30T00:01:00"/>
    <x v="6"/>
    <x v="157"/>
    <n v="0"/>
  </r>
  <r>
    <x v="0"/>
    <s v="22/23"/>
    <x v="20"/>
    <x v="42"/>
    <x v="817"/>
    <s v="A"/>
    <x v="6"/>
    <x v="171"/>
    <d v="1899-12-30T00:03:00"/>
    <s v="00"/>
    <s v="03"/>
    <x v="1"/>
    <x v="2"/>
    <x v="10"/>
    <d v="1899-12-30T00:03:00"/>
    <x v="9"/>
    <x v="158"/>
    <n v="0"/>
  </r>
  <r>
    <x v="0"/>
    <s v="22/23"/>
    <x v="20"/>
    <x v="42"/>
    <x v="817"/>
    <s v="A"/>
    <x v="6"/>
    <x v="171"/>
    <d v="1899-12-30T00:03:00"/>
    <s v="00"/>
    <s v="03"/>
    <x v="1"/>
    <x v="2"/>
    <x v="35"/>
    <d v="1899-12-30T00:02:00"/>
    <x v="3"/>
    <x v="159"/>
    <n v="0"/>
  </r>
  <r>
    <x v="1"/>
    <s v="22/23"/>
    <x v="15"/>
    <x v="12"/>
    <x v="818"/>
    <s v="A"/>
    <x v="5"/>
    <x v="77"/>
    <d v="1899-12-30T00:03:00"/>
    <s v="00"/>
    <s v="03"/>
    <x v="1"/>
    <x v="2"/>
    <x v="48"/>
    <d v="1899-12-30T00:02:00"/>
    <x v="2"/>
    <x v="150"/>
    <n v="0"/>
  </r>
  <r>
    <x v="1"/>
    <s v="22/23"/>
    <x v="15"/>
    <x v="25"/>
    <x v="819"/>
    <s v="H"/>
    <x v="5"/>
    <x v="150"/>
    <d v="1899-12-30T04:02:00"/>
    <s v="04"/>
    <s v="02"/>
    <x v="0"/>
    <x v="2"/>
    <x v="23"/>
    <d v="1899-12-30T01:00:00"/>
    <x v="3"/>
    <x v="0"/>
    <n v="1"/>
  </r>
  <r>
    <x v="0"/>
    <s v="22/23"/>
    <x v="20"/>
    <x v="23"/>
    <x v="820"/>
    <s v="H"/>
    <x v="6"/>
    <x v="172"/>
    <d v="1899-12-30T02:01:00"/>
    <s v="02"/>
    <s v="01"/>
    <x v="0"/>
    <x v="2"/>
    <x v="76"/>
    <d v="1899-12-30T01:01:00"/>
    <x v="4"/>
    <x v="0"/>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A03B0BF-2DE1-45ED-84C2-19FBE2B4476B}"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8" rowHeaderCaption="Player">
  <location ref="A3:C6" firstHeaderRow="0" firstDataRow="1" firstDataCol="1"/>
  <pivotFields count="21">
    <pivotField axis="axisRow" showAll="0" sortType="ascending">
      <items count="3">
        <item x="0"/>
        <item x="1"/>
        <item t="default"/>
      </items>
      <autoSortScope>
        <pivotArea dataOnly="0" outline="0" fieldPosition="0">
          <references count="1">
            <reference field="4294967294" count="1" selected="0">
              <x v="1"/>
            </reference>
          </references>
        </pivotArea>
      </autoSortScope>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dataField="1"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25">
        <item x="0"/>
        <item x="1"/>
        <item x="2"/>
        <item x="3"/>
        <item x="4"/>
        <item x="5"/>
        <item x="6"/>
        <item x="7"/>
        <item x="8"/>
        <item x="9"/>
        <item x="10"/>
        <item x="11"/>
        <item x="12"/>
        <item x="13"/>
        <item x="14"/>
        <item x="15"/>
        <item x="16"/>
        <item x="17"/>
        <item x="18"/>
        <item x="19"/>
        <item x="20"/>
        <item x="21"/>
        <item x="22"/>
        <item x="23"/>
        <item t="default"/>
      </items>
    </pivotField>
  </pivotFields>
  <rowFields count="1">
    <field x="0"/>
  </rowFields>
  <rowItems count="3">
    <i>
      <x/>
    </i>
    <i>
      <x v="1"/>
    </i>
    <i t="grand">
      <x/>
    </i>
  </rowItems>
  <colFields count="1">
    <field x="-2"/>
  </colFields>
  <colItems count="2">
    <i>
      <x/>
    </i>
    <i i="1">
      <x v="1"/>
    </i>
  </colItems>
  <dataFields count="2">
    <dataField name="Total Solo Goals" fld="17" baseField="0" baseItem="0"/>
    <dataField name="Total Goals by assists" fld="16" subtotal="count" baseField="0" baseItem="0"/>
  </dataFields>
  <chartFormats count="4">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511CFF5-0A96-4D59-A126-FEBC42588CF4}" name="PivotTable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
  <location ref="A3:I7" firstHeaderRow="1" firstDataRow="2" firstDataCol="1"/>
  <pivotFields count="21">
    <pivotField axis="axisRow"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axis="axisCol"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25">
        <item x="0"/>
        <item x="1"/>
        <item x="2"/>
        <item x="3"/>
        <item x="4"/>
        <item x="5"/>
        <item x="6"/>
        <item x="7"/>
        <item x="8"/>
        <item x="9"/>
        <item x="10"/>
        <item x="11"/>
        <item x="12"/>
        <item x="13"/>
        <item x="14"/>
        <item x="15"/>
        <item x="16"/>
        <item x="17"/>
        <item x="18"/>
        <item x="19"/>
        <item x="20"/>
        <item x="21"/>
        <item x="22"/>
        <item x="23"/>
        <item t="default"/>
      </items>
    </pivotField>
  </pivotFields>
  <rowFields count="1">
    <field x="0"/>
  </rowFields>
  <rowItems count="3">
    <i>
      <x/>
    </i>
    <i>
      <x v="1"/>
    </i>
    <i t="grand">
      <x/>
    </i>
  </rowItems>
  <colFields count="1">
    <field x="6"/>
  </colFields>
  <colItems count="8">
    <i>
      <x/>
    </i>
    <i>
      <x v="1"/>
    </i>
    <i>
      <x v="2"/>
    </i>
    <i>
      <x v="3"/>
    </i>
    <i>
      <x v="4"/>
    </i>
    <i>
      <x v="5"/>
    </i>
    <i>
      <x v="6"/>
    </i>
    <i t="grand">
      <x/>
    </i>
  </colItems>
  <dataFields count="1">
    <dataField name="Count of Player" fld="0" subtotal="count" baseField="0" baseItem="0"/>
  </dataFields>
  <chartFormats count="14">
    <chartFormat chart="0" format="0" series="1">
      <pivotArea type="data" outline="0" fieldPosition="0">
        <references count="1">
          <reference field="6" count="1" selected="0">
            <x v="0"/>
          </reference>
        </references>
      </pivotArea>
    </chartFormat>
    <chartFormat chart="0" format="1" series="1">
      <pivotArea type="data" outline="0" fieldPosition="0">
        <references count="1">
          <reference field="6" count="1" selected="0">
            <x v="1"/>
          </reference>
        </references>
      </pivotArea>
    </chartFormat>
    <chartFormat chart="0" format="2" series="1">
      <pivotArea type="data" outline="0" fieldPosition="0">
        <references count="1">
          <reference field="6" count="1" selected="0">
            <x v="2"/>
          </reference>
        </references>
      </pivotArea>
    </chartFormat>
    <chartFormat chart="0" format="3" series="1">
      <pivotArea type="data" outline="0" fieldPosition="0">
        <references count="1">
          <reference field="6" count="1" selected="0">
            <x v="3"/>
          </reference>
        </references>
      </pivotArea>
    </chartFormat>
    <chartFormat chart="0" format="4" series="1">
      <pivotArea type="data" outline="0" fieldPosition="0">
        <references count="1">
          <reference field="6" count="1" selected="0">
            <x v="4"/>
          </reference>
        </references>
      </pivotArea>
    </chartFormat>
    <chartFormat chart="0" format="5" series="1">
      <pivotArea type="data" outline="0" fieldPosition="0">
        <references count="1">
          <reference field="6" count="1" selected="0">
            <x v="5"/>
          </reference>
        </references>
      </pivotArea>
    </chartFormat>
    <chartFormat chart="0" format="6" series="1">
      <pivotArea type="data" outline="0" fieldPosition="0">
        <references count="1">
          <reference field="6" count="1" selected="0">
            <x v="6"/>
          </reference>
        </references>
      </pivotArea>
    </chartFormat>
    <chartFormat chart="0" format="7" series="1">
      <pivotArea type="data" outline="0" fieldPosition="0">
        <references count="2">
          <reference field="4294967294" count="1" selected="0">
            <x v="0"/>
          </reference>
          <reference field="6" count="1" selected="0">
            <x v="0"/>
          </reference>
        </references>
      </pivotArea>
    </chartFormat>
    <chartFormat chart="0" format="8" series="1">
      <pivotArea type="data" outline="0" fieldPosition="0">
        <references count="2">
          <reference field="4294967294" count="1" selected="0">
            <x v="0"/>
          </reference>
          <reference field="6" count="1" selected="0">
            <x v="1"/>
          </reference>
        </references>
      </pivotArea>
    </chartFormat>
    <chartFormat chart="0" format="9" series="1">
      <pivotArea type="data" outline="0" fieldPosition="0">
        <references count="2">
          <reference field="4294967294" count="1" selected="0">
            <x v="0"/>
          </reference>
          <reference field="6" count="1" selected="0">
            <x v="2"/>
          </reference>
        </references>
      </pivotArea>
    </chartFormat>
    <chartFormat chart="0" format="10" series="1">
      <pivotArea type="data" outline="0" fieldPosition="0">
        <references count="2">
          <reference field="4294967294" count="1" selected="0">
            <x v="0"/>
          </reference>
          <reference field="6" count="1" selected="0">
            <x v="3"/>
          </reference>
        </references>
      </pivotArea>
    </chartFormat>
    <chartFormat chart="0" format="11" series="1">
      <pivotArea type="data" outline="0" fieldPosition="0">
        <references count="2">
          <reference field="4294967294" count="1" selected="0">
            <x v="0"/>
          </reference>
          <reference field="6" count="1" selected="0">
            <x v="4"/>
          </reference>
        </references>
      </pivotArea>
    </chartFormat>
    <chartFormat chart="0" format="12" series="1">
      <pivotArea type="data" outline="0" fieldPosition="0">
        <references count="2">
          <reference field="4294967294" count="1" selected="0">
            <x v="0"/>
          </reference>
          <reference field="6" count="1" selected="0">
            <x v="5"/>
          </reference>
        </references>
      </pivotArea>
    </chartFormat>
    <chartFormat chart="0" format="13" series="1">
      <pivotArea type="data" outline="0" fieldPosition="0">
        <references count="2">
          <reference field="4294967294" count="1" selected="0">
            <x v="0"/>
          </reference>
          <reference field="6"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B2AC3F-CECD-4F1E-B68F-ADFBB37AEDD5}" name="PivotTable3"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
  <location ref="A3:E7" firstHeaderRow="1" firstDataRow="2" firstDataCol="1"/>
  <pivotFields count="21">
    <pivotField axis="axisRow"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axis="axisCol"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25">
        <item x="0"/>
        <item x="1"/>
        <item x="2"/>
        <item x="3"/>
        <item x="4"/>
        <item x="5"/>
        <item x="6"/>
        <item x="7"/>
        <item x="8"/>
        <item x="9"/>
        <item x="10"/>
        <item x="11"/>
        <item x="12"/>
        <item x="13"/>
        <item x="14"/>
        <item x="15"/>
        <item x="16"/>
        <item x="17"/>
        <item x="18"/>
        <item x="19"/>
        <item x="20"/>
        <item x="21"/>
        <item x="22"/>
        <item x="23"/>
        <item t="default"/>
      </items>
    </pivotField>
  </pivotFields>
  <rowFields count="1">
    <field x="0"/>
  </rowFields>
  <rowItems count="3">
    <i>
      <x/>
    </i>
    <i>
      <x v="1"/>
    </i>
    <i t="grand">
      <x/>
    </i>
  </rowItems>
  <colFields count="1">
    <field x="11"/>
  </colFields>
  <colItems count="4">
    <i>
      <x/>
    </i>
    <i>
      <x v="1"/>
    </i>
    <i>
      <x v="2"/>
    </i>
    <i t="grand">
      <x/>
    </i>
  </colItems>
  <dataFields count="1">
    <dataField name="Count of Player" fld="0" subtotal="count" baseField="0" baseItem="0"/>
  </dataFields>
  <chartFormats count="9">
    <chartFormat chart="0" format="0" series="1">
      <pivotArea type="data" outline="0" fieldPosition="0">
        <references count="1">
          <reference field="11" count="1" selected="0">
            <x v="0"/>
          </reference>
        </references>
      </pivotArea>
    </chartFormat>
    <chartFormat chart="0" format="1" series="1">
      <pivotArea type="data" outline="0" fieldPosition="0">
        <references count="1">
          <reference field="11" count="1" selected="0">
            <x v="1"/>
          </reference>
        </references>
      </pivotArea>
    </chartFormat>
    <chartFormat chart="0" format="2" series="1">
      <pivotArea type="data" outline="0" fieldPosition="0">
        <references count="1">
          <reference field="11" count="1" selected="0">
            <x v="2"/>
          </reference>
        </references>
      </pivotArea>
    </chartFormat>
    <chartFormat chart="0" format="3" series="1">
      <pivotArea type="data" outline="0" fieldPosition="0">
        <references count="2">
          <reference field="4294967294" count="1" selected="0">
            <x v="0"/>
          </reference>
          <reference field="11" count="1" selected="0">
            <x v="0"/>
          </reference>
        </references>
      </pivotArea>
    </chartFormat>
    <chartFormat chart="0" format="4" series="1">
      <pivotArea type="data" outline="0" fieldPosition="0">
        <references count="2">
          <reference field="4294967294" count="1" selected="0">
            <x v="0"/>
          </reference>
          <reference field="11" count="1" selected="0">
            <x v="1"/>
          </reference>
        </references>
      </pivotArea>
    </chartFormat>
    <chartFormat chart="0" format="5" series="1">
      <pivotArea type="data" outline="0" fieldPosition="0">
        <references count="2">
          <reference field="4294967294" count="1" selected="0">
            <x v="0"/>
          </reference>
          <reference field="11" count="1" selected="0">
            <x v="2"/>
          </reference>
        </references>
      </pivotArea>
    </chartFormat>
    <chartFormat chart="6" format="9" series="1">
      <pivotArea type="data" outline="0" fieldPosition="0">
        <references count="2">
          <reference field="4294967294" count="1" selected="0">
            <x v="0"/>
          </reference>
          <reference field="11" count="1" selected="0">
            <x v="0"/>
          </reference>
        </references>
      </pivotArea>
    </chartFormat>
    <chartFormat chart="6" format="10" series="1">
      <pivotArea type="data" outline="0" fieldPosition="0">
        <references count="2">
          <reference field="4294967294" count="1" selected="0">
            <x v="0"/>
          </reference>
          <reference field="11" count="1" selected="0">
            <x v="1"/>
          </reference>
        </references>
      </pivotArea>
    </chartFormat>
    <chartFormat chart="6" format="11" series="1">
      <pivotArea type="data" outline="0" fieldPosition="0">
        <references count="2">
          <reference field="4294967294" count="1" selected="0">
            <x v="0"/>
          </reference>
          <reference field="1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A4A31CE-D216-4E53-86E3-F372CC5B0BC3}" name="PivotTable5"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
  <location ref="A3:I13" firstHeaderRow="1" firstDataRow="2" firstDataCol="1"/>
  <pivotFields count="21">
    <pivotField axis="axisRow"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axis="axisCol"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axis="axisRow"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25">
        <item x="0"/>
        <item x="1"/>
        <item x="2"/>
        <item x="3"/>
        <item x="4"/>
        <item x="5"/>
        <item x="6"/>
        <item x="7"/>
        <item x="8"/>
        <item x="9"/>
        <item x="10"/>
        <item x="11"/>
        <item x="12"/>
        <item x="13"/>
        <item x="14"/>
        <item x="15"/>
        <item x="16"/>
        <item x="17"/>
        <item x="18"/>
        <item x="19"/>
        <item x="20"/>
        <item x="21"/>
        <item x="22"/>
        <item x="23"/>
        <item t="default"/>
      </items>
    </pivotField>
  </pivotFields>
  <rowFields count="2">
    <field x="0"/>
    <field x="11"/>
  </rowFields>
  <rowItems count="9">
    <i>
      <x/>
    </i>
    <i r="1">
      <x/>
    </i>
    <i r="1">
      <x v="1"/>
    </i>
    <i r="1">
      <x v="2"/>
    </i>
    <i>
      <x v="1"/>
    </i>
    <i r="1">
      <x/>
    </i>
    <i r="1">
      <x v="1"/>
    </i>
    <i r="1">
      <x v="2"/>
    </i>
    <i t="grand">
      <x/>
    </i>
  </rowItems>
  <colFields count="1">
    <field x="6"/>
  </colFields>
  <colItems count="8">
    <i>
      <x/>
    </i>
    <i>
      <x v="1"/>
    </i>
    <i>
      <x v="2"/>
    </i>
    <i>
      <x v="3"/>
    </i>
    <i>
      <x v="4"/>
    </i>
    <i>
      <x v="5"/>
    </i>
    <i>
      <x v="6"/>
    </i>
    <i t="grand">
      <x/>
    </i>
  </colItems>
  <dataFields count="1">
    <dataField name="Count of Player" fld="0" subtotal="count" baseField="0" baseItem="0"/>
  </dataFields>
  <chartFormats count="14">
    <chartFormat chart="0" format="0" series="1">
      <pivotArea type="data" outline="0" fieldPosition="0">
        <references count="1">
          <reference field="6" count="1" selected="0">
            <x v="0"/>
          </reference>
        </references>
      </pivotArea>
    </chartFormat>
    <chartFormat chart="0" format="1" series="1">
      <pivotArea type="data" outline="0" fieldPosition="0">
        <references count="1">
          <reference field="6" count="1" selected="0">
            <x v="1"/>
          </reference>
        </references>
      </pivotArea>
    </chartFormat>
    <chartFormat chart="0" format="2" series="1">
      <pivotArea type="data" outline="0" fieldPosition="0">
        <references count="1">
          <reference field="6" count="1" selected="0">
            <x v="2"/>
          </reference>
        </references>
      </pivotArea>
    </chartFormat>
    <chartFormat chart="0" format="3" series="1">
      <pivotArea type="data" outline="0" fieldPosition="0">
        <references count="1">
          <reference field="6" count="1" selected="0">
            <x v="3"/>
          </reference>
        </references>
      </pivotArea>
    </chartFormat>
    <chartFormat chart="0" format="4" series="1">
      <pivotArea type="data" outline="0" fieldPosition="0">
        <references count="1">
          <reference field="6" count="1" selected="0">
            <x v="4"/>
          </reference>
        </references>
      </pivotArea>
    </chartFormat>
    <chartFormat chart="0" format="5" series="1">
      <pivotArea type="data" outline="0" fieldPosition="0">
        <references count="1">
          <reference field="6" count="1" selected="0">
            <x v="5"/>
          </reference>
        </references>
      </pivotArea>
    </chartFormat>
    <chartFormat chart="0" format="6" series="1">
      <pivotArea type="data" outline="0" fieldPosition="0">
        <references count="1">
          <reference field="6" count="1" selected="0">
            <x v="6"/>
          </reference>
        </references>
      </pivotArea>
    </chartFormat>
    <chartFormat chart="0" format="7" series="1">
      <pivotArea type="data" outline="0" fieldPosition="0">
        <references count="2">
          <reference field="4294967294" count="1" selected="0">
            <x v="0"/>
          </reference>
          <reference field="6" count="1" selected="0">
            <x v="0"/>
          </reference>
        </references>
      </pivotArea>
    </chartFormat>
    <chartFormat chart="0" format="8" series="1">
      <pivotArea type="data" outline="0" fieldPosition="0">
        <references count="2">
          <reference field="4294967294" count="1" selected="0">
            <x v="0"/>
          </reference>
          <reference field="6" count="1" selected="0">
            <x v="1"/>
          </reference>
        </references>
      </pivotArea>
    </chartFormat>
    <chartFormat chart="0" format="9" series="1">
      <pivotArea type="data" outline="0" fieldPosition="0">
        <references count="2">
          <reference field="4294967294" count="1" selected="0">
            <x v="0"/>
          </reference>
          <reference field="6" count="1" selected="0">
            <x v="2"/>
          </reference>
        </references>
      </pivotArea>
    </chartFormat>
    <chartFormat chart="0" format="10" series="1">
      <pivotArea type="data" outline="0" fieldPosition="0">
        <references count="2">
          <reference field="4294967294" count="1" selected="0">
            <x v="0"/>
          </reference>
          <reference field="6" count="1" selected="0">
            <x v="3"/>
          </reference>
        </references>
      </pivotArea>
    </chartFormat>
    <chartFormat chart="0" format="11" series="1">
      <pivotArea type="data" outline="0" fieldPosition="0">
        <references count="2">
          <reference field="4294967294" count="1" selected="0">
            <x v="0"/>
          </reference>
          <reference field="6" count="1" selected="0">
            <x v="4"/>
          </reference>
        </references>
      </pivotArea>
    </chartFormat>
    <chartFormat chart="0" format="12" series="1">
      <pivotArea type="data" outline="0" fieldPosition="0">
        <references count="2">
          <reference field="4294967294" count="1" selected="0">
            <x v="0"/>
          </reference>
          <reference field="6" count="1" selected="0">
            <x v="5"/>
          </reference>
        </references>
      </pivotArea>
    </chartFormat>
    <chartFormat chart="0" format="13" series="1">
      <pivotArea type="data" outline="0" fieldPosition="0">
        <references count="2">
          <reference field="4294967294" count="1" selected="0">
            <x v="0"/>
          </reference>
          <reference field="6"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AF0095D-005A-47DD-9548-379D0E0AB8DB}" name="PivotTable6"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4">
  <location ref="A3:D27"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25">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t="default"/>
      </items>
    </pivotField>
  </pivotFields>
  <rowFields count="1">
    <field x="20"/>
  </rowFields>
  <rowItems count="23">
    <i>
      <x v="1"/>
    </i>
    <i>
      <x v="2"/>
    </i>
    <i>
      <x v="3"/>
    </i>
    <i>
      <x v="4"/>
    </i>
    <i>
      <x v="5"/>
    </i>
    <i>
      <x v="6"/>
    </i>
    <i>
      <x v="7"/>
    </i>
    <i>
      <x v="8"/>
    </i>
    <i>
      <x v="9"/>
    </i>
    <i>
      <x v="10"/>
    </i>
    <i>
      <x v="11"/>
    </i>
    <i>
      <x v="12"/>
    </i>
    <i>
      <x v="13"/>
    </i>
    <i>
      <x v="14"/>
    </i>
    <i>
      <x v="15"/>
    </i>
    <i>
      <x v="16"/>
    </i>
    <i>
      <x v="17"/>
    </i>
    <i>
      <x v="18"/>
    </i>
    <i>
      <x v="19"/>
    </i>
    <i>
      <x v="20"/>
    </i>
    <i>
      <x v="21"/>
    </i>
    <i>
      <x v="22"/>
    </i>
    <i t="grand">
      <x/>
    </i>
  </rowItems>
  <colFields count="1">
    <field x="0"/>
  </colFields>
  <colItems count="3">
    <i>
      <x/>
    </i>
    <i>
      <x v="1"/>
    </i>
    <i t="grand">
      <x/>
    </i>
  </colItems>
  <dataFields count="1">
    <dataField name="Count of Player" fld="0" subtotal="count" baseField="0" baseItem="0"/>
  </dataField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0"/>
          </reference>
        </references>
      </pivotArea>
    </chartFormat>
    <chartFormat chart="4" format="7" series="1">
      <pivotArea type="data" outline="0" fieldPosition="0">
        <references count="2">
          <reference field="4294967294" count="1" selected="0">
            <x v="0"/>
          </reference>
          <reference field="0" count="1" selected="0">
            <x v="0"/>
          </reference>
        </references>
      </pivotArea>
    </chartFormat>
    <chartFormat chart="4" format="8"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3DE664B-3460-4688-A677-B79F40B02A22}" name="PivotTable7"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6">
  <location ref="A3:D17"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axis="axisRow"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15"/>
  </rowFields>
  <rowItems count="13">
    <i>
      <x/>
    </i>
    <i>
      <x v="1"/>
    </i>
    <i>
      <x v="2"/>
    </i>
    <i>
      <x v="3"/>
    </i>
    <i>
      <x v="4"/>
    </i>
    <i>
      <x v="5"/>
    </i>
    <i>
      <x v="6"/>
    </i>
    <i>
      <x v="7"/>
    </i>
    <i>
      <x v="8"/>
    </i>
    <i>
      <x v="9"/>
    </i>
    <i>
      <x v="10"/>
    </i>
    <i>
      <x v="11"/>
    </i>
    <i t="grand">
      <x/>
    </i>
  </rowItems>
  <colFields count="1">
    <field x="0"/>
  </colFields>
  <colItems count="3">
    <i>
      <x/>
    </i>
    <i>
      <x v="1"/>
    </i>
    <i t="grand">
      <x/>
    </i>
  </colItems>
  <dataFields count="1">
    <dataField name="Count of Player" fld="0" subtotal="count" baseField="0" baseItem="0"/>
  </dataFields>
  <chartFormats count="10">
    <chartFormat chart="0" format="0" series="1">
      <pivotArea type="data" outline="0" fieldPosition="0">
        <references count="1">
          <reference field="0" count="1" selected="0">
            <x v="0"/>
          </reference>
        </references>
      </pivotArea>
    </chartFormat>
    <chartFormat chart="0" format="1" series="1">
      <pivotArea type="data" outline="0" fieldPosition="0">
        <references count="1">
          <reference field="0" count="1" selected="0">
            <x v="1"/>
          </reference>
        </references>
      </pivotArea>
    </chartFormat>
    <chartFormat chart="0" format="2" series="1">
      <pivotArea type="data" outline="0" fieldPosition="0">
        <references count="2">
          <reference field="4294967294" count="1" selected="0">
            <x v="0"/>
          </reference>
          <reference field="0" count="1" selected="0">
            <x v="0"/>
          </reference>
        </references>
      </pivotArea>
    </chartFormat>
    <chartFormat chart="0" format="3" series="1">
      <pivotArea type="data" outline="0" fieldPosition="0">
        <references count="2">
          <reference field="4294967294" count="1" selected="0">
            <x v="0"/>
          </reference>
          <reference field="0" count="1" selected="0">
            <x v="1"/>
          </reference>
        </references>
      </pivotArea>
    </chartFormat>
    <chartFormat chart="2" format="4" series="1">
      <pivotArea type="data" outline="0" fieldPosition="0">
        <references count="2">
          <reference field="4294967294" count="1" selected="0">
            <x v="0"/>
          </reference>
          <reference field="0" count="1" selected="0">
            <x v="0"/>
          </reference>
        </references>
      </pivotArea>
    </chartFormat>
    <chartFormat chart="2" format="5" series="1">
      <pivotArea type="data" outline="0" fieldPosition="0">
        <references count="2">
          <reference field="4294967294" count="1" selected="0">
            <x v="0"/>
          </reference>
          <reference field="0" count="1" selected="0">
            <x v="1"/>
          </reference>
        </references>
      </pivotArea>
    </chartFormat>
    <chartFormat chart="3" format="6" series="1">
      <pivotArea type="data" outline="0" fieldPosition="0">
        <references count="2">
          <reference field="4294967294" count="1" selected="0">
            <x v="0"/>
          </reference>
          <reference field="0" count="1" selected="0">
            <x v="0"/>
          </reference>
        </references>
      </pivotArea>
    </chartFormat>
    <chartFormat chart="3" format="7" series="1">
      <pivotArea type="data" outline="0" fieldPosition="0">
        <references count="2">
          <reference field="4294967294" count="1" selected="0">
            <x v="0"/>
          </reference>
          <reference field="0" count="1" selected="0">
            <x v="1"/>
          </reference>
        </references>
      </pivotArea>
    </chartFormat>
    <chartFormat chart="4" format="8" series="1">
      <pivotArea type="data" outline="0" fieldPosition="0">
        <references count="2">
          <reference field="4294967294" count="1" selected="0">
            <x v="0"/>
          </reference>
          <reference field="0" count="1" selected="0">
            <x v="0"/>
          </reference>
        </references>
      </pivotArea>
    </chartFormat>
    <chartFormat chart="4" format="9"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4317D42-A47D-44D2-9062-C91F828798B1}" name="PivotTable8"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
  <location ref="A3:D17"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axis="axisRow"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15"/>
  </rowFields>
  <rowItems count="13">
    <i>
      <x/>
    </i>
    <i>
      <x v="1"/>
    </i>
    <i>
      <x v="2"/>
    </i>
    <i>
      <x v="3"/>
    </i>
    <i>
      <x v="4"/>
    </i>
    <i>
      <x v="5"/>
    </i>
    <i>
      <x v="6"/>
    </i>
    <i>
      <x v="7"/>
    </i>
    <i>
      <x v="8"/>
    </i>
    <i>
      <x v="9"/>
    </i>
    <i>
      <x v="10"/>
    </i>
    <i>
      <x v="11"/>
    </i>
    <i t="grand">
      <x/>
    </i>
  </rowItems>
  <colFields count="1">
    <field x="0"/>
  </colFields>
  <colItems count="3">
    <i>
      <x/>
    </i>
    <i>
      <x v="1"/>
    </i>
    <i t="grand">
      <x/>
    </i>
  </colItems>
  <dataFields count="1">
    <dataField name="Count of Player" fld="0" subtotal="count" baseField="0" baseItem="0"/>
  </dataFields>
  <chartFormats count="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0"/>
          </reference>
        </references>
      </pivotArea>
    </chartFormat>
    <chartFormat chart="0" format="3">
      <pivotArea type="data" outline="0" fieldPosition="0">
        <references count="3">
          <reference field="4294967294" count="1" selected="0">
            <x v="0"/>
          </reference>
          <reference field="0" count="1" selected="0">
            <x v="0"/>
          </reference>
          <reference field="15" count="1" selected="0">
            <x v="0"/>
          </reference>
        </references>
      </pivotArea>
    </chartFormat>
    <chartFormat chart="0" format="4">
      <pivotArea type="data" outline="0" fieldPosition="0">
        <references count="3">
          <reference field="4294967294" count="1" selected="0">
            <x v="0"/>
          </reference>
          <reference field="0" count="1" selected="0">
            <x v="0"/>
          </reference>
          <reference field="15" count="1" selected="0">
            <x v="1"/>
          </reference>
        </references>
      </pivotArea>
    </chartFormat>
    <chartFormat chart="0" format="5">
      <pivotArea type="data" outline="0" fieldPosition="0">
        <references count="3">
          <reference field="4294967294" count="1" selected="0">
            <x v="0"/>
          </reference>
          <reference field="0" count="1" selected="0">
            <x v="0"/>
          </reference>
          <reference field="15" count="1" selected="0">
            <x v="2"/>
          </reference>
        </references>
      </pivotArea>
    </chartFormat>
    <chartFormat chart="0" format="6">
      <pivotArea type="data" outline="0" fieldPosition="0">
        <references count="3">
          <reference field="4294967294" count="1" selected="0">
            <x v="0"/>
          </reference>
          <reference field="0" count="1" selected="0">
            <x v="0"/>
          </reference>
          <reference field="15" count="1" selected="0">
            <x v="3"/>
          </reference>
        </references>
      </pivotArea>
    </chartFormat>
    <chartFormat chart="0" format="7">
      <pivotArea type="data" outline="0" fieldPosition="0">
        <references count="3">
          <reference field="4294967294" count="1" selected="0">
            <x v="0"/>
          </reference>
          <reference field="0" count="1" selected="0">
            <x v="0"/>
          </reference>
          <reference field="15" count="1" selected="0">
            <x v="4"/>
          </reference>
        </references>
      </pivotArea>
    </chartFormat>
    <chartFormat chart="0" format="8">
      <pivotArea type="data" outline="0" fieldPosition="0">
        <references count="3">
          <reference field="4294967294" count="1" selected="0">
            <x v="0"/>
          </reference>
          <reference field="0" count="1" selected="0">
            <x v="0"/>
          </reference>
          <reference field="15" count="1" selected="0">
            <x v="5"/>
          </reference>
        </references>
      </pivotArea>
    </chartFormat>
    <chartFormat chart="0" format="9">
      <pivotArea type="data" outline="0" fieldPosition="0">
        <references count="3">
          <reference field="4294967294" count="1" selected="0">
            <x v="0"/>
          </reference>
          <reference field="0" count="1" selected="0">
            <x v="0"/>
          </reference>
          <reference field="15" count="1" selected="0">
            <x v="6"/>
          </reference>
        </references>
      </pivotArea>
    </chartFormat>
    <chartFormat chart="0" format="10">
      <pivotArea type="data" outline="0" fieldPosition="0">
        <references count="3">
          <reference field="4294967294" count="1" selected="0">
            <x v="0"/>
          </reference>
          <reference field="0" count="1" selected="0">
            <x v="0"/>
          </reference>
          <reference field="15" count="1" selected="0">
            <x v="7"/>
          </reference>
        </references>
      </pivotArea>
    </chartFormat>
    <chartFormat chart="0" format="11">
      <pivotArea type="data" outline="0" fieldPosition="0">
        <references count="3">
          <reference field="4294967294" count="1" selected="0">
            <x v="0"/>
          </reference>
          <reference field="0" count="1" selected="0">
            <x v="0"/>
          </reference>
          <reference field="15" count="1" selected="0">
            <x v="8"/>
          </reference>
        </references>
      </pivotArea>
    </chartFormat>
    <chartFormat chart="0" format="12">
      <pivotArea type="data" outline="0" fieldPosition="0">
        <references count="3">
          <reference field="4294967294" count="1" selected="0">
            <x v="0"/>
          </reference>
          <reference field="0" count="1" selected="0">
            <x v="0"/>
          </reference>
          <reference field="15" count="1" selected="0">
            <x v="9"/>
          </reference>
        </references>
      </pivotArea>
    </chartFormat>
    <chartFormat chart="0" format="13">
      <pivotArea type="data" outline="0" fieldPosition="0">
        <references count="3">
          <reference field="4294967294" count="1" selected="0">
            <x v="0"/>
          </reference>
          <reference field="0" count="1" selected="0">
            <x v="0"/>
          </reference>
          <reference field="15"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1F9E73E-DE88-441E-AAD4-7D6818D7329C}" name="PivotTable9"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
  <location ref="A3:D17"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axis="axisRow"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15"/>
  </rowFields>
  <rowItems count="13">
    <i>
      <x/>
    </i>
    <i>
      <x v="1"/>
    </i>
    <i>
      <x v="2"/>
    </i>
    <i>
      <x v="3"/>
    </i>
    <i>
      <x v="4"/>
    </i>
    <i>
      <x v="5"/>
    </i>
    <i>
      <x v="6"/>
    </i>
    <i>
      <x v="7"/>
    </i>
    <i>
      <x v="8"/>
    </i>
    <i>
      <x v="9"/>
    </i>
    <i>
      <x v="10"/>
    </i>
    <i>
      <x v="11"/>
    </i>
    <i t="grand">
      <x/>
    </i>
  </rowItems>
  <colFields count="1">
    <field x="0"/>
  </colFields>
  <colItems count="3">
    <i>
      <x/>
    </i>
    <i>
      <x v="1"/>
    </i>
    <i t="grand">
      <x/>
    </i>
  </colItems>
  <dataFields count="1">
    <dataField name="Count of Player" fld="0" subtotal="count" baseField="0" baseItem="0"/>
  </dataFields>
  <chartFormats count="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pivotArea type="data" outline="0" fieldPosition="0">
        <references count="3">
          <reference field="4294967294" count="1" selected="0">
            <x v="0"/>
          </reference>
          <reference field="0" count="1" selected="0">
            <x v="0"/>
          </reference>
          <reference field="15" count="1" selected="0">
            <x v="0"/>
          </reference>
        </references>
      </pivotArea>
    </chartFormat>
    <chartFormat chart="0" format="3">
      <pivotArea type="data" outline="0" fieldPosition="0">
        <references count="3">
          <reference field="4294967294" count="1" selected="0">
            <x v="0"/>
          </reference>
          <reference field="0" count="1" selected="0">
            <x v="0"/>
          </reference>
          <reference field="15" count="1" selected="0">
            <x v="1"/>
          </reference>
        </references>
      </pivotArea>
    </chartFormat>
    <chartFormat chart="0" format="4">
      <pivotArea type="data" outline="0" fieldPosition="0">
        <references count="3">
          <reference field="4294967294" count="1" selected="0">
            <x v="0"/>
          </reference>
          <reference field="0" count="1" selected="0">
            <x v="0"/>
          </reference>
          <reference field="15" count="1" selected="0">
            <x v="2"/>
          </reference>
        </references>
      </pivotArea>
    </chartFormat>
    <chartFormat chart="0" format="5">
      <pivotArea type="data" outline="0" fieldPosition="0">
        <references count="3">
          <reference field="4294967294" count="1" selected="0">
            <x v="0"/>
          </reference>
          <reference field="0" count="1" selected="0">
            <x v="0"/>
          </reference>
          <reference field="15" count="1" selected="0">
            <x v="3"/>
          </reference>
        </references>
      </pivotArea>
    </chartFormat>
    <chartFormat chart="0" format="6">
      <pivotArea type="data" outline="0" fieldPosition="0">
        <references count="3">
          <reference field="4294967294" count="1" selected="0">
            <x v="0"/>
          </reference>
          <reference field="0" count="1" selected="0">
            <x v="0"/>
          </reference>
          <reference field="15" count="1" selected="0">
            <x v="4"/>
          </reference>
        </references>
      </pivotArea>
    </chartFormat>
    <chartFormat chart="0" format="7">
      <pivotArea type="data" outline="0" fieldPosition="0">
        <references count="3">
          <reference field="4294967294" count="1" selected="0">
            <x v="0"/>
          </reference>
          <reference field="0" count="1" selected="0">
            <x v="0"/>
          </reference>
          <reference field="15" count="1" selected="0">
            <x v="5"/>
          </reference>
        </references>
      </pivotArea>
    </chartFormat>
    <chartFormat chart="0" format="8">
      <pivotArea type="data" outline="0" fieldPosition="0">
        <references count="3">
          <reference field="4294967294" count="1" selected="0">
            <x v="0"/>
          </reference>
          <reference field="0" count="1" selected="0">
            <x v="0"/>
          </reference>
          <reference field="15" count="1" selected="0">
            <x v="6"/>
          </reference>
        </references>
      </pivotArea>
    </chartFormat>
    <chartFormat chart="0" format="9">
      <pivotArea type="data" outline="0" fieldPosition="0">
        <references count="3">
          <reference field="4294967294" count="1" selected="0">
            <x v="0"/>
          </reference>
          <reference field="0" count="1" selected="0">
            <x v="0"/>
          </reference>
          <reference field="15" count="1" selected="0">
            <x v="7"/>
          </reference>
        </references>
      </pivotArea>
    </chartFormat>
    <chartFormat chart="0" format="10">
      <pivotArea type="data" outline="0" fieldPosition="0">
        <references count="3">
          <reference field="4294967294" count="1" selected="0">
            <x v="0"/>
          </reference>
          <reference field="0" count="1" selected="0">
            <x v="0"/>
          </reference>
          <reference field="15" count="1" selected="0">
            <x v="8"/>
          </reference>
        </references>
      </pivotArea>
    </chartFormat>
    <chartFormat chart="0" format="11">
      <pivotArea type="data" outline="0" fieldPosition="0">
        <references count="3">
          <reference field="4294967294" count="1" selected="0">
            <x v="0"/>
          </reference>
          <reference field="0" count="1" selected="0">
            <x v="0"/>
          </reference>
          <reference field="15" count="1" selected="0">
            <x v="9"/>
          </reference>
        </references>
      </pivotArea>
    </chartFormat>
    <chartFormat chart="0" format="12">
      <pivotArea type="data" outline="0" fieldPosition="0">
        <references count="3">
          <reference field="4294967294" count="1" selected="0">
            <x v="0"/>
          </reference>
          <reference field="0" count="1" selected="0">
            <x v="0"/>
          </reference>
          <reference field="15" count="1" selected="0">
            <x v="10"/>
          </reference>
        </references>
      </pivotArea>
    </chartFormat>
    <chartFormat chart="0" format="13">
      <pivotArea type="data" outline="0" fieldPosition="0">
        <references count="3">
          <reference field="4294967294" count="1" selected="0">
            <x v="0"/>
          </reference>
          <reference field="0" count="1" selected="0">
            <x v="0"/>
          </reference>
          <reference field="15"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BE67E4F-4490-4F87-BB61-099A50C73183}" name="PivotTable10"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4">
  <location ref="A3:D113"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axis="axisRow"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13"/>
  </rowFields>
  <rowItems count="10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t="grand">
      <x/>
    </i>
  </rowItems>
  <colFields count="1">
    <field x="0"/>
  </colFields>
  <colItems count="3">
    <i>
      <x/>
    </i>
    <i>
      <x v="1"/>
    </i>
    <i t="grand">
      <x/>
    </i>
  </colItems>
  <dataFields count="1">
    <dataField name="Count of Player" fld="0" subtotal="count" baseField="0" baseItem="0"/>
  </dataFields>
  <chartFormats count="10">
    <chartFormat chart="0" format="0" series="1">
      <pivotArea type="data" outline="0" fieldPosition="0">
        <references count="1">
          <reference field="0" count="1" selected="0">
            <x v="0"/>
          </reference>
        </references>
      </pivotArea>
    </chartFormat>
    <chartFormat chart="0" format="1" series="1">
      <pivotArea type="data" outline="0" fieldPosition="0">
        <references count="1">
          <reference field="0" count="1" selected="0">
            <x v="1"/>
          </reference>
        </references>
      </pivotArea>
    </chartFormat>
    <chartFormat chart="0" format="2" series="1">
      <pivotArea type="data" outline="0" fieldPosition="0">
        <references count="2">
          <reference field="4294967294" count="1" selected="0">
            <x v="0"/>
          </reference>
          <reference field="0" count="1" selected="0">
            <x v="0"/>
          </reference>
        </references>
      </pivotArea>
    </chartFormat>
    <chartFormat chart="0" format="3" series="1">
      <pivotArea type="data" outline="0" fieldPosition="0">
        <references count="2">
          <reference field="4294967294" count="1" selected="0">
            <x v="0"/>
          </reference>
          <reference field="0" count="1" selected="0">
            <x v="1"/>
          </reference>
        </references>
      </pivotArea>
    </chartFormat>
    <chartFormat chart="6" format="4" series="1">
      <pivotArea type="data" outline="0" fieldPosition="0">
        <references count="2">
          <reference field="4294967294" count="1" selected="0">
            <x v="0"/>
          </reference>
          <reference field="0" count="1" selected="0">
            <x v="0"/>
          </reference>
        </references>
      </pivotArea>
    </chartFormat>
    <chartFormat chart="6" format="5" series="1">
      <pivotArea type="data" outline="0" fieldPosition="0">
        <references count="2">
          <reference field="4294967294" count="1" selected="0">
            <x v="0"/>
          </reference>
          <reference field="0" count="1" selected="0">
            <x v="1"/>
          </reference>
        </references>
      </pivotArea>
    </chartFormat>
    <chartFormat chart="7" format="6" series="1">
      <pivotArea type="data" outline="0" fieldPosition="0">
        <references count="2">
          <reference field="4294967294" count="1" selected="0">
            <x v="0"/>
          </reference>
          <reference field="0" count="1" selected="0">
            <x v="0"/>
          </reference>
        </references>
      </pivotArea>
    </chartFormat>
    <chartFormat chart="7" format="7" series="1">
      <pivotArea type="data" outline="0" fieldPosition="0">
        <references count="2">
          <reference field="4294967294" count="1" selected="0">
            <x v="0"/>
          </reference>
          <reference field="0" count="1" selected="0">
            <x v="1"/>
          </reference>
        </references>
      </pivotArea>
    </chartFormat>
    <chartFormat chart="13" format="6" series="1">
      <pivotArea type="data" outline="0" fieldPosition="0">
        <references count="2">
          <reference field="4294967294" count="1" selected="0">
            <x v="0"/>
          </reference>
          <reference field="0" count="1" selected="0">
            <x v="0"/>
          </reference>
        </references>
      </pivotArea>
    </chartFormat>
    <chartFormat chart="13" format="7"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046F787-6EB9-4542-8AAA-5580EF4EFC0F}" name="PivotTable1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A3:D178"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axis="axisRow" showAll="0" sortType="descending">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autoSortScope>
        <pivotArea dataOnly="0" outline="0" fieldPosition="0">
          <references count="2">
            <reference field="4294967294" count="1" selected="0">
              <x v="0"/>
            </reference>
            <reference field="0" count="1" selected="0">
              <x v="0"/>
            </reference>
          </references>
        </pivotArea>
      </autoSortScope>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7"/>
  </rowFields>
  <rowItems count="174">
    <i>
      <x v="140"/>
    </i>
    <i>
      <x v="16"/>
    </i>
    <i>
      <x v="85"/>
    </i>
    <i>
      <x v="41"/>
    </i>
    <i>
      <x v="65"/>
    </i>
    <i>
      <x v="101"/>
    </i>
    <i>
      <x v="15"/>
    </i>
    <i>
      <x v="126"/>
    </i>
    <i>
      <x v="132"/>
    </i>
    <i>
      <x v="164"/>
    </i>
    <i>
      <x v="167"/>
    </i>
    <i>
      <x v="96"/>
    </i>
    <i>
      <x v="156"/>
    </i>
    <i>
      <x v="57"/>
    </i>
    <i>
      <x v="32"/>
    </i>
    <i>
      <x v="123"/>
    </i>
    <i>
      <x v="89"/>
    </i>
    <i>
      <x v="12"/>
    </i>
    <i>
      <x v="94"/>
    </i>
    <i>
      <x v="5"/>
    </i>
    <i>
      <x v="11"/>
    </i>
    <i>
      <x v="19"/>
    </i>
    <i>
      <x v="13"/>
    </i>
    <i>
      <x v="36"/>
    </i>
    <i>
      <x v="110"/>
    </i>
    <i>
      <x v="161"/>
    </i>
    <i>
      <x v="81"/>
    </i>
    <i>
      <x v="171"/>
    </i>
    <i>
      <x v="134"/>
    </i>
    <i>
      <x v="137"/>
    </i>
    <i>
      <x v="60"/>
    </i>
    <i>
      <x v="159"/>
    </i>
    <i>
      <x v="74"/>
    </i>
    <i>
      <x v="127"/>
    </i>
    <i>
      <x v="26"/>
    </i>
    <i>
      <x v="149"/>
    </i>
    <i>
      <x v="25"/>
    </i>
    <i>
      <x v="14"/>
    </i>
    <i>
      <x v="10"/>
    </i>
    <i>
      <x v="2"/>
    </i>
    <i>
      <x v="129"/>
    </i>
    <i>
      <x v="163"/>
    </i>
    <i>
      <x v="170"/>
    </i>
    <i>
      <x v="82"/>
    </i>
    <i>
      <x v="114"/>
    </i>
    <i>
      <x v="118"/>
    </i>
    <i>
      <x v="119"/>
    </i>
    <i>
      <x v="63"/>
    </i>
    <i>
      <x v="121"/>
    </i>
    <i>
      <x v="102"/>
    </i>
    <i>
      <x v="105"/>
    </i>
    <i>
      <x v="55"/>
    </i>
    <i>
      <x v="157"/>
    </i>
    <i>
      <x v="141"/>
    </i>
    <i>
      <x v="84"/>
    </i>
    <i>
      <x v="103"/>
    </i>
    <i>
      <x v="150"/>
    </i>
    <i>
      <x v="128"/>
    </i>
    <i>
      <x v="9"/>
    </i>
    <i>
      <x v="93"/>
    </i>
    <i>
      <x v="115"/>
    </i>
    <i>
      <x v="58"/>
    </i>
    <i>
      <x v="59"/>
    </i>
    <i>
      <x v="111"/>
    </i>
    <i>
      <x v="169"/>
    </i>
    <i>
      <x v="151"/>
    </i>
    <i>
      <x v="172"/>
    </i>
    <i>
      <x v="155"/>
    </i>
    <i>
      <x v="87"/>
    </i>
    <i>
      <x v="166"/>
    </i>
    <i>
      <x v="147"/>
    </i>
    <i>
      <x v="53"/>
    </i>
    <i>
      <x v="3"/>
    </i>
    <i>
      <x v="22"/>
    </i>
    <i>
      <x v="90"/>
    </i>
    <i>
      <x v="51"/>
    </i>
    <i>
      <x v="95"/>
    </i>
    <i>
      <x v="145"/>
    </i>
    <i>
      <x v="97"/>
    </i>
    <i>
      <x v="148"/>
    </i>
    <i>
      <x v="104"/>
    </i>
    <i>
      <x v="160"/>
    </i>
    <i>
      <x v="67"/>
    </i>
    <i>
      <x v="133"/>
    </i>
    <i>
      <x v="117"/>
    </i>
    <i>
      <x v="61"/>
    </i>
    <i>
      <x v="144"/>
    </i>
    <i>
      <x v="168"/>
    </i>
    <i>
      <x v="92"/>
    </i>
    <i>
      <x v="152"/>
    </i>
    <i>
      <x v="75"/>
    </i>
    <i>
      <x v="80"/>
    </i>
    <i>
      <x v="99"/>
    </i>
    <i>
      <x v="91"/>
    </i>
    <i>
      <x v="78"/>
    </i>
    <i>
      <x v="18"/>
    </i>
    <i>
      <x v="109"/>
    </i>
    <i>
      <x v="21"/>
    </i>
    <i>
      <x v="68"/>
    </i>
    <i>
      <x v="24"/>
    </i>
    <i>
      <x v="46"/>
    </i>
    <i>
      <x v="66"/>
    </i>
    <i>
      <x v="7"/>
    </i>
    <i>
      <x v="45"/>
    </i>
    <i>
      <x v="162"/>
    </i>
    <i>
      <x v="131"/>
    </i>
    <i>
      <x v="79"/>
    </i>
    <i>
      <x v="4"/>
    </i>
    <i>
      <x v="69"/>
    </i>
    <i>
      <x v="37"/>
    </i>
    <i>
      <x v="64"/>
    </i>
    <i>
      <x v="106"/>
    </i>
    <i>
      <x v="8"/>
    </i>
    <i>
      <x v="28"/>
    </i>
    <i>
      <x v="153"/>
    </i>
    <i>
      <x v="54"/>
    </i>
    <i>
      <x v="88"/>
    </i>
    <i>
      <x v="31"/>
    </i>
    <i>
      <x v="30"/>
    </i>
    <i>
      <x v="29"/>
    </i>
    <i>
      <x v="23"/>
    </i>
    <i>
      <x/>
    </i>
    <i>
      <x v="73"/>
    </i>
    <i>
      <x v="72"/>
    </i>
    <i>
      <x v="35"/>
    </i>
    <i>
      <x v="40"/>
    </i>
    <i>
      <x v="83"/>
    </i>
    <i>
      <x v="139"/>
    </i>
    <i>
      <x v="43"/>
    </i>
    <i>
      <x v="100"/>
    </i>
    <i>
      <x v="17"/>
    </i>
    <i>
      <x v="76"/>
    </i>
    <i>
      <x v="130"/>
    </i>
    <i>
      <x v="98"/>
    </i>
    <i>
      <x v="1"/>
    </i>
    <i>
      <x v="34"/>
    </i>
    <i>
      <x v="50"/>
    </i>
    <i>
      <x v="56"/>
    </i>
    <i>
      <x v="6"/>
    </i>
    <i>
      <x v="154"/>
    </i>
    <i>
      <x v="27"/>
    </i>
    <i>
      <x v="158"/>
    </i>
    <i>
      <x v="135"/>
    </i>
    <i>
      <x v="44"/>
    </i>
    <i>
      <x v="136"/>
    </i>
    <i>
      <x v="124"/>
    </i>
    <i>
      <x v="52"/>
    </i>
    <i>
      <x v="48"/>
    </i>
    <i>
      <x v="138"/>
    </i>
    <i>
      <x v="70"/>
    </i>
    <i>
      <x v="77"/>
    </i>
    <i>
      <x v="116"/>
    </i>
    <i>
      <x v="107"/>
    </i>
    <i>
      <x v="20"/>
    </i>
    <i>
      <x v="108"/>
    </i>
    <i>
      <x v="42"/>
    </i>
    <i>
      <x v="142"/>
    </i>
    <i>
      <x v="71"/>
    </i>
    <i>
      <x v="143"/>
    </i>
    <i>
      <x v="62"/>
    </i>
    <i>
      <x v="33"/>
    </i>
    <i>
      <x v="122"/>
    </i>
    <i>
      <x v="38"/>
    </i>
    <i>
      <x v="165"/>
    </i>
    <i>
      <x v="146"/>
    </i>
    <i>
      <x v="125"/>
    </i>
    <i>
      <x v="39"/>
    </i>
    <i>
      <x v="47"/>
    </i>
    <i>
      <x v="112"/>
    </i>
    <i>
      <x v="49"/>
    </i>
    <i>
      <x v="113"/>
    </i>
    <i>
      <x v="120"/>
    </i>
    <i>
      <x v="86"/>
    </i>
    <i t="grand">
      <x/>
    </i>
  </rowItems>
  <colFields count="1">
    <field x="0"/>
  </colFields>
  <colItems count="3">
    <i>
      <x/>
    </i>
    <i>
      <x v="1"/>
    </i>
    <i t="grand">
      <x/>
    </i>
  </colItems>
  <dataFields count="1">
    <dataField name="Count of Player" fld="0" subtotal="count" baseField="0" baseItem="0"/>
  </dataField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0"/>
          </reference>
        </references>
      </pivotArea>
    </chartFormat>
    <chartFormat chart="4" format="5" series="1">
      <pivotArea type="data" outline="0" fieldPosition="0">
        <references count="2">
          <reference field="4294967294" count="1" selected="0">
            <x v="0"/>
          </reference>
          <reference field="0" count="1" selected="0">
            <x v="0"/>
          </reference>
        </references>
      </pivotArea>
    </chartFormat>
    <chartFormat chart="4" format="6"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5D78877-862F-4618-828D-D622AF526535}" name="PivotTable1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8">
  <location ref="A3:D178"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axis="axisRow"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7"/>
  </rowFields>
  <rowItems count="17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t="grand">
      <x/>
    </i>
  </rowItems>
  <colFields count="1">
    <field x="0"/>
  </colFields>
  <colItems count="3">
    <i>
      <x/>
    </i>
    <i>
      <x v="1"/>
    </i>
    <i t="grand">
      <x/>
    </i>
  </colItems>
  <dataFields count="1">
    <dataField name="Count of Player" fld="0" subtotal="count" baseField="0" baseItem="0"/>
  </dataFields>
  <chartFormats count="133">
    <chartFormat chart="0" format="0" series="1">
      <pivotArea type="data" outline="0" fieldPosition="0">
        <references count="1">
          <reference field="0" count="1" selected="0">
            <x v="0"/>
          </reference>
        </references>
      </pivotArea>
    </chartFormat>
    <chartFormat chart="0" format="1" series="1">
      <pivotArea type="data" outline="0" fieldPosition="0">
        <references count="1">
          <reference field="0" count="1" selected="0">
            <x v="1"/>
          </reference>
        </references>
      </pivotArea>
    </chartFormat>
    <chartFormat chart="0" format="2" series="1">
      <pivotArea type="data" outline="0" fieldPosition="0">
        <references count="2">
          <reference field="4294967294" count="1" selected="0">
            <x v="0"/>
          </reference>
          <reference field="0" count="1" selected="0">
            <x v="0"/>
          </reference>
        </references>
      </pivotArea>
    </chartFormat>
    <chartFormat chart="0" format="3">
      <pivotArea type="data" outline="0" fieldPosition="0">
        <references count="3">
          <reference field="4294967294" count="1" selected="0">
            <x v="0"/>
          </reference>
          <reference field="0" count="1" selected="0">
            <x v="0"/>
          </reference>
          <reference field="7" count="1" selected="0">
            <x v="0"/>
          </reference>
        </references>
      </pivotArea>
    </chartFormat>
    <chartFormat chart="0" format="4">
      <pivotArea type="data" outline="0" fieldPosition="0">
        <references count="3">
          <reference field="4294967294" count="1" selected="0">
            <x v="0"/>
          </reference>
          <reference field="0" count="1" selected="0">
            <x v="0"/>
          </reference>
          <reference field="7" count="1" selected="0">
            <x v="2"/>
          </reference>
        </references>
      </pivotArea>
    </chartFormat>
    <chartFormat chart="0" format="5">
      <pivotArea type="data" outline="0" fieldPosition="0">
        <references count="3">
          <reference field="4294967294" count="1" selected="0">
            <x v="0"/>
          </reference>
          <reference field="0" count="1" selected="0">
            <x v="0"/>
          </reference>
          <reference field="7" count="1" selected="0">
            <x v="3"/>
          </reference>
        </references>
      </pivotArea>
    </chartFormat>
    <chartFormat chart="0" format="6">
      <pivotArea type="data" outline="0" fieldPosition="0">
        <references count="3">
          <reference field="4294967294" count="1" selected="0">
            <x v="0"/>
          </reference>
          <reference field="0" count="1" selected="0">
            <x v="0"/>
          </reference>
          <reference field="7" count="1" selected="0">
            <x v="4"/>
          </reference>
        </references>
      </pivotArea>
    </chartFormat>
    <chartFormat chart="0" format="7">
      <pivotArea type="data" outline="0" fieldPosition="0">
        <references count="3">
          <reference field="4294967294" count="1" selected="0">
            <x v="0"/>
          </reference>
          <reference field="0" count="1" selected="0">
            <x v="0"/>
          </reference>
          <reference field="7" count="1" selected="0">
            <x v="5"/>
          </reference>
        </references>
      </pivotArea>
    </chartFormat>
    <chartFormat chart="0" format="8">
      <pivotArea type="data" outline="0" fieldPosition="0">
        <references count="3">
          <reference field="4294967294" count="1" selected="0">
            <x v="0"/>
          </reference>
          <reference field="0" count="1" selected="0">
            <x v="0"/>
          </reference>
          <reference field="7" count="1" selected="0">
            <x v="7"/>
          </reference>
        </references>
      </pivotArea>
    </chartFormat>
    <chartFormat chart="0" format="9">
      <pivotArea type="data" outline="0" fieldPosition="0">
        <references count="3">
          <reference field="4294967294" count="1" selected="0">
            <x v="0"/>
          </reference>
          <reference field="0" count="1" selected="0">
            <x v="0"/>
          </reference>
          <reference field="7" count="1" selected="0">
            <x v="8"/>
          </reference>
        </references>
      </pivotArea>
    </chartFormat>
    <chartFormat chart="0" format="10">
      <pivotArea type="data" outline="0" fieldPosition="0">
        <references count="3">
          <reference field="4294967294" count="1" selected="0">
            <x v="0"/>
          </reference>
          <reference field="0" count="1" selected="0">
            <x v="0"/>
          </reference>
          <reference field="7" count="1" selected="0">
            <x v="9"/>
          </reference>
        </references>
      </pivotArea>
    </chartFormat>
    <chartFormat chart="0" format="11">
      <pivotArea type="data" outline="0" fieldPosition="0">
        <references count="3">
          <reference field="4294967294" count="1" selected="0">
            <x v="0"/>
          </reference>
          <reference field="0" count="1" selected="0">
            <x v="0"/>
          </reference>
          <reference field="7" count="1" selected="0">
            <x v="10"/>
          </reference>
        </references>
      </pivotArea>
    </chartFormat>
    <chartFormat chart="0" format="12">
      <pivotArea type="data" outline="0" fieldPosition="0">
        <references count="3">
          <reference field="4294967294" count="1" selected="0">
            <x v="0"/>
          </reference>
          <reference field="0" count="1" selected="0">
            <x v="0"/>
          </reference>
          <reference field="7" count="1" selected="0">
            <x v="11"/>
          </reference>
        </references>
      </pivotArea>
    </chartFormat>
    <chartFormat chart="0" format="13">
      <pivotArea type="data" outline="0" fieldPosition="0">
        <references count="3">
          <reference field="4294967294" count="1" selected="0">
            <x v="0"/>
          </reference>
          <reference field="0" count="1" selected="0">
            <x v="0"/>
          </reference>
          <reference field="7" count="1" selected="0">
            <x v="12"/>
          </reference>
        </references>
      </pivotArea>
    </chartFormat>
    <chartFormat chart="0" format="14">
      <pivotArea type="data" outline="0" fieldPosition="0">
        <references count="3">
          <reference field="4294967294" count="1" selected="0">
            <x v="0"/>
          </reference>
          <reference field="0" count="1" selected="0">
            <x v="0"/>
          </reference>
          <reference field="7" count="1" selected="0">
            <x v="13"/>
          </reference>
        </references>
      </pivotArea>
    </chartFormat>
    <chartFormat chart="0" format="15">
      <pivotArea type="data" outline="0" fieldPosition="0">
        <references count="3">
          <reference field="4294967294" count="1" selected="0">
            <x v="0"/>
          </reference>
          <reference field="0" count="1" selected="0">
            <x v="0"/>
          </reference>
          <reference field="7" count="1" selected="0">
            <x v="14"/>
          </reference>
        </references>
      </pivotArea>
    </chartFormat>
    <chartFormat chart="0" format="16">
      <pivotArea type="data" outline="0" fieldPosition="0">
        <references count="3">
          <reference field="4294967294" count="1" selected="0">
            <x v="0"/>
          </reference>
          <reference field="0" count="1" selected="0">
            <x v="0"/>
          </reference>
          <reference field="7" count="1" selected="0">
            <x v="15"/>
          </reference>
        </references>
      </pivotArea>
    </chartFormat>
    <chartFormat chart="0" format="17">
      <pivotArea type="data" outline="0" fieldPosition="0">
        <references count="3">
          <reference field="4294967294" count="1" selected="0">
            <x v="0"/>
          </reference>
          <reference field="0" count="1" selected="0">
            <x v="0"/>
          </reference>
          <reference field="7" count="1" selected="0">
            <x v="16"/>
          </reference>
        </references>
      </pivotArea>
    </chartFormat>
    <chartFormat chart="0" format="18">
      <pivotArea type="data" outline="0" fieldPosition="0">
        <references count="3">
          <reference field="4294967294" count="1" selected="0">
            <x v="0"/>
          </reference>
          <reference field="0" count="1" selected="0">
            <x v="0"/>
          </reference>
          <reference field="7" count="1" selected="0">
            <x v="18"/>
          </reference>
        </references>
      </pivotArea>
    </chartFormat>
    <chartFormat chart="0" format="19">
      <pivotArea type="data" outline="0" fieldPosition="0">
        <references count="3">
          <reference field="4294967294" count="1" selected="0">
            <x v="0"/>
          </reference>
          <reference field="0" count="1" selected="0">
            <x v="0"/>
          </reference>
          <reference field="7" count="1" selected="0">
            <x v="19"/>
          </reference>
        </references>
      </pivotArea>
    </chartFormat>
    <chartFormat chart="0" format="20">
      <pivotArea type="data" outline="0" fieldPosition="0">
        <references count="3">
          <reference field="4294967294" count="1" selected="0">
            <x v="0"/>
          </reference>
          <reference field="0" count="1" selected="0">
            <x v="0"/>
          </reference>
          <reference field="7" count="1" selected="0">
            <x v="21"/>
          </reference>
        </references>
      </pivotArea>
    </chartFormat>
    <chartFormat chart="0" format="21">
      <pivotArea type="data" outline="0" fieldPosition="0">
        <references count="3">
          <reference field="4294967294" count="1" selected="0">
            <x v="0"/>
          </reference>
          <reference field="0" count="1" selected="0">
            <x v="0"/>
          </reference>
          <reference field="7" count="1" selected="0">
            <x v="22"/>
          </reference>
        </references>
      </pivotArea>
    </chartFormat>
    <chartFormat chart="0" format="22">
      <pivotArea type="data" outline="0" fieldPosition="0">
        <references count="3">
          <reference field="4294967294" count="1" selected="0">
            <x v="0"/>
          </reference>
          <reference field="0" count="1" selected="0">
            <x v="0"/>
          </reference>
          <reference field="7" count="1" selected="0">
            <x v="23"/>
          </reference>
        </references>
      </pivotArea>
    </chartFormat>
    <chartFormat chart="0" format="23">
      <pivotArea type="data" outline="0" fieldPosition="0">
        <references count="3">
          <reference field="4294967294" count="1" selected="0">
            <x v="0"/>
          </reference>
          <reference field="0" count="1" selected="0">
            <x v="0"/>
          </reference>
          <reference field="7" count="1" selected="0">
            <x v="24"/>
          </reference>
        </references>
      </pivotArea>
    </chartFormat>
    <chartFormat chart="0" format="24">
      <pivotArea type="data" outline="0" fieldPosition="0">
        <references count="3">
          <reference field="4294967294" count="1" selected="0">
            <x v="0"/>
          </reference>
          <reference field="0" count="1" selected="0">
            <x v="0"/>
          </reference>
          <reference field="7" count="1" selected="0">
            <x v="25"/>
          </reference>
        </references>
      </pivotArea>
    </chartFormat>
    <chartFormat chart="0" format="25">
      <pivotArea type="data" outline="0" fieldPosition="0">
        <references count="3">
          <reference field="4294967294" count="1" selected="0">
            <x v="0"/>
          </reference>
          <reference field="0" count="1" selected="0">
            <x v="0"/>
          </reference>
          <reference field="7" count="1" selected="0">
            <x v="26"/>
          </reference>
        </references>
      </pivotArea>
    </chartFormat>
    <chartFormat chart="0" format="26">
      <pivotArea type="data" outline="0" fieldPosition="0">
        <references count="3">
          <reference field="4294967294" count="1" selected="0">
            <x v="0"/>
          </reference>
          <reference field="0" count="1" selected="0">
            <x v="0"/>
          </reference>
          <reference field="7" count="1" selected="0">
            <x v="28"/>
          </reference>
        </references>
      </pivotArea>
    </chartFormat>
    <chartFormat chart="0" format="27">
      <pivotArea type="data" outline="0" fieldPosition="0">
        <references count="3">
          <reference field="4294967294" count="1" selected="0">
            <x v="0"/>
          </reference>
          <reference field="0" count="1" selected="0">
            <x v="0"/>
          </reference>
          <reference field="7" count="1" selected="0">
            <x v="29"/>
          </reference>
        </references>
      </pivotArea>
    </chartFormat>
    <chartFormat chart="0" format="28">
      <pivotArea type="data" outline="0" fieldPosition="0">
        <references count="3">
          <reference field="4294967294" count="1" selected="0">
            <x v="0"/>
          </reference>
          <reference field="0" count="1" selected="0">
            <x v="0"/>
          </reference>
          <reference field="7" count="1" selected="0">
            <x v="30"/>
          </reference>
        </references>
      </pivotArea>
    </chartFormat>
    <chartFormat chart="0" format="29">
      <pivotArea type="data" outline="0" fieldPosition="0">
        <references count="3">
          <reference field="4294967294" count="1" selected="0">
            <x v="0"/>
          </reference>
          <reference field="0" count="1" selected="0">
            <x v="0"/>
          </reference>
          <reference field="7" count="1" selected="0">
            <x v="31"/>
          </reference>
        </references>
      </pivotArea>
    </chartFormat>
    <chartFormat chart="0" format="30">
      <pivotArea type="data" outline="0" fieldPosition="0">
        <references count="3">
          <reference field="4294967294" count="1" selected="0">
            <x v="0"/>
          </reference>
          <reference field="0" count="1" selected="0">
            <x v="0"/>
          </reference>
          <reference field="7" count="1" selected="0">
            <x v="32"/>
          </reference>
        </references>
      </pivotArea>
    </chartFormat>
    <chartFormat chart="0" format="31">
      <pivotArea type="data" outline="0" fieldPosition="0">
        <references count="3">
          <reference field="4294967294" count="1" selected="0">
            <x v="0"/>
          </reference>
          <reference field="0" count="1" selected="0">
            <x v="0"/>
          </reference>
          <reference field="7" count="1" selected="0">
            <x v="35"/>
          </reference>
        </references>
      </pivotArea>
    </chartFormat>
    <chartFormat chart="0" format="32">
      <pivotArea type="data" outline="0" fieldPosition="0">
        <references count="3">
          <reference field="4294967294" count="1" selected="0">
            <x v="0"/>
          </reference>
          <reference field="0" count="1" selected="0">
            <x v="0"/>
          </reference>
          <reference field="7" count="1" selected="0">
            <x v="36"/>
          </reference>
        </references>
      </pivotArea>
    </chartFormat>
    <chartFormat chart="0" format="33">
      <pivotArea type="data" outline="0" fieldPosition="0">
        <references count="3">
          <reference field="4294967294" count="1" selected="0">
            <x v="0"/>
          </reference>
          <reference field="0" count="1" selected="0">
            <x v="0"/>
          </reference>
          <reference field="7" count="1" selected="0">
            <x v="37"/>
          </reference>
        </references>
      </pivotArea>
    </chartFormat>
    <chartFormat chart="0" format="34">
      <pivotArea type="data" outline="0" fieldPosition="0">
        <references count="3">
          <reference field="4294967294" count="1" selected="0">
            <x v="0"/>
          </reference>
          <reference field="0" count="1" selected="0">
            <x v="0"/>
          </reference>
          <reference field="7" count="1" selected="0">
            <x v="40"/>
          </reference>
        </references>
      </pivotArea>
    </chartFormat>
    <chartFormat chart="0" format="35">
      <pivotArea type="data" outline="0" fieldPosition="0">
        <references count="3">
          <reference field="4294967294" count="1" selected="0">
            <x v="0"/>
          </reference>
          <reference field="0" count="1" selected="0">
            <x v="0"/>
          </reference>
          <reference field="7" count="1" selected="0">
            <x v="41"/>
          </reference>
        </references>
      </pivotArea>
    </chartFormat>
    <chartFormat chart="0" format="36">
      <pivotArea type="data" outline="0" fieldPosition="0">
        <references count="3">
          <reference field="4294967294" count="1" selected="0">
            <x v="0"/>
          </reference>
          <reference field="0" count="1" selected="0">
            <x v="0"/>
          </reference>
          <reference field="7" count="1" selected="0">
            <x v="43"/>
          </reference>
        </references>
      </pivotArea>
    </chartFormat>
    <chartFormat chart="0" format="37">
      <pivotArea type="data" outline="0" fieldPosition="0">
        <references count="3">
          <reference field="4294967294" count="1" selected="0">
            <x v="0"/>
          </reference>
          <reference field="0" count="1" selected="0">
            <x v="0"/>
          </reference>
          <reference field="7" count="1" selected="0">
            <x v="45"/>
          </reference>
        </references>
      </pivotArea>
    </chartFormat>
    <chartFormat chart="0" format="38">
      <pivotArea type="data" outline="0" fieldPosition="0">
        <references count="3">
          <reference field="4294967294" count="1" selected="0">
            <x v="0"/>
          </reference>
          <reference field="0" count="1" selected="0">
            <x v="0"/>
          </reference>
          <reference field="7" count="1" selected="0">
            <x v="46"/>
          </reference>
        </references>
      </pivotArea>
    </chartFormat>
    <chartFormat chart="0" format="39">
      <pivotArea type="data" outline="0" fieldPosition="0">
        <references count="3">
          <reference field="4294967294" count="1" selected="0">
            <x v="0"/>
          </reference>
          <reference field="0" count="1" selected="0">
            <x v="0"/>
          </reference>
          <reference field="7" count="1" selected="0">
            <x v="51"/>
          </reference>
        </references>
      </pivotArea>
    </chartFormat>
    <chartFormat chart="0" format="40">
      <pivotArea type="data" outline="0" fieldPosition="0">
        <references count="3">
          <reference field="4294967294" count="1" selected="0">
            <x v="0"/>
          </reference>
          <reference field="0" count="1" selected="0">
            <x v="0"/>
          </reference>
          <reference field="7" count="1" selected="0">
            <x v="53"/>
          </reference>
        </references>
      </pivotArea>
    </chartFormat>
    <chartFormat chart="0" format="41">
      <pivotArea type="data" outline="0" fieldPosition="0">
        <references count="3">
          <reference field="4294967294" count="1" selected="0">
            <x v="0"/>
          </reference>
          <reference field="0" count="1" selected="0">
            <x v="0"/>
          </reference>
          <reference field="7" count="1" selected="0">
            <x v="54"/>
          </reference>
        </references>
      </pivotArea>
    </chartFormat>
    <chartFormat chart="0" format="42">
      <pivotArea type="data" outline="0" fieldPosition="0">
        <references count="3">
          <reference field="4294967294" count="1" selected="0">
            <x v="0"/>
          </reference>
          <reference field="0" count="1" selected="0">
            <x v="0"/>
          </reference>
          <reference field="7" count="1" selected="0">
            <x v="55"/>
          </reference>
        </references>
      </pivotArea>
    </chartFormat>
    <chartFormat chart="0" format="43">
      <pivotArea type="data" outline="0" fieldPosition="0">
        <references count="3">
          <reference field="4294967294" count="1" selected="0">
            <x v="0"/>
          </reference>
          <reference field="0" count="1" selected="0">
            <x v="0"/>
          </reference>
          <reference field="7" count="1" selected="0">
            <x v="57"/>
          </reference>
        </references>
      </pivotArea>
    </chartFormat>
    <chartFormat chart="0" format="44">
      <pivotArea type="data" outline="0" fieldPosition="0">
        <references count="3">
          <reference field="4294967294" count="1" selected="0">
            <x v="0"/>
          </reference>
          <reference field="0" count="1" selected="0">
            <x v="0"/>
          </reference>
          <reference field="7" count="1" selected="0">
            <x v="58"/>
          </reference>
        </references>
      </pivotArea>
    </chartFormat>
    <chartFormat chart="0" format="45">
      <pivotArea type="data" outline="0" fieldPosition="0">
        <references count="3">
          <reference field="4294967294" count="1" selected="0">
            <x v="0"/>
          </reference>
          <reference field="0" count="1" selected="0">
            <x v="0"/>
          </reference>
          <reference field="7" count="1" selected="0">
            <x v="59"/>
          </reference>
        </references>
      </pivotArea>
    </chartFormat>
    <chartFormat chart="0" format="46">
      <pivotArea type="data" outline="0" fieldPosition="0">
        <references count="3">
          <reference field="4294967294" count="1" selected="0">
            <x v="0"/>
          </reference>
          <reference field="0" count="1" selected="0">
            <x v="0"/>
          </reference>
          <reference field="7" count="1" selected="0">
            <x v="60"/>
          </reference>
        </references>
      </pivotArea>
    </chartFormat>
    <chartFormat chart="0" format="47">
      <pivotArea type="data" outline="0" fieldPosition="0">
        <references count="3">
          <reference field="4294967294" count="1" selected="0">
            <x v="0"/>
          </reference>
          <reference field="0" count="1" selected="0">
            <x v="0"/>
          </reference>
          <reference field="7" count="1" selected="0">
            <x v="61"/>
          </reference>
        </references>
      </pivotArea>
    </chartFormat>
    <chartFormat chart="0" format="48">
      <pivotArea type="data" outline="0" fieldPosition="0">
        <references count="3">
          <reference field="4294967294" count="1" selected="0">
            <x v="0"/>
          </reference>
          <reference field="0" count="1" selected="0">
            <x v="0"/>
          </reference>
          <reference field="7" count="1" selected="0">
            <x v="63"/>
          </reference>
        </references>
      </pivotArea>
    </chartFormat>
    <chartFormat chart="0" format="49">
      <pivotArea type="data" outline="0" fieldPosition="0">
        <references count="3">
          <reference field="4294967294" count="1" selected="0">
            <x v="0"/>
          </reference>
          <reference field="0" count="1" selected="0">
            <x v="0"/>
          </reference>
          <reference field="7" count="1" selected="0">
            <x v="64"/>
          </reference>
        </references>
      </pivotArea>
    </chartFormat>
    <chartFormat chart="0" format="50">
      <pivotArea type="data" outline="0" fieldPosition="0">
        <references count="3">
          <reference field="4294967294" count="1" selected="0">
            <x v="0"/>
          </reference>
          <reference field="0" count="1" selected="0">
            <x v="0"/>
          </reference>
          <reference field="7" count="1" selected="0">
            <x v="65"/>
          </reference>
        </references>
      </pivotArea>
    </chartFormat>
    <chartFormat chart="0" format="51">
      <pivotArea type="data" outline="0" fieldPosition="0">
        <references count="3">
          <reference field="4294967294" count="1" selected="0">
            <x v="0"/>
          </reference>
          <reference field="0" count="1" selected="0">
            <x v="0"/>
          </reference>
          <reference field="7" count="1" selected="0">
            <x v="66"/>
          </reference>
        </references>
      </pivotArea>
    </chartFormat>
    <chartFormat chart="0" format="52">
      <pivotArea type="data" outline="0" fieldPosition="0">
        <references count="3">
          <reference field="4294967294" count="1" selected="0">
            <x v="0"/>
          </reference>
          <reference field="0" count="1" selected="0">
            <x v="0"/>
          </reference>
          <reference field="7" count="1" selected="0">
            <x v="67"/>
          </reference>
        </references>
      </pivotArea>
    </chartFormat>
    <chartFormat chart="0" format="53">
      <pivotArea type="data" outline="0" fieldPosition="0">
        <references count="3">
          <reference field="4294967294" count="1" selected="0">
            <x v="0"/>
          </reference>
          <reference field="0" count="1" selected="0">
            <x v="0"/>
          </reference>
          <reference field="7" count="1" selected="0">
            <x v="68"/>
          </reference>
        </references>
      </pivotArea>
    </chartFormat>
    <chartFormat chart="0" format="54">
      <pivotArea type="data" outline="0" fieldPosition="0">
        <references count="3">
          <reference field="4294967294" count="1" selected="0">
            <x v="0"/>
          </reference>
          <reference field="0" count="1" selected="0">
            <x v="0"/>
          </reference>
          <reference field="7" count="1" selected="0">
            <x v="69"/>
          </reference>
        </references>
      </pivotArea>
    </chartFormat>
    <chartFormat chart="0" format="55">
      <pivotArea type="data" outline="0" fieldPosition="0">
        <references count="3">
          <reference field="4294967294" count="1" selected="0">
            <x v="0"/>
          </reference>
          <reference field="0" count="1" selected="0">
            <x v="0"/>
          </reference>
          <reference field="7" count="1" selected="0">
            <x v="72"/>
          </reference>
        </references>
      </pivotArea>
    </chartFormat>
    <chartFormat chart="0" format="56">
      <pivotArea type="data" outline="0" fieldPosition="0">
        <references count="3">
          <reference field="4294967294" count="1" selected="0">
            <x v="0"/>
          </reference>
          <reference field="0" count="1" selected="0">
            <x v="0"/>
          </reference>
          <reference field="7" count="1" selected="0">
            <x v="73"/>
          </reference>
        </references>
      </pivotArea>
    </chartFormat>
    <chartFormat chart="0" format="57">
      <pivotArea type="data" outline="0" fieldPosition="0">
        <references count="3">
          <reference field="4294967294" count="1" selected="0">
            <x v="0"/>
          </reference>
          <reference field="0" count="1" selected="0">
            <x v="0"/>
          </reference>
          <reference field="7" count="1" selected="0">
            <x v="74"/>
          </reference>
        </references>
      </pivotArea>
    </chartFormat>
    <chartFormat chart="0" format="58">
      <pivotArea type="data" outline="0" fieldPosition="0">
        <references count="3">
          <reference field="4294967294" count="1" selected="0">
            <x v="0"/>
          </reference>
          <reference field="0" count="1" selected="0">
            <x v="0"/>
          </reference>
          <reference field="7" count="1" selected="0">
            <x v="75"/>
          </reference>
        </references>
      </pivotArea>
    </chartFormat>
    <chartFormat chart="0" format="59">
      <pivotArea type="data" outline="0" fieldPosition="0">
        <references count="3">
          <reference field="4294967294" count="1" selected="0">
            <x v="0"/>
          </reference>
          <reference field="0" count="1" selected="0">
            <x v="0"/>
          </reference>
          <reference field="7" count="1" selected="0">
            <x v="78"/>
          </reference>
        </references>
      </pivotArea>
    </chartFormat>
    <chartFormat chart="0" format="60">
      <pivotArea type="data" outline="0" fieldPosition="0">
        <references count="3">
          <reference field="4294967294" count="1" selected="0">
            <x v="0"/>
          </reference>
          <reference field="0" count="1" selected="0">
            <x v="0"/>
          </reference>
          <reference field="7" count="1" selected="0">
            <x v="79"/>
          </reference>
        </references>
      </pivotArea>
    </chartFormat>
    <chartFormat chart="0" format="61">
      <pivotArea type="data" outline="0" fieldPosition="0">
        <references count="3">
          <reference field="4294967294" count="1" selected="0">
            <x v="0"/>
          </reference>
          <reference field="0" count="1" selected="0">
            <x v="0"/>
          </reference>
          <reference field="7" count="1" selected="0">
            <x v="80"/>
          </reference>
        </references>
      </pivotArea>
    </chartFormat>
    <chartFormat chart="0" format="62">
      <pivotArea type="data" outline="0" fieldPosition="0">
        <references count="3">
          <reference field="4294967294" count="1" selected="0">
            <x v="0"/>
          </reference>
          <reference field="0" count="1" selected="0">
            <x v="0"/>
          </reference>
          <reference field="7" count="1" selected="0">
            <x v="81"/>
          </reference>
        </references>
      </pivotArea>
    </chartFormat>
    <chartFormat chart="0" format="63">
      <pivotArea type="data" outline="0" fieldPosition="0">
        <references count="3">
          <reference field="4294967294" count="1" selected="0">
            <x v="0"/>
          </reference>
          <reference field="0" count="1" selected="0">
            <x v="0"/>
          </reference>
          <reference field="7" count="1" selected="0">
            <x v="82"/>
          </reference>
        </references>
      </pivotArea>
    </chartFormat>
    <chartFormat chart="0" format="64">
      <pivotArea type="data" outline="0" fieldPosition="0">
        <references count="3">
          <reference field="4294967294" count="1" selected="0">
            <x v="0"/>
          </reference>
          <reference field="0" count="1" selected="0">
            <x v="0"/>
          </reference>
          <reference field="7" count="1" selected="0">
            <x v="83"/>
          </reference>
        </references>
      </pivotArea>
    </chartFormat>
    <chartFormat chart="0" format="65">
      <pivotArea type="data" outline="0" fieldPosition="0">
        <references count="3">
          <reference field="4294967294" count="1" selected="0">
            <x v="0"/>
          </reference>
          <reference field="0" count="1" selected="0">
            <x v="0"/>
          </reference>
          <reference field="7" count="1" selected="0">
            <x v="84"/>
          </reference>
        </references>
      </pivotArea>
    </chartFormat>
    <chartFormat chart="0" format="66">
      <pivotArea type="data" outline="0" fieldPosition="0">
        <references count="3">
          <reference field="4294967294" count="1" selected="0">
            <x v="0"/>
          </reference>
          <reference field="0" count="1" selected="0">
            <x v="0"/>
          </reference>
          <reference field="7" count="1" selected="0">
            <x v="85"/>
          </reference>
        </references>
      </pivotArea>
    </chartFormat>
    <chartFormat chart="0" format="67">
      <pivotArea type="data" outline="0" fieldPosition="0">
        <references count="3">
          <reference field="4294967294" count="1" selected="0">
            <x v="0"/>
          </reference>
          <reference field="0" count="1" selected="0">
            <x v="0"/>
          </reference>
          <reference field="7" count="1" selected="0">
            <x v="87"/>
          </reference>
        </references>
      </pivotArea>
    </chartFormat>
    <chartFormat chart="0" format="68">
      <pivotArea type="data" outline="0" fieldPosition="0">
        <references count="3">
          <reference field="4294967294" count="1" selected="0">
            <x v="0"/>
          </reference>
          <reference field="0" count="1" selected="0">
            <x v="0"/>
          </reference>
          <reference field="7" count="1" selected="0">
            <x v="88"/>
          </reference>
        </references>
      </pivotArea>
    </chartFormat>
    <chartFormat chart="0" format="69">
      <pivotArea type="data" outline="0" fieldPosition="0">
        <references count="3">
          <reference field="4294967294" count="1" selected="0">
            <x v="0"/>
          </reference>
          <reference field="0" count="1" selected="0">
            <x v="0"/>
          </reference>
          <reference field="7" count="1" selected="0">
            <x v="89"/>
          </reference>
        </references>
      </pivotArea>
    </chartFormat>
    <chartFormat chart="0" format="70">
      <pivotArea type="data" outline="0" fieldPosition="0">
        <references count="3">
          <reference field="4294967294" count="1" selected="0">
            <x v="0"/>
          </reference>
          <reference field="0" count="1" selected="0">
            <x v="0"/>
          </reference>
          <reference field="7" count="1" selected="0">
            <x v="90"/>
          </reference>
        </references>
      </pivotArea>
    </chartFormat>
    <chartFormat chart="0" format="71">
      <pivotArea type="data" outline="0" fieldPosition="0">
        <references count="3">
          <reference field="4294967294" count="1" selected="0">
            <x v="0"/>
          </reference>
          <reference field="0" count="1" selected="0">
            <x v="0"/>
          </reference>
          <reference field="7" count="1" selected="0">
            <x v="91"/>
          </reference>
        </references>
      </pivotArea>
    </chartFormat>
    <chartFormat chart="0" format="72">
      <pivotArea type="data" outline="0" fieldPosition="0">
        <references count="3">
          <reference field="4294967294" count="1" selected="0">
            <x v="0"/>
          </reference>
          <reference field="0" count="1" selected="0">
            <x v="0"/>
          </reference>
          <reference field="7" count="1" selected="0">
            <x v="92"/>
          </reference>
        </references>
      </pivotArea>
    </chartFormat>
    <chartFormat chart="0" format="73">
      <pivotArea type="data" outline="0" fieldPosition="0">
        <references count="3">
          <reference field="4294967294" count="1" selected="0">
            <x v="0"/>
          </reference>
          <reference field="0" count="1" selected="0">
            <x v="0"/>
          </reference>
          <reference field="7" count="1" selected="0">
            <x v="93"/>
          </reference>
        </references>
      </pivotArea>
    </chartFormat>
    <chartFormat chart="0" format="74">
      <pivotArea type="data" outline="0" fieldPosition="0">
        <references count="3">
          <reference field="4294967294" count="1" selected="0">
            <x v="0"/>
          </reference>
          <reference field="0" count="1" selected="0">
            <x v="0"/>
          </reference>
          <reference field="7" count="1" selected="0">
            <x v="94"/>
          </reference>
        </references>
      </pivotArea>
    </chartFormat>
    <chartFormat chart="0" format="75">
      <pivotArea type="data" outline="0" fieldPosition="0">
        <references count="3">
          <reference field="4294967294" count="1" selected="0">
            <x v="0"/>
          </reference>
          <reference field="0" count="1" selected="0">
            <x v="0"/>
          </reference>
          <reference field="7" count="1" selected="0">
            <x v="95"/>
          </reference>
        </references>
      </pivotArea>
    </chartFormat>
    <chartFormat chart="0" format="76">
      <pivotArea type="data" outline="0" fieldPosition="0">
        <references count="3">
          <reference field="4294967294" count="1" selected="0">
            <x v="0"/>
          </reference>
          <reference field="0" count="1" selected="0">
            <x v="0"/>
          </reference>
          <reference field="7" count="1" selected="0">
            <x v="96"/>
          </reference>
        </references>
      </pivotArea>
    </chartFormat>
    <chartFormat chart="0" format="77">
      <pivotArea type="data" outline="0" fieldPosition="0">
        <references count="3">
          <reference field="4294967294" count="1" selected="0">
            <x v="0"/>
          </reference>
          <reference field="0" count="1" selected="0">
            <x v="0"/>
          </reference>
          <reference field="7" count="1" selected="0">
            <x v="97"/>
          </reference>
        </references>
      </pivotArea>
    </chartFormat>
    <chartFormat chart="0" format="78">
      <pivotArea type="data" outline="0" fieldPosition="0">
        <references count="3">
          <reference field="4294967294" count="1" selected="0">
            <x v="0"/>
          </reference>
          <reference field="0" count="1" selected="0">
            <x v="0"/>
          </reference>
          <reference field="7" count="1" selected="0">
            <x v="99"/>
          </reference>
        </references>
      </pivotArea>
    </chartFormat>
    <chartFormat chart="0" format="79">
      <pivotArea type="data" outline="0" fieldPosition="0">
        <references count="3">
          <reference field="4294967294" count="1" selected="0">
            <x v="0"/>
          </reference>
          <reference field="0" count="1" selected="0">
            <x v="0"/>
          </reference>
          <reference field="7" count="1" selected="0">
            <x v="101"/>
          </reference>
        </references>
      </pivotArea>
    </chartFormat>
    <chartFormat chart="0" format="80">
      <pivotArea type="data" outline="0" fieldPosition="0">
        <references count="3">
          <reference field="4294967294" count="1" selected="0">
            <x v="0"/>
          </reference>
          <reference field="0" count="1" selected="0">
            <x v="0"/>
          </reference>
          <reference field="7" count="1" selected="0">
            <x v="102"/>
          </reference>
        </references>
      </pivotArea>
    </chartFormat>
    <chartFormat chart="0" format="81">
      <pivotArea type="data" outline="0" fieldPosition="0">
        <references count="3">
          <reference field="4294967294" count="1" selected="0">
            <x v="0"/>
          </reference>
          <reference field="0" count="1" selected="0">
            <x v="0"/>
          </reference>
          <reference field="7" count="1" selected="0">
            <x v="103"/>
          </reference>
        </references>
      </pivotArea>
    </chartFormat>
    <chartFormat chart="0" format="82">
      <pivotArea type="data" outline="0" fieldPosition="0">
        <references count="3">
          <reference field="4294967294" count="1" selected="0">
            <x v="0"/>
          </reference>
          <reference field="0" count="1" selected="0">
            <x v="0"/>
          </reference>
          <reference field="7" count="1" selected="0">
            <x v="104"/>
          </reference>
        </references>
      </pivotArea>
    </chartFormat>
    <chartFormat chart="0" format="83">
      <pivotArea type="data" outline="0" fieldPosition="0">
        <references count="3">
          <reference field="4294967294" count="1" selected="0">
            <x v="0"/>
          </reference>
          <reference field="0" count="1" selected="0">
            <x v="0"/>
          </reference>
          <reference field="7" count="1" selected="0">
            <x v="105"/>
          </reference>
        </references>
      </pivotArea>
    </chartFormat>
    <chartFormat chart="0" format="84">
      <pivotArea type="data" outline="0" fieldPosition="0">
        <references count="3">
          <reference field="4294967294" count="1" selected="0">
            <x v="0"/>
          </reference>
          <reference field="0" count="1" selected="0">
            <x v="0"/>
          </reference>
          <reference field="7" count="1" selected="0">
            <x v="106"/>
          </reference>
        </references>
      </pivotArea>
    </chartFormat>
    <chartFormat chart="0" format="85">
      <pivotArea type="data" outline="0" fieldPosition="0">
        <references count="3">
          <reference field="4294967294" count="1" selected="0">
            <x v="0"/>
          </reference>
          <reference field="0" count="1" selected="0">
            <x v="0"/>
          </reference>
          <reference field="7" count="1" selected="0">
            <x v="109"/>
          </reference>
        </references>
      </pivotArea>
    </chartFormat>
    <chartFormat chart="0" format="86">
      <pivotArea type="data" outline="0" fieldPosition="0">
        <references count="3">
          <reference field="4294967294" count="1" selected="0">
            <x v="0"/>
          </reference>
          <reference field="0" count="1" selected="0">
            <x v="0"/>
          </reference>
          <reference field="7" count="1" selected="0">
            <x v="110"/>
          </reference>
        </references>
      </pivotArea>
    </chartFormat>
    <chartFormat chart="0" format="87">
      <pivotArea type="data" outline="0" fieldPosition="0">
        <references count="3">
          <reference field="4294967294" count="1" selected="0">
            <x v="0"/>
          </reference>
          <reference field="0" count="1" selected="0">
            <x v="0"/>
          </reference>
          <reference field="7" count="1" selected="0">
            <x v="111"/>
          </reference>
        </references>
      </pivotArea>
    </chartFormat>
    <chartFormat chart="0" format="88">
      <pivotArea type="data" outline="0" fieldPosition="0">
        <references count="3">
          <reference field="4294967294" count="1" selected="0">
            <x v="0"/>
          </reference>
          <reference field="0" count="1" selected="0">
            <x v="0"/>
          </reference>
          <reference field="7" count="1" selected="0">
            <x v="114"/>
          </reference>
        </references>
      </pivotArea>
    </chartFormat>
    <chartFormat chart="0" format="89">
      <pivotArea type="data" outline="0" fieldPosition="0">
        <references count="3">
          <reference field="4294967294" count="1" selected="0">
            <x v="0"/>
          </reference>
          <reference field="0" count="1" selected="0">
            <x v="0"/>
          </reference>
          <reference field="7" count="1" selected="0">
            <x v="115"/>
          </reference>
        </references>
      </pivotArea>
    </chartFormat>
    <chartFormat chart="0" format="90">
      <pivotArea type="data" outline="0" fieldPosition="0">
        <references count="3">
          <reference field="4294967294" count="1" selected="0">
            <x v="0"/>
          </reference>
          <reference field="0" count="1" selected="0">
            <x v="0"/>
          </reference>
          <reference field="7" count="1" selected="0">
            <x v="117"/>
          </reference>
        </references>
      </pivotArea>
    </chartFormat>
    <chartFormat chart="0" format="91">
      <pivotArea type="data" outline="0" fieldPosition="0">
        <references count="3">
          <reference field="4294967294" count="1" selected="0">
            <x v="0"/>
          </reference>
          <reference field="0" count="1" selected="0">
            <x v="0"/>
          </reference>
          <reference field="7" count="1" selected="0">
            <x v="118"/>
          </reference>
        </references>
      </pivotArea>
    </chartFormat>
    <chartFormat chart="0" format="92">
      <pivotArea type="data" outline="0" fieldPosition="0">
        <references count="3">
          <reference field="4294967294" count="1" selected="0">
            <x v="0"/>
          </reference>
          <reference field="0" count="1" selected="0">
            <x v="0"/>
          </reference>
          <reference field="7" count="1" selected="0">
            <x v="119"/>
          </reference>
        </references>
      </pivotArea>
    </chartFormat>
    <chartFormat chart="0" format="93">
      <pivotArea type="data" outline="0" fieldPosition="0">
        <references count="3">
          <reference field="4294967294" count="1" selected="0">
            <x v="0"/>
          </reference>
          <reference field="0" count="1" selected="0">
            <x v="0"/>
          </reference>
          <reference field="7" count="1" selected="0">
            <x v="121"/>
          </reference>
        </references>
      </pivotArea>
    </chartFormat>
    <chartFormat chart="0" format="94">
      <pivotArea type="data" outline="0" fieldPosition="0">
        <references count="3">
          <reference field="4294967294" count="1" selected="0">
            <x v="0"/>
          </reference>
          <reference field="0" count="1" selected="0">
            <x v="0"/>
          </reference>
          <reference field="7" count="1" selected="0">
            <x v="123"/>
          </reference>
        </references>
      </pivotArea>
    </chartFormat>
    <chartFormat chart="0" format="95">
      <pivotArea type="data" outline="0" fieldPosition="0">
        <references count="3">
          <reference field="4294967294" count="1" selected="0">
            <x v="0"/>
          </reference>
          <reference field="0" count="1" selected="0">
            <x v="0"/>
          </reference>
          <reference field="7" count="1" selected="0">
            <x v="126"/>
          </reference>
        </references>
      </pivotArea>
    </chartFormat>
    <chartFormat chart="0" format="96">
      <pivotArea type="data" outline="0" fieldPosition="0">
        <references count="3">
          <reference field="4294967294" count="1" selected="0">
            <x v="0"/>
          </reference>
          <reference field="0" count="1" selected="0">
            <x v="0"/>
          </reference>
          <reference field="7" count="1" selected="0">
            <x v="127"/>
          </reference>
        </references>
      </pivotArea>
    </chartFormat>
    <chartFormat chart="0" format="97">
      <pivotArea type="data" outline="0" fieldPosition="0">
        <references count="3">
          <reference field="4294967294" count="1" selected="0">
            <x v="0"/>
          </reference>
          <reference field="0" count="1" selected="0">
            <x v="0"/>
          </reference>
          <reference field="7" count="1" selected="0">
            <x v="128"/>
          </reference>
        </references>
      </pivotArea>
    </chartFormat>
    <chartFormat chart="0" format="98">
      <pivotArea type="data" outline="0" fieldPosition="0">
        <references count="3">
          <reference field="4294967294" count="1" selected="0">
            <x v="0"/>
          </reference>
          <reference field="0" count="1" selected="0">
            <x v="0"/>
          </reference>
          <reference field="7" count="1" selected="0">
            <x v="129"/>
          </reference>
        </references>
      </pivotArea>
    </chartFormat>
    <chartFormat chart="0" format="99">
      <pivotArea type="data" outline="0" fieldPosition="0">
        <references count="3">
          <reference field="4294967294" count="1" selected="0">
            <x v="0"/>
          </reference>
          <reference field="0" count="1" selected="0">
            <x v="0"/>
          </reference>
          <reference field="7" count="1" selected="0">
            <x v="131"/>
          </reference>
        </references>
      </pivotArea>
    </chartFormat>
    <chartFormat chart="0" format="100">
      <pivotArea type="data" outline="0" fieldPosition="0">
        <references count="3">
          <reference field="4294967294" count="1" selected="0">
            <x v="0"/>
          </reference>
          <reference field="0" count="1" selected="0">
            <x v="0"/>
          </reference>
          <reference field="7" count="1" selected="0">
            <x v="132"/>
          </reference>
        </references>
      </pivotArea>
    </chartFormat>
    <chartFormat chart="0" format="101">
      <pivotArea type="data" outline="0" fieldPosition="0">
        <references count="3">
          <reference field="4294967294" count="1" selected="0">
            <x v="0"/>
          </reference>
          <reference field="0" count="1" selected="0">
            <x v="0"/>
          </reference>
          <reference field="7" count="1" selected="0">
            <x v="133"/>
          </reference>
        </references>
      </pivotArea>
    </chartFormat>
    <chartFormat chart="0" format="102">
      <pivotArea type="data" outline="0" fieldPosition="0">
        <references count="3">
          <reference field="4294967294" count="1" selected="0">
            <x v="0"/>
          </reference>
          <reference field="0" count="1" selected="0">
            <x v="0"/>
          </reference>
          <reference field="7" count="1" selected="0">
            <x v="134"/>
          </reference>
        </references>
      </pivotArea>
    </chartFormat>
    <chartFormat chart="0" format="103">
      <pivotArea type="data" outline="0" fieldPosition="0">
        <references count="3">
          <reference field="4294967294" count="1" selected="0">
            <x v="0"/>
          </reference>
          <reference field="0" count="1" selected="0">
            <x v="0"/>
          </reference>
          <reference field="7" count="1" selected="0">
            <x v="137"/>
          </reference>
        </references>
      </pivotArea>
    </chartFormat>
    <chartFormat chart="0" format="104">
      <pivotArea type="data" outline="0" fieldPosition="0">
        <references count="3">
          <reference field="4294967294" count="1" selected="0">
            <x v="0"/>
          </reference>
          <reference field="0" count="1" selected="0">
            <x v="0"/>
          </reference>
          <reference field="7" count="1" selected="0">
            <x v="139"/>
          </reference>
        </references>
      </pivotArea>
    </chartFormat>
    <chartFormat chart="0" format="105">
      <pivotArea type="data" outline="0" fieldPosition="0">
        <references count="3">
          <reference field="4294967294" count="1" selected="0">
            <x v="0"/>
          </reference>
          <reference field="0" count="1" selected="0">
            <x v="0"/>
          </reference>
          <reference field="7" count="1" selected="0">
            <x v="140"/>
          </reference>
        </references>
      </pivotArea>
    </chartFormat>
    <chartFormat chart="0" format="106">
      <pivotArea type="data" outline="0" fieldPosition="0">
        <references count="3">
          <reference field="4294967294" count="1" selected="0">
            <x v="0"/>
          </reference>
          <reference field="0" count="1" selected="0">
            <x v="0"/>
          </reference>
          <reference field="7" count="1" selected="0">
            <x v="141"/>
          </reference>
        </references>
      </pivotArea>
    </chartFormat>
    <chartFormat chart="0" format="107">
      <pivotArea type="data" outline="0" fieldPosition="0">
        <references count="3">
          <reference field="4294967294" count="1" selected="0">
            <x v="0"/>
          </reference>
          <reference field="0" count="1" selected="0">
            <x v="0"/>
          </reference>
          <reference field="7" count="1" selected="0">
            <x v="144"/>
          </reference>
        </references>
      </pivotArea>
    </chartFormat>
    <chartFormat chart="0" format="108">
      <pivotArea type="data" outline="0" fieldPosition="0">
        <references count="3">
          <reference field="4294967294" count="1" selected="0">
            <x v="0"/>
          </reference>
          <reference field="0" count="1" selected="0">
            <x v="0"/>
          </reference>
          <reference field="7" count="1" selected="0">
            <x v="145"/>
          </reference>
        </references>
      </pivotArea>
    </chartFormat>
    <chartFormat chart="0" format="109">
      <pivotArea type="data" outline="0" fieldPosition="0">
        <references count="3">
          <reference field="4294967294" count="1" selected="0">
            <x v="0"/>
          </reference>
          <reference field="0" count="1" selected="0">
            <x v="0"/>
          </reference>
          <reference field="7" count="1" selected="0">
            <x v="147"/>
          </reference>
        </references>
      </pivotArea>
    </chartFormat>
    <chartFormat chart="0" format="110">
      <pivotArea type="data" outline="0" fieldPosition="0">
        <references count="3">
          <reference field="4294967294" count="1" selected="0">
            <x v="0"/>
          </reference>
          <reference field="0" count="1" selected="0">
            <x v="0"/>
          </reference>
          <reference field="7" count="1" selected="0">
            <x v="148"/>
          </reference>
        </references>
      </pivotArea>
    </chartFormat>
    <chartFormat chart="0" format="111">
      <pivotArea type="data" outline="0" fieldPosition="0">
        <references count="3">
          <reference field="4294967294" count="1" selected="0">
            <x v="0"/>
          </reference>
          <reference field="0" count="1" selected="0">
            <x v="0"/>
          </reference>
          <reference field="7" count="1" selected="0">
            <x v="149"/>
          </reference>
        </references>
      </pivotArea>
    </chartFormat>
    <chartFormat chart="0" format="112">
      <pivotArea type="data" outline="0" fieldPosition="0">
        <references count="3">
          <reference field="4294967294" count="1" selected="0">
            <x v="0"/>
          </reference>
          <reference field="0" count="1" selected="0">
            <x v="0"/>
          </reference>
          <reference field="7" count="1" selected="0">
            <x v="150"/>
          </reference>
        </references>
      </pivotArea>
    </chartFormat>
    <chartFormat chart="0" format="113">
      <pivotArea type="data" outline="0" fieldPosition="0">
        <references count="3">
          <reference field="4294967294" count="1" selected="0">
            <x v="0"/>
          </reference>
          <reference field="0" count="1" selected="0">
            <x v="0"/>
          </reference>
          <reference field="7" count="1" selected="0">
            <x v="151"/>
          </reference>
        </references>
      </pivotArea>
    </chartFormat>
    <chartFormat chart="0" format="114">
      <pivotArea type="data" outline="0" fieldPosition="0">
        <references count="3">
          <reference field="4294967294" count="1" selected="0">
            <x v="0"/>
          </reference>
          <reference field="0" count="1" selected="0">
            <x v="0"/>
          </reference>
          <reference field="7" count="1" selected="0">
            <x v="152"/>
          </reference>
        </references>
      </pivotArea>
    </chartFormat>
    <chartFormat chart="0" format="115">
      <pivotArea type="data" outline="0" fieldPosition="0">
        <references count="3">
          <reference field="4294967294" count="1" selected="0">
            <x v="0"/>
          </reference>
          <reference field="0" count="1" selected="0">
            <x v="0"/>
          </reference>
          <reference field="7" count="1" selected="0">
            <x v="153"/>
          </reference>
        </references>
      </pivotArea>
    </chartFormat>
    <chartFormat chart="0" format="116">
      <pivotArea type="data" outline="0" fieldPosition="0">
        <references count="3">
          <reference field="4294967294" count="1" selected="0">
            <x v="0"/>
          </reference>
          <reference field="0" count="1" selected="0">
            <x v="0"/>
          </reference>
          <reference field="7" count="1" selected="0">
            <x v="155"/>
          </reference>
        </references>
      </pivotArea>
    </chartFormat>
    <chartFormat chart="0" format="117">
      <pivotArea type="data" outline="0" fieldPosition="0">
        <references count="3">
          <reference field="4294967294" count="1" selected="0">
            <x v="0"/>
          </reference>
          <reference field="0" count="1" selected="0">
            <x v="0"/>
          </reference>
          <reference field="7" count="1" selected="0">
            <x v="156"/>
          </reference>
        </references>
      </pivotArea>
    </chartFormat>
    <chartFormat chart="0" format="118">
      <pivotArea type="data" outline="0" fieldPosition="0">
        <references count="3">
          <reference field="4294967294" count="1" selected="0">
            <x v="0"/>
          </reference>
          <reference field="0" count="1" selected="0">
            <x v="0"/>
          </reference>
          <reference field="7" count="1" selected="0">
            <x v="157"/>
          </reference>
        </references>
      </pivotArea>
    </chartFormat>
    <chartFormat chart="0" format="119">
      <pivotArea type="data" outline="0" fieldPosition="0">
        <references count="3">
          <reference field="4294967294" count="1" selected="0">
            <x v="0"/>
          </reference>
          <reference field="0" count="1" selected="0">
            <x v="0"/>
          </reference>
          <reference field="7" count="1" selected="0">
            <x v="159"/>
          </reference>
        </references>
      </pivotArea>
    </chartFormat>
    <chartFormat chart="0" format="120">
      <pivotArea type="data" outline="0" fieldPosition="0">
        <references count="3">
          <reference field="4294967294" count="1" selected="0">
            <x v="0"/>
          </reference>
          <reference field="0" count="1" selected="0">
            <x v="0"/>
          </reference>
          <reference field="7" count="1" selected="0">
            <x v="160"/>
          </reference>
        </references>
      </pivotArea>
    </chartFormat>
    <chartFormat chart="0" format="121">
      <pivotArea type="data" outline="0" fieldPosition="0">
        <references count="3">
          <reference field="4294967294" count="1" selected="0">
            <x v="0"/>
          </reference>
          <reference field="0" count="1" selected="0">
            <x v="0"/>
          </reference>
          <reference field="7" count="1" selected="0">
            <x v="161"/>
          </reference>
        </references>
      </pivotArea>
    </chartFormat>
    <chartFormat chart="0" format="122">
      <pivotArea type="data" outline="0" fieldPosition="0">
        <references count="3">
          <reference field="4294967294" count="1" selected="0">
            <x v="0"/>
          </reference>
          <reference field="0" count="1" selected="0">
            <x v="0"/>
          </reference>
          <reference field="7" count="1" selected="0">
            <x v="162"/>
          </reference>
        </references>
      </pivotArea>
    </chartFormat>
    <chartFormat chart="0" format="123">
      <pivotArea type="data" outline="0" fieldPosition="0">
        <references count="3">
          <reference field="4294967294" count="1" selected="0">
            <x v="0"/>
          </reference>
          <reference field="0" count="1" selected="0">
            <x v="0"/>
          </reference>
          <reference field="7" count="1" selected="0">
            <x v="163"/>
          </reference>
        </references>
      </pivotArea>
    </chartFormat>
    <chartFormat chart="0" format="124">
      <pivotArea type="data" outline="0" fieldPosition="0">
        <references count="3">
          <reference field="4294967294" count="1" selected="0">
            <x v="0"/>
          </reference>
          <reference field="0" count="1" selected="0">
            <x v="0"/>
          </reference>
          <reference field="7" count="1" selected="0">
            <x v="164"/>
          </reference>
        </references>
      </pivotArea>
    </chartFormat>
    <chartFormat chart="0" format="125">
      <pivotArea type="data" outline="0" fieldPosition="0">
        <references count="3">
          <reference field="4294967294" count="1" selected="0">
            <x v="0"/>
          </reference>
          <reference field="0" count="1" selected="0">
            <x v="0"/>
          </reference>
          <reference field="7" count="1" selected="0">
            <x v="166"/>
          </reference>
        </references>
      </pivotArea>
    </chartFormat>
    <chartFormat chart="0" format="126">
      <pivotArea type="data" outline="0" fieldPosition="0">
        <references count="3">
          <reference field="4294967294" count="1" selected="0">
            <x v="0"/>
          </reference>
          <reference field="0" count="1" selected="0">
            <x v="0"/>
          </reference>
          <reference field="7" count="1" selected="0">
            <x v="167"/>
          </reference>
        </references>
      </pivotArea>
    </chartFormat>
    <chartFormat chart="0" format="127">
      <pivotArea type="data" outline="0" fieldPosition="0">
        <references count="3">
          <reference field="4294967294" count="1" selected="0">
            <x v="0"/>
          </reference>
          <reference field="0" count="1" selected="0">
            <x v="0"/>
          </reference>
          <reference field="7" count="1" selected="0">
            <x v="168"/>
          </reference>
        </references>
      </pivotArea>
    </chartFormat>
    <chartFormat chart="0" format="128">
      <pivotArea type="data" outline="0" fieldPosition="0">
        <references count="3">
          <reference field="4294967294" count="1" selected="0">
            <x v="0"/>
          </reference>
          <reference field="0" count="1" selected="0">
            <x v="0"/>
          </reference>
          <reference field="7" count="1" selected="0">
            <x v="169"/>
          </reference>
        </references>
      </pivotArea>
    </chartFormat>
    <chartFormat chart="0" format="129">
      <pivotArea type="data" outline="0" fieldPosition="0">
        <references count="3">
          <reference field="4294967294" count="1" selected="0">
            <x v="0"/>
          </reference>
          <reference field="0" count="1" selected="0">
            <x v="0"/>
          </reference>
          <reference field="7" count="1" selected="0">
            <x v="170"/>
          </reference>
        </references>
      </pivotArea>
    </chartFormat>
    <chartFormat chart="0" format="130">
      <pivotArea type="data" outline="0" fieldPosition="0">
        <references count="3">
          <reference field="4294967294" count="1" selected="0">
            <x v="0"/>
          </reference>
          <reference field="0" count="1" selected="0">
            <x v="0"/>
          </reference>
          <reference field="7" count="1" selected="0">
            <x v="171"/>
          </reference>
        </references>
      </pivotArea>
    </chartFormat>
    <chartFormat chart="0" format="131">
      <pivotArea type="data" outline="0" fieldPosition="0">
        <references count="3">
          <reference field="4294967294" count="1" selected="0">
            <x v="0"/>
          </reference>
          <reference field="0" count="1" selected="0">
            <x v="0"/>
          </reference>
          <reference field="7" count="1" selected="0">
            <x v="172"/>
          </reference>
        </references>
      </pivotArea>
    </chartFormat>
    <chartFormat chart="0" format="132"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82454DE-BEA7-4A55-8516-CD436F8D6715}" name="PivotTable13"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A3:D178"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axis="axisRow"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7"/>
  </rowFields>
  <rowItems count="17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t="grand">
      <x/>
    </i>
  </rowItems>
  <colFields count="1">
    <field x="0"/>
  </colFields>
  <colItems count="3">
    <i>
      <x/>
    </i>
    <i>
      <x v="1"/>
    </i>
    <i t="grand">
      <x/>
    </i>
  </colItems>
  <dataFields count="1">
    <dataField name="Count of Player" fld="0" subtotal="count" baseField="0" baseItem="0"/>
  </dataFields>
  <chartFormats count="100">
    <chartFormat chart="0" format="0" series="1">
      <pivotArea type="data" outline="0" fieldPosition="0">
        <references count="1">
          <reference field="0" count="1" selected="0">
            <x v="0"/>
          </reference>
        </references>
      </pivotArea>
    </chartFormat>
    <chartFormat chart="0" format="1" series="1">
      <pivotArea type="data" outline="0" fieldPosition="0">
        <references count="1">
          <reference field="0" count="1" selected="0">
            <x v="1"/>
          </reference>
        </references>
      </pivotArea>
    </chartFormat>
    <chartFormat chart="0" format="2" series="1">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3">
          <reference field="4294967294" count="1" selected="0">
            <x v="0"/>
          </reference>
          <reference field="0" count="1" selected="0">
            <x v="1"/>
          </reference>
          <reference field="7" count="1" selected="0">
            <x v="1"/>
          </reference>
        </references>
      </pivotArea>
    </chartFormat>
    <chartFormat chart="0" format="4">
      <pivotArea type="data" outline="0" fieldPosition="0">
        <references count="3">
          <reference field="4294967294" count="1" selected="0">
            <x v="0"/>
          </reference>
          <reference field="0" count="1" selected="0">
            <x v="1"/>
          </reference>
          <reference field="7" count="1" selected="0">
            <x v="2"/>
          </reference>
        </references>
      </pivotArea>
    </chartFormat>
    <chartFormat chart="0" format="5">
      <pivotArea type="data" outline="0" fieldPosition="0">
        <references count="3">
          <reference field="4294967294" count="1" selected="0">
            <x v="0"/>
          </reference>
          <reference field="0" count="1" selected="0">
            <x v="1"/>
          </reference>
          <reference field="7" count="1" selected="0">
            <x v="5"/>
          </reference>
        </references>
      </pivotArea>
    </chartFormat>
    <chartFormat chart="0" format="6">
      <pivotArea type="data" outline="0" fieldPosition="0">
        <references count="3">
          <reference field="4294967294" count="1" selected="0">
            <x v="0"/>
          </reference>
          <reference field="0" count="1" selected="0">
            <x v="1"/>
          </reference>
          <reference field="7" count="1" selected="0">
            <x v="6"/>
          </reference>
        </references>
      </pivotArea>
    </chartFormat>
    <chartFormat chart="0" format="7">
      <pivotArea type="data" outline="0" fieldPosition="0">
        <references count="3">
          <reference field="4294967294" count="1" selected="0">
            <x v="0"/>
          </reference>
          <reference field="0" count="1" selected="0">
            <x v="1"/>
          </reference>
          <reference field="7" count="1" selected="0">
            <x v="10"/>
          </reference>
        </references>
      </pivotArea>
    </chartFormat>
    <chartFormat chart="0" format="8">
      <pivotArea type="data" outline="0" fieldPosition="0">
        <references count="3">
          <reference field="4294967294" count="1" selected="0">
            <x v="0"/>
          </reference>
          <reference field="0" count="1" selected="0">
            <x v="1"/>
          </reference>
          <reference field="7" count="1" selected="0">
            <x v="11"/>
          </reference>
        </references>
      </pivotArea>
    </chartFormat>
    <chartFormat chart="0" format="9">
      <pivotArea type="data" outline="0" fieldPosition="0">
        <references count="3">
          <reference field="4294967294" count="1" selected="0">
            <x v="0"/>
          </reference>
          <reference field="0" count="1" selected="0">
            <x v="1"/>
          </reference>
          <reference field="7" count="1" selected="0">
            <x v="12"/>
          </reference>
        </references>
      </pivotArea>
    </chartFormat>
    <chartFormat chart="0" format="10">
      <pivotArea type="data" outline="0" fieldPosition="0">
        <references count="3">
          <reference field="4294967294" count="1" selected="0">
            <x v="0"/>
          </reference>
          <reference field="0" count="1" selected="0">
            <x v="1"/>
          </reference>
          <reference field="7" count="1" selected="0">
            <x v="15"/>
          </reference>
        </references>
      </pivotArea>
    </chartFormat>
    <chartFormat chart="0" format="11">
      <pivotArea type="data" outline="0" fieldPosition="0">
        <references count="3">
          <reference field="4294967294" count="1" selected="0">
            <x v="0"/>
          </reference>
          <reference field="0" count="1" selected="0">
            <x v="1"/>
          </reference>
          <reference field="7" count="1" selected="0">
            <x v="16"/>
          </reference>
        </references>
      </pivotArea>
    </chartFormat>
    <chartFormat chart="0" format="12">
      <pivotArea type="data" outline="0" fieldPosition="0">
        <references count="3">
          <reference field="4294967294" count="1" selected="0">
            <x v="0"/>
          </reference>
          <reference field="0" count="1" selected="0">
            <x v="1"/>
          </reference>
          <reference field="7" count="1" selected="0">
            <x v="17"/>
          </reference>
        </references>
      </pivotArea>
    </chartFormat>
    <chartFormat chart="0" format="13">
      <pivotArea type="data" outline="0" fieldPosition="0">
        <references count="3">
          <reference field="4294967294" count="1" selected="0">
            <x v="0"/>
          </reference>
          <reference field="0" count="1" selected="0">
            <x v="1"/>
          </reference>
          <reference field="7" count="1" selected="0">
            <x v="18"/>
          </reference>
        </references>
      </pivotArea>
    </chartFormat>
    <chartFormat chart="0" format="14">
      <pivotArea type="data" outline="0" fieldPosition="0">
        <references count="3">
          <reference field="4294967294" count="1" selected="0">
            <x v="0"/>
          </reference>
          <reference field="0" count="1" selected="0">
            <x v="1"/>
          </reference>
          <reference field="7" count="1" selected="0">
            <x v="19"/>
          </reference>
        </references>
      </pivotArea>
    </chartFormat>
    <chartFormat chart="0" format="15">
      <pivotArea type="data" outline="0" fieldPosition="0">
        <references count="3">
          <reference field="4294967294" count="1" selected="0">
            <x v="0"/>
          </reference>
          <reference field="0" count="1" selected="0">
            <x v="1"/>
          </reference>
          <reference field="7" count="1" selected="0">
            <x v="20"/>
          </reference>
        </references>
      </pivotArea>
    </chartFormat>
    <chartFormat chart="0" format="16">
      <pivotArea type="data" outline="0" fieldPosition="0">
        <references count="3">
          <reference field="4294967294" count="1" selected="0">
            <x v="0"/>
          </reference>
          <reference field="0" count="1" selected="0">
            <x v="1"/>
          </reference>
          <reference field="7" count="1" selected="0">
            <x v="26"/>
          </reference>
        </references>
      </pivotArea>
    </chartFormat>
    <chartFormat chart="0" format="17">
      <pivotArea type="data" outline="0" fieldPosition="0">
        <references count="3">
          <reference field="4294967294" count="1" selected="0">
            <x v="0"/>
          </reference>
          <reference field="0" count="1" selected="0">
            <x v="1"/>
          </reference>
          <reference field="7" count="1" selected="0">
            <x v="27"/>
          </reference>
        </references>
      </pivotArea>
    </chartFormat>
    <chartFormat chart="0" format="18">
      <pivotArea type="data" outline="0" fieldPosition="0">
        <references count="3">
          <reference field="4294967294" count="1" selected="0">
            <x v="0"/>
          </reference>
          <reference field="0" count="1" selected="0">
            <x v="1"/>
          </reference>
          <reference field="7" count="1" selected="0">
            <x v="32"/>
          </reference>
        </references>
      </pivotArea>
    </chartFormat>
    <chartFormat chart="0" format="19">
      <pivotArea type="data" outline="0" fieldPosition="0">
        <references count="3">
          <reference field="4294967294" count="1" selected="0">
            <x v="0"/>
          </reference>
          <reference field="0" count="1" selected="0">
            <x v="1"/>
          </reference>
          <reference field="7" count="1" selected="0">
            <x v="33"/>
          </reference>
        </references>
      </pivotArea>
    </chartFormat>
    <chartFormat chart="0" format="20">
      <pivotArea type="data" outline="0" fieldPosition="0">
        <references count="3">
          <reference field="4294967294" count="1" selected="0">
            <x v="0"/>
          </reference>
          <reference field="0" count="1" selected="0">
            <x v="1"/>
          </reference>
          <reference field="7" count="1" selected="0">
            <x v="34"/>
          </reference>
        </references>
      </pivotArea>
    </chartFormat>
    <chartFormat chart="0" format="21">
      <pivotArea type="data" outline="0" fieldPosition="0">
        <references count="3">
          <reference field="4294967294" count="1" selected="0">
            <x v="0"/>
          </reference>
          <reference field="0" count="1" selected="0">
            <x v="1"/>
          </reference>
          <reference field="7" count="1" selected="0">
            <x v="35"/>
          </reference>
        </references>
      </pivotArea>
    </chartFormat>
    <chartFormat chart="0" format="22">
      <pivotArea type="data" outline="0" fieldPosition="0">
        <references count="3">
          <reference field="4294967294" count="1" selected="0">
            <x v="0"/>
          </reference>
          <reference field="0" count="1" selected="0">
            <x v="1"/>
          </reference>
          <reference field="7" count="1" selected="0">
            <x v="38"/>
          </reference>
        </references>
      </pivotArea>
    </chartFormat>
    <chartFormat chart="0" format="23">
      <pivotArea type="data" outline="0" fieldPosition="0">
        <references count="3">
          <reference field="4294967294" count="1" selected="0">
            <x v="0"/>
          </reference>
          <reference field="0" count="1" selected="0">
            <x v="1"/>
          </reference>
          <reference field="7" count="1" selected="0">
            <x v="39"/>
          </reference>
        </references>
      </pivotArea>
    </chartFormat>
    <chartFormat chart="0" format="24">
      <pivotArea type="data" outline="0" fieldPosition="0">
        <references count="3">
          <reference field="4294967294" count="1" selected="0">
            <x v="0"/>
          </reference>
          <reference field="0" count="1" selected="0">
            <x v="1"/>
          </reference>
          <reference field="7" count="1" selected="0">
            <x v="40"/>
          </reference>
        </references>
      </pivotArea>
    </chartFormat>
    <chartFormat chart="0" format="25">
      <pivotArea type="data" outline="0" fieldPosition="0">
        <references count="3">
          <reference field="4294967294" count="1" selected="0">
            <x v="0"/>
          </reference>
          <reference field="0" count="1" selected="0">
            <x v="1"/>
          </reference>
          <reference field="7" count="1" selected="0">
            <x v="41"/>
          </reference>
        </references>
      </pivotArea>
    </chartFormat>
    <chartFormat chart="0" format="26">
      <pivotArea type="data" outline="0" fieldPosition="0">
        <references count="3">
          <reference field="4294967294" count="1" selected="0">
            <x v="0"/>
          </reference>
          <reference field="0" count="1" selected="0">
            <x v="1"/>
          </reference>
          <reference field="7" count="1" selected="0">
            <x v="42"/>
          </reference>
        </references>
      </pivotArea>
    </chartFormat>
    <chartFormat chart="0" format="27">
      <pivotArea type="data" outline="0" fieldPosition="0">
        <references count="3">
          <reference field="4294967294" count="1" selected="0">
            <x v="0"/>
          </reference>
          <reference field="0" count="1" selected="0">
            <x v="1"/>
          </reference>
          <reference field="7" count="1" selected="0">
            <x v="44"/>
          </reference>
        </references>
      </pivotArea>
    </chartFormat>
    <chartFormat chart="0" format="28">
      <pivotArea type="data" outline="0" fieldPosition="0">
        <references count="3">
          <reference field="4294967294" count="1" selected="0">
            <x v="0"/>
          </reference>
          <reference field="0" count="1" selected="0">
            <x v="1"/>
          </reference>
          <reference field="7" count="1" selected="0">
            <x v="46"/>
          </reference>
        </references>
      </pivotArea>
    </chartFormat>
    <chartFormat chart="0" format="29">
      <pivotArea type="data" outline="0" fieldPosition="0">
        <references count="3">
          <reference field="4294967294" count="1" selected="0">
            <x v="0"/>
          </reference>
          <reference field="0" count="1" selected="0">
            <x v="1"/>
          </reference>
          <reference field="7" count="1" selected="0">
            <x v="47"/>
          </reference>
        </references>
      </pivotArea>
    </chartFormat>
    <chartFormat chart="0" format="30">
      <pivotArea type="data" outline="0" fieldPosition="0">
        <references count="3">
          <reference field="4294967294" count="1" selected="0">
            <x v="0"/>
          </reference>
          <reference field="0" count="1" selected="0">
            <x v="1"/>
          </reference>
          <reference field="7" count="1" selected="0">
            <x v="48"/>
          </reference>
        </references>
      </pivotArea>
    </chartFormat>
    <chartFormat chart="0" format="31">
      <pivotArea type="data" outline="0" fieldPosition="0">
        <references count="3">
          <reference field="4294967294" count="1" selected="0">
            <x v="0"/>
          </reference>
          <reference field="0" count="1" selected="0">
            <x v="1"/>
          </reference>
          <reference field="7" count="1" selected="0">
            <x v="49"/>
          </reference>
        </references>
      </pivotArea>
    </chartFormat>
    <chartFormat chart="0" format="32">
      <pivotArea type="data" outline="0" fieldPosition="0">
        <references count="3">
          <reference field="4294967294" count="1" selected="0">
            <x v="0"/>
          </reference>
          <reference field="0" count="1" selected="0">
            <x v="1"/>
          </reference>
          <reference field="7" count="1" selected="0">
            <x v="50"/>
          </reference>
        </references>
      </pivotArea>
    </chartFormat>
    <chartFormat chart="0" format="33">
      <pivotArea type="data" outline="0" fieldPosition="0">
        <references count="3">
          <reference field="4294967294" count="1" selected="0">
            <x v="0"/>
          </reference>
          <reference field="0" count="1" selected="0">
            <x v="1"/>
          </reference>
          <reference field="7" count="1" selected="0">
            <x v="52"/>
          </reference>
        </references>
      </pivotArea>
    </chartFormat>
    <chartFormat chart="0" format="34">
      <pivotArea type="data" outline="0" fieldPosition="0">
        <references count="3">
          <reference field="4294967294" count="1" selected="0">
            <x v="0"/>
          </reference>
          <reference field="0" count="1" selected="0">
            <x v="1"/>
          </reference>
          <reference field="7" count="1" selected="0">
            <x v="55"/>
          </reference>
        </references>
      </pivotArea>
    </chartFormat>
    <chartFormat chart="0" format="35">
      <pivotArea type="data" outline="0" fieldPosition="0">
        <references count="3">
          <reference field="4294967294" count="1" selected="0">
            <x v="0"/>
          </reference>
          <reference field="0" count="1" selected="0">
            <x v="1"/>
          </reference>
          <reference field="7" count="1" selected="0">
            <x v="56"/>
          </reference>
        </references>
      </pivotArea>
    </chartFormat>
    <chartFormat chart="0" format="36">
      <pivotArea type="data" outline="0" fieldPosition="0">
        <references count="3">
          <reference field="4294967294" count="1" selected="0">
            <x v="0"/>
          </reference>
          <reference field="0" count="1" selected="0">
            <x v="1"/>
          </reference>
          <reference field="7" count="1" selected="0">
            <x v="59"/>
          </reference>
        </references>
      </pivotArea>
    </chartFormat>
    <chartFormat chart="0" format="37">
      <pivotArea type="data" outline="0" fieldPosition="0">
        <references count="3">
          <reference field="4294967294" count="1" selected="0">
            <x v="0"/>
          </reference>
          <reference field="0" count="1" selected="0">
            <x v="1"/>
          </reference>
          <reference field="7" count="1" selected="0">
            <x v="60"/>
          </reference>
        </references>
      </pivotArea>
    </chartFormat>
    <chartFormat chart="0" format="38">
      <pivotArea type="data" outline="0" fieldPosition="0">
        <references count="3">
          <reference field="4294967294" count="1" selected="0">
            <x v="0"/>
          </reference>
          <reference field="0" count="1" selected="0">
            <x v="1"/>
          </reference>
          <reference field="7" count="1" selected="0">
            <x v="62"/>
          </reference>
        </references>
      </pivotArea>
    </chartFormat>
    <chartFormat chart="0" format="39">
      <pivotArea type="data" outline="0" fieldPosition="0">
        <references count="3">
          <reference field="4294967294" count="1" selected="0">
            <x v="0"/>
          </reference>
          <reference field="0" count="1" selected="0">
            <x v="1"/>
          </reference>
          <reference field="7" count="1" selected="0">
            <x v="66"/>
          </reference>
        </references>
      </pivotArea>
    </chartFormat>
    <chartFormat chart="0" format="40">
      <pivotArea type="data" outline="0" fieldPosition="0">
        <references count="3">
          <reference field="4294967294" count="1" selected="0">
            <x v="0"/>
          </reference>
          <reference field="0" count="1" selected="0">
            <x v="1"/>
          </reference>
          <reference field="7" count="1" selected="0">
            <x v="67"/>
          </reference>
        </references>
      </pivotArea>
    </chartFormat>
    <chartFormat chart="0" format="41">
      <pivotArea type="data" outline="0" fieldPosition="0">
        <references count="3">
          <reference field="4294967294" count="1" selected="0">
            <x v="0"/>
          </reference>
          <reference field="0" count="1" selected="0">
            <x v="1"/>
          </reference>
          <reference field="7" count="1" selected="0">
            <x v="70"/>
          </reference>
        </references>
      </pivotArea>
    </chartFormat>
    <chartFormat chart="0" format="42">
      <pivotArea type="data" outline="0" fieldPosition="0">
        <references count="3">
          <reference field="4294967294" count="1" selected="0">
            <x v="0"/>
          </reference>
          <reference field="0" count="1" selected="0">
            <x v="1"/>
          </reference>
          <reference field="7" count="1" selected="0">
            <x v="71"/>
          </reference>
        </references>
      </pivotArea>
    </chartFormat>
    <chartFormat chart="0" format="43">
      <pivotArea type="data" outline="0" fieldPosition="0">
        <references count="3">
          <reference field="4294967294" count="1" selected="0">
            <x v="0"/>
          </reference>
          <reference field="0" count="1" selected="0">
            <x v="1"/>
          </reference>
          <reference field="7" count="1" selected="0">
            <x v="73"/>
          </reference>
        </references>
      </pivotArea>
    </chartFormat>
    <chartFormat chart="0" format="44">
      <pivotArea type="data" outline="0" fieldPosition="0">
        <references count="3">
          <reference field="4294967294" count="1" selected="0">
            <x v="0"/>
          </reference>
          <reference field="0" count="1" selected="0">
            <x v="1"/>
          </reference>
          <reference field="7" count="1" selected="0">
            <x v="76"/>
          </reference>
        </references>
      </pivotArea>
    </chartFormat>
    <chartFormat chart="0" format="45">
      <pivotArea type="data" outline="0" fieldPosition="0">
        <references count="3">
          <reference field="4294967294" count="1" selected="0">
            <x v="0"/>
          </reference>
          <reference field="0" count="1" selected="0">
            <x v="1"/>
          </reference>
          <reference field="7" count="1" selected="0">
            <x v="77"/>
          </reference>
        </references>
      </pivotArea>
    </chartFormat>
    <chartFormat chart="0" format="46">
      <pivotArea type="data" outline="0" fieldPosition="0">
        <references count="3">
          <reference field="4294967294" count="1" selected="0">
            <x v="0"/>
          </reference>
          <reference field="0" count="1" selected="0">
            <x v="1"/>
          </reference>
          <reference field="7" count="1" selected="0">
            <x v="79"/>
          </reference>
        </references>
      </pivotArea>
    </chartFormat>
    <chartFormat chart="0" format="47">
      <pivotArea type="data" outline="0" fieldPosition="0">
        <references count="3">
          <reference field="4294967294" count="1" selected="0">
            <x v="0"/>
          </reference>
          <reference field="0" count="1" selected="0">
            <x v="1"/>
          </reference>
          <reference field="7" count="1" selected="0">
            <x v="85"/>
          </reference>
        </references>
      </pivotArea>
    </chartFormat>
    <chartFormat chart="0" format="48">
      <pivotArea type="data" outline="0" fieldPosition="0">
        <references count="3">
          <reference field="4294967294" count="1" selected="0">
            <x v="0"/>
          </reference>
          <reference field="0" count="1" selected="0">
            <x v="1"/>
          </reference>
          <reference field="7" count="1" selected="0">
            <x v="86"/>
          </reference>
        </references>
      </pivotArea>
    </chartFormat>
    <chartFormat chart="0" format="49">
      <pivotArea type="data" outline="0" fieldPosition="0">
        <references count="3">
          <reference field="4294967294" count="1" selected="0">
            <x v="0"/>
          </reference>
          <reference field="0" count="1" selected="0">
            <x v="1"/>
          </reference>
          <reference field="7" count="1" selected="0">
            <x v="87"/>
          </reference>
        </references>
      </pivotArea>
    </chartFormat>
    <chartFormat chart="0" format="50">
      <pivotArea type="data" outline="0" fieldPosition="0">
        <references count="3">
          <reference field="4294967294" count="1" selected="0">
            <x v="0"/>
          </reference>
          <reference field="0" count="1" selected="0">
            <x v="1"/>
          </reference>
          <reference field="7" count="1" selected="0">
            <x v="89"/>
          </reference>
        </references>
      </pivotArea>
    </chartFormat>
    <chartFormat chart="0" format="51">
      <pivotArea type="data" outline="0" fieldPosition="0">
        <references count="3">
          <reference field="4294967294" count="1" selected="0">
            <x v="0"/>
          </reference>
          <reference field="0" count="1" selected="0">
            <x v="1"/>
          </reference>
          <reference field="7" count="1" selected="0">
            <x v="91"/>
          </reference>
        </references>
      </pivotArea>
    </chartFormat>
    <chartFormat chart="0" format="52">
      <pivotArea type="data" outline="0" fieldPosition="0">
        <references count="3">
          <reference field="4294967294" count="1" selected="0">
            <x v="0"/>
          </reference>
          <reference field="0" count="1" selected="0">
            <x v="1"/>
          </reference>
          <reference field="7" count="1" selected="0">
            <x v="94"/>
          </reference>
        </references>
      </pivotArea>
    </chartFormat>
    <chartFormat chart="0" format="53">
      <pivotArea type="data" outline="0" fieldPosition="0">
        <references count="3">
          <reference field="4294967294" count="1" selected="0">
            <x v="0"/>
          </reference>
          <reference field="0" count="1" selected="0">
            <x v="1"/>
          </reference>
          <reference field="7" count="1" selected="0">
            <x v="96"/>
          </reference>
        </references>
      </pivotArea>
    </chartFormat>
    <chartFormat chart="0" format="54">
      <pivotArea type="data" outline="0" fieldPosition="0">
        <references count="3">
          <reference field="4294967294" count="1" selected="0">
            <x v="0"/>
          </reference>
          <reference field="0" count="1" selected="0">
            <x v="1"/>
          </reference>
          <reference field="7" count="1" selected="0">
            <x v="97"/>
          </reference>
        </references>
      </pivotArea>
    </chartFormat>
    <chartFormat chart="0" format="55">
      <pivotArea type="data" outline="0" fieldPosition="0">
        <references count="3">
          <reference field="4294967294" count="1" selected="0">
            <x v="0"/>
          </reference>
          <reference field="0" count="1" selected="0">
            <x v="1"/>
          </reference>
          <reference field="7" count="1" selected="0">
            <x v="98"/>
          </reference>
        </references>
      </pivotArea>
    </chartFormat>
    <chartFormat chart="0" format="56">
      <pivotArea type="data" outline="0" fieldPosition="0">
        <references count="3">
          <reference field="4294967294" count="1" selected="0">
            <x v="0"/>
          </reference>
          <reference field="0" count="1" selected="0">
            <x v="1"/>
          </reference>
          <reference field="7" count="1" selected="0">
            <x v="100"/>
          </reference>
        </references>
      </pivotArea>
    </chartFormat>
    <chartFormat chart="0" format="57">
      <pivotArea type="data" outline="0" fieldPosition="0">
        <references count="3">
          <reference field="4294967294" count="1" selected="0">
            <x v="0"/>
          </reference>
          <reference field="0" count="1" selected="0">
            <x v="1"/>
          </reference>
          <reference field="7" count="1" selected="0">
            <x v="101"/>
          </reference>
        </references>
      </pivotArea>
    </chartFormat>
    <chartFormat chart="0" format="58">
      <pivotArea type="data" outline="0" fieldPosition="0">
        <references count="3">
          <reference field="4294967294" count="1" selected="0">
            <x v="0"/>
          </reference>
          <reference field="0" count="1" selected="0">
            <x v="1"/>
          </reference>
          <reference field="7" count="1" selected="0">
            <x v="103"/>
          </reference>
        </references>
      </pivotArea>
    </chartFormat>
    <chartFormat chart="0" format="59">
      <pivotArea type="data" outline="0" fieldPosition="0">
        <references count="3">
          <reference field="4294967294" count="1" selected="0">
            <x v="0"/>
          </reference>
          <reference field="0" count="1" selected="0">
            <x v="1"/>
          </reference>
          <reference field="7" count="1" selected="0">
            <x v="104"/>
          </reference>
        </references>
      </pivotArea>
    </chartFormat>
    <chartFormat chart="0" format="60">
      <pivotArea type="data" outline="0" fieldPosition="0">
        <references count="3">
          <reference field="4294967294" count="1" selected="0">
            <x v="0"/>
          </reference>
          <reference field="0" count="1" selected="0">
            <x v="1"/>
          </reference>
          <reference field="7" count="1" selected="0">
            <x v="107"/>
          </reference>
        </references>
      </pivotArea>
    </chartFormat>
    <chartFormat chart="0" format="61">
      <pivotArea type="data" outline="0" fieldPosition="0">
        <references count="3">
          <reference field="4294967294" count="1" selected="0">
            <x v="0"/>
          </reference>
          <reference field="0" count="1" selected="0">
            <x v="1"/>
          </reference>
          <reference field="7" count="1" selected="0">
            <x v="108"/>
          </reference>
        </references>
      </pivotArea>
    </chartFormat>
    <chartFormat chart="0" format="62">
      <pivotArea type="data" outline="0" fieldPosition="0">
        <references count="3">
          <reference field="4294967294" count="1" selected="0">
            <x v="0"/>
          </reference>
          <reference field="0" count="1" selected="0">
            <x v="1"/>
          </reference>
          <reference field="7" count="1" selected="0">
            <x v="112"/>
          </reference>
        </references>
      </pivotArea>
    </chartFormat>
    <chartFormat chart="0" format="63">
      <pivotArea type="data" outline="0" fieldPosition="0">
        <references count="3">
          <reference field="4294967294" count="1" selected="0">
            <x v="0"/>
          </reference>
          <reference field="0" count="1" selected="0">
            <x v="1"/>
          </reference>
          <reference field="7" count="1" selected="0">
            <x v="113"/>
          </reference>
        </references>
      </pivotArea>
    </chartFormat>
    <chartFormat chart="0" format="64">
      <pivotArea type="data" outline="0" fieldPosition="0">
        <references count="3">
          <reference field="4294967294" count="1" selected="0">
            <x v="0"/>
          </reference>
          <reference field="0" count="1" selected="0">
            <x v="1"/>
          </reference>
          <reference field="7" count="1" selected="0">
            <x v="114"/>
          </reference>
        </references>
      </pivotArea>
    </chartFormat>
    <chartFormat chart="0" format="65">
      <pivotArea type="data" outline="0" fieldPosition="0">
        <references count="3">
          <reference field="4294967294" count="1" selected="0">
            <x v="0"/>
          </reference>
          <reference field="0" count="1" selected="0">
            <x v="1"/>
          </reference>
          <reference field="7" count="1" selected="0">
            <x v="115"/>
          </reference>
        </references>
      </pivotArea>
    </chartFormat>
    <chartFormat chart="0" format="66">
      <pivotArea type="data" outline="0" fieldPosition="0">
        <references count="3">
          <reference field="4294967294" count="1" selected="0">
            <x v="0"/>
          </reference>
          <reference field="0" count="1" selected="0">
            <x v="1"/>
          </reference>
          <reference field="7" count="1" selected="0">
            <x v="116"/>
          </reference>
        </references>
      </pivotArea>
    </chartFormat>
    <chartFormat chart="0" format="67">
      <pivotArea type="data" outline="0" fieldPosition="0">
        <references count="3">
          <reference field="4294967294" count="1" selected="0">
            <x v="0"/>
          </reference>
          <reference field="0" count="1" selected="0">
            <x v="1"/>
          </reference>
          <reference field="7" count="1" selected="0">
            <x v="117"/>
          </reference>
        </references>
      </pivotArea>
    </chartFormat>
    <chartFormat chart="0" format="68">
      <pivotArea type="data" outline="0" fieldPosition="0">
        <references count="3">
          <reference field="4294967294" count="1" selected="0">
            <x v="0"/>
          </reference>
          <reference field="0" count="1" selected="0">
            <x v="1"/>
          </reference>
          <reference field="7" count="1" selected="0">
            <x v="120"/>
          </reference>
        </references>
      </pivotArea>
    </chartFormat>
    <chartFormat chart="0" format="69">
      <pivotArea type="data" outline="0" fieldPosition="0">
        <references count="3">
          <reference field="4294967294" count="1" selected="0">
            <x v="0"/>
          </reference>
          <reference field="0" count="1" selected="0">
            <x v="1"/>
          </reference>
          <reference field="7" count="1" selected="0">
            <x v="121"/>
          </reference>
        </references>
      </pivotArea>
    </chartFormat>
    <chartFormat chart="0" format="70">
      <pivotArea type="data" outline="0" fieldPosition="0">
        <references count="3">
          <reference field="4294967294" count="1" selected="0">
            <x v="0"/>
          </reference>
          <reference field="0" count="1" selected="0">
            <x v="1"/>
          </reference>
          <reference field="7" count="1" selected="0">
            <x v="122"/>
          </reference>
        </references>
      </pivotArea>
    </chartFormat>
    <chartFormat chart="0" format="71">
      <pivotArea type="data" outline="0" fieldPosition="0">
        <references count="3">
          <reference field="4294967294" count="1" selected="0">
            <x v="0"/>
          </reference>
          <reference field="0" count="1" selected="0">
            <x v="1"/>
          </reference>
          <reference field="7" count="1" selected="0">
            <x v="123"/>
          </reference>
        </references>
      </pivotArea>
    </chartFormat>
    <chartFormat chart="0" format="72">
      <pivotArea type="data" outline="0" fieldPosition="0">
        <references count="3">
          <reference field="4294967294" count="1" selected="0">
            <x v="0"/>
          </reference>
          <reference field="0" count="1" selected="0">
            <x v="1"/>
          </reference>
          <reference field="7" count="1" selected="0">
            <x v="124"/>
          </reference>
        </references>
      </pivotArea>
    </chartFormat>
    <chartFormat chart="0" format="73">
      <pivotArea type="data" outline="0" fieldPosition="0">
        <references count="3">
          <reference field="4294967294" count="1" selected="0">
            <x v="0"/>
          </reference>
          <reference field="0" count="1" selected="0">
            <x v="1"/>
          </reference>
          <reference field="7" count="1" selected="0">
            <x v="125"/>
          </reference>
        </references>
      </pivotArea>
    </chartFormat>
    <chartFormat chart="0" format="74">
      <pivotArea type="data" outline="0" fieldPosition="0">
        <references count="3">
          <reference field="4294967294" count="1" selected="0">
            <x v="0"/>
          </reference>
          <reference field="0" count="1" selected="0">
            <x v="1"/>
          </reference>
          <reference field="7" count="1" selected="0">
            <x v="126"/>
          </reference>
        </references>
      </pivotArea>
    </chartFormat>
    <chartFormat chart="0" format="75">
      <pivotArea type="data" outline="0" fieldPosition="0">
        <references count="3">
          <reference field="4294967294" count="1" selected="0">
            <x v="0"/>
          </reference>
          <reference field="0" count="1" selected="0">
            <x v="1"/>
          </reference>
          <reference field="7" count="1" selected="0">
            <x v="127"/>
          </reference>
        </references>
      </pivotArea>
    </chartFormat>
    <chartFormat chart="0" format="76">
      <pivotArea type="data" outline="0" fieldPosition="0">
        <references count="3">
          <reference field="4294967294" count="1" selected="0">
            <x v="0"/>
          </reference>
          <reference field="0" count="1" selected="0">
            <x v="1"/>
          </reference>
          <reference field="7" count="1" selected="0">
            <x v="129"/>
          </reference>
        </references>
      </pivotArea>
    </chartFormat>
    <chartFormat chart="0" format="77">
      <pivotArea type="data" outline="0" fieldPosition="0">
        <references count="3">
          <reference field="4294967294" count="1" selected="0">
            <x v="0"/>
          </reference>
          <reference field="0" count="1" selected="0">
            <x v="1"/>
          </reference>
          <reference field="7" count="1" selected="0">
            <x v="130"/>
          </reference>
        </references>
      </pivotArea>
    </chartFormat>
    <chartFormat chart="0" format="78">
      <pivotArea type="data" outline="0" fieldPosition="0">
        <references count="3">
          <reference field="4294967294" count="1" selected="0">
            <x v="0"/>
          </reference>
          <reference field="0" count="1" selected="0">
            <x v="1"/>
          </reference>
          <reference field="7" count="1" selected="0">
            <x v="132"/>
          </reference>
        </references>
      </pivotArea>
    </chartFormat>
    <chartFormat chart="0" format="79">
      <pivotArea type="data" outline="0" fieldPosition="0">
        <references count="3">
          <reference field="4294967294" count="1" selected="0">
            <x v="0"/>
          </reference>
          <reference field="0" count="1" selected="0">
            <x v="1"/>
          </reference>
          <reference field="7" count="1" selected="0">
            <x v="133"/>
          </reference>
        </references>
      </pivotArea>
    </chartFormat>
    <chartFormat chart="0" format="80">
      <pivotArea type="data" outline="0" fieldPosition="0">
        <references count="3">
          <reference field="4294967294" count="1" selected="0">
            <x v="0"/>
          </reference>
          <reference field="0" count="1" selected="0">
            <x v="1"/>
          </reference>
          <reference field="7" count="1" selected="0">
            <x v="134"/>
          </reference>
        </references>
      </pivotArea>
    </chartFormat>
    <chartFormat chart="0" format="81">
      <pivotArea type="data" outline="0" fieldPosition="0">
        <references count="3">
          <reference field="4294967294" count="1" selected="0">
            <x v="0"/>
          </reference>
          <reference field="0" count="1" selected="0">
            <x v="1"/>
          </reference>
          <reference field="7" count="1" selected="0">
            <x v="135"/>
          </reference>
        </references>
      </pivotArea>
    </chartFormat>
    <chartFormat chart="0" format="82">
      <pivotArea type="data" outline="0" fieldPosition="0">
        <references count="3">
          <reference field="4294967294" count="1" selected="0">
            <x v="0"/>
          </reference>
          <reference field="0" count="1" selected="0">
            <x v="1"/>
          </reference>
          <reference field="7" count="1" selected="0">
            <x v="136"/>
          </reference>
        </references>
      </pivotArea>
    </chartFormat>
    <chartFormat chart="0" format="83">
      <pivotArea type="data" outline="0" fieldPosition="0">
        <references count="3">
          <reference field="4294967294" count="1" selected="0">
            <x v="0"/>
          </reference>
          <reference field="0" count="1" selected="0">
            <x v="1"/>
          </reference>
          <reference field="7" count="1" selected="0">
            <x v="137"/>
          </reference>
        </references>
      </pivotArea>
    </chartFormat>
    <chartFormat chart="0" format="84">
      <pivotArea type="data" outline="0" fieldPosition="0">
        <references count="3">
          <reference field="4294967294" count="1" selected="0">
            <x v="0"/>
          </reference>
          <reference field="0" count="1" selected="0">
            <x v="1"/>
          </reference>
          <reference field="7" count="1" selected="0">
            <x v="138"/>
          </reference>
        </references>
      </pivotArea>
    </chartFormat>
    <chartFormat chart="0" format="85">
      <pivotArea type="data" outline="0" fieldPosition="0">
        <references count="3">
          <reference field="4294967294" count="1" selected="0">
            <x v="0"/>
          </reference>
          <reference field="0" count="1" selected="0">
            <x v="1"/>
          </reference>
          <reference field="7" count="1" selected="0">
            <x v="140"/>
          </reference>
        </references>
      </pivotArea>
    </chartFormat>
    <chartFormat chart="0" format="86">
      <pivotArea type="data" outline="0" fieldPosition="0">
        <references count="3">
          <reference field="4294967294" count="1" selected="0">
            <x v="0"/>
          </reference>
          <reference field="0" count="1" selected="0">
            <x v="1"/>
          </reference>
          <reference field="7" count="1" selected="0">
            <x v="141"/>
          </reference>
        </references>
      </pivotArea>
    </chartFormat>
    <chartFormat chart="0" format="87">
      <pivotArea type="data" outline="0" fieldPosition="0">
        <references count="3">
          <reference field="4294967294" count="1" selected="0">
            <x v="0"/>
          </reference>
          <reference field="0" count="1" selected="0">
            <x v="1"/>
          </reference>
          <reference field="7" count="1" selected="0">
            <x v="142"/>
          </reference>
        </references>
      </pivotArea>
    </chartFormat>
    <chartFormat chart="0" format="88">
      <pivotArea type="data" outline="0" fieldPosition="0">
        <references count="3">
          <reference field="4294967294" count="1" selected="0">
            <x v="0"/>
          </reference>
          <reference field="0" count="1" selected="0">
            <x v="1"/>
          </reference>
          <reference field="7" count="1" selected="0">
            <x v="143"/>
          </reference>
        </references>
      </pivotArea>
    </chartFormat>
    <chartFormat chart="0" format="89">
      <pivotArea type="data" outline="0" fieldPosition="0">
        <references count="3">
          <reference field="4294967294" count="1" selected="0">
            <x v="0"/>
          </reference>
          <reference field="0" count="1" selected="0">
            <x v="1"/>
          </reference>
          <reference field="7" count="1" selected="0">
            <x v="146"/>
          </reference>
        </references>
      </pivotArea>
    </chartFormat>
    <chartFormat chart="0" format="90">
      <pivotArea type="data" outline="0" fieldPosition="0">
        <references count="3">
          <reference field="4294967294" count="1" selected="0">
            <x v="0"/>
          </reference>
          <reference field="0" count="1" selected="0">
            <x v="1"/>
          </reference>
          <reference field="7" count="1" selected="0">
            <x v="148"/>
          </reference>
        </references>
      </pivotArea>
    </chartFormat>
    <chartFormat chart="0" format="91">
      <pivotArea type="data" outline="0" fieldPosition="0">
        <references count="3">
          <reference field="4294967294" count="1" selected="0">
            <x v="0"/>
          </reference>
          <reference field="0" count="1" selected="0">
            <x v="1"/>
          </reference>
          <reference field="7" count="1" selected="0">
            <x v="149"/>
          </reference>
        </references>
      </pivotArea>
    </chartFormat>
    <chartFormat chart="0" format="92">
      <pivotArea type="data" outline="0" fieldPosition="0">
        <references count="3">
          <reference field="4294967294" count="1" selected="0">
            <x v="0"/>
          </reference>
          <reference field="0" count="1" selected="0">
            <x v="1"/>
          </reference>
          <reference field="7" count="1" selected="0">
            <x v="151"/>
          </reference>
        </references>
      </pivotArea>
    </chartFormat>
    <chartFormat chart="0" format="93">
      <pivotArea type="data" outline="0" fieldPosition="0">
        <references count="3">
          <reference field="4294967294" count="1" selected="0">
            <x v="0"/>
          </reference>
          <reference field="0" count="1" selected="0">
            <x v="1"/>
          </reference>
          <reference field="7" count="1" selected="0">
            <x v="154"/>
          </reference>
        </references>
      </pivotArea>
    </chartFormat>
    <chartFormat chart="0" format="94">
      <pivotArea type="data" outline="0" fieldPosition="0">
        <references count="3">
          <reference field="4294967294" count="1" selected="0">
            <x v="0"/>
          </reference>
          <reference field="0" count="1" selected="0">
            <x v="1"/>
          </reference>
          <reference field="7" count="1" selected="0">
            <x v="156"/>
          </reference>
        </references>
      </pivotArea>
    </chartFormat>
    <chartFormat chart="0" format="95">
      <pivotArea type="data" outline="0" fieldPosition="0">
        <references count="3">
          <reference field="4294967294" count="1" selected="0">
            <x v="0"/>
          </reference>
          <reference field="0" count="1" selected="0">
            <x v="1"/>
          </reference>
          <reference field="7" count="1" selected="0">
            <x v="158"/>
          </reference>
        </references>
      </pivotArea>
    </chartFormat>
    <chartFormat chart="0" format="96">
      <pivotArea type="data" outline="0" fieldPosition="0">
        <references count="3">
          <reference field="4294967294" count="1" selected="0">
            <x v="0"/>
          </reference>
          <reference field="0" count="1" selected="0">
            <x v="1"/>
          </reference>
          <reference field="7" count="1" selected="0">
            <x v="160"/>
          </reference>
        </references>
      </pivotArea>
    </chartFormat>
    <chartFormat chart="0" format="97">
      <pivotArea type="data" outline="0" fieldPosition="0">
        <references count="3">
          <reference field="4294967294" count="1" selected="0">
            <x v="0"/>
          </reference>
          <reference field="0" count="1" selected="0">
            <x v="1"/>
          </reference>
          <reference field="7" count="1" selected="0">
            <x v="164"/>
          </reference>
        </references>
      </pivotArea>
    </chartFormat>
    <chartFormat chart="0" format="98">
      <pivotArea type="data" outline="0" fieldPosition="0">
        <references count="3">
          <reference field="4294967294" count="1" selected="0">
            <x v="0"/>
          </reference>
          <reference field="0" count="1" selected="0">
            <x v="1"/>
          </reference>
          <reference field="7" count="1" selected="0">
            <x v="165"/>
          </reference>
        </references>
      </pivotArea>
    </chartFormat>
    <chartFormat chart="0" format="99">
      <pivotArea type="data" outline="0" fieldPosition="0">
        <references count="3">
          <reference field="4294967294" count="1" selected="0">
            <x v="0"/>
          </reference>
          <reference field="0" count="1" selected="0">
            <x v="1"/>
          </reference>
          <reference field="7" count="1" selected="0">
            <x v="16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5BF8C71E-792B-4142-BF04-BD0F20E444A9}" name="PivotTable14"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A3:L7" firstHeaderRow="1" firstDataRow="2" firstDataCol="1"/>
  <pivotFields count="21">
    <pivotField axis="axisRow"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axis="axisCol"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0"/>
  </rowFields>
  <rowItems count="3">
    <i>
      <x/>
    </i>
    <i>
      <x v="1"/>
    </i>
    <i t="grand">
      <x/>
    </i>
  </rowItems>
  <colFields count="1">
    <field x="12"/>
  </colFields>
  <colItems count="11">
    <i>
      <x/>
    </i>
    <i>
      <x v="1"/>
    </i>
    <i>
      <x v="2"/>
    </i>
    <i>
      <x v="3"/>
    </i>
    <i>
      <x v="4"/>
    </i>
    <i>
      <x v="5"/>
    </i>
    <i>
      <x v="6"/>
    </i>
    <i>
      <x v="7"/>
    </i>
    <i>
      <x v="8"/>
    </i>
    <i>
      <x v="9"/>
    </i>
    <i t="grand">
      <x/>
    </i>
  </colItems>
  <dataFields count="1">
    <dataField name="Count of Player" fld="0" subtotal="count" baseField="0" baseItem="0"/>
  </dataFields>
  <chartFormats count="40">
    <chartFormat chart="0" format="10" series="1">
      <pivotArea type="data" outline="0" fieldPosition="0">
        <references count="2">
          <reference field="4294967294" count="1" selected="0">
            <x v="0"/>
          </reference>
          <reference field="12" count="1" selected="0">
            <x v="0"/>
          </reference>
        </references>
      </pivotArea>
    </chartFormat>
    <chartFormat chart="0" format="11" series="1">
      <pivotArea type="data" outline="0" fieldPosition="0">
        <references count="2">
          <reference field="4294967294" count="1" selected="0">
            <x v="0"/>
          </reference>
          <reference field="12" count="1" selected="0">
            <x v="1"/>
          </reference>
        </references>
      </pivotArea>
    </chartFormat>
    <chartFormat chart="0" format="12" series="1">
      <pivotArea type="data" outline="0" fieldPosition="0">
        <references count="2">
          <reference field="4294967294" count="1" selected="0">
            <x v="0"/>
          </reference>
          <reference field="12" count="1" selected="0">
            <x v="2"/>
          </reference>
        </references>
      </pivotArea>
    </chartFormat>
    <chartFormat chart="0" format="13" series="1">
      <pivotArea type="data" outline="0" fieldPosition="0">
        <references count="2">
          <reference field="4294967294" count="1" selected="0">
            <x v="0"/>
          </reference>
          <reference field="12" count="1" selected="0">
            <x v="3"/>
          </reference>
        </references>
      </pivotArea>
    </chartFormat>
    <chartFormat chart="0" format="14" series="1">
      <pivotArea type="data" outline="0" fieldPosition="0">
        <references count="2">
          <reference field="4294967294" count="1" selected="0">
            <x v="0"/>
          </reference>
          <reference field="12" count="1" selected="0">
            <x v="4"/>
          </reference>
        </references>
      </pivotArea>
    </chartFormat>
    <chartFormat chart="0" format="15" series="1">
      <pivotArea type="data" outline="0" fieldPosition="0">
        <references count="2">
          <reference field="4294967294" count="1" selected="0">
            <x v="0"/>
          </reference>
          <reference field="12" count="1" selected="0">
            <x v="5"/>
          </reference>
        </references>
      </pivotArea>
    </chartFormat>
    <chartFormat chart="0" format="16" series="1">
      <pivotArea type="data" outline="0" fieldPosition="0">
        <references count="2">
          <reference field="4294967294" count="1" selected="0">
            <x v="0"/>
          </reference>
          <reference field="12" count="1" selected="0">
            <x v="6"/>
          </reference>
        </references>
      </pivotArea>
    </chartFormat>
    <chartFormat chart="0" format="17" series="1">
      <pivotArea type="data" outline="0" fieldPosition="0">
        <references count="2">
          <reference field="4294967294" count="1" selected="0">
            <x v="0"/>
          </reference>
          <reference field="12" count="1" selected="0">
            <x v="7"/>
          </reference>
        </references>
      </pivotArea>
    </chartFormat>
    <chartFormat chart="0" format="18" series="1">
      <pivotArea type="data" outline="0" fieldPosition="0">
        <references count="2">
          <reference field="4294967294" count="1" selected="0">
            <x v="0"/>
          </reference>
          <reference field="12" count="1" selected="0">
            <x v="8"/>
          </reference>
        </references>
      </pivotArea>
    </chartFormat>
    <chartFormat chart="0" format="19" series="1">
      <pivotArea type="data" outline="0" fieldPosition="0">
        <references count="2">
          <reference field="4294967294" count="1" selected="0">
            <x v="0"/>
          </reference>
          <reference field="12" count="1" selected="0">
            <x v="9"/>
          </reference>
        </references>
      </pivotArea>
    </chartFormat>
    <chartFormat chart="2" format="20" series="1">
      <pivotArea type="data" outline="0" fieldPosition="0">
        <references count="2">
          <reference field="4294967294" count="1" selected="0">
            <x v="0"/>
          </reference>
          <reference field="12" count="1" selected="0">
            <x v="0"/>
          </reference>
        </references>
      </pivotArea>
    </chartFormat>
    <chartFormat chart="2" format="21" series="1">
      <pivotArea type="data" outline="0" fieldPosition="0">
        <references count="2">
          <reference field="4294967294" count="1" selected="0">
            <x v="0"/>
          </reference>
          <reference field="12" count="1" selected="0">
            <x v="1"/>
          </reference>
        </references>
      </pivotArea>
    </chartFormat>
    <chartFormat chart="2" format="22" series="1">
      <pivotArea type="data" outline="0" fieldPosition="0">
        <references count="2">
          <reference field="4294967294" count="1" selected="0">
            <x v="0"/>
          </reference>
          <reference field="12" count="1" selected="0">
            <x v="2"/>
          </reference>
        </references>
      </pivotArea>
    </chartFormat>
    <chartFormat chart="2" format="23" series="1">
      <pivotArea type="data" outline="0" fieldPosition="0">
        <references count="2">
          <reference field="4294967294" count="1" selected="0">
            <x v="0"/>
          </reference>
          <reference field="12" count="1" selected="0">
            <x v="3"/>
          </reference>
        </references>
      </pivotArea>
    </chartFormat>
    <chartFormat chart="2" format="24" series="1">
      <pivotArea type="data" outline="0" fieldPosition="0">
        <references count="2">
          <reference field="4294967294" count="1" selected="0">
            <x v="0"/>
          </reference>
          <reference field="12" count="1" selected="0">
            <x v="4"/>
          </reference>
        </references>
      </pivotArea>
    </chartFormat>
    <chartFormat chart="2" format="25" series="1">
      <pivotArea type="data" outline="0" fieldPosition="0">
        <references count="2">
          <reference field="4294967294" count="1" selected="0">
            <x v="0"/>
          </reference>
          <reference field="12" count="1" selected="0">
            <x v="5"/>
          </reference>
        </references>
      </pivotArea>
    </chartFormat>
    <chartFormat chart="2" format="26" series="1">
      <pivotArea type="data" outline="0" fieldPosition="0">
        <references count="2">
          <reference field="4294967294" count="1" selected="0">
            <x v="0"/>
          </reference>
          <reference field="12" count="1" selected="0">
            <x v="6"/>
          </reference>
        </references>
      </pivotArea>
    </chartFormat>
    <chartFormat chart="2" format="27" series="1">
      <pivotArea type="data" outline="0" fieldPosition="0">
        <references count="2">
          <reference field="4294967294" count="1" selected="0">
            <x v="0"/>
          </reference>
          <reference field="12" count="1" selected="0">
            <x v="7"/>
          </reference>
        </references>
      </pivotArea>
    </chartFormat>
    <chartFormat chart="2" format="28" series="1">
      <pivotArea type="data" outline="0" fieldPosition="0">
        <references count="2">
          <reference field="4294967294" count="1" selected="0">
            <x v="0"/>
          </reference>
          <reference field="12" count="1" selected="0">
            <x v="8"/>
          </reference>
        </references>
      </pivotArea>
    </chartFormat>
    <chartFormat chart="2" format="29" series="1">
      <pivotArea type="data" outline="0" fieldPosition="0">
        <references count="2">
          <reference field="4294967294" count="1" selected="0">
            <x v="0"/>
          </reference>
          <reference field="12" count="1" selected="0">
            <x v="9"/>
          </reference>
        </references>
      </pivotArea>
    </chartFormat>
    <chartFormat chart="3" format="30" series="1">
      <pivotArea type="data" outline="0" fieldPosition="0">
        <references count="2">
          <reference field="4294967294" count="1" selected="0">
            <x v="0"/>
          </reference>
          <reference field="12" count="1" selected="0">
            <x v="0"/>
          </reference>
        </references>
      </pivotArea>
    </chartFormat>
    <chartFormat chart="3" format="31" series="1">
      <pivotArea type="data" outline="0" fieldPosition="0">
        <references count="2">
          <reference field="4294967294" count="1" selected="0">
            <x v="0"/>
          </reference>
          <reference field="12" count="1" selected="0">
            <x v="1"/>
          </reference>
        </references>
      </pivotArea>
    </chartFormat>
    <chartFormat chart="3" format="32" series="1">
      <pivotArea type="data" outline="0" fieldPosition="0">
        <references count="2">
          <reference field="4294967294" count="1" selected="0">
            <x v="0"/>
          </reference>
          <reference field="12" count="1" selected="0">
            <x v="2"/>
          </reference>
        </references>
      </pivotArea>
    </chartFormat>
    <chartFormat chart="3" format="33" series="1">
      <pivotArea type="data" outline="0" fieldPosition="0">
        <references count="2">
          <reference field="4294967294" count="1" selected="0">
            <x v="0"/>
          </reference>
          <reference field="12" count="1" selected="0">
            <x v="3"/>
          </reference>
        </references>
      </pivotArea>
    </chartFormat>
    <chartFormat chart="3" format="34" series="1">
      <pivotArea type="data" outline="0" fieldPosition="0">
        <references count="2">
          <reference field="4294967294" count="1" selected="0">
            <x v="0"/>
          </reference>
          <reference field="12" count="1" selected="0">
            <x v="4"/>
          </reference>
        </references>
      </pivotArea>
    </chartFormat>
    <chartFormat chart="3" format="35" series="1">
      <pivotArea type="data" outline="0" fieldPosition="0">
        <references count="2">
          <reference field="4294967294" count="1" selected="0">
            <x v="0"/>
          </reference>
          <reference field="12" count="1" selected="0">
            <x v="5"/>
          </reference>
        </references>
      </pivotArea>
    </chartFormat>
    <chartFormat chart="3" format="36" series="1">
      <pivotArea type="data" outline="0" fieldPosition="0">
        <references count="2">
          <reference field="4294967294" count="1" selected="0">
            <x v="0"/>
          </reference>
          <reference field="12" count="1" selected="0">
            <x v="6"/>
          </reference>
        </references>
      </pivotArea>
    </chartFormat>
    <chartFormat chart="3" format="37" series="1">
      <pivotArea type="data" outline="0" fieldPosition="0">
        <references count="2">
          <reference field="4294967294" count="1" selected="0">
            <x v="0"/>
          </reference>
          <reference field="12" count="1" selected="0">
            <x v="7"/>
          </reference>
        </references>
      </pivotArea>
    </chartFormat>
    <chartFormat chart="3" format="38" series="1">
      <pivotArea type="data" outline="0" fieldPosition="0">
        <references count="2">
          <reference field="4294967294" count="1" selected="0">
            <x v="0"/>
          </reference>
          <reference field="12" count="1" selected="0">
            <x v="8"/>
          </reference>
        </references>
      </pivotArea>
    </chartFormat>
    <chartFormat chart="3" format="39" series="1">
      <pivotArea type="data" outline="0" fieldPosition="0">
        <references count="2">
          <reference field="4294967294" count="1" selected="0">
            <x v="0"/>
          </reference>
          <reference field="12" count="1" selected="0">
            <x v="9"/>
          </reference>
        </references>
      </pivotArea>
    </chartFormat>
    <chartFormat chart="4" format="30" series="1">
      <pivotArea type="data" outline="0" fieldPosition="0">
        <references count="2">
          <reference field="4294967294" count="1" selected="0">
            <x v="0"/>
          </reference>
          <reference field="12" count="1" selected="0">
            <x v="0"/>
          </reference>
        </references>
      </pivotArea>
    </chartFormat>
    <chartFormat chart="4" format="31" series="1">
      <pivotArea type="data" outline="0" fieldPosition="0">
        <references count="2">
          <reference field="4294967294" count="1" selected="0">
            <x v="0"/>
          </reference>
          <reference field="12" count="1" selected="0">
            <x v="1"/>
          </reference>
        </references>
      </pivotArea>
    </chartFormat>
    <chartFormat chart="4" format="32" series="1">
      <pivotArea type="data" outline="0" fieldPosition="0">
        <references count="2">
          <reference field="4294967294" count="1" selected="0">
            <x v="0"/>
          </reference>
          <reference field="12" count="1" selected="0">
            <x v="2"/>
          </reference>
        </references>
      </pivotArea>
    </chartFormat>
    <chartFormat chart="4" format="33" series="1">
      <pivotArea type="data" outline="0" fieldPosition="0">
        <references count="2">
          <reference field="4294967294" count="1" selected="0">
            <x v="0"/>
          </reference>
          <reference field="12" count="1" selected="0">
            <x v="3"/>
          </reference>
        </references>
      </pivotArea>
    </chartFormat>
    <chartFormat chart="4" format="34" series="1">
      <pivotArea type="data" outline="0" fieldPosition="0">
        <references count="2">
          <reference field="4294967294" count="1" selected="0">
            <x v="0"/>
          </reference>
          <reference field="12" count="1" selected="0">
            <x v="4"/>
          </reference>
        </references>
      </pivotArea>
    </chartFormat>
    <chartFormat chart="4" format="35" series="1">
      <pivotArea type="data" outline="0" fieldPosition="0">
        <references count="2">
          <reference field="4294967294" count="1" selected="0">
            <x v="0"/>
          </reference>
          <reference field="12" count="1" selected="0">
            <x v="5"/>
          </reference>
        </references>
      </pivotArea>
    </chartFormat>
    <chartFormat chart="4" format="36" series="1">
      <pivotArea type="data" outline="0" fieldPosition="0">
        <references count="2">
          <reference field="4294967294" count="1" selected="0">
            <x v="0"/>
          </reference>
          <reference field="12" count="1" selected="0">
            <x v="6"/>
          </reference>
        </references>
      </pivotArea>
    </chartFormat>
    <chartFormat chart="4" format="37" series="1">
      <pivotArea type="data" outline="0" fieldPosition="0">
        <references count="2">
          <reference field="4294967294" count="1" selected="0">
            <x v="0"/>
          </reference>
          <reference field="12" count="1" selected="0">
            <x v="7"/>
          </reference>
        </references>
      </pivotArea>
    </chartFormat>
    <chartFormat chart="4" format="38" series="1">
      <pivotArea type="data" outline="0" fieldPosition="0">
        <references count="2">
          <reference field="4294967294" count="1" selected="0">
            <x v="0"/>
          </reference>
          <reference field="12" count="1" selected="0">
            <x v="8"/>
          </reference>
        </references>
      </pivotArea>
    </chartFormat>
    <chartFormat chart="4" format="39" series="1">
      <pivotArea type="data" outline="0" fieldPosition="0">
        <references count="2">
          <reference field="4294967294" count="1" selected="0">
            <x v="0"/>
          </reference>
          <reference field="12"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561C9C4C-CFC9-476A-AAFC-43C0467C5A74}"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
  <location ref="A3:D26" firstHeaderRow="1" firstDataRow="2" firstDataCol="1"/>
  <pivotFields count="21">
    <pivotField axis="axisCol" dataField="1" showAll="0">
      <items count="3">
        <item x="0"/>
        <item x="1"/>
        <item t="default"/>
      </items>
    </pivotField>
    <pivotField showAll="0"/>
    <pivotField axis="axisRow"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2"/>
  </rowFields>
  <rowItems count="22">
    <i>
      <x/>
    </i>
    <i>
      <x v="1"/>
    </i>
    <i>
      <x v="2"/>
    </i>
    <i>
      <x v="3"/>
    </i>
    <i>
      <x v="4"/>
    </i>
    <i>
      <x v="5"/>
    </i>
    <i>
      <x v="6"/>
    </i>
    <i>
      <x v="7"/>
    </i>
    <i>
      <x v="8"/>
    </i>
    <i>
      <x v="9"/>
    </i>
    <i>
      <x v="10"/>
    </i>
    <i>
      <x v="11"/>
    </i>
    <i>
      <x v="12"/>
    </i>
    <i>
      <x v="13"/>
    </i>
    <i>
      <x v="14"/>
    </i>
    <i>
      <x v="15"/>
    </i>
    <i>
      <x v="16"/>
    </i>
    <i>
      <x v="17"/>
    </i>
    <i>
      <x v="18"/>
    </i>
    <i>
      <x v="19"/>
    </i>
    <i>
      <x v="20"/>
    </i>
    <i t="grand">
      <x/>
    </i>
  </rowItems>
  <colFields count="1">
    <field x="0"/>
  </colFields>
  <colItems count="3">
    <i>
      <x/>
    </i>
    <i>
      <x v="1"/>
    </i>
    <i t="grand">
      <x/>
    </i>
  </colItems>
  <dataFields count="1">
    <dataField name="Count of Player" fld="0" subtotal="count" baseField="0" baseItem="0"/>
  </dataField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0"/>
          </reference>
        </references>
      </pivotArea>
    </chartFormat>
    <chartFormat chart="6" format="5" series="1">
      <pivotArea type="data" outline="0" fieldPosition="0">
        <references count="2">
          <reference field="4294967294" count="1" selected="0">
            <x v="0"/>
          </reference>
          <reference field="0" count="1" selected="0">
            <x v="0"/>
          </reference>
        </references>
      </pivotArea>
    </chartFormat>
    <chartFormat chart="6" format="6"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1C5973FC-9C34-4314-A928-245583BDD361}" name="PivotTable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
  <location ref="A3:D57"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axis="axisRow"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3"/>
  </rowFields>
  <rowItems count="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t="grand">
      <x/>
    </i>
  </rowItems>
  <colFields count="1">
    <field x="0"/>
  </colFields>
  <colItems count="3">
    <i>
      <x/>
    </i>
    <i>
      <x v="1"/>
    </i>
    <i t="grand">
      <x/>
    </i>
  </colItems>
  <dataFields count="1">
    <dataField name="Count of Player" fld="0" subtotal="count" baseField="0" baseItem="0"/>
  </dataFields>
  <chartFormats count="4">
    <chartFormat chart="0" format="0" series="1">
      <pivotArea type="data" outline="0" fieldPosition="0">
        <references count="1">
          <reference field="0" count="1" selected="0">
            <x v="0"/>
          </reference>
        </references>
      </pivotArea>
    </chartFormat>
    <chartFormat chart="0" format="1" series="1">
      <pivotArea type="data" outline="0" fieldPosition="0">
        <references count="1">
          <reference field="0" count="1" selected="0">
            <x v="1"/>
          </reference>
        </references>
      </pivotArea>
    </chartFormat>
    <chartFormat chart="0" format="2" series="1">
      <pivotArea type="data" outline="0" fieldPosition="0">
        <references count="2">
          <reference field="4294967294" count="1" selected="0">
            <x v="0"/>
          </reference>
          <reference field="0" count="1" selected="0">
            <x v="0"/>
          </reference>
        </references>
      </pivotArea>
    </chartFormat>
    <chartFormat chart="0" format="3"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layer" xr10:uid="{812AEC73-2BEA-467A-85FE-3CB1C7D7E22B}" sourceName="Player">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etition" xr10:uid="{CB6B6748-B6A8-4816-8AB4-0CDF550E9805}" sourceName="Competition">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21">
        <i x="18" s="1"/>
        <i x="8" s="1"/>
        <i x="7" s="1"/>
        <i x="19" s="1"/>
        <i x="3" s="1"/>
        <i x="9" s="1"/>
        <i x="14" s="1"/>
        <i x="4" s="1"/>
        <i x="0" s="1"/>
        <i x="15" s="1"/>
        <i x="2" s="1"/>
        <i x="20" s="1"/>
        <i x="12" s="1"/>
        <i x="10" s="1"/>
        <i x="13" s="1"/>
        <i x="1" s="1"/>
        <i x="17" s="1"/>
        <i x="16" s="1"/>
        <i x="6" s="1"/>
        <i x="5" s="1"/>
        <i x="1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tchday" xr10:uid="{5A6E3220-6B3D-4852-AAF3-EE7EDBAEF784}" sourceName="Matchday">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52">
        <i x="27" s="1"/>
        <i x="28" s="1"/>
        <i x="47" s="1"/>
        <i x="37" s="1"/>
        <i x="38" s="1"/>
        <i x="0" s="1"/>
        <i x="40" s="1"/>
        <i x="1" s="1"/>
        <i x="39" s="1"/>
        <i x="29" s="1"/>
        <i x="4" s="1"/>
        <i x="41" s="1"/>
        <i x="19" s="1"/>
        <i x="51" s="1"/>
        <i x="30" s="1"/>
        <i x="9" s="1"/>
        <i x="31" s="1"/>
        <i x="42" s="1"/>
        <i x="22" s="1"/>
        <i x="21" s="1"/>
        <i x="23" s="1"/>
        <i x="43" s="1"/>
        <i x="32" s="1"/>
        <i x="11" s="1"/>
        <i x="12" s="1"/>
        <i x="25" s="1"/>
        <i x="33" s="1"/>
        <i x="26" s="1"/>
        <i x="5" s="1"/>
        <i x="14" s="1"/>
        <i x="45" s="1"/>
        <i x="6" s="1"/>
        <i x="46" s="1"/>
        <i x="16" s="1"/>
        <i x="36" s="1"/>
        <i x="48" s="1"/>
        <i x="35" s="1"/>
        <i x="7" s="1"/>
        <i x="17" s="1"/>
        <i x="50" s="1"/>
        <i x="49" s="1"/>
        <i x="34" s="1"/>
        <i x="3" s="1"/>
        <i x="8" s="1"/>
        <i x="2" s="1"/>
        <i x="18" s="1"/>
        <i x="44" s="1"/>
        <i x="24" s="1"/>
        <i x="20" s="1"/>
        <i x="15" s="1"/>
        <i x="13" s="1"/>
        <i x="1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ub" xr10:uid="{91374A28-3286-4C81-BAA2-0EA91E203A8B}" sourceName="Club">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7">
        <i x="6" s="1"/>
        <i x="2" s="1"/>
        <i x="4" s="1"/>
        <i x="1" s="1"/>
        <i x="5" s="1"/>
        <i x="3"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pponent" xr10:uid="{49BFAC10-D59C-4DA4-9875-FABB6E900F68}" sourceName="Opponent">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173">
        <i x="172" s="1"/>
        <i x="165" s="1"/>
        <i x="41" s="1"/>
        <i x="131" s="1"/>
        <i x="89" s="1"/>
        <i x="88" s="1"/>
        <i x="16" s="1"/>
        <i x="168" s="1"/>
        <i x="120" s="1"/>
        <i x="170" s="1"/>
        <i x="100" s="1"/>
        <i x="12" s="1"/>
        <i x="39" s="1"/>
        <i x="8" s="1"/>
        <i x="133" s="1"/>
        <i x="23" s="1"/>
        <i x="42" s="1"/>
        <i x="93" s="1"/>
        <i x="98" s="1"/>
        <i x="70" s="1"/>
        <i x="65" s="1"/>
        <i x="7" s="1"/>
        <i x="52" s="1"/>
        <i x="1" s="1"/>
        <i x="140" s="1"/>
        <i x="22" s="1"/>
        <i x="102" s="1"/>
        <i x="116" s="1"/>
        <i x="158" s="1"/>
        <i x="155" s="1"/>
        <i x="148" s="1"/>
        <i x="153" s="1"/>
        <i x="31" s="1"/>
        <i x="113" s="1"/>
        <i x="146" s="1"/>
        <i x="103" s="1"/>
        <i x="142" s="1"/>
        <i x="2" s="1"/>
        <i x="115" s="1"/>
        <i x="68" s="1"/>
        <i x="82" s="1"/>
        <i x="30" s="1"/>
        <i x="56" s="1"/>
        <i x="117" s="1"/>
        <i x="80" s="1"/>
        <i x="29" s="1"/>
        <i x="59" s="1"/>
        <i x="160" s="1"/>
        <i x="87" s="1"/>
        <i x="151" s="1"/>
        <i x="81" s="1"/>
        <i x="99" s="1"/>
        <i x="78" s="1"/>
        <i x="171" s="1"/>
        <i x="17" s="1"/>
        <i x="24" s="1"/>
        <i x="38" s="1"/>
        <i x="73" s="1"/>
        <i x="53" s="1"/>
        <i x="49" s="1"/>
        <i x="106" s="1"/>
        <i x="129" s="1"/>
        <i x="166" s="1"/>
        <i x="13" s="1"/>
        <i x="11" s="1"/>
        <i x="91" s="1"/>
        <i x="62" s="1"/>
        <i x="84" s="1"/>
        <i x="147" s="1"/>
        <i x="69" s="1"/>
        <i x="156" s="1"/>
        <i x="150" s="1"/>
        <i x="3" s="1"/>
        <i x="71" s="1"/>
        <i x="108" s="1"/>
        <i x="162" s="1"/>
        <i x="169" s="1"/>
        <i x="94" s="1"/>
        <i x="74" s="1"/>
        <i x="144" s="1"/>
        <i x="126" s="1"/>
        <i x="14" s="1"/>
        <i x="105" s="1"/>
        <i x="67" s="1"/>
        <i x="128" s="1"/>
        <i x="40" s="1"/>
        <i x="44" s="1"/>
        <i x="122" s="1"/>
        <i x="121" s="1"/>
        <i x="97" s="1"/>
        <i x="139" s="1"/>
        <i x="85" s="1"/>
        <i x="64" s="1"/>
        <i x="137" s="1"/>
        <i x="107" s="1"/>
        <i x="118" s="1"/>
        <i x="47" s="1"/>
        <i x="57" s="1"/>
        <i x="154" s="1"/>
        <i x="109" s="1"/>
        <i x="161" s="1"/>
        <i x="63" s="1"/>
        <i x="111" s="1"/>
        <i x="5" s="1"/>
        <i x="72" s="1"/>
        <i x="18" s="1"/>
        <i x="9" s="1"/>
        <i x="159" s="1"/>
        <i x="167" s="1"/>
        <i x="0" s="1"/>
        <i x="15" s="1"/>
        <i x="152" s="1"/>
        <i x="163" s="1"/>
        <i x="119" s="1"/>
        <i x="46" s="1"/>
        <i x="77" s="1"/>
        <i x="19" s="1"/>
        <i x="104" s="1"/>
        <i x="136" s="1"/>
        <i x="4" s="1"/>
        <i x="125" s="1"/>
        <i x="20" s="1"/>
        <i x="51" s="1"/>
        <i x="92" s="1"/>
        <i x="149" s="1"/>
        <i x="157" s="1"/>
        <i x="43" s="1"/>
        <i x="25" s="1"/>
        <i x="32" s="1"/>
        <i x="27" s="1"/>
        <i x="36" s="1"/>
        <i x="86" s="1"/>
        <i x="90" s="1"/>
        <i x="83" s="1"/>
        <i x="26" s="1"/>
        <i x="37" s="1"/>
        <i x="96" s="1"/>
        <i x="110" s="1"/>
        <i x="123" s="1"/>
        <i x="95" s="1"/>
        <i x="34" s="1"/>
        <i x="61" s="1"/>
        <i x="141" s="1"/>
        <i x="164" s="1"/>
        <i x="10" s="1"/>
        <i x="130" s="1"/>
        <i x="101" s="1"/>
        <i x="145" s="1"/>
        <i x="45" s="1"/>
        <i x="60" s="1"/>
        <i x="135" s="1"/>
        <i x="138" s="1"/>
        <i x="66" s="1"/>
        <i x="54" s="1"/>
        <i x="33" s="1"/>
        <i x="132" s="1"/>
        <i x="6" s="1"/>
        <i x="134" s="1"/>
        <i x="50" s="1"/>
        <i x="79" s="1"/>
        <i x="112" s="1"/>
        <i x="127" s="1"/>
        <i x="143" s="1"/>
        <i x="124" s="1"/>
        <i x="58" s="1"/>
        <i x="48" s="1"/>
        <i x="114" s="1"/>
        <i x="76" s="1"/>
        <i x="35" s="1"/>
        <i x="21" s="1"/>
        <i x="55" s="1"/>
        <i x="28" s="1"/>
        <i x="75"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in_Lose" xr10:uid="{B4CB4DFE-AF00-4588-84A2-1A93147333C2}" sourceName="Win/Lose">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3">
        <i x="1" s="1"/>
        <i x="2" s="1"/>
        <i x="0"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laying_Position" xr10:uid="{AEA7E858-91F2-4773-98AB-89722D835747}" sourceName="Playing_Position">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10">
        <i x="6" s="1"/>
        <i x="8" s="1"/>
        <i x="2" s="1"/>
        <i x="5" s="1"/>
        <i x="0" s="1"/>
        <i x="4" s="1"/>
        <i x="1" s="1"/>
        <i x="7" s="1"/>
        <i x="3" s="1"/>
        <i x="9"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inute" xr10:uid="{AD1659F2-942D-4E8E-A103-A4E4F96C98EC}" sourceName="Minute">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108">
        <i x="85" s="1"/>
        <i x="86" s="1"/>
        <i x="69" s="1"/>
        <i x="9" s="1"/>
        <i x="49" s="1"/>
        <i x="80" s="1"/>
        <i x="89" s="1"/>
        <i x="13" s="1"/>
        <i x="12" s="1"/>
        <i x="39" s="1"/>
        <i x="45" s="1"/>
        <i x="23" s="1"/>
        <i x="4" s="1"/>
        <i x="30" s="1"/>
        <i x="84" s="1"/>
        <i x="67" s="1"/>
        <i x="81" s="1"/>
        <i x="65" s="1"/>
        <i x="36" s="1"/>
        <i x="92" s="1"/>
        <i x="17" s="1"/>
        <i x="60" s="1"/>
        <i x="35" s="1"/>
        <i x="70" s="1"/>
        <i x="73" s="1"/>
        <i x="72" s="1"/>
        <i x="83" s="1"/>
        <i x="44" s="1"/>
        <i x="48" s="1"/>
        <i x="74" s="1"/>
        <i x="78" s="1"/>
        <i x="71" s="1"/>
        <i x="94" s="1"/>
        <i x="0" s="1"/>
        <i x="57" s="1"/>
        <i x="37" s="1"/>
        <i x="91" s="1"/>
        <i x="31" s="1"/>
        <i x="40" s="1"/>
        <i x="79" s="1"/>
        <i x="56" s="1"/>
        <i x="29" s="1"/>
        <i x="51" s="1"/>
        <i x="10" s="1"/>
        <i x="32" s="1"/>
        <i x="93" s="1"/>
        <i x="42" s="1"/>
        <i x="61" s="1"/>
        <i x="47" s="1"/>
        <i x="25" s="1"/>
        <i x="22" s="1"/>
        <i x="95" s="1"/>
        <i x="68" s="1"/>
        <i x="14" s="1"/>
        <i x="82" s="1"/>
        <i x="66" s="1"/>
        <i x="50" s="1"/>
        <i x="15" s="1"/>
        <i x="34" s="1"/>
        <i x="8" s="1"/>
        <i x="75" s="1"/>
        <i x="52" s="1"/>
        <i x="20" s="1"/>
        <i x="87" s="1"/>
        <i x="77" s="1"/>
        <i x="55" s="1"/>
        <i x="3" s="1"/>
        <i x="24" s="1"/>
        <i x="64" s="1"/>
        <i x="62" s="1"/>
        <i x="90" s="1"/>
        <i x="53" s="1"/>
        <i x="38" s="1"/>
        <i x="6" s="1"/>
        <i x="28" s="1"/>
        <i x="18" s="1"/>
        <i x="43" s="1"/>
        <i x="76" s="1"/>
        <i x="54" s="1"/>
        <i x="5" s="1"/>
        <i x="58" s="1"/>
        <i x="26" s="1"/>
        <i x="27" s="1"/>
        <i x="33" s="1"/>
        <i x="41" s="1"/>
        <i x="46" s="1"/>
        <i x="11" s="1"/>
        <i x="2" s="1"/>
        <i x="7" s="1"/>
        <i x="21" s="1"/>
        <i x="102" s="1"/>
        <i x="96" s="1"/>
        <i x="101" s="1"/>
        <i x="103" s="1"/>
        <i x="104" s="1"/>
        <i x="88" s="1"/>
        <i x="100" s="1"/>
        <i x="16" s="1"/>
        <i x="97" s="1"/>
        <i x="107" s="1"/>
        <i x="106" s="1"/>
        <i x="19" s="1"/>
        <i x="63" s="1"/>
        <i x="59" s="1"/>
        <i x="98" s="1"/>
        <i x="1" s="1"/>
        <i x="99" s="1"/>
        <i x="105"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3D4B9AAA-0871-46D4-8D82-BB59846FC027}" sourceName="Type">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12">
        <i x="11" s="1"/>
        <i x="9" s="1"/>
        <i x="8" s="1"/>
        <i x="4" s="1"/>
        <i x="1" s="1"/>
        <i x="3" s="1"/>
        <i x="10" s="1"/>
        <i x="6" s="1"/>
        <i x="7" s="1"/>
        <i x="2" s="1"/>
        <i x="0" s="1"/>
        <i x="5"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oal_assist" xr10:uid="{F2392714-F0AE-4DE5-B622-DB02506512BE}" sourceName="Goal_assist">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160">
        <i x="157" s="1"/>
        <i x="130" s="1"/>
        <i x="155" s="1"/>
        <i x="154" s="1"/>
        <i x="60" s="1"/>
        <i x="137" s="1"/>
        <i x="48" s="1"/>
        <i x="102" s="1"/>
        <i x="36" s="1"/>
        <i x="126" s="1"/>
        <i x="79" s="1"/>
        <i x="145" s="1"/>
        <i x="67" s="1"/>
        <i x="66" s="1"/>
        <i x="95" s="1"/>
        <i x="38" s="1"/>
        <i x="16" s="1"/>
        <i x="57" s="1"/>
        <i x="148" s="1"/>
        <i x="123" s="1"/>
        <i x="80" s="1"/>
        <i x="90" s="1"/>
        <i x="124" s="1"/>
        <i x="109" s="1"/>
        <i x="158" s="1"/>
        <i x="111" s="1"/>
        <i x="33" s="1"/>
        <i x="105" s="1"/>
        <i x="139" s="1"/>
        <i x="2" s="1"/>
        <i x="28" s="1"/>
        <i x="100" s="1"/>
        <i x="3" s="1"/>
        <i x="65" s="1"/>
        <i x="87" s="1"/>
        <i x="121" s="1"/>
        <i x="69" s="1"/>
        <i x="34" s="1"/>
        <i x="78" s="1"/>
        <i x="89" s="1"/>
        <i x="58" s="1"/>
        <i x="18" s="1"/>
        <i x="104" s="1"/>
        <i x="35" s="1"/>
        <i x="122" s="1"/>
        <i x="31" s="1"/>
        <i x="108" s="1"/>
        <i x="41" s="1"/>
        <i x="47" s="1"/>
        <i x="153" s="1"/>
        <i x="68" s="1"/>
        <i x="117" s="1"/>
        <i x="136" s="1"/>
        <i x="132" s="1"/>
        <i x="147" s="1"/>
        <i x="127" s="1"/>
        <i x="77" s="1"/>
        <i x="5" s="1"/>
        <i x="37" s="1"/>
        <i x="24" s="1"/>
        <i x="114" s="1"/>
        <i x="23" s="1"/>
        <i x="45" s="1"/>
        <i x="40" s="1"/>
        <i x="63" s="1"/>
        <i x="135" s="1"/>
        <i x="70" s="1"/>
        <i x="76" s="1"/>
        <i x="85" s="1"/>
        <i x="146" s="1"/>
        <i x="81" s="1"/>
        <i x="98" s="1"/>
        <i x="91" s="1"/>
        <i x="141" s="1"/>
        <i x="20" s="1"/>
        <i x="118" s="1"/>
        <i x="17" s="1"/>
        <i x="71" s="1"/>
        <i x="72" s="1"/>
        <i x="128" s="1"/>
        <i x="49" s="1"/>
        <i x="43" s="1"/>
        <i x="150" s="1"/>
        <i x="140" s="1"/>
        <i x="46" s="1"/>
        <i x="151" s="1"/>
        <i x="112" s="1"/>
        <i x="120" s="1"/>
        <i x="7" s="1"/>
        <i x="93" s="1"/>
        <i x="88" s="1"/>
        <i x="15" s="1"/>
        <i x="84" s="1"/>
        <i x="74" s="1"/>
        <i x="138" s="1"/>
        <i x="119" s="1"/>
        <i x="82" s="1"/>
        <i x="52" s="1"/>
        <i x="99" s="1"/>
        <i x="143" s="1"/>
        <i x="110" s="1"/>
        <i x="13" s="1"/>
        <i x="73" s="1"/>
        <i x="134" s="1"/>
        <i x="142" s="1"/>
        <i x="97" s="1"/>
        <i x="54" s="1"/>
        <i x="131" s="1"/>
        <i x="55" s="1"/>
        <i x="22" s="1"/>
        <i x="113" s="1"/>
        <i x="92" s="1"/>
        <i x="96" s="1"/>
        <i x="30" s="1"/>
        <i x="116" s="1"/>
        <i x="149" s="1"/>
        <i x="29" s="1"/>
        <i x="75" s="1"/>
        <i x="152" s="1"/>
        <i x="21" s="1"/>
        <i x="106" s="1"/>
        <i x="32" s="1"/>
        <i x="101" s="1"/>
        <i x="27" s="1"/>
        <i x="6" s="1"/>
        <i x="103" s="1"/>
        <i x="115" s="1"/>
        <i x="133" s="1"/>
        <i x="44" s="1"/>
        <i x="42" s="1"/>
        <i x="107" s="1"/>
        <i x="83" s="1"/>
        <i x="129" s="1"/>
        <i x="125" s="1"/>
        <i x="10" s="1"/>
        <i x="9" s="1"/>
        <i x="1" s="1"/>
        <i x="8" s="1"/>
        <i x="4" s="1"/>
        <i x="156" s="1"/>
        <i x="62" s="1"/>
        <i x="11" s="1"/>
        <i x="144" s="1"/>
        <i x="94" s="1"/>
        <i x="64" s="1"/>
        <i x="61" s="1"/>
        <i x="53" s="1"/>
        <i x="51" s="1"/>
        <i x="159" s="1"/>
        <i x="14" s="1"/>
        <i x="59" s="1"/>
        <i x="26" s="1"/>
        <i x="86" s="1"/>
        <i x="12" s="1"/>
        <i x="25" s="1"/>
        <i x="56" s="1"/>
        <i x="19" s="1"/>
        <i x="50" s="1"/>
        <i x="39"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yer" xr10:uid="{38247A86-919E-4421-B34D-1EE6240FE363}" cache="Slicer_Player" caption="Player" style="SlicerStyleLight2" rowHeight="1008000"/>
  <slicer name="Competition" xr10:uid="{6EFF5347-9D7C-427E-BAC2-683A2910EAFA}" cache="Slicer_Competition" caption="Competition" style="SlicerStyleLight2" rowHeight="298450"/>
  <slicer name="Matchday" xr10:uid="{4D2B56D3-B92A-4D8C-B3E3-0A9773BF43D1}" cache="Slicer_Matchday" caption="Matchday" columnCount="3" style="SlicerStyleLight2" rowHeight="298450"/>
  <slicer name="Club" xr10:uid="{80575D4C-A0F7-4CFB-BC67-9B6D20783205}" cache="Slicer_Club" caption="Club" style="SlicerStyleLight2" rowHeight="298450"/>
  <slicer name="Opponent" xr10:uid="{B638718A-3095-4B12-B493-23E65B5AB3EF}" cache="Slicer_Opponent" caption="Opponent" style="SlicerStyleLight2" rowHeight="298450"/>
  <slicer name="Win/Lose" xr10:uid="{90B1DFDC-016F-46AC-BE17-B369656C4907}" cache="Slicer_Win_Lose" caption="Win/Lose" style="SlicerStyleLight2" rowHeight="360000"/>
  <slicer name="Playing_Position" xr10:uid="{CD1E3B44-9D47-48CC-A0E0-75676E9AC17F}" cache="Slicer_Playing_Position" caption="Playing_Position" columnCount="2" style="SlicerStyleLight2" rowHeight="298450"/>
  <slicer name="Minute" xr10:uid="{5D428F1C-77C3-4316-8037-2490F94759C9}" cache="Slicer_Minute" caption="Minute" columnCount="3" style="SlicerStyleLight2" rowHeight="298450"/>
  <slicer name="Type" xr10:uid="{EE6B9905-5930-4564-9B24-4872105A9C71}" cache="Slicer_Type" caption="Type" style="SlicerStyleLight2" rowHeight="298450"/>
  <slicer name="Goal_assist" xr10:uid="{1A639221-005F-40EC-AA0F-B748319E5632}" cache="Slicer_Goal_assist" caption="Goal_assist" startItem="1" style="SlicerStyleLight2" rowHeight="2984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ECD320F-07A2-425A-9420-A873BBB57B7E}" name="Table1" displayName="Table1" ref="A1:N1414" totalsRowShown="0">
  <autoFilter ref="A1:N1414" xr:uid="{2ECD320F-07A2-425A-9420-A873BBB57B7E}"/>
  <tableColumns count="14">
    <tableColumn id="1" xr3:uid="{8B8E2E70-B53C-4D74-82B5-31165ECFD3B2}" name="Player"/>
    <tableColumn id="2" xr3:uid="{ADC6545E-3338-4AFC-9F6B-244DAA5C3CE1}" name="Season"/>
    <tableColumn id="3" xr3:uid="{0FE86808-E3AD-4520-9976-1C7D599A5DB1}" name="Competition"/>
    <tableColumn id="4" xr3:uid="{94AF6DCE-1D40-4AD1-8BAA-51F724405B97}" name="Matchday"/>
    <tableColumn id="5" xr3:uid="{63FB5A5F-5938-4C91-8BC7-F1B4C5B390A5}" name="Date" dataDxfId="12"/>
    <tableColumn id="6" xr3:uid="{07A1565B-F489-4A04-94D4-4589E4613DCD}" name="Venue"/>
    <tableColumn id="7" xr3:uid="{5C7CA6AD-A02E-4604-ABD9-A6C67C588F12}" name="Club"/>
    <tableColumn id="8" xr3:uid="{DE97E418-2E6A-48C6-A1D2-01270A17DF91}" name="Opponent"/>
    <tableColumn id="9" xr3:uid="{F0EF8439-DF1A-4C0F-A63C-ACF4167FC0C5}" name="Result" dataDxfId="11"/>
    <tableColumn id="10" xr3:uid="{DC15629C-F60F-43A5-851C-E600C45BCB19}" name="Playing_Position"/>
    <tableColumn id="11" xr3:uid="{4B6E42FF-A953-4AC7-9E90-8D89EC83F644}" name="Minute"/>
    <tableColumn id="12" xr3:uid="{39C4AD48-2C4F-4EF4-A0B2-1E690C1E564C}" name="At_score" dataDxfId="10"/>
    <tableColumn id="13" xr3:uid="{AB525DC2-E253-4EF0-B81F-0DC4EF8201A9}" name="Type"/>
    <tableColumn id="14" xr3:uid="{092E89A7-020F-460E-A241-4356D7BE03C5}" name="Goal_assis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DB0FA2-3878-4528-8323-66F66982EA10}" name="Table13" displayName="Table13" ref="A1:O1414" totalsRowShown="0">
  <autoFilter ref="A1:O1414" xr:uid="{ABDB0FA2-3878-4528-8323-66F66982EA10}"/>
  <tableColumns count="15">
    <tableColumn id="1" xr3:uid="{0A7C217A-A273-4136-8C1D-91902D494062}" name="Player"/>
    <tableColumn id="2" xr3:uid="{4C77B54E-203A-4175-ACD7-5B44AE5BAC53}" name="Season"/>
    <tableColumn id="3" xr3:uid="{D2AD22EB-FF89-4459-B8FF-60E0171234B0}" name="Competition"/>
    <tableColumn id="4" xr3:uid="{14D2DB7D-C4C7-4602-828D-AA3A2DE8326A}" name="Matchday"/>
    <tableColumn id="5" xr3:uid="{129BC3C9-DDBA-43A7-A305-772A546FAB70}" name="Date" dataDxfId="9"/>
    <tableColumn id="6" xr3:uid="{6294ED8E-7012-425D-8D09-8C5C492661CC}" name="Venue"/>
    <tableColumn id="7" xr3:uid="{B7E67434-AFD5-46D1-BF76-F024C2036B47}" name="Club"/>
    <tableColumn id="8" xr3:uid="{754BA22A-12A8-4F0F-B2E1-F4B0F5F7F2B4}" name="Opponent"/>
    <tableColumn id="9" xr3:uid="{02E47758-C7F1-46BC-B852-6CBDFB3FAC80}" name="Result" dataDxfId="8"/>
    <tableColumn id="10" xr3:uid="{B584C103-1D52-45E4-B130-E8696B47DB0C}" name="Playing_Position"/>
    <tableColumn id="11" xr3:uid="{DEFDD06A-C197-4713-8C38-587E777A4B9C}" name="Minute"/>
    <tableColumn id="12" xr3:uid="{756516E3-D27A-42F3-9073-5DD495B6E544}" name="At_score" dataDxfId="7"/>
    <tableColumn id="13" xr3:uid="{1FF05743-759D-4E1C-A065-7B2D45010D2D}" name="Type"/>
    <tableColumn id="14" xr3:uid="{5F12C473-9B6D-4ED9-BD5F-FEAD39082606}" name="Goal_assist"/>
    <tableColumn id="33" xr3:uid="{0DA40739-304B-474F-97B4-EE595CDA8B80}" name="Solo Goals" dataDxfId="6">
      <calculatedColumnFormula>IF(Table13[[#This Row],[Goal_assist]]="",1,0)</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8E8551A-A29D-4D62-9AC5-577156564E37}" name="Table1346" displayName="Table1346" ref="A1:Q1414" totalsRowShown="0">
  <autoFilter ref="A1:Q1414" xr:uid="{78E8551A-A29D-4D62-9AC5-577156564E37}"/>
  <tableColumns count="17">
    <tableColumn id="1" xr3:uid="{C86D4A06-0A51-4270-BA7D-E7175BF4457F}" name="Player"/>
    <tableColumn id="2" xr3:uid="{1388333C-ABAB-4828-B6B7-D6D55AA84A74}" name="Season"/>
    <tableColumn id="3" xr3:uid="{71916A33-DB74-4095-AA7F-79110BAC3F84}" name="Competition"/>
    <tableColumn id="4" xr3:uid="{05726A9A-9AD1-45C8-8CC9-10AE904ED562}" name="Matchday"/>
    <tableColumn id="5" xr3:uid="{816206B5-0F79-4AEE-93D7-01FEC490FA01}" name="Date" dataDxfId="5"/>
    <tableColumn id="6" xr3:uid="{BDFB4B9F-7116-4C01-BF1A-B4728901D913}" name="Venue"/>
    <tableColumn id="7" xr3:uid="{11A7E78A-5294-4A86-998F-D49FE57715A8}" name="Club"/>
    <tableColumn id="8" xr3:uid="{3A1E163B-B17B-426D-9545-4592D0E52243}" name="Opponent"/>
    <tableColumn id="9" xr3:uid="{662FCEF8-E6BE-4654-8083-41B9A74FE51C}" name="Result" dataDxfId="4"/>
    <tableColumn id="34" xr3:uid="{01FC292F-2A52-4C11-B296-4234F2CC91FA}" name="Home Team Score" dataDxfId="3"/>
    <tableColumn id="35" xr3:uid="{5AF727E6-C43D-4F35-AE0C-3FA5B79B7A5F}" name="Away Team Score" dataDxfId="2"/>
    <tableColumn id="39" xr3:uid="{C95772FA-5AC9-4118-9800-60059F898F29}" name="Win/Lose" dataDxfId="1">
      <calculatedColumnFormula>IF(Table1346[[#This Row],[Home Team Score]]&gt;Table1346[[#This Row],[Away Team Score]],"Win",IF(Table1346[[#This Row],[Home Team Score]]=Table1346[[#This Row],[Away Team Score]],"Tie","Lose"))</calculatedColumnFormula>
    </tableColumn>
    <tableColumn id="10" xr3:uid="{10958032-1FA7-47F5-9177-7F4B818E8F2A}" name="Playing_Position"/>
    <tableColumn id="11" xr3:uid="{A7A82D66-4597-415A-B034-CE3008810AD5}" name="Minute"/>
    <tableColumn id="12" xr3:uid="{059BCE6B-3440-4BE8-AEBB-C042822BB4CA}" name="At_score" dataDxfId="0"/>
    <tableColumn id="13" xr3:uid="{94A39D72-3679-474A-A0DA-C19E19237A9A}" name="Type"/>
    <tableColumn id="14" xr3:uid="{BAB8BF05-FA82-4814-BFA9-44D85B61F00B}" name="Goal_assis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9B896B3-18FF-4D2F-AA9A-8E05AAFA481C}" name="Table4" displayName="Table4" ref="R1:R1414" totalsRowShown="0">
  <autoFilter ref="R1:R1414" xr:uid="{49B896B3-18FF-4D2F-AA9A-8E05AAFA481C}"/>
  <tableColumns count="1">
    <tableColumn id="1" xr3:uid="{2C9D0B75-C9B0-4097-99D8-83BB6479120F}" name="Solo Goals">
      <calculatedColumnFormula>IF([1]!Table13[[#This Row],[Goal_assist]]="",1,0)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8A0867B9-BC7F-4B80-B06A-D64F722107AB}" sourceName="Date">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state minimalRefreshVersion="6" lastRefreshVersion="6" pivotCacheId="1662700476" filterType="unknown">
    <bounds startDate="2002-01-01T00:00:00" endDate="2024-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18294DA6-41E4-4D77-9EFC-4240A31525D1}" cache="NativeTimeline_Date" caption="Date" level="0" selectionLevel="2" scrollPosition="2002-01-01T00:00:00" style="TimeSlicerStyleLight2"/>
</timeline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3.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pivotTable" Target="../pivotTables/pivotTable4.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5.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7.bin"/><Relationship Id="rId1" Type="http://schemas.openxmlformats.org/officeDocument/2006/relationships/pivotTable" Target="../pivotTables/pivotTable9.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8.bin"/><Relationship Id="rId1" Type="http://schemas.openxmlformats.org/officeDocument/2006/relationships/pivotTable" Target="../pivotTables/pivotTable10.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ivotTable" Target="../pivotTables/pivotTable13.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9.bin"/><Relationship Id="rId1" Type="http://schemas.openxmlformats.org/officeDocument/2006/relationships/pivotTable" Target="../pivotTables/pivotTable14.xml"/></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0.bin"/><Relationship Id="rId1" Type="http://schemas.openxmlformats.org/officeDocument/2006/relationships/pivotTable" Target="../pivotTables/pivotTable15.xml"/></Relationships>
</file>

<file path=xl/worksheets/_rels/sheet2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7.xml"/><Relationship Id="rId1" Type="http://schemas.openxmlformats.org/officeDocument/2006/relationships/printerSettings" Target="../printerSettings/printerSettings11.bin"/><Relationship Id="rId4" Type="http://schemas.microsoft.com/office/2011/relationships/timeline" Target="../timelines/timelin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3B189-54A4-4333-83AF-C2D6D2E414F1}">
  <dimension ref="A1:C24"/>
  <sheetViews>
    <sheetView tabSelected="1" workbookViewId="0">
      <selection activeCell="C18" sqref="C18"/>
    </sheetView>
  </sheetViews>
  <sheetFormatPr defaultRowHeight="18" x14ac:dyDescent="0.35"/>
  <cols>
    <col min="1" max="1" width="46" bestFit="1" customWidth="1"/>
    <col min="2" max="2" width="5.08203125" customWidth="1"/>
    <col min="3" max="3" width="122.5" bestFit="1" customWidth="1"/>
  </cols>
  <sheetData>
    <row r="1" spans="1:3" ht="23.4" x14ac:dyDescent="0.45">
      <c r="A1" s="13" t="s">
        <v>514</v>
      </c>
      <c r="B1" s="13"/>
      <c r="C1" s="13" t="s">
        <v>529</v>
      </c>
    </row>
    <row r="3" spans="1:3" x14ac:dyDescent="0.35">
      <c r="A3" s="19" t="s">
        <v>515</v>
      </c>
      <c r="B3" s="19"/>
      <c r="C3" s="20" t="s">
        <v>530</v>
      </c>
    </row>
    <row r="4" spans="1:3" x14ac:dyDescent="0.35">
      <c r="A4" s="19" t="s">
        <v>516</v>
      </c>
      <c r="B4" s="19"/>
      <c r="C4" s="20" t="s">
        <v>531</v>
      </c>
    </row>
    <row r="5" spans="1:3" x14ac:dyDescent="0.35">
      <c r="A5" s="19" t="s">
        <v>517</v>
      </c>
      <c r="B5" s="19"/>
      <c r="C5" s="20" t="s">
        <v>532</v>
      </c>
    </row>
    <row r="6" spans="1:3" x14ac:dyDescent="0.35">
      <c r="A6" s="19" t="s">
        <v>518</v>
      </c>
      <c r="B6" s="19"/>
      <c r="C6" s="20" t="s">
        <v>533</v>
      </c>
    </row>
    <row r="7" spans="1:3" x14ac:dyDescent="0.35">
      <c r="A7" s="19" t="s">
        <v>519</v>
      </c>
      <c r="B7" s="19"/>
      <c r="C7" s="20" t="s">
        <v>534</v>
      </c>
    </row>
    <row r="8" spans="1:3" x14ac:dyDescent="0.35">
      <c r="A8" s="19" t="s">
        <v>520</v>
      </c>
      <c r="B8" s="19"/>
      <c r="C8" s="20" t="s">
        <v>535</v>
      </c>
    </row>
    <row r="9" spans="1:3" x14ac:dyDescent="0.35">
      <c r="A9" s="19" t="s">
        <v>521</v>
      </c>
      <c r="B9" s="19"/>
      <c r="C9" s="20" t="s">
        <v>536</v>
      </c>
    </row>
    <row r="10" spans="1:3" x14ac:dyDescent="0.35">
      <c r="A10" s="19" t="s">
        <v>522</v>
      </c>
      <c r="B10" s="19"/>
      <c r="C10" s="20" t="s">
        <v>537</v>
      </c>
    </row>
    <row r="11" spans="1:3" x14ac:dyDescent="0.35">
      <c r="A11" s="19" t="s">
        <v>523</v>
      </c>
      <c r="B11" s="19"/>
      <c r="C11" s="20" t="s">
        <v>538</v>
      </c>
    </row>
    <row r="12" spans="1:3" x14ac:dyDescent="0.35">
      <c r="A12" s="19" t="s">
        <v>524</v>
      </c>
      <c r="B12" s="19"/>
      <c r="C12" s="20" t="s">
        <v>539</v>
      </c>
    </row>
    <row r="13" spans="1:3" x14ac:dyDescent="0.35">
      <c r="A13" s="19" t="s">
        <v>525</v>
      </c>
      <c r="B13" s="19"/>
      <c r="C13" s="20" t="s">
        <v>540</v>
      </c>
    </row>
    <row r="14" spans="1:3" x14ac:dyDescent="0.35">
      <c r="A14" s="19" t="s">
        <v>526</v>
      </c>
      <c r="B14" s="19"/>
      <c r="C14" s="20" t="s">
        <v>541</v>
      </c>
    </row>
    <row r="15" spans="1:3" x14ac:dyDescent="0.35">
      <c r="A15" s="19" t="s">
        <v>527</v>
      </c>
      <c r="B15" s="19"/>
      <c r="C15" s="20" t="s">
        <v>542</v>
      </c>
    </row>
    <row r="16" spans="1:3" x14ac:dyDescent="0.35">
      <c r="A16" s="19" t="s">
        <v>528</v>
      </c>
      <c r="B16" s="19"/>
      <c r="C16" s="20" t="s">
        <v>543</v>
      </c>
    </row>
    <row r="19" spans="1:3" x14ac:dyDescent="0.35">
      <c r="C19" s="20" t="s">
        <v>547</v>
      </c>
    </row>
    <row r="23" spans="1:3" ht="21" x14ac:dyDescent="0.4">
      <c r="A23" s="14" t="s">
        <v>544</v>
      </c>
      <c r="B23" s="14"/>
    </row>
    <row r="24" spans="1:3" x14ac:dyDescent="0.35">
      <c r="A24" t="s">
        <v>545</v>
      </c>
    </row>
  </sheetData>
  <hyperlinks>
    <hyperlink ref="A3" location="'original dataset'!A1" display="Original Dataset" xr:uid="{EAB1D023-70B5-472A-BD28-EE6582CBBFFE}"/>
    <hyperlink ref="A4" location="'cleaned data'!A1" display="Cleaned Dataset" xr:uid="{A5757C37-184A-43AA-95E2-ECE64E6F6D73}"/>
    <hyperlink ref="A5" location="'data prep for analysis'!A1" display="Data Prepared for Analysis" xr:uid="{90EDC144-68C9-4CDE-9EAC-85925C51A098}"/>
    <hyperlink ref="A6" location="'Performance Evaluation'!A1" display="Performance Evaluation" xr:uid="{93454B06-7EC8-44E3-AEA9-5BA4B3C68405}"/>
    <hyperlink ref="A7" location="'Performance Evaluation(Club)'!A1" display="Club wise Performance Evaluation" xr:uid="{4878F2D9-4813-47E8-B982-CA6E4888ED39}"/>
    <hyperlink ref="A8" location="'Impact Analysis'!A1" display="Impact Analysis of Players" xr:uid="{4AC5EA29-2C14-4390-9608-C323CFCD392F}"/>
    <hyperlink ref="A9" location="'Impact analysis club'!A1" display="Club wise Impact Analysis of players on the result of game" xr:uid="{02E12A3E-C99F-4D49-A46F-F4716488D7C2}"/>
    <hyperlink ref="A10" location="'Consistency Measurement yr'!A1" display="Trend of Consistency over years" xr:uid="{A6C015E9-A119-4F8C-8D25-1E5A102DAC27}"/>
    <hyperlink ref="A11" location="'Scoring Technique Analysis'!A1" display="Scoring Technique Analysis of players" xr:uid="{B26759B8-9C8C-40EA-AA91-17087376AB11}"/>
    <hyperlink ref="A12" location="'Time Analysis'!A1" display="Time Analysis" xr:uid="{01AF6CD4-F0CC-48B6-BC25-64DC306BF111}"/>
    <hyperlink ref="A13" location="'Opponent Analysis'!A1" display="Opponent Analysis" xr:uid="{CE030B3F-7A0D-48B9-A1FB-5BD56B1371BD}"/>
    <hyperlink ref="A14" location="'Playing Position Analysis'!A1" display="Playing Position Analysis" xr:uid="{BCC2AC6D-09E9-40E9-84DB-D2B40736E4CC}"/>
    <hyperlink ref="A15" location="'performance evaluation league'!A1" display="League wise Performance Evalution" xr:uid="{E0207FD8-1116-4C89-AFE7-5EC805BDE728}"/>
    <hyperlink ref="A16" location="'Performance Evaluation matchday'!A1" display="Performance Evaluation based on Matchday" xr:uid="{ECC74321-0767-4297-BF3E-A91B56FFA14D}"/>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8B0291-C8F4-42B2-815E-FCDF204411A0}">
  <sheetPr codeName="Sheet1"/>
  <dimension ref="A1:N1414"/>
  <sheetViews>
    <sheetView topLeftCell="O1" workbookViewId="0">
      <selection activeCell="Q1" sqref="Q1:AD2"/>
    </sheetView>
  </sheetViews>
  <sheetFormatPr defaultRowHeight="18" x14ac:dyDescent="0.35"/>
  <cols>
    <col min="1" max="1" width="14.4140625" bestFit="1" customWidth="1"/>
    <col min="2" max="2" width="8" bestFit="1" customWidth="1"/>
    <col min="3" max="3" width="28.33203125" bestFit="1" customWidth="1"/>
    <col min="4" max="4" width="11.83203125" bestFit="1" customWidth="1"/>
    <col min="5" max="5" width="9.9140625" bestFit="1" customWidth="1"/>
    <col min="6" max="6" width="7.58203125" bestFit="1" customWidth="1"/>
    <col min="7" max="7" width="16.1640625" bestFit="1" customWidth="1"/>
    <col min="8" max="8" width="29.6640625" bestFit="1" customWidth="1"/>
    <col min="9" max="9" width="9.75" bestFit="1" customWidth="1"/>
    <col min="10" max="10" width="15.58203125" bestFit="1" customWidth="1"/>
    <col min="11" max="11" width="8.25" bestFit="1" customWidth="1"/>
    <col min="12" max="12" width="9.4140625" bestFit="1" customWidth="1"/>
    <col min="13" max="13" width="18.25" bestFit="1" customWidth="1"/>
    <col min="14" max="14" width="20.83203125" bestFit="1" customWidth="1"/>
  </cols>
  <sheetData>
    <row r="1" spans="1:14" x14ac:dyDescent="0.35">
      <c r="A1" t="s">
        <v>0</v>
      </c>
      <c r="B1" t="s">
        <v>1</v>
      </c>
      <c r="C1" t="s">
        <v>2</v>
      </c>
      <c r="D1" t="s">
        <v>3</v>
      </c>
      <c r="E1" t="s">
        <v>4</v>
      </c>
      <c r="F1" t="s">
        <v>5</v>
      </c>
      <c r="G1" t="s">
        <v>6</v>
      </c>
      <c r="H1" t="s">
        <v>7</v>
      </c>
      <c r="I1" t="s">
        <v>8</v>
      </c>
      <c r="J1" t="s">
        <v>9</v>
      </c>
      <c r="K1" t="s">
        <v>10</v>
      </c>
      <c r="L1" t="s">
        <v>11</v>
      </c>
      <c r="M1" t="s">
        <v>12</v>
      </c>
      <c r="N1" t="s">
        <v>13</v>
      </c>
    </row>
    <row r="2" spans="1:14" x14ac:dyDescent="0.35">
      <c r="A2" t="s">
        <v>14</v>
      </c>
      <c r="B2" s="1">
        <v>45353</v>
      </c>
      <c r="C2" t="s">
        <v>15</v>
      </c>
      <c r="D2">
        <v>6</v>
      </c>
      <c r="E2" s="2">
        <v>37536</v>
      </c>
      <c r="F2" t="s">
        <v>16</v>
      </c>
      <c r="G2" t="s">
        <v>17</v>
      </c>
      <c r="H2" t="s">
        <v>18</v>
      </c>
      <c r="I2" s="3">
        <v>0.125</v>
      </c>
      <c r="J2" t="s">
        <v>19</v>
      </c>
      <c r="K2">
        <v>34</v>
      </c>
      <c r="L2" s="3">
        <v>8.3333333333333329E-2</v>
      </c>
      <c r="M2" t="s">
        <v>20</v>
      </c>
    </row>
    <row r="3" spans="1:14" x14ac:dyDescent="0.35">
      <c r="A3" t="s">
        <v>14</v>
      </c>
      <c r="B3" s="1">
        <v>45353</v>
      </c>
      <c r="C3" t="s">
        <v>15</v>
      </c>
      <c r="D3">
        <v>6</v>
      </c>
      <c r="E3" s="2">
        <v>37536</v>
      </c>
      <c r="F3" t="s">
        <v>16</v>
      </c>
      <c r="G3" t="s">
        <v>17</v>
      </c>
      <c r="H3" t="s">
        <v>18</v>
      </c>
      <c r="I3" s="3">
        <v>0.125</v>
      </c>
      <c r="J3" t="s">
        <v>19</v>
      </c>
      <c r="K3" t="s">
        <v>21</v>
      </c>
      <c r="L3" s="3">
        <v>0.125</v>
      </c>
      <c r="M3" t="s">
        <v>22</v>
      </c>
      <c r="N3" t="s">
        <v>23</v>
      </c>
    </row>
    <row r="4" spans="1:14" x14ac:dyDescent="0.35">
      <c r="A4" t="s">
        <v>14</v>
      </c>
      <c r="B4" s="1">
        <v>45353</v>
      </c>
      <c r="C4" t="s">
        <v>15</v>
      </c>
      <c r="D4">
        <v>8</v>
      </c>
      <c r="E4" s="2">
        <v>37555</v>
      </c>
      <c r="F4" t="s">
        <v>24</v>
      </c>
      <c r="G4" t="s">
        <v>17</v>
      </c>
      <c r="H4" t="s">
        <v>25</v>
      </c>
      <c r="I4" s="3">
        <v>4.3055555555555555E-2</v>
      </c>
      <c r="K4">
        <v>88</v>
      </c>
      <c r="L4" s="3">
        <v>4.3055555555555555E-2</v>
      </c>
      <c r="M4" t="s">
        <v>26</v>
      </c>
      <c r="N4" t="s">
        <v>27</v>
      </c>
    </row>
    <row r="5" spans="1:14" x14ac:dyDescent="0.35">
      <c r="A5" t="s">
        <v>14</v>
      </c>
      <c r="B5" s="1">
        <v>45353</v>
      </c>
      <c r="C5" t="s">
        <v>28</v>
      </c>
      <c r="D5" t="s">
        <v>29</v>
      </c>
      <c r="E5" s="2">
        <v>37584</v>
      </c>
      <c r="F5" t="s">
        <v>16</v>
      </c>
      <c r="G5" t="s">
        <v>17</v>
      </c>
      <c r="H5" t="s">
        <v>30</v>
      </c>
      <c r="I5" s="3">
        <v>0.1673611111111111</v>
      </c>
      <c r="K5">
        <v>67</v>
      </c>
      <c r="L5" s="3">
        <v>0.125</v>
      </c>
      <c r="M5" t="s">
        <v>31</v>
      </c>
      <c r="N5" t="s">
        <v>32</v>
      </c>
    </row>
    <row r="6" spans="1:14" x14ac:dyDescent="0.35">
      <c r="A6" t="s">
        <v>14</v>
      </c>
      <c r="B6" s="1">
        <v>45353</v>
      </c>
      <c r="C6" t="s">
        <v>28</v>
      </c>
      <c r="D6" t="s">
        <v>33</v>
      </c>
      <c r="E6" s="2">
        <v>37608</v>
      </c>
      <c r="F6" t="s">
        <v>16</v>
      </c>
      <c r="G6" t="s">
        <v>17</v>
      </c>
      <c r="H6" t="s">
        <v>34</v>
      </c>
      <c r="I6" s="3">
        <v>0.33402777777777776</v>
      </c>
      <c r="K6">
        <v>13</v>
      </c>
      <c r="L6" s="3">
        <v>0.125</v>
      </c>
    </row>
    <row r="7" spans="1:14" x14ac:dyDescent="0.35">
      <c r="A7" t="s">
        <v>14</v>
      </c>
      <c r="B7" s="1">
        <v>45385</v>
      </c>
      <c r="C7" t="s">
        <v>35</v>
      </c>
      <c r="D7">
        <v>11</v>
      </c>
      <c r="E7" s="2">
        <v>37926</v>
      </c>
      <c r="F7" t="s">
        <v>16</v>
      </c>
      <c r="G7" t="s">
        <v>36</v>
      </c>
      <c r="H7" t="s">
        <v>37</v>
      </c>
      <c r="I7" s="3">
        <v>0.125</v>
      </c>
      <c r="J7" t="s">
        <v>38</v>
      </c>
      <c r="K7">
        <v>80</v>
      </c>
      <c r="L7" s="3">
        <v>8.3333333333333329E-2</v>
      </c>
      <c r="M7" t="s">
        <v>39</v>
      </c>
    </row>
    <row r="8" spans="1:14" x14ac:dyDescent="0.35">
      <c r="A8" t="s">
        <v>14</v>
      </c>
      <c r="B8" s="1">
        <v>45385</v>
      </c>
      <c r="C8" t="s">
        <v>40</v>
      </c>
      <c r="D8" t="s">
        <v>33</v>
      </c>
      <c r="E8" s="2">
        <v>38031</v>
      </c>
      <c r="F8" t="s">
        <v>16</v>
      </c>
      <c r="G8" t="s">
        <v>36</v>
      </c>
      <c r="H8" t="s">
        <v>41</v>
      </c>
      <c r="I8" s="3">
        <v>0.16805555555555557</v>
      </c>
      <c r="J8" t="s">
        <v>38</v>
      </c>
      <c r="K8">
        <v>74</v>
      </c>
      <c r="L8" s="3">
        <v>0.125</v>
      </c>
      <c r="M8" t="s">
        <v>26</v>
      </c>
    </row>
    <row r="9" spans="1:14" x14ac:dyDescent="0.35">
      <c r="A9" t="s">
        <v>14</v>
      </c>
      <c r="B9" s="1">
        <v>45385</v>
      </c>
      <c r="C9" t="s">
        <v>35</v>
      </c>
      <c r="D9">
        <v>29</v>
      </c>
      <c r="E9" s="2">
        <v>38066</v>
      </c>
      <c r="F9" t="s">
        <v>16</v>
      </c>
      <c r="G9" t="s">
        <v>36</v>
      </c>
      <c r="H9" t="s">
        <v>42</v>
      </c>
      <c r="I9" s="3">
        <v>0.125</v>
      </c>
      <c r="K9">
        <v>89</v>
      </c>
      <c r="L9" s="3">
        <v>8.3333333333333329E-2</v>
      </c>
      <c r="M9" t="s">
        <v>26</v>
      </c>
    </row>
    <row r="10" spans="1:14" x14ac:dyDescent="0.35">
      <c r="A10" t="s">
        <v>14</v>
      </c>
      <c r="B10" s="1">
        <v>45385</v>
      </c>
      <c r="C10" t="s">
        <v>35</v>
      </c>
      <c r="D10">
        <v>32</v>
      </c>
      <c r="E10" s="2">
        <v>38087</v>
      </c>
      <c r="F10" t="s">
        <v>24</v>
      </c>
      <c r="G10" t="s">
        <v>36</v>
      </c>
      <c r="H10" t="s">
        <v>43</v>
      </c>
      <c r="I10" s="3">
        <v>4.3055555555555555E-2</v>
      </c>
      <c r="K10">
        <v>60</v>
      </c>
      <c r="L10" s="3">
        <v>4.2361111111111113E-2</v>
      </c>
      <c r="M10" t="s">
        <v>22</v>
      </c>
      <c r="N10" t="s">
        <v>44</v>
      </c>
    </row>
    <row r="11" spans="1:14" x14ac:dyDescent="0.35">
      <c r="A11" t="s">
        <v>14</v>
      </c>
      <c r="B11" s="1">
        <v>45385</v>
      </c>
      <c r="C11" t="s">
        <v>35</v>
      </c>
      <c r="D11">
        <v>38</v>
      </c>
      <c r="E11" s="2">
        <v>38122</v>
      </c>
      <c r="F11" t="s">
        <v>24</v>
      </c>
      <c r="G11" t="s">
        <v>36</v>
      </c>
      <c r="H11" t="s">
        <v>45</v>
      </c>
      <c r="I11" s="3">
        <v>1.3888888888888889E-3</v>
      </c>
      <c r="K11">
        <v>4</v>
      </c>
      <c r="L11" s="3">
        <v>6.9444444444444447E-4</v>
      </c>
      <c r="M11" t="s">
        <v>26</v>
      </c>
    </row>
    <row r="12" spans="1:14" x14ac:dyDescent="0.35">
      <c r="A12" t="s">
        <v>14</v>
      </c>
      <c r="B12" s="1">
        <v>45385</v>
      </c>
      <c r="C12" t="s">
        <v>40</v>
      </c>
      <c r="D12" t="s">
        <v>46</v>
      </c>
      <c r="E12" s="2">
        <v>38129</v>
      </c>
      <c r="F12" t="s">
        <v>16</v>
      </c>
      <c r="G12" t="s">
        <v>36</v>
      </c>
      <c r="H12" t="s">
        <v>47</v>
      </c>
      <c r="I12" s="3">
        <v>0.125</v>
      </c>
      <c r="J12" t="s">
        <v>38</v>
      </c>
      <c r="K12">
        <v>44</v>
      </c>
      <c r="L12" s="3">
        <v>4.1666666666666664E-2</v>
      </c>
      <c r="M12" t="s">
        <v>22</v>
      </c>
      <c r="N12" t="s">
        <v>48</v>
      </c>
    </row>
    <row r="13" spans="1:14" x14ac:dyDescent="0.35">
      <c r="A13" t="s">
        <v>14</v>
      </c>
      <c r="B13" s="1">
        <v>45416</v>
      </c>
      <c r="C13" t="s">
        <v>35</v>
      </c>
      <c r="D13">
        <v>16</v>
      </c>
      <c r="E13" s="2">
        <v>38325</v>
      </c>
      <c r="F13" t="s">
        <v>16</v>
      </c>
      <c r="G13" t="s">
        <v>36</v>
      </c>
      <c r="H13" t="s">
        <v>49</v>
      </c>
      <c r="I13" s="3">
        <v>0.125</v>
      </c>
      <c r="K13">
        <v>87</v>
      </c>
      <c r="L13" s="3">
        <v>0.125</v>
      </c>
      <c r="M13" t="s">
        <v>26</v>
      </c>
      <c r="N13" t="s">
        <v>48</v>
      </c>
    </row>
    <row r="14" spans="1:14" x14ac:dyDescent="0.35">
      <c r="A14" t="s">
        <v>14</v>
      </c>
      <c r="B14" s="1">
        <v>45416</v>
      </c>
      <c r="C14" t="s">
        <v>40</v>
      </c>
      <c r="D14" t="s">
        <v>50</v>
      </c>
      <c r="E14" s="2">
        <v>38371</v>
      </c>
      <c r="F14" t="s">
        <v>24</v>
      </c>
      <c r="G14" t="s">
        <v>36</v>
      </c>
      <c r="H14" t="s">
        <v>51</v>
      </c>
      <c r="I14" s="3">
        <v>1.3888888888888889E-3</v>
      </c>
      <c r="K14">
        <v>9</v>
      </c>
      <c r="L14" s="3">
        <v>6.9444444444444447E-4</v>
      </c>
      <c r="N14" t="s">
        <v>52</v>
      </c>
    </row>
    <row r="15" spans="1:14" x14ac:dyDescent="0.35">
      <c r="A15" t="s">
        <v>14</v>
      </c>
      <c r="B15" s="1">
        <v>45416</v>
      </c>
      <c r="C15" t="s">
        <v>35</v>
      </c>
      <c r="D15">
        <v>24</v>
      </c>
      <c r="E15" s="2">
        <v>38374</v>
      </c>
      <c r="F15" t="s">
        <v>16</v>
      </c>
      <c r="G15" t="s">
        <v>36</v>
      </c>
      <c r="H15" t="s">
        <v>45</v>
      </c>
      <c r="I15" s="3">
        <v>0.12569444444444444</v>
      </c>
      <c r="K15">
        <v>8</v>
      </c>
      <c r="L15" s="3">
        <v>4.1666666666666664E-2</v>
      </c>
      <c r="M15" t="s">
        <v>26</v>
      </c>
      <c r="N15" t="s">
        <v>53</v>
      </c>
    </row>
    <row r="16" spans="1:14" x14ac:dyDescent="0.35">
      <c r="A16" t="s">
        <v>14</v>
      </c>
      <c r="B16" s="1">
        <v>45416</v>
      </c>
      <c r="C16" t="s">
        <v>35</v>
      </c>
      <c r="D16">
        <v>25</v>
      </c>
      <c r="E16" s="2">
        <v>38384</v>
      </c>
      <c r="F16" t="s">
        <v>24</v>
      </c>
      <c r="G16" t="s">
        <v>36</v>
      </c>
      <c r="H16" t="s">
        <v>54</v>
      </c>
      <c r="I16" s="3">
        <v>8.611111111111111E-2</v>
      </c>
      <c r="J16" t="s">
        <v>38</v>
      </c>
      <c r="K16">
        <v>54</v>
      </c>
      <c r="L16" s="3">
        <v>8.4722222222222227E-2</v>
      </c>
      <c r="M16" t="s">
        <v>31</v>
      </c>
      <c r="N16" t="s">
        <v>44</v>
      </c>
    </row>
    <row r="17" spans="1:14" x14ac:dyDescent="0.35">
      <c r="A17" t="s">
        <v>14</v>
      </c>
      <c r="B17" s="1">
        <v>45416</v>
      </c>
      <c r="C17" t="s">
        <v>35</v>
      </c>
      <c r="D17">
        <v>25</v>
      </c>
      <c r="E17" s="2">
        <v>38384</v>
      </c>
      <c r="F17" t="s">
        <v>24</v>
      </c>
      <c r="G17" t="s">
        <v>36</v>
      </c>
      <c r="H17" t="s">
        <v>54</v>
      </c>
      <c r="I17" s="3">
        <v>8.611111111111111E-2</v>
      </c>
      <c r="J17" t="s">
        <v>38</v>
      </c>
      <c r="K17">
        <v>58</v>
      </c>
      <c r="L17" s="3">
        <v>8.5416666666666669E-2</v>
      </c>
      <c r="M17" t="s">
        <v>55</v>
      </c>
      <c r="N17" t="s">
        <v>44</v>
      </c>
    </row>
    <row r="18" spans="1:14" x14ac:dyDescent="0.35">
      <c r="A18" t="s">
        <v>14</v>
      </c>
      <c r="B18" s="1">
        <v>45416</v>
      </c>
      <c r="C18" t="s">
        <v>40</v>
      </c>
      <c r="D18" t="s">
        <v>33</v>
      </c>
      <c r="E18" s="2">
        <v>38402</v>
      </c>
      <c r="F18" t="s">
        <v>24</v>
      </c>
      <c r="G18" t="s">
        <v>36</v>
      </c>
      <c r="H18" t="s">
        <v>56</v>
      </c>
      <c r="I18" s="3">
        <v>1.3888888888888889E-3</v>
      </c>
      <c r="K18">
        <v>58</v>
      </c>
      <c r="L18" s="3">
        <v>1.3888888888888889E-3</v>
      </c>
      <c r="M18" t="s">
        <v>55</v>
      </c>
      <c r="N18" t="s">
        <v>52</v>
      </c>
    </row>
    <row r="19" spans="1:14" x14ac:dyDescent="0.35">
      <c r="A19" t="s">
        <v>14</v>
      </c>
      <c r="B19" s="1">
        <v>45416</v>
      </c>
      <c r="C19" t="s">
        <v>40</v>
      </c>
      <c r="D19" t="s">
        <v>57</v>
      </c>
      <c r="E19" s="2">
        <v>38423</v>
      </c>
      <c r="F19" t="s">
        <v>24</v>
      </c>
      <c r="G19" t="s">
        <v>36</v>
      </c>
      <c r="H19" t="s">
        <v>49</v>
      </c>
      <c r="I19" s="3">
        <v>2.7777777777777779E-3</v>
      </c>
      <c r="K19" t="s">
        <v>58</v>
      </c>
      <c r="L19" s="3">
        <v>1.3888888888888889E-3</v>
      </c>
      <c r="M19" t="s">
        <v>31</v>
      </c>
      <c r="N19" t="s">
        <v>59</v>
      </c>
    </row>
    <row r="20" spans="1:14" x14ac:dyDescent="0.35">
      <c r="A20" t="s">
        <v>14</v>
      </c>
      <c r="B20" s="1">
        <v>45416</v>
      </c>
      <c r="C20" t="s">
        <v>35</v>
      </c>
      <c r="D20">
        <v>30</v>
      </c>
      <c r="E20" s="2">
        <v>38430</v>
      </c>
      <c r="F20" t="s">
        <v>16</v>
      </c>
      <c r="G20" t="s">
        <v>36</v>
      </c>
      <c r="H20" t="s">
        <v>60</v>
      </c>
      <c r="I20" s="3">
        <v>4.1666666666666664E-2</v>
      </c>
      <c r="K20">
        <v>21</v>
      </c>
      <c r="L20" s="3">
        <v>4.1666666666666664E-2</v>
      </c>
      <c r="M20" t="s">
        <v>26</v>
      </c>
      <c r="N20" t="s">
        <v>61</v>
      </c>
    </row>
    <row r="21" spans="1:14" x14ac:dyDescent="0.35">
      <c r="A21" t="s">
        <v>14</v>
      </c>
      <c r="B21" s="1">
        <v>45416</v>
      </c>
      <c r="C21" t="s">
        <v>40</v>
      </c>
      <c r="D21" t="s">
        <v>62</v>
      </c>
      <c r="E21" s="2">
        <v>38459</v>
      </c>
      <c r="F21" t="s">
        <v>24</v>
      </c>
      <c r="G21" t="s">
        <v>36</v>
      </c>
      <c r="H21" t="s">
        <v>63</v>
      </c>
      <c r="I21" s="3">
        <v>4.4444444444444446E-2</v>
      </c>
      <c r="J21" t="s">
        <v>38</v>
      </c>
      <c r="K21">
        <v>76</v>
      </c>
      <c r="L21" s="3">
        <v>4.4444444444444446E-2</v>
      </c>
      <c r="M21" t="s">
        <v>26</v>
      </c>
      <c r="N21" t="s">
        <v>59</v>
      </c>
    </row>
    <row r="22" spans="1:14" x14ac:dyDescent="0.35">
      <c r="A22" t="s">
        <v>64</v>
      </c>
      <c r="B22" s="1">
        <v>45416</v>
      </c>
      <c r="C22" t="s">
        <v>65</v>
      </c>
      <c r="D22">
        <v>34</v>
      </c>
      <c r="E22" s="2">
        <v>38473</v>
      </c>
      <c r="F22" t="s">
        <v>16</v>
      </c>
      <c r="G22" t="s">
        <v>66</v>
      </c>
      <c r="H22" t="s">
        <v>67</v>
      </c>
      <c r="I22" s="3">
        <v>8.3333333333333329E-2</v>
      </c>
      <c r="J22" t="s">
        <v>68</v>
      </c>
      <c r="K22" t="s">
        <v>69</v>
      </c>
      <c r="L22" s="3">
        <v>8.3333333333333329E-2</v>
      </c>
      <c r="M22" t="s">
        <v>31</v>
      </c>
      <c r="N22" t="s">
        <v>70</v>
      </c>
    </row>
    <row r="23" spans="1:14" x14ac:dyDescent="0.35">
      <c r="A23" t="s">
        <v>14</v>
      </c>
      <c r="B23" s="1">
        <v>45448</v>
      </c>
      <c r="C23" t="s">
        <v>71</v>
      </c>
      <c r="D23" t="s">
        <v>72</v>
      </c>
      <c r="E23" s="2">
        <v>38573</v>
      </c>
      <c r="F23" t="s">
        <v>16</v>
      </c>
      <c r="G23" t="s">
        <v>36</v>
      </c>
      <c r="H23" t="s">
        <v>73</v>
      </c>
      <c r="I23" s="3">
        <v>0.125</v>
      </c>
      <c r="K23">
        <v>63</v>
      </c>
      <c r="L23" s="3">
        <v>0.125</v>
      </c>
      <c r="M23" t="s">
        <v>26</v>
      </c>
      <c r="N23" t="s">
        <v>52</v>
      </c>
    </row>
    <row r="24" spans="1:14" x14ac:dyDescent="0.35">
      <c r="A24" t="s">
        <v>14</v>
      </c>
      <c r="B24" s="1">
        <v>45448</v>
      </c>
      <c r="C24" t="s">
        <v>35</v>
      </c>
      <c r="D24">
        <v>11</v>
      </c>
      <c r="E24" s="2">
        <v>38654</v>
      </c>
      <c r="F24" t="s">
        <v>24</v>
      </c>
      <c r="G24" t="s">
        <v>36</v>
      </c>
      <c r="H24" t="s">
        <v>74</v>
      </c>
      <c r="I24" s="3">
        <v>0.1673611111111111</v>
      </c>
      <c r="K24">
        <v>90</v>
      </c>
      <c r="L24" s="3">
        <v>0.1673611111111111</v>
      </c>
      <c r="M24" t="s">
        <v>22</v>
      </c>
      <c r="N24" t="s">
        <v>52</v>
      </c>
    </row>
    <row r="25" spans="1:14" x14ac:dyDescent="0.35">
      <c r="A25" t="s">
        <v>64</v>
      </c>
      <c r="B25" s="1">
        <v>45448</v>
      </c>
      <c r="C25" t="s">
        <v>75</v>
      </c>
      <c r="D25" t="s">
        <v>76</v>
      </c>
      <c r="E25" s="2">
        <v>38658</v>
      </c>
      <c r="F25" t="s">
        <v>16</v>
      </c>
      <c r="G25" t="s">
        <v>66</v>
      </c>
      <c r="H25" t="s">
        <v>77</v>
      </c>
      <c r="I25" s="3">
        <v>0.20833333333333334</v>
      </c>
      <c r="J25" t="s">
        <v>38</v>
      </c>
      <c r="K25">
        <v>34</v>
      </c>
      <c r="L25" s="3">
        <v>0.125</v>
      </c>
      <c r="M25" t="s">
        <v>31</v>
      </c>
    </row>
    <row r="26" spans="1:14" x14ac:dyDescent="0.35">
      <c r="A26" t="s">
        <v>64</v>
      </c>
      <c r="B26" s="1">
        <v>45448</v>
      </c>
      <c r="C26" t="s">
        <v>65</v>
      </c>
      <c r="D26">
        <v>13</v>
      </c>
      <c r="E26" s="2">
        <v>38683</v>
      </c>
      <c r="F26" t="s">
        <v>16</v>
      </c>
      <c r="G26" t="s">
        <v>66</v>
      </c>
      <c r="H26" t="s">
        <v>78</v>
      </c>
      <c r="I26" s="3">
        <v>0.1673611111111111</v>
      </c>
      <c r="J26" t="s">
        <v>38</v>
      </c>
      <c r="K26">
        <v>51</v>
      </c>
      <c r="L26" s="3">
        <v>8.3333333333333329E-2</v>
      </c>
      <c r="M26" t="s">
        <v>31</v>
      </c>
      <c r="N26" t="s">
        <v>79</v>
      </c>
    </row>
    <row r="27" spans="1:14" x14ac:dyDescent="0.35">
      <c r="A27" t="s">
        <v>14</v>
      </c>
      <c r="B27" s="1">
        <v>45448</v>
      </c>
      <c r="C27" t="s">
        <v>80</v>
      </c>
      <c r="D27" t="s">
        <v>81</v>
      </c>
      <c r="E27" s="2">
        <v>38686</v>
      </c>
      <c r="F27" t="s">
        <v>16</v>
      </c>
      <c r="G27" t="s">
        <v>36</v>
      </c>
      <c r="H27" t="s">
        <v>82</v>
      </c>
      <c r="I27" s="3">
        <v>0.12569444444444444</v>
      </c>
      <c r="J27" t="s">
        <v>38</v>
      </c>
      <c r="K27">
        <v>12</v>
      </c>
      <c r="L27" s="3">
        <v>4.2361111111111113E-2</v>
      </c>
      <c r="M27" t="s">
        <v>83</v>
      </c>
    </row>
    <row r="28" spans="1:14" x14ac:dyDescent="0.35">
      <c r="A28" t="s">
        <v>14</v>
      </c>
      <c r="B28" s="1">
        <v>45448</v>
      </c>
      <c r="C28" t="s">
        <v>35</v>
      </c>
      <c r="D28">
        <v>20</v>
      </c>
      <c r="E28" s="2">
        <v>38717</v>
      </c>
      <c r="F28" t="s">
        <v>16</v>
      </c>
      <c r="G28" t="s">
        <v>36</v>
      </c>
      <c r="H28" t="s">
        <v>84</v>
      </c>
      <c r="I28" s="3">
        <v>0.1673611111111111</v>
      </c>
      <c r="K28">
        <v>68</v>
      </c>
      <c r="L28" s="3">
        <v>0.12569444444444444</v>
      </c>
      <c r="M28" t="s">
        <v>26</v>
      </c>
      <c r="N28" t="s">
        <v>85</v>
      </c>
    </row>
    <row r="29" spans="1:14" x14ac:dyDescent="0.35">
      <c r="A29" t="s">
        <v>14</v>
      </c>
      <c r="B29" s="1">
        <v>45448</v>
      </c>
      <c r="C29" t="s">
        <v>35</v>
      </c>
      <c r="D29">
        <v>20</v>
      </c>
      <c r="E29" s="2">
        <v>38717</v>
      </c>
      <c r="F29" t="s">
        <v>16</v>
      </c>
      <c r="G29" t="s">
        <v>36</v>
      </c>
      <c r="H29" t="s">
        <v>84</v>
      </c>
      <c r="I29" s="3">
        <v>0.1673611111111111</v>
      </c>
      <c r="K29">
        <v>90</v>
      </c>
      <c r="L29" s="3">
        <v>0.1673611111111111</v>
      </c>
      <c r="M29" t="s">
        <v>31</v>
      </c>
      <c r="N29" t="s">
        <v>59</v>
      </c>
    </row>
    <row r="30" spans="1:14" x14ac:dyDescent="0.35">
      <c r="A30" t="s">
        <v>64</v>
      </c>
      <c r="B30" s="1">
        <v>45448</v>
      </c>
      <c r="C30" t="s">
        <v>65</v>
      </c>
      <c r="D30">
        <v>19</v>
      </c>
      <c r="E30" s="2">
        <v>38732</v>
      </c>
      <c r="F30" t="s">
        <v>16</v>
      </c>
      <c r="G30" t="s">
        <v>66</v>
      </c>
      <c r="H30" t="s">
        <v>86</v>
      </c>
      <c r="I30" s="3">
        <v>8.4027777777777785E-2</v>
      </c>
      <c r="J30" t="s">
        <v>38</v>
      </c>
      <c r="K30">
        <v>50</v>
      </c>
      <c r="L30" s="3">
        <v>8.4027777777777785E-2</v>
      </c>
      <c r="M30" t="s">
        <v>31</v>
      </c>
      <c r="N30" t="s">
        <v>87</v>
      </c>
    </row>
    <row r="31" spans="1:14" x14ac:dyDescent="0.35">
      <c r="A31" t="s">
        <v>64</v>
      </c>
      <c r="B31" s="1">
        <v>45448</v>
      </c>
      <c r="C31" t="s">
        <v>65</v>
      </c>
      <c r="D31">
        <v>20</v>
      </c>
      <c r="E31" s="2">
        <v>38739</v>
      </c>
      <c r="F31" t="s">
        <v>16</v>
      </c>
      <c r="G31" t="s">
        <v>66</v>
      </c>
      <c r="H31" t="s">
        <v>88</v>
      </c>
      <c r="I31" s="3">
        <v>8.3333333333333329E-2</v>
      </c>
      <c r="J31" t="s">
        <v>68</v>
      </c>
      <c r="K31">
        <v>82</v>
      </c>
      <c r="L31" s="3">
        <v>8.3333333333333329E-2</v>
      </c>
      <c r="M31" t="s">
        <v>31</v>
      </c>
      <c r="N31" t="s">
        <v>70</v>
      </c>
    </row>
    <row r="32" spans="1:14" x14ac:dyDescent="0.35">
      <c r="A32" t="s">
        <v>64</v>
      </c>
      <c r="B32" s="1">
        <v>45448</v>
      </c>
      <c r="C32" t="s">
        <v>65</v>
      </c>
      <c r="D32">
        <v>21</v>
      </c>
      <c r="E32" s="2">
        <v>38746</v>
      </c>
      <c r="F32" t="s">
        <v>24</v>
      </c>
      <c r="G32" t="s">
        <v>66</v>
      </c>
      <c r="H32" t="s">
        <v>89</v>
      </c>
      <c r="I32" s="3">
        <v>2.0833333333333333E-3</v>
      </c>
      <c r="J32" t="s">
        <v>68</v>
      </c>
      <c r="K32">
        <v>83</v>
      </c>
      <c r="L32" s="3">
        <v>2.0833333333333333E-3</v>
      </c>
      <c r="M32" t="s">
        <v>31</v>
      </c>
      <c r="N32" t="s">
        <v>70</v>
      </c>
    </row>
    <row r="33" spans="1:14" x14ac:dyDescent="0.35">
      <c r="A33" t="s">
        <v>64</v>
      </c>
      <c r="B33" s="1">
        <v>45448</v>
      </c>
      <c r="C33" t="s">
        <v>65</v>
      </c>
      <c r="D33">
        <v>21</v>
      </c>
      <c r="E33" s="2">
        <v>38746</v>
      </c>
      <c r="F33" t="s">
        <v>24</v>
      </c>
      <c r="G33" t="s">
        <v>66</v>
      </c>
      <c r="H33" t="s">
        <v>89</v>
      </c>
      <c r="I33" s="3">
        <v>2.0833333333333333E-3</v>
      </c>
      <c r="J33" t="s">
        <v>68</v>
      </c>
      <c r="K33">
        <v>75</v>
      </c>
      <c r="L33" s="3">
        <v>1.3888888888888889E-3</v>
      </c>
      <c r="M33" t="s">
        <v>26</v>
      </c>
      <c r="N33" t="s">
        <v>90</v>
      </c>
    </row>
    <row r="34" spans="1:14" x14ac:dyDescent="0.35">
      <c r="A34" t="s">
        <v>64</v>
      </c>
      <c r="B34" s="1">
        <v>45448</v>
      </c>
      <c r="C34" t="s">
        <v>91</v>
      </c>
      <c r="D34" t="s">
        <v>92</v>
      </c>
      <c r="E34" s="2">
        <v>38749</v>
      </c>
      <c r="F34" t="s">
        <v>16</v>
      </c>
      <c r="G34" t="s">
        <v>66</v>
      </c>
      <c r="H34" t="s">
        <v>93</v>
      </c>
      <c r="I34" s="3">
        <v>8.4027777777777785E-2</v>
      </c>
      <c r="J34" t="s">
        <v>68</v>
      </c>
      <c r="K34">
        <v>42</v>
      </c>
      <c r="L34" s="3">
        <v>4.1666666666666664E-2</v>
      </c>
      <c r="M34" t="s">
        <v>22</v>
      </c>
      <c r="N34" t="s">
        <v>94</v>
      </c>
    </row>
    <row r="35" spans="1:14" x14ac:dyDescent="0.35">
      <c r="A35" t="s">
        <v>14</v>
      </c>
      <c r="B35" s="1">
        <v>45448</v>
      </c>
      <c r="C35" t="s">
        <v>35</v>
      </c>
      <c r="D35">
        <v>25</v>
      </c>
      <c r="E35" s="2">
        <v>38752</v>
      </c>
      <c r="F35" t="s">
        <v>16</v>
      </c>
      <c r="G35" t="s">
        <v>36</v>
      </c>
      <c r="H35" t="s">
        <v>60</v>
      </c>
      <c r="I35" s="3">
        <v>0.16805555555555557</v>
      </c>
      <c r="K35">
        <v>14</v>
      </c>
      <c r="L35" s="3">
        <v>8.3333333333333329E-2</v>
      </c>
      <c r="M35" t="s">
        <v>39</v>
      </c>
    </row>
    <row r="36" spans="1:14" x14ac:dyDescent="0.35">
      <c r="A36" t="s">
        <v>14</v>
      </c>
      <c r="B36" s="1">
        <v>45448</v>
      </c>
      <c r="C36" t="s">
        <v>35</v>
      </c>
      <c r="D36">
        <v>25</v>
      </c>
      <c r="E36" s="2">
        <v>38752</v>
      </c>
      <c r="F36" t="s">
        <v>16</v>
      </c>
      <c r="G36" t="s">
        <v>36</v>
      </c>
      <c r="H36" t="s">
        <v>60</v>
      </c>
      <c r="I36" s="3">
        <v>0.16805555555555557</v>
      </c>
      <c r="K36">
        <v>87</v>
      </c>
      <c r="L36" s="3">
        <v>0.16805555555555557</v>
      </c>
      <c r="M36" t="s">
        <v>26</v>
      </c>
    </row>
    <row r="37" spans="1:14" x14ac:dyDescent="0.35">
      <c r="A37" t="s">
        <v>14</v>
      </c>
      <c r="B37" s="1">
        <v>45448</v>
      </c>
      <c r="C37" t="s">
        <v>35</v>
      </c>
      <c r="D37">
        <v>26</v>
      </c>
      <c r="E37" s="2">
        <v>38759</v>
      </c>
      <c r="F37" t="s">
        <v>24</v>
      </c>
      <c r="G37" t="s">
        <v>36</v>
      </c>
      <c r="H37" t="s">
        <v>37</v>
      </c>
      <c r="I37" s="3">
        <v>4.3749999999999997E-2</v>
      </c>
      <c r="J37" t="s">
        <v>38</v>
      </c>
      <c r="K37">
        <v>38</v>
      </c>
      <c r="L37" s="3">
        <v>1.3888888888888889E-3</v>
      </c>
      <c r="M37" t="s">
        <v>31</v>
      </c>
    </row>
    <row r="38" spans="1:14" x14ac:dyDescent="0.35">
      <c r="A38" t="s">
        <v>14</v>
      </c>
      <c r="B38" s="1">
        <v>45448</v>
      </c>
      <c r="C38" t="s">
        <v>35</v>
      </c>
      <c r="D38">
        <v>26</v>
      </c>
      <c r="E38" s="2">
        <v>38759</v>
      </c>
      <c r="F38" t="s">
        <v>24</v>
      </c>
      <c r="G38" t="s">
        <v>36</v>
      </c>
      <c r="H38" t="s">
        <v>37</v>
      </c>
      <c r="I38" s="3">
        <v>4.3749999999999997E-2</v>
      </c>
      <c r="J38" t="s">
        <v>38</v>
      </c>
      <c r="K38">
        <v>45</v>
      </c>
      <c r="L38" s="3">
        <v>2.0833333333333333E-3</v>
      </c>
      <c r="M38" t="s">
        <v>26</v>
      </c>
      <c r="N38" t="s">
        <v>85</v>
      </c>
    </row>
    <row r="39" spans="1:14" x14ac:dyDescent="0.35">
      <c r="A39" t="s">
        <v>64</v>
      </c>
      <c r="B39" s="1">
        <v>45448</v>
      </c>
      <c r="C39" t="s">
        <v>65</v>
      </c>
      <c r="D39">
        <v>24</v>
      </c>
      <c r="E39" s="2">
        <v>38766</v>
      </c>
      <c r="F39" t="s">
        <v>16</v>
      </c>
      <c r="G39" t="s">
        <v>66</v>
      </c>
      <c r="H39" t="s">
        <v>95</v>
      </c>
      <c r="I39" s="3">
        <v>0.20902777777777778</v>
      </c>
      <c r="J39" t="s">
        <v>38</v>
      </c>
      <c r="K39">
        <v>84</v>
      </c>
      <c r="L39" s="3">
        <v>0.20902777777777778</v>
      </c>
      <c r="M39" t="s">
        <v>31</v>
      </c>
    </row>
    <row r="40" spans="1:14" x14ac:dyDescent="0.35">
      <c r="A40" t="s">
        <v>14</v>
      </c>
      <c r="B40" s="1">
        <v>45448</v>
      </c>
      <c r="C40" t="s">
        <v>80</v>
      </c>
      <c r="D40" t="s">
        <v>46</v>
      </c>
      <c r="E40" s="2">
        <v>38774</v>
      </c>
      <c r="F40" t="s">
        <v>16</v>
      </c>
      <c r="G40" t="s">
        <v>36</v>
      </c>
      <c r="H40" t="s">
        <v>96</v>
      </c>
      <c r="I40" s="3">
        <v>0.16666666666666666</v>
      </c>
      <c r="J40" t="s">
        <v>38</v>
      </c>
      <c r="K40">
        <v>59</v>
      </c>
      <c r="L40" s="3">
        <v>0.125</v>
      </c>
      <c r="N40" t="s">
        <v>53</v>
      </c>
    </row>
    <row r="41" spans="1:14" x14ac:dyDescent="0.35">
      <c r="A41" t="s">
        <v>14</v>
      </c>
      <c r="B41" s="1">
        <v>45448</v>
      </c>
      <c r="C41" t="s">
        <v>35</v>
      </c>
      <c r="D41">
        <v>28</v>
      </c>
      <c r="E41" s="2">
        <v>38782</v>
      </c>
      <c r="F41" t="s">
        <v>24</v>
      </c>
      <c r="G41" t="s">
        <v>36</v>
      </c>
      <c r="H41" t="s">
        <v>96</v>
      </c>
      <c r="I41" s="3">
        <v>4.3055555555555555E-2</v>
      </c>
      <c r="K41">
        <v>74</v>
      </c>
      <c r="L41" s="3">
        <v>4.2361111111111113E-2</v>
      </c>
      <c r="M41" t="s">
        <v>26</v>
      </c>
      <c r="N41" t="s">
        <v>59</v>
      </c>
    </row>
    <row r="42" spans="1:14" x14ac:dyDescent="0.35">
      <c r="A42" t="s">
        <v>14</v>
      </c>
      <c r="B42" s="1">
        <v>45448</v>
      </c>
      <c r="C42" t="s">
        <v>35</v>
      </c>
      <c r="D42">
        <v>38</v>
      </c>
      <c r="E42" s="2">
        <v>38844</v>
      </c>
      <c r="F42" t="s">
        <v>16</v>
      </c>
      <c r="G42" t="s">
        <v>36</v>
      </c>
      <c r="H42" t="s">
        <v>97</v>
      </c>
      <c r="I42" s="3">
        <v>0.16666666666666666</v>
      </c>
      <c r="J42" t="s">
        <v>38</v>
      </c>
      <c r="K42">
        <v>23</v>
      </c>
      <c r="L42" s="3">
        <v>8.3333333333333329E-2</v>
      </c>
      <c r="M42" t="s">
        <v>31</v>
      </c>
      <c r="N42" t="s">
        <v>44</v>
      </c>
    </row>
    <row r="43" spans="1:14" x14ac:dyDescent="0.35">
      <c r="A43" t="s">
        <v>14</v>
      </c>
      <c r="B43" s="1">
        <v>45479</v>
      </c>
      <c r="C43" t="s">
        <v>35</v>
      </c>
      <c r="D43">
        <v>1</v>
      </c>
      <c r="E43" s="2">
        <v>38949</v>
      </c>
      <c r="F43" t="s">
        <v>16</v>
      </c>
      <c r="G43" t="s">
        <v>36</v>
      </c>
      <c r="H43" t="s">
        <v>60</v>
      </c>
      <c r="I43" s="3">
        <v>0.20902777777777778</v>
      </c>
      <c r="K43">
        <v>19</v>
      </c>
      <c r="L43" s="3">
        <v>0.16666666666666666</v>
      </c>
      <c r="N43" t="s">
        <v>85</v>
      </c>
    </row>
    <row r="44" spans="1:14" x14ac:dyDescent="0.35">
      <c r="A44" t="s">
        <v>64</v>
      </c>
      <c r="B44" s="1">
        <v>45479</v>
      </c>
      <c r="C44" t="s">
        <v>65</v>
      </c>
      <c r="D44">
        <v>1</v>
      </c>
      <c r="E44" s="2">
        <v>38957</v>
      </c>
      <c r="F44" t="s">
        <v>24</v>
      </c>
      <c r="G44" t="s">
        <v>66</v>
      </c>
      <c r="H44" t="s">
        <v>98</v>
      </c>
      <c r="I44" s="3">
        <v>8.5416666666666669E-2</v>
      </c>
      <c r="J44" t="s">
        <v>19</v>
      </c>
      <c r="K44">
        <v>59</v>
      </c>
      <c r="L44" s="3">
        <v>4.3055555555555555E-2</v>
      </c>
      <c r="M44" t="s">
        <v>31</v>
      </c>
      <c r="N44" t="s">
        <v>99</v>
      </c>
    </row>
    <row r="45" spans="1:14" x14ac:dyDescent="0.35">
      <c r="A45" t="s">
        <v>64</v>
      </c>
      <c r="B45" s="1">
        <v>45479</v>
      </c>
      <c r="C45" t="s">
        <v>65</v>
      </c>
      <c r="D45">
        <v>2</v>
      </c>
      <c r="E45" s="2">
        <v>38969</v>
      </c>
      <c r="F45" t="s">
        <v>16</v>
      </c>
      <c r="G45" t="s">
        <v>66</v>
      </c>
      <c r="H45" t="s">
        <v>100</v>
      </c>
      <c r="I45" s="3">
        <v>0.125</v>
      </c>
      <c r="J45" t="s">
        <v>38</v>
      </c>
      <c r="K45">
        <v>36</v>
      </c>
      <c r="L45" s="3">
        <v>0.125</v>
      </c>
      <c r="M45" t="s">
        <v>31</v>
      </c>
      <c r="N45" t="s">
        <v>79</v>
      </c>
    </row>
    <row r="46" spans="1:14" x14ac:dyDescent="0.35">
      <c r="A46" t="s">
        <v>14</v>
      </c>
      <c r="B46" s="1">
        <v>45479</v>
      </c>
      <c r="C46" t="s">
        <v>35</v>
      </c>
      <c r="D46">
        <v>6</v>
      </c>
      <c r="E46" s="2">
        <v>38983</v>
      </c>
      <c r="F46" t="s">
        <v>24</v>
      </c>
      <c r="G46" t="s">
        <v>36</v>
      </c>
      <c r="H46" t="s">
        <v>101</v>
      </c>
      <c r="I46" s="3">
        <v>4.2361111111111113E-2</v>
      </c>
      <c r="J46" t="s">
        <v>68</v>
      </c>
      <c r="K46">
        <v>73</v>
      </c>
      <c r="L46" s="3">
        <v>4.2361111111111113E-2</v>
      </c>
      <c r="N46" t="s">
        <v>102</v>
      </c>
    </row>
    <row r="47" spans="1:14" x14ac:dyDescent="0.35">
      <c r="A47" t="s">
        <v>64</v>
      </c>
      <c r="B47" s="1">
        <v>45479</v>
      </c>
      <c r="C47" t="s">
        <v>75</v>
      </c>
      <c r="D47" t="s">
        <v>76</v>
      </c>
      <c r="E47" s="2">
        <v>38987</v>
      </c>
      <c r="F47" t="s">
        <v>24</v>
      </c>
      <c r="G47" t="s">
        <v>66</v>
      </c>
      <c r="H47" t="s">
        <v>103</v>
      </c>
      <c r="I47" s="3">
        <v>4.2361111111111113E-2</v>
      </c>
      <c r="J47" t="s">
        <v>38</v>
      </c>
      <c r="K47">
        <v>89</v>
      </c>
      <c r="L47" s="3">
        <v>4.2361111111111113E-2</v>
      </c>
      <c r="M47" t="s">
        <v>31</v>
      </c>
      <c r="N47" t="s">
        <v>104</v>
      </c>
    </row>
    <row r="48" spans="1:14" x14ac:dyDescent="0.35">
      <c r="A48" t="s">
        <v>64</v>
      </c>
      <c r="B48" s="1">
        <v>45479</v>
      </c>
      <c r="C48" t="s">
        <v>65</v>
      </c>
      <c r="D48">
        <v>6</v>
      </c>
      <c r="E48" s="2">
        <v>39005</v>
      </c>
      <c r="F48" t="s">
        <v>16</v>
      </c>
      <c r="G48" t="s">
        <v>66</v>
      </c>
      <c r="H48" t="s">
        <v>105</v>
      </c>
      <c r="I48" s="3">
        <v>0.12569444444444444</v>
      </c>
      <c r="J48" t="s">
        <v>38</v>
      </c>
      <c r="K48">
        <v>80</v>
      </c>
      <c r="L48" s="3">
        <v>0.12569444444444444</v>
      </c>
      <c r="M48" t="s">
        <v>26</v>
      </c>
      <c r="N48" t="s">
        <v>106</v>
      </c>
    </row>
    <row r="49" spans="1:14" x14ac:dyDescent="0.35">
      <c r="A49" t="s">
        <v>14</v>
      </c>
      <c r="B49" s="1">
        <v>45479</v>
      </c>
      <c r="C49" t="s">
        <v>35</v>
      </c>
      <c r="D49">
        <v>10</v>
      </c>
      <c r="E49" s="2">
        <v>39018</v>
      </c>
      <c r="F49" t="s">
        <v>24</v>
      </c>
      <c r="G49" t="s">
        <v>36</v>
      </c>
      <c r="H49" t="s">
        <v>84</v>
      </c>
      <c r="I49" s="3">
        <v>2.7777777777777779E-3</v>
      </c>
      <c r="K49">
        <v>82</v>
      </c>
      <c r="L49" s="3">
        <v>2.0833333333333333E-3</v>
      </c>
      <c r="N49" t="s">
        <v>53</v>
      </c>
    </row>
    <row r="50" spans="1:14" x14ac:dyDescent="0.35">
      <c r="A50" t="s">
        <v>14</v>
      </c>
      <c r="B50" s="1">
        <v>45479</v>
      </c>
      <c r="C50" t="s">
        <v>35</v>
      </c>
      <c r="D50">
        <v>11</v>
      </c>
      <c r="E50" s="2">
        <v>39025</v>
      </c>
      <c r="F50" t="s">
        <v>16</v>
      </c>
      <c r="G50" t="s">
        <v>36</v>
      </c>
      <c r="H50" t="s">
        <v>37</v>
      </c>
      <c r="I50" s="3">
        <v>0.125</v>
      </c>
      <c r="J50" t="s">
        <v>38</v>
      </c>
      <c r="K50">
        <v>10</v>
      </c>
      <c r="L50" s="3">
        <v>8.3333333333333329E-2</v>
      </c>
      <c r="M50" t="s">
        <v>39</v>
      </c>
    </row>
    <row r="51" spans="1:14" x14ac:dyDescent="0.35">
      <c r="A51" t="s">
        <v>14</v>
      </c>
      <c r="B51" s="1">
        <v>45479</v>
      </c>
      <c r="C51" t="s">
        <v>35</v>
      </c>
      <c r="D51">
        <v>15</v>
      </c>
      <c r="E51" s="2">
        <v>39050</v>
      </c>
      <c r="F51" t="s">
        <v>16</v>
      </c>
      <c r="G51" t="s">
        <v>36</v>
      </c>
      <c r="H51" t="s">
        <v>56</v>
      </c>
      <c r="I51" s="3">
        <v>0.125</v>
      </c>
      <c r="K51">
        <v>39</v>
      </c>
      <c r="L51" s="3">
        <v>4.1666666666666664E-2</v>
      </c>
    </row>
    <row r="52" spans="1:14" x14ac:dyDescent="0.35">
      <c r="A52" t="s">
        <v>14</v>
      </c>
      <c r="B52" s="1">
        <v>45479</v>
      </c>
      <c r="C52" t="s">
        <v>35</v>
      </c>
      <c r="D52">
        <v>17</v>
      </c>
      <c r="E52" s="2">
        <v>39060</v>
      </c>
      <c r="F52" t="s">
        <v>16</v>
      </c>
      <c r="G52" t="s">
        <v>36</v>
      </c>
      <c r="H52" t="s">
        <v>41</v>
      </c>
      <c r="I52" s="3">
        <v>0.12569444444444444</v>
      </c>
      <c r="K52">
        <v>84</v>
      </c>
      <c r="L52" s="3">
        <v>0.12569444444444444</v>
      </c>
    </row>
    <row r="53" spans="1:14" x14ac:dyDescent="0.35">
      <c r="A53" t="s">
        <v>14</v>
      </c>
      <c r="B53" s="1">
        <v>45479</v>
      </c>
      <c r="C53" t="s">
        <v>35</v>
      </c>
      <c r="D53">
        <v>19</v>
      </c>
      <c r="E53" s="2">
        <v>39074</v>
      </c>
      <c r="F53" t="s">
        <v>24</v>
      </c>
      <c r="G53" t="s">
        <v>36</v>
      </c>
      <c r="H53" t="s">
        <v>45</v>
      </c>
      <c r="I53" s="3">
        <v>2.0833333333333333E-3</v>
      </c>
      <c r="K53">
        <v>85</v>
      </c>
      <c r="L53" s="3">
        <v>2.0833333333333333E-3</v>
      </c>
      <c r="N53" t="s">
        <v>48</v>
      </c>
    </row>
    <row r="54" spans="1:14" x14ac:dyDescent="0.35">
      <c r="A54" t="s">
        <v>14</v>
      </c>
      <c r="B54" s="1">
        <v>45479</v>
      </c>
      <c r="C54" t="s">
        <v>35</v>
      </c>
      <c r="D54">
        <v>19</v>
      </c>
      <c r="E54" s="2">
        <v>39074</v>
      </c>
      <c r="F54" t="s">
        <v>24</v>
      </c>
      <c r="G54" t="s">
        <v>36</v>
      </c>
      <c r="H54" t="s">
        <v>45</v>
      </c>
      <c r="I54" s="3">
        <v>2.0833333333333333E-3</v>
      </c>
      <c r="K54">
        <v>58</v>
      </c>
      <c r="L54" s="3">
        <v>6.9444444444444447E-4</v>
      </c>
    </row>
    <row r="55" spans="1:14" x14ac:dyDescent="0.35">
      <c r="A55" t="s">
        <v>14</v>
      </c>
      <c r="B55" s="1">
        <v>45479</v>
      </c>
      <c r="C55" t="s">
        <v>35</v>
      </c>
      <c r="D55">
        <v>20</v>
      </c>
      <c r="E55" s="2">
        <v>39077</v>
      </c>
      <c r="F55" t="s">
        <v>16</v>
      </c>
      <c r="G55" t="s">
        <v>36</v>
      </c>
      <c r="H55" t="s">
        <v>96</v>
      </c>
      <c r="I55" s="3">
        <v>0.12569444444444444</v>
      </c>
      <c r="K55">
        <v>50</v>
      </c>
      <c r="L55" s="3">
        <v>8.3333333333333329E-2</v>
      </c>
      <c r="M55" t="s">
        <v>107</v>
      </c>
      <c r="N55" t="s">
        <v>108</v>
      </c>
    </row>
    <row r="56" spans="1:14" x14ac:dyDescent="0.35">
      <c r="A56" t="s">
        <v>14</v>
      </c>
      <c r="B56" s="1">
        <v>45479</v>
      </c>
      <c r="C56" t="s">
        <v>35</v>
      </c>
      <c r="D56">
        <v>20</v>
      </c>
      <c r="E56" s="2">
        <v>39077</v>
      </c>
      <c r="F56" t="s">
        <v>16</v>
      </c>
      <c r="G56" t="s">
        <v>36</v>
      </c>
      <c r="H56" t="s">
        <v>96</v>
      </c>
      <c r="I56" s="3">
        <v>0.12569444444444444</v>
      </c>
      <c r="K56">
        <v>47</v>
      </c>
      <c r="L56" s="3">
        <v>4.1666666666666664E-2</v>
      </c>
      <c r="N56" t="s">
        <v>52</v>
      </c>
    </row>
    <row r="57" spans="1:14" x14ac:dyDescent="0.35">
      <c r="A57" t="s">
        <v>14</v>
      </c>
      <c r="B57" s="1">
        <v>45479</v>
      </c>
      <c r="C57" t="s">
        <v>35</v>
      </c>
      <c r="D57">
        <v>21</v>
      </c>
      <c r="E57" s="2">
        <v>39081</v>
      </c>
      <c r="F57" t="s">
        <v>16</v>
      </c>
      <c r="G57" t="s">
        <v>36</v>
      </c>
      <c r="H57" t="s">
        <v>101</v>
      </c>
      <c r="I57" s="3">
        <v>0.12638888888888888</v>
      </c>
      <c r="J57" t="s">
        <v>38</v>
      </c>
      <c r="K57">
        <v>58</v>
      </c>
      <c r="L57" s="3">
        <v>8.4027777777777785E-2</v>
      </c>
      <c r="N57" t="s">
        <v>109</v>
      </c>
    </row>
    <row r="58" spans="1:14" x14ac:dyDescent="0.35">
      <c r="A58" t="s">
        <v>14</v>
      </c>
      <c r="B58" s="1">
        <v>45479</v>
      </c>
      <c r="C58" t="s">
        <v>35</v>
      </c>
      <c r="D58">
        <v>21</v>
      </c>
      <c r="E58" s="2">
        <v>39081</v>
      </c>
      <c r="F58" t="s">
        <v>16</v>
      </c>
      <c r="G58" t="s">
        <v>36</v>
      </c>
      <c r="H58" t="s">
        <v>101</v>
      </c>
      <c r="I58" s="3">
        <v>0.12638888888888888</v>
      </c>
      <c r="J58" t="s">
        <v>38</v>
      </c>
      <c r="K58">
        <v>77</v>
      </c>
      <c r="L58" s="3">
        <v>0.12569444444444444</v>
      </c>
      <c r="N58" t="s">
        <v>44</v>
      </c>
    </row>
    <row r="59" spans="1:14" x14ac:dyDescent="0.35">
      <c r="A59" t="s">
        <v>14</v>
      </c>
      <c r="B59" s="1">
        <v>45479</v>
      </c>
      <c r="C59" t="s">
        <v>35</v>
      </c>
      <c r="D59">
        <v>23</v>
      </c>
      <c r="E59" s="2">
        <v>39095</v>
      </c>
      <c r="F59" t="s">
        <v>16</v>
      </c>
      <c r="G59" t="s">
        <v>36</v>
      </c>
      <c r="H59" t="s">
        <v>45</v>
      </c>
      <c r="I59" s="3">
        <v>0.12569444444444444</v>
      </c>
      <c r="K59">
        <v>34</v>
      </c>
      <c r="L59" s="3">
        <v>0.125</v>
      </c>
      <c r="M59" t="s">
        <v>22</v>
      </c>
      <c r="N59" t="s">
        <v>110</v>
      </c>
    </row>
    <row r="60" spans="1:14" x14ac:dyDescent="0.35">
      <c r="A60" t="s">
        <v>14</v>
      </c>
      <c r="B60" s="1">
        <v>45479</v>
      </c>
      <c r="C60" t="s">
        <v>35</v>
      </c>
      <c r="D60">
        <v>25</v>
      </c>
      <c r="E60" s="2">
        <v>39113</v>
      </c>
      <c r="F60" t="s">
        <v>16</v>
      </c>
      <c r="G60" t="s">
        <v>36</v>
      </c>
      <c r="H60" t="s">
        <v>111</v>
      </c>
      <c r="I60" s="3">
        <v>0.16666666666666666</v>
      </c>
      <c r="J60" t="s">
        <v>38</v>
      </c>
      <c r="K60">
        <v>12</v>
      </c>
      <c r="L60" s="3">
        <v>4.1666666666666664E-2</v>
      </c>
      <c r="M60" t="s">
        <v>83</v>
      </c>
    </row>
    <row r="61" spans="1:14" x14ac:dyDescent="0.35">
      <c r="A61" t="s">
        <v>14</v>
      </c>
      <c r="B61" s="1">
        <v>45479</v>
      </c>
      <c r="C61" t="s">
        <v>35</v>
      </c>
      <c r="D61">
        <v>26</v>
      </c>
      <c r="E61" s="2">
        <v>39116</v>
      </c>
      <c r="F61" t="s">
        <v>24</v>
      </c>
      <c r="G61" t="s">
        <v>36</v>
      </c>
      <c r="H61" t="s">
        <v>42</v>
      </c>
      <c r="I61" s="3">
        <v>2.7777777777777779E-3</v>
      </c>
      <c r="J61" t="s">
        <v>38</v>
      </c>
      <c r="K61">
        <v>45</v>
      </c>
      <c r="L61" s="3">
        <v>6.9444444444444447E-4</v>
      </c>
      <c r="M61" t="s">
        <v>83</v>
      </c>
    </row>
    <row r="62" spans="1:14" x14ac:dyDescent="0.35">
      <c r="A62" t="s">
        <v>14</v>
      </c>
      <c r="B62" s="1">
        <v>45479</v>
      </c>
      <c r="C62" t="s">
        <v>35</v>
      </c>
      <c r="D62">
        <v>28</v>
      </c>
      <c r="E62" s="2">
        <v>39137</v>
      </c>
      <c r="F62" t="s">
        <v>24</v>
      </c>
      <c r="G62" t="s">
        <v>36</v>
      </c>
      <c r="H62" t="s">
        <v>60</v>
      </c>
      <c r="I62" s="3">
        <v>4.3055555555555555E-2</v>
      </c>
      <c r="K62">
        <v>88</v>
      </c>
      <c r="L62" s="3">
        <v>4.3055555555555555E-2</v>
      </c>
      <c r="M62" t="s">
        <v>20</v>
      </c>
    </row>
    <row r="63" spans="1:14" x14ac:dyDescent="0.35">
      <c r="A63" t="s">
        <v>14</v>
      </c>
      <c r="B63" s="1">
        <v>45479</v>
      </c>
      <c r="C63" t="s">
        <v>40</v>
      </c>
      <c r="D63" t="s">
        <v>57</v>
      </c>
      <c r="E63" s="2">
        <v>39151</v>
      </c>
      <c r="F63" t="s">
        <v>24</v>
      </c>
      <c r="G63" t="s">
        <v>36</v>
      </c>
      <c r="H63" t="s">
        <v>74</v>
      </c>
      <c r="I63" s="3">
        <v>8.4722222222222227E-2</v>
      </c>
      <c r="J63" t="s">
        <v>38</v>
      </c>
      <c r="K63">
        <v>68</v>
      </c>
      <c r="L63" s="3">
        <v>8.4722222222222227E-2</v>
      </c>
      <c r="M63" t="s">
        <v>83</v>
      </c>
    </row>
    <row r="64" spans="1:14" x14ac:dyDescent="0.35">
      <c r="A64" t="s">
        <v>64</v>
      </c>
      <c r="B64" s="1">
        <v>45479</v>
      </c>
      <c r="C64" t="s">
        <v>65</v>
      </c>
      <c r="D64">
        <v>26</v>
      </c>
      <c r="E64" s="2">
        <v>39151</v>
      </c>
      <c r="F64" t="s">
        <v>16</v>
      </c>
      <c r="G64" t="s">
        <v>66</v>
      </c>
      <c r="H64" t="s">
        <v>112</v>
      </c>
      <c r="I64" s="3">
        <v>0.12708333333333333</v>
      </c>
      <c r="J64" t="s">
        <v>38</v>
      </c>
      <c r="K64">
        <v>28</v>
      </c>
      <c r="L64" s="3">
        <v>8.4722222222222227E-2</v>
      </c>
      <c r="M64" t="s">
        <v>31</v>
      </c>
    </row>
    <row r="65" spans="1:14" x14ac:dyDescent="0.35">
      <c r="A65" t="s">
        <v>64</v>
      </c>
      <c r="B65" s="1">
        <v>45479</v>
      </c>
      <c r="C65" t="s">
        <v>65</v>
      </c>
      <c r="D65">
        <v>26</v>
      </c>
      <c r="E65" s="2">
        <v>39151</v>
      </c>
      <c r="F65" t="s">
        <v>16</v>
      </c>
      <c r="G65" t="s">
        <v>66</v>
      </c>
      <c r="H65" t="s">
        <v>112</v>
      </c>
      <c r="I65" s="3">
        <v>0.12708333333333333</v>
      </c>
      <c r="J65" t="s">
        <v>38</v>
      </c>
      <c r="K65" t="s">
        <v>69</v>
      </c>
      <c r="L65" s="3">
        <v>0.12708333333333333</v>
      </c>
      <c r="M65" t="s">
        <v>31</v>
      </c>
      <c r="N65" t="s">
        <v>70</v>
      </c>
    </row>
    <row r="66" spans="1:14" x14ac:dyDescent="0.35">
      <c r="A66" t="s">
        <v>64</v>
      </c>
      <c r="B66" s="1">
        <v>45479</v>
      </c>
      <c r="C66" t="s">
        <v>65</v>
      </c>
      <c r="D66">
        <v>26</v>
      </c>
      <c r="E66" s="2">
        <v>39151</v>
      </c>
      <c r="F66" t="s">
        <v>16</v>
      </c>
      <c r="G66" t="s">
        <v>66</v>
      </c>
      <c r="H66" t="s">
        <v>112</v>
      </c>
      <c r="I66" s="3">
        <v>0.12708333333333333</v>
      </c>
      <c r="J66" t="s">
        <v>38</v>
      </c>
      <c r="K66">
        <v>11</v>
      </c>
      <c r="L66" s="3">
        <v>4.2361111111111113E-2</v>
      </c>
      <c r="M66" t="s">
        <v>31</v>
      </c>
      <c r="N66" t="s">
        <v>79</v>
      </c>
    </row>
    <row r="67" spans="1:14" x14ac:dyDescent="0.35">
      <c r="A67" t="s">
        <v>64</v>
      </c>
      <c r="B67" s="1">
        <v>45479</v>
      </c>
      <c r="C67" t="s">
        <v>65</v>
      </c>
      <c r="D67">
        <v>27</v>
      </c>
      <c r="E67" s="2">
        <v>39158</v>
      </c>
      <c r="F67" t="s">
        <v>24</v>
      </c>
      <c r="G67" t="s">
        <v>66</v>
      </c>
      <c r="H67" t="s">
        <v>113</v>
      </c>
      <c r="I67" s="3">
        <v>2.7777777777777779E-3</v>
      </c>
      <c r="J67" t="s">
        <v>38</v>
      </c>
      <c r="K67">
        <v>86</v>
      </c>
      <c r="L67" s="3">
        <v>2.7777777777777779E-3</v>
      </c>
      <c r="M67" t="s">
        <v>31</v>
      </c>
    </row>
    <row r="68" spans="1:14" x14ac:dyDescent="0.35">
      <c r="A68" t="s">
        <v>14</v>
      </c>
      <c r="B68" s="1">
        <v>45479</v>
      </c>
      <c r="C68" t="s">
        <v>40</v>
      </c>
      <c r="D68" t="s">
        <v>114</v>
      </c>
      <c r="E68" s="2">
        <v>39160</v>
      </c>
      <c r="F68" t="s">
        <v>16</v>
      </c>
      <c r="G68" t="s">
        <v>36</v>
      </c>
      <c r="H68" t="s">
        <v>74</v>
      </c>
      <c r="I68" s="3">
        <v>4.1666666666666664E-2</v>
      </c>
      <c r="K68">
        <v>76</v>
      </c>
      <c r="L68" s="3">
        <v>4.1666666666666664E-2</v>
      </c>
      <c r="M68" t="s">
        <v>83</v>
      </c>
    </row>
    <row r="69" spans="1:14" x14ac:dyDescent="0.35">
      <c r="A69" t="s">
        <v>64</v>
      </c>
      <c r="B69" s="1">
        <v>45479</v>
      </c>
      <c r="C69" t="s">
        <v>65</v>
      </c>
      <c r="D69">
        <v>28</v>
      </c>
      <c r="E69" s="2">
        <v>39172</v>
      </c>
      <c r="F69" t="s">
        <v>16</v>
      </c>
      <c r="G69" t="s">
        <v>66</v>
      </c>
      <c r="H69" t="s">
        <v>115</v>
      </c>
      <c r="I69" s="3">
        <v>8.4027777777777785E-2</v>
      </c>
      <c r="J69" t="s">
        <v>38</v>
      </c>
      <c r="K69">
        <v>45</v>
      </c>
      <c r="L69" s="3">
        <v>4.1666666666666664E-2</v>
      </c>
      <c r="M69" t="s">
        <v>31</v>
      </c>
      <c r="N69" t="s">
        <v>70</v>
      </c>
    </row>
    <row r="70" spans="1:14" x14ac:dyDescent="0.35">
      <c r="A70" t="s">
        <v>14</v>
      </c>
      <c r="B70" s="1">
        <v>45479</v>
      </c>
      <c r="C70" t="s">
        <v>75</v>
      </c>
      <c r="D70" t="s">
        <v>92</v>
      </c>
      <c r="E70" s="2">
        <v>39182</v>
      </c>
      <c r="F70" t="s">
        <v>16</v>
      </c>
      <c r="G70" t="s">
        <v>36</v>
      </c>
      <c r="H70" t="s">
        <v>116</v>
      </c>
      <c r="I70" s="3">
        <v>0.29236111111111113</v>
      </c>
      <c r="J70" t="s">
        <v>38</v>
      </c>
      <c r="K70">
        <v>49</v>
      </c>
      <c r="L70" s="3">
        <v>0.20833333333333334</v>
      </c>
      <c r="M70" t="s">
        <v>26</v>
      </c>
      <c r="N70" t="s">
        <v>44</v>
      </c>
    </row>
    <row r="71" spans="1:14" x14ac:dyDescent="0.35">
      <c r="A71" t="s">
        <v>14</v>
      </c>
      <c r="B71" s="1">
        <v>45479</v>
      </c>
      <c r="C71" t="s">
        <v>75</v>
      </c>
      <c r="D71" t="s">
        <v>92</v>
      </c>
      <c r="E71" s="2">
        <v>39182</v>
      </c>
      <c r="F71" t="s">
        <v>16</v>
      </c>
      <c r="G71" t="s">
        <v>36</v>
      </c>
      <c r="H71" t="s">
        <v>116</v>
      </c>
      <c r="I71" s="3">
        <v>0.29236111111111113</v>
      </c>
      <c r="J71" t="s">
        <v>38</v>
      </c>
      <c r="K71">
        <v>44</v>
      </c>
      <c r="L71" s="3">
        <v>0.16666666666666666</v>
      </c>
      <c r="M71" t="s">
        <v>26</v>
      </c>
      <c r="N71" t="s">
        <v>44</v>
      </c>
    </row>
    <row r="72" spans="1:14" x14ac:dyDescent="0.35">
      <c r="A72" t="s">
        <v>14</v>
      </c>
      <c r="B72" s="1">
        <v>45479</v>
      </c>
      <c r="C72" t="s">
        <v>40</v>
      </c>
      <c r="D72" t="s">
        <v>62</v>
      </c>
      <c r="E72" s="2">
        <v>39186</v>
      </c>
      <c r="F72" t="s">
        <v>24</v>
      </c>
      <c r="G72" t="s">
        <v>36</v>
      </c>
      <c r="H72" t="s">
        <v>111</v>
      </c>
      <c r="I72" s="3">
        <v>4.4444444444444446E-2</v>
      </c>
      <c r="K72">
        <v>28</v>
      </c>
      <c r="L72" s="3">
        <v>4.3055555555555555E-2</v>
      </c>
      <c r="M72" t="s">
        <v>26</v>
      </c>
      <c r="N72" t="s">
        <v>85</v>
      </c>
    </row>
    <row r="73" spans="1:14" x14ac:dyDescent="0.35">
      <c r="A73" t="s">
        <v>64</v>
      </c>
      <c r="B73" s="1">
        <v>45479</v>
      </c>
      <c r="C73" t="s">
        <v>91</v>
      </c>
      <c r="D73" t="s">
        <v>62</v>
      </c>
      <c r="E73" s="2">
        <v>39190</v>
      </c>
      <c r="F73" t="s">
        <v>16</v>
      </c>
      <c r="G73" t="s">
        <v>66</v>
      </c>
      <c r="H73" t="s">
        <v>117</v>
      </c>
      <c r="I73" s="3">
        <v>0.20972222222222223</v>
      </c>
      <c r="J73" t="s">
        <v>38</v>
      </c>
      <c r="K73">
        <v>45</v>
      </c>
      <c r="L73" s="3">
        <v>0.125</v>
      </c>
      <c r="M73" t="s">
        <v>31</v>
      </c>
      <c r="N73" t="s">
        <v>104</v>
      </c>
    </row>
    <row r="74" spans="1:14" x14ac:dyDescent="0.35">
      <c r="A74" t="s">
        <v>64</v>
      </c>
      <c r="B74" s="1">
        <v>45479</v>
      </c>
      <c r="C74" t="s">
        <v>91</v>
      </c>
      <c r="D74" t="s">
        <v>62</v>
      </c>
      <c r="E74" s="2">
        <v>39190</v>
      </c>
      <c r="F74" t="s">
        <v>16</v>
      </c>
      <c r="G74" t="s">
        <v>66</v>
      </c>
      <c r="H74" t="s">
        <v>117</v>
      </c>
      <c r="I74" s="3">
        <v>0.20972222222222223</v>
      </c>
      <c r="J74" t="s">
        <v>38</v>
      </c>
      <c r="K74">
        <v>29</v>
      </c>
      <c r="L74" s="3">
        <v>8.3333333333333329E-2</v>
      </c>
      <c r="M74" t="s">
        <v>20</v>
      </c>
      <c r="N74" t="s">
        <v>106</v>
      </c>
    </row>
    <row r="75" spans="1:14" x14ac:dyDescent="0.35">
      <c r="A75" t="s">
        <v>14</v>
      </c>
      <c r="B75" s="1">
        <v>45479</v>
      </c>
      <c r="C75" t="s">
        <v>75</v>
      </c>
      <c r="D75" t="s">
        <v>62</v>
      </c>
      <c r="E75" s="2">
        <v>39196</v>
      </c>
      <c r="F75" t="s">
        <v>16</v>
      </c>
      <c r="G75" t="s">
        <v>36</v>
      </c>
      <c r="H75" t="s">
        <v>118</v>
      </c>
      <c r="I75" s="3">
        <v>0.12638888888888888</v>
      </c>
      <c r="J75" t="s">
        <v>38</v>
      </c>
      <c r="K75">
        <v>5</v>
      </c>
      <c r="L75" s="3">
        <v>4.1666666666666664E-2</v>
      </c>
      <c r="M75" t="s">
        <v>22</v>
      </c>
      <c r="N75" t="s">
        <v>44</v>
      </c>
    </row>
    <row r="76" spans="1:14" x14ac:dyDescent="0.35">
      <c r="A76" t="s">
        <v>14</v>
      </c>
      <c r="B76" s="1">
        <v>45479</v>
      </c>
      <c r="C76" t="s">
        <v>35</v>
      </c>
      <c r="D76">
        <v>37</v>
      </c>
      <c r="E76" s="2">
        <v>39207</v>
      </c>
      <c r="F76" t="s">
        <v>24</v>
      </c>
      <c r="G76" t="s">
        <v>36</v>
      </c>
      <c r="H76" t="s">
        <v>41</v>
      </c>
      <c r="I76" s="3">
        <v>6.9444444444444447E-4</v>
      </c>
      <c r="J76" t="s">
        <v>38</v>
      </c>
      <c r="K76">
        <v>34</v>
      </c>
      <c r="L76" s="3">
        <v>6.9444444444444447E-4</v>
      </c>
      <c r="M76" t="s">
        <v>83</v>
      </c>
    </row>
    <row r="77" spans="1:14" x14ac:dyDescent="0.35">
      <c r="A77" t="s">
        <v>64</v>
      </c>
      <c r="B77" s="1">
        <v>45479</v>
      </c>
      <c r="C77" t="s">
        <v>65</v>
      </c>
      <c r="D77">
        <v>35</v>
      </c>
      <c r="E77" s="2">
        <v>39222</v>
      </c>
      <c r="F77" t="s">
        <v>24</v>
      </c>
      <c r="G77" t="s">
        <v>66</v>
      </c>
      <c r="H77" t="s">
        <v>119</v>
      </c>
      <c r="I77" s="3">
        <v>4.1666666666666666E-3</v>
      </c>
      <c r="J77" t="s">
        <v>38</v>
      </c>
      <c r="K77">
        <v>39</v>
      </c>
      <c r="L77" s="3">
        <v>6.9444444444444447E-4</v>
      </c>
      <c r="M77" t="s">
        <v>31</v>
      </c>
      <c r="N77" t="s">
        <v>79</v>
      </c>
    </row>
    <row r="78" spans="1:14" x14ac:dyDescent="0.35">
      <c r="A78" t="s">
        <v>64</v>
      </c>
      <c r="B78" s="1">
        <v>45479</v>
      </c>
      <c r="C78" t="s">
        <v>65</v>
      </c>
      <c r="D78">
        <v>35</v>
      </c>
      <c r="E78" s="2">
        <v>39222</v>
      </c>
      <c r="F78" t="s">
        <v>24</v>
      </c>
      <c r="G78" t="s">
        <v>66</v>
      </c>
      <c r="H78" t="s">
        <v>119</v>
      </c>
      <c r="I78" s="3">
        <v>4.1666666666666666E-3</v>
      </c>
      <c r="J78" t="s">
        <v>38</v>
      </c>
      <c r="K78">
        <v>80</v>
      </c>
      <c r="L78" s="3">
        <v>3.472222222222222E-3</v>
      </c>
      <c r="M78" t="s">
        <v>31</v>
      </c>
      <c r="N78" t="s">
        <v>120</v>
      </c>
    </row>
    <row r="79" spans="1:14" x14ac:dyDescent="0.35">
      <c r="A79" t="s">
        <v>64</v>
      </c>
      <c r="B79" s="1">
        <v>45479</v>
      </c>
      <c r="C79" t="s">
        <v>65</v>
      </c>
      <c r="D79">
        <v>37</v>
      </c>
      <c r="E79" s="2">
        <v>39242</v>
      </c>
      <c r="F79" t="s">
        <v>16</v>
      </c>
      <c r="G79" t="s">
        <v>66</v>
      </c>
      <c r="H79" t="s">
        <v>121</v>
      </c>
      <c r="I79" s="3">
        <v>8.4722222222222227E-2</v>
      </c>
      <c r="J79" t="s">
        <v>38</v>
      </c>
      <c r="K79">
        <v>57</v>
      </c>
      <c r="L79" s="3">
        <v>8.4027777777777785E-2</v>
      </c>
      <c r="M79" t="s">
        <v>26</v>
      </c>
      <c r="N79" t="s">
        <v>104</v>
      </c>
    </row>
    <row r="80" spans="1:14" x14ac:dyDescent="0.35">
      <c r="A80" t="s">
        <v>64</v>
      </c>
      <c r="B80" s="1">
        <v>45479</v>
      </c>
      <c r="C80" t="s">
        <v>65</v>
      </c>
      <c r="D80">
        <v>37</v>
      </c>
      <c r="E80" s="2">
        <v>39242</v>
      </c>
      <c r="F80" t="s">
        <v>16</v>
      </c>
      <c r="G80" t="s">
        <v>66</v>
      </c>
      <c r="H80" t="s">
        <v>121</v>
      </c>
      <c r="I80" s="3">
        <v>8.4722222222222227E-2</v>
      </c>
      <c r="J80" t="s">
        <v>38</v>
      </c>
      <c r="K80">
        <v>43</v>
      </c>
      <c r="L80" s="3">
        <v>4.2361111111111113E-2</v>
      </c>
      <c r="N80" t="s">
        <v>122</v>
      </c>
    </row>
    <row r="81" spans="1:14" x14ac:dyDescent="0.35">
      <c r="A81" t="s">
        <v>64</v>
      </c>
      <c r="B81" s="1">
        <v>45479</v>
      </c>
      <c r="C81" t="s">
        <v>65</v>
      </c>
      <c r="D81">
        <v>38</v>
      </c>
      <c r="E81" s="2">
        <v>39250</v>
      </c>
      <c r="F81" t="s">
        <v>24</v>
      </c>
      <c r="G81" t="s">
        <v>66</v>
      </c>
      <c r="H81" t="s">
        <v>123</v>
      </c>
      <c r="I81" s="3">
        <v>4.5138888888888888E-2</v>
      </c>
      <c r="J81" t="s">
        <v>38</v>
      </c>
      <c r="K81">
        <v>51</v>
      </c>
      <c r="L81" s="3">
        <v>2.7777777777777779E-3</v>
      </c>
      <c r="M81" t="s">
        <v>31</v>
      </c>
      <c r="N81" t="s">
        <v>104</v>
      </c>
    </row>
    <row r="82" spans="1:14" x14ac:dyDescent="0.35">
      <c r="A82" t="s">
        <v>64</v>
      </c>
      <c r="B82" s="1">
        <v>45479</v>
      </c>
      <c r="C82" t="s">
        <v>65</v>
      </c>
      <c r="D82">
        <v>38</v>
      </c>
      <c r="E82" s="2">
        <v>39250</v>
      </c>
      <c r="F82" t="s">
        <v>24</v>
      </c>
      <c r="G82" t="s">
        <v>66</v>
      </c>
      <c r="H82" t="s">
        <v>123</v>
      </c>
      <c r="I82" s="3">
        <v>4.5138888888888888E-2</v>
      </c>
      <c r="J82" t="s">
        <v>38</v>
      </c>
      <c r="K82">
        <v>34</v>
      </c>
      <c r="L82" s="3">
        <v>1.3888888888888889E-3</v>
      </c>
      <c r="M82" t="s">
        <v>31</v>
      </c>
      <c r="N82" t="s">
        <v>104</v>
      </c>
    </row>
    <row r="83" spans="1:14" x14ac:dyDescent="0.35">
      <c r="A83" t="s">
        <v>14</v>
      </c>
      <c r="B83" s="1">
        <v>45511</v>
      </c>
      <c r="C83" t="s">
        <v>75</v>
      </c>
      <c r="D83" t="s">
        <v>76</v>
      </c>
      <c r="E83" s="2">
        <v>39344</v>
      </c>
      <c r="F83" t="s">
        <v>24</v>
      </c>
      <c r="G83" t="s">
        <v>36</v>
      </c>
      <c r="H83" t="s">
        <v>17</v>
      </c>
      <c r="I83" s="3">
        <v>6.9444444444444447E-4</v>
      </c>
      <c r="J83" t="s">
        <v>38</v>
      </c>
      <c r="K83">
        <v>62</v>
      </c>
      <c r="L83" s="3">
        <v>6.9444444444444447E-4</v>
      </c>
      <c r="M83" t="s">
        <v>22</v>
      </c>
      <c r="N83" t="s">
        <v>124</v>
      </c>
    </row>
    <row r="84" spans="1:14" x14ac:dyDescent="0.35">
      <c r="A84" t="s">
        <v>64</v>
      </c>
      <c r="B84" s="1">
        <v>45511</v>
      </c>
      <c r="C84" t="s">
        <v>75</v>
      </c>
      <c r="D84" t="s">
        <v>76</v>
      </c>
      <c r="E84" s="2">
        <v>39344</v>
      </c>
      <c r="F84" t="s">
        <v>16</v>
      </c>
      <c r="G84" t="s">
        <v>66</v>
      </c>
      <c r="H84" t="s">
        <v>125</v>
      </c>
      <c r="I84" s="3">
        <v>0.125</v>
      </c>
      <c r="J84" t="s">
        <v>38</v>
      </c>
      <c r="K84">
        <v>82</v>
      </c>
      <c r="L84" s="3">
        <v>8.3333333333333329E-2</v>
      </c>
      <c r="M84" t="s">
        <v>31</v>
      </c>
      <c r="N84" t="s">
        <v>99</v>
      </c>
    </row>
    <row r="85" spans="1:14" x14ac:dyDescent="0.35">
      <c r="A85" t="s">
        <v>64</v>
      </c>
      <c r="B85" s="1">
        <v>45511</v>
      </c>
      <c r="C85" t="s">
        <v>65</v>
      </c>
      <c r="D85">
        <v>4</v>
      </c>
      <c r="E85" s="2">
        <v>39347</v>
      </c>
      <c r="F85" t="s">
        <v>16</v>
      </c>
      <c r="G85" t="s">
        <v>66</v>
      </c>
      <c r="H85" t="s">
        <v>105</v>
      </c>
      <c r="I85" s="3">
        <v>8.4027777777777785E-2</v>
      </c>
      <c r="J85" t="s">
        <v>38</v>
      </c>
      <c r="K85">
        <v>72</v>
      </c>
      <c r="L85" s="3">
        <v>4.1666666666666664E-2</v>
      </c>
      <c r="M85" t="s">
        <v>31</v>
      </c>
      <c r="N85" t="s">
        <v>126</v>
      </c>
    </row>
    <row r="86" spans="1:14" x14ac:dyDescent="0.35">
      <c r="A86" t="s">
        <v>64</v>
      </c>
      <c r="B86" s="1">
        <v>45511</v>
      </c>
      <c r="C86" t="s">
        <v>65</v>
      </c>
      <c r="D86">
        <v>4</v>
      </c>
      <c r="E86" s="2">
        <v>39347</v>
      </c>
      <c r="F86" t="s">
        <v>16</v>
      </c>
      <c r="G86" t="s">
        <v>66</v>
      </c>
      <c r="H86" t="s">
        <v>105</v>
      </c>
      <c r="I86" s="3">
        <v>8.4027777777777785E-2</v>
      </c>
      <c r="J86" t="s">
        <v>38</v>
      </c>
      <c r="K86">
        <v>79</v>
      </c>
      <c r="L86" s="3">
        <v>8.3333333333333329E-2</v>
      </c>
      <c r="M86" t="s">
        <v>83</v>
      </c>
    </row>
    <row r="87" spans="1:14" x14ac:dyDescent="0.35">
      <c r="A87" t="s">
        <v>64</v>
      </c>
      <c r="B87" s="1">
        <v>45511</v>
      </c>
      <c r="C87" t="s">
        <v>65</v>
      </c>
      <c r="D87">
        <v>5</v>
      </c>
      <c r="E87" s="2">
        <v>39351</v>
      </c>
      <c r="F87" t="s">
        <v>16</v>
      </c>
      <c r="G87" t="s">
        <v>66</v>
      </c>
      <c r="H87" t="s">
        <v>93</v>
      </c>
      <c r="I87" s="3">
        <v>0.1673611111111111</v>
      </c>
      <c r="J87" t="s">
        <v>38</v>
      </c>
      <c r="K87">
        <v>10</v>
      </c>
      <c r="L87" s="3">
        <v>8.4027777777777785E-2</v>
      </c>
      <c r="M87" t="s">
        <v>31</v>
      </c>
      <c r="N87" t="s">
        <v>104</v>
      </c>
    </row>
    <row r="88" spans="1:14" x14ac:dyDescent="0.35">
      <c r="A88" t="s">
        <v>64</v>
      </c>
      <c r="B88" s="1">
        <v>45511</v>
      </c>
      <c r="C88" t="s">
        <v>65</v>
      </c>
      <c r="D88">
        <v>5</v>
      </c>
      <c r="E88" s="2">
        <v>39351</v>
      </c>
      <c r="F88" t="s">
        <v>16</v>
      </c>
      <c r="G88" t="s">
        <v>66</v>
      </c>
      <c r="H88" t="s">
        <v>93</v>
      </c>
      <c r="I88" s="3">
        <v>0.1673611111111111</v>
      </c>
      <c r="J88" t="s">
        <v>38</v>
      </c>
      <c r="K88">
        <v>5</v>
      </c>
      <c r="L88" s="3">
        <v>4.1666666666666664E-2</v>
      </c>
      <c r="M88" t="s">
        <v>31</v>
      </c>
      <c r="N88" t="s">
        <v>126</v>
      </c>
    </row>
    <row r="89" spans="1:14" x14ac:dyDescent="0.35">
      <c r="A89" t="s">
        <v>14</v>
      </c>
      <c r="B89" s="1">
        <v>45511</v>
      </c>
      <c r="C89" t="s">
        <v>35</v>
      </c>
      <c r="D89">
        <v>8</v>
      </c>
      <c r="E89" s="2">
        <v>39354</v>
      </c>
      <c r="F89" t="s">
        <v>24</v>
      </c>
      <c r="G89" t="s">
        <v>36</v>
      </c>
      <c r="H89" t="s">
        <v>43</v>
      </c>
      <c r="I89" s="3">
        <v>6.9444444444444447E-4</v>
      </c>
      <c r="J89" t="s">
        <v>38</v>
      </c>
      <c r="K89">
        <v>51</v>
      </c>
      <c r="L89" s="3">
        <v>6.9444444444444447E-4</v>
      </c>
    </row>
    <row r="90" spans="1:14" x14ac:dyDescent="0.35">
      <c r="A90" t="s">
        <v>64</v>
      </c>
      <c r="B90" s="1">
        <v>45511</v>
      </c>
      <c r="C90" t="s">
        <v>65</v>
      </c>
      <c r="D90">
        <v>6</v>
      </c>
      <c r="E90" s="2">
        <v>39354</v>
      </c>
      <c r="F90" t="s">
        <v>24</v>
      </c>
      <c r="G90" t="s">
        <v>66</v>
      </c>
      <c r="H90" t="s">
        <v>127</v>
      </c>
      <c r="I90" s="3">
        <v>4.4444444444444446E-2</v>
      </c>
      <c r="J90" t="s">
        <v>38</v>
      </c>
      <c r="K90">
        <v>50</v>
      </c>
      <c r="L90" s="3">
        <v>2.7777777777777779E-3</v>
      </c>
      <c r="M90" t="s">
        <v>31</v>
      </c>
      <c r="N90" t="s">
        <v>104</v>
      </c>
    </row>
    <row r="91" spans="1:14" x14ac:dyDescent="0.35">
      <c r="A91" t="s">
        <v>64</v>
      </c>
      <c r="B91" s="1">
        <v>45511</v>
      </c>
      <c r="C91" t="s">
        <v>75</v>
      </c>
      <c r="D91" t="s">
        <v>76</v>
      </c>
      <c r="E91" s="2">
        <v>39357</v>
      </c>
      <c r="F91" t="s">
        <v>24</v>
      </c>
      <c r="G91" t="s">
        <v>66</v>
      </c>
      <c r="H91" t="s">
        <v>128</v>
      </c>
      <c r="I91" s="3">
        <v>1.3888888888888889E-3</v>
      </c>
      <c r="J91" t="s">
        <v>38</v>
      </c>
      <c r="K91">
        <v>66</v>
      </c>
      <c r="L91" s="3">
        <v>1.3888888888888889E-3</v>
      </c>
      <c r="M91" t="s">
        <v>129</v>
      </c>
      <c r="N91" t="s">
        <v>126</v>
      </c>
    </row>
    <row r="92" spans="1:14" x14ac:dyDescent="0.35">
      <c r="A92" t="s">
        <v>14</v>
      </c>
      <c r="B92" s="1">
        <v>45511</v>
      </c>
      <c r="C92" t="s">
        <v>35</v>
      </c>
      <c r="D92">
        <v>9</v>
      </c>
      <c r="E92" s="2">
        <v>39361</v>
      </c>
      <c r="F92" t="s">
        <v>16</v>
      </c>
      <c r="G92" t="s">
        <v>36</v>
      </c>
      <c r="H92" t="s">
        <v>96</v>
      </c>
      <c r="I92" s="3">
        <v>0.16666666666666666</v>
      </c>
      <c r="J92" t="s">
        <v>38</v>
      </c>
      <c r="K92">
        <v>76</v>
      </c>
      <c r="L92" s="3">
        <v>0.125</v>
      </c>
      <c r="M92" t="s">
        <v>26</v>
      </c>
      <c r="N92" t="s">
        <v>85</v>
      </c>
    </row>
    <row r="93" spans="1:14" x14ac:dyDescent="0.35">
      <c r="A93" t="s">
        <v>14</v>
      </c>
      <c r="B93" s="1">
        <v>45511</v>
      </c>
      <c r="C93" t="s">
        <v>35</v>
      </c>
      <c r="D93">
        <v>9</v>
      </c>
      <c r="E93" s="2">
        <v>39361</v>
      </c>
      <c r="F93" t="s">
        <v>16</v>
      </c>
      <c r="G93" t="s">
        <v>36</v>
      </c>
      <c r="H93" t="s">
        <v>96</v>
      </c>
      <c r="I93" s="3">
        <v>0.16666666666666666</v>
      </c>
      <c r="J93" t="s">
        <v>38</v>
      </c>
      <c r="K93">
        <v>59</v>
      </c>
      <c r="L93" s="3">
        <v>8.3333333333333329E-2</v>
      </c>
      <c r="M93" t="s">
        <v>22</v>
      </c>
      <c r="N93" t="s">
        <v>44</v>
      </c>
    </row>
    <row r="94" spans="1:14" x14ac:dyDescent="0.35">
      <c r="A94" t="s">
        <v>64</v>
      </c>
      <c r="B94" s="1">
        <v>45511</v>
      </c>
      <c r="C94" t="s">
        <v>65</v>
      </c>
      <c r="D94">
        <v>7</v>
      </c>
      <c r="E94" s="2">
        <v>39362</v>
      </c>
      <c r="F94" t="s">
        <v>16</v>
      </c>
      <c r="G94" t="s">
        <v>66</v>
      </c>
      <c r="H94" t="s">
        <v>119</v>
      </c>
      <c r="I94" s="3">
        <v>0.125</v>
      </c>
      <c r="J94" t="s">
        <v>38</v>
      </c>
      <c r="K94">
        <v>19</v>
      </c>
      <c r="L94" s="3">
        <v>8.3333333333333329E-2</v>
      </c>
      <c r="M94" t="s">
        <v>31</v>
      </c>
      <c r="N94" t="s">
        <v>70</v>
      </c>
    </row>
    <row r="95" spans="1:14" x14ac:dyDescent="0.35">
      <c r="A95" t="s">
        <v>14</v>
      </c>
      <c r="B95" s="1">
        <v>45511</v>
      </c>
      <c r="C95" t="s">
        <v>75</v>
      </c>
      <c r="D95" t="s">
        <v>76</v>
      </c>
      <c r="E95" s="2">
        <v>39378</v>
      </c>
      <c r="F95" t="s">
        <v>24</v>
      </c>
      <c r="G95" t="s">
        <v>36</v>
      </c>
      <c r="H95" t="s">
        <v>130</v>
      </c>
      <c r="I95" s="3">
        <v>8.611111111111111E-2</v>
      </c>
      <c r="J95" t="s">
        <v>38</v>
      </c>
      <c r="K95">
        <v>41</v>
      </c>
      <c r="L95" s="3">
        <v>4.3749999999999997E-2</v>
      </c>
      <c r="M95" t="s">
        <v>83</v>
      </c>
    </row>
    <row r="96" spans="1:14" x14ac:dyDescent="0.35">
      <c r="A96" t="s">
        <v>14</v>
      </c>
      <c r="B96" s="1">
        <v>45511</v>
      </c>
      <c r="C96" t="s">
        <v>75</v>
      </c>
      <c r="D96" t="s">
        <v>76</v>
      </c>
      <c r="E96" s="2">
        <v>39378</v>
      </c>
      <c r="F96" t="s">
        <v>24</v>
      </c>
      <c r="G96" t="s">
        <v>36</v>
      </c>
      <c r="H96" t="s">
        <v>130</v>
      </c>
      <c r="I96" s="3">
        <v>8.611111111111111E-2</v>
      </c>
      <c r="J96" t="s">
        <v>38</v>
      </c>
      <c r="K96">
        <v>68</v>
      </c>
      <c r="L96" s="3">
        <v>4.4444444444444446E-2</v>
      </c>
      <c r="M96" t="s">
        <v>22</v>
      </c>
      <c r="N96" t="s">
        <v>44</v>
      </c>
    </row>
    <row r="97" spans="1:14" x14ac:dyDescent="0.35">
      <c r="A97" t="s">
        <v>64</v>
      </c>
      <c r="B97" s="1">
        <v>45511</v>
      </c>
      <c r="C97" t="s">
        <v>65</v>
      </c>
      <c r="D97">
        <v>9</v>
      </c>
      <c r="E97" s="2">
        <v>39383</v>
      </c>
      <c r="F97" t="s">
        <v>16</v>
      </c>
      <c r="G97" t="s">
        <v>66</v>
      </c>
      <c r="H97" t="s">
        <v>131</v>
      </c>
      <c r="I97" s="3">
        <v>8.3333333333333329E-2</v>
      </c>
      <c r="J97" t="s">
        <v>38</v>
      </c>
      <c r="K97">
        <v>80</v>
      </c>
      <c r="L97" s="3">
        <v>8.3333333333333329E-2</v>
      </c>
      <c r="M97" t="s">
        <v>83</v>
      </c>
    </row>
    <row r="98" spans="1:14" x14ac:dyDescent="0.35">
      <c r="A98" t="s">
        <v>14</v>
      </c>
      <c r="B98" s="1">
        <v>45511</v>
      </c>
      <c r="C98" t="s">
        <v>35</v>
      </c>
      <c r="D98">
        <v>12</v>
      </c>
      <c r="E98" s="2">
        <v>39389</v>
      </c>
      <c r="F98" t="s">
        <v>24</v>
      </c>
      <c r="G98" t="s">
        <v>36</v>
      </c>
      <c r="H98" t="s">
        <v>54</v>
      </c>
      <c r="I98" s="3">
        <v>8.4722222222222227E-2</v>
      </c>
      <c r="J98" t="s">
        <v>38</v>
      </c>
      <c r="K98">
        <v>82</v>
      </c>
      <c r="L98" s="3">
        <v>4.3055555555555555E-2</v>
      </c>
      <c r="N98" t="s">
        <v>132</v>
      </c>
    </row>
    <row r="99" spans="1:14" x14ac:dyDescent="0.35">
      <c r="A99" t="s">
        <v>64</v>
      </c>
      <c r="B99" s="1">
        <v>45511</v>
      </c>
      <c r="C99" t="s">
        <v>75</v>
      </c>
      <c r="D99" t="s">
        <v>76</v>
      </c>
      <c r="E99" s="2">
        <v>39393</v>
      </c>
      <c r="F99" t="s">
        <v>16</v>
      </c>
      <c r="G99" t="s">
        <v>66</v>
      </c>
      <c r="H99" t="s">
        <v>133</v>
      </c>
      <c r="I99" s="3">
        <v>8.3333333333333329E-2</v>
      </c>
      <c r="J99" t="s">
        <v>38</v>
      </c>
      <c r="K99">
        <v>41</v>
      </c>
      <c r="L99" s="3">
        <v>8.3333333333333329E-2</v>
      </c>
      <c r="M99" t="s">
        <v>31</v>
      </c>
      <c r="N99" t="s">
        <v>70</v>
      </c>
    </row>
    <row r="100" spans="1:14" x14ac:dyDescent="0.35">
      <c r="A100" t="s">
        <v>14</v>
      </c>
      <c r="B100" s="1">
        <v>45511</v>
      </c>
      <c r="C100" t="s">
        <v>75</v>
      </c>
      <c r="D100" t="s">
        <v>76</v>
      </c>
      <c r="E100" s="2">
        <v>39393</v>
      </c>
      <c r="F100" t="s">
        <v>16</v>
      </c>
      <c r="G100" t="s">
        <v>36</v>
      </c>
      <c r="H100" t="s">
        <v>130</v>
      </c>
      <c r="I100" s="3">
        <v>0.16666666666666666</v>
      </c>
      <c r="J100" t="s">
        <v>38</v>
      </c>
      <c r="K100">
        <v>88</v>
      </c>
      <c r="L100" s="3">
        <v>0.16666666666666666</v>
      </c>
      <c r="M100" t="s">
        <v>26</v>
      </c>
      <c r="N100" t="s">
        <v>132</v>
      </c>
    </row>
    <row r="101" spans="1:14" x14ac:dyDescent="0.35">
      <c r="A101" t="s">
        <v>14</v>
      </c>
      <c r="B101" s="1">
        <v>45511</v>
      </c>
      <c r="C101" t="s">
        <v>35</v>
      </c>
      <c r="D101">
        <v>13</v>
      </c>
      <c r="E101" s="2">
        <v>39397</v>
      </c>
      <c r="F101" t="s">
        <v>16</v>
      </c>
      <c r="G101" t="s">
        <v>36</v>
      </c>
      <c r="H101" t="s">
        <v>134</v>
      </c>
      <c r="I101" s="3">
        <v>8.3333333333333329E-2</v>
      </c>
      <c r="J101" t="s">
        <v>38</v>
      </c>
      <c r="K101">
        <v>34</v>
      </c>
      <c r="L101" s="3">
        <v>4.1666666666666664E-2</v>
      </c>
      <c r="M101" t="s">
        <v>22</v>
      </c>
      <c r="N101" t="s">
        <v>44</v>
      </c>
    </row>
    <row r="102" spans="1:14" x14ac:dyDescent="0.35">
      <c r="A102" t="s">
        <v>14</v>
      </c>
      <c r="B102" s="1">
        <v>45511</v>
      </c>
      <c r="C102" t="s">
        <v>35</v>
      </c>
      <c r="D102">
        <v>13</v>
      </c>
      <c r="E102" s="2">
        <v>39397</v>
      </c>
      <c r="F102" t="s">
        <v>16</v>
      </c>
      <c r="G102" t="s">
        <v>36</v>
      </c>
      <c r="H102" t="s">
        <v>134</v>
      </c>
      <c r="I102" s="3">
        <v>8.3333333333333329E-2</v>
      </c>
      <c r="J102" t="s">
        <v>38</v>
      </c>
      <c r="K102">
        <v>35</v>
      </c>
      <c r="L102" s="3">
        <v>8.3333333333333329E-2</v>
      </c>
      <c r="M102" t="s">
        <v>26</v>
      </c>
      <c r="N102" t="s">
        <v>135</v>
      </c>
    </row>
    <row r="103" spans="1:14" x14ac:dyDescent="0.35">
      <c r="A103" t="s">
        <v>64</v>
      </c>
      <c r="B103" s="1">
        <v>45511</v>
      </c>
      <c r="C103" t="s">
        <v>65</v>
      </c>
      <c r="D103">
        <v>13</v>
      </c>
      <c r="E103" s="2">
        <v>39410</v>
      </c>
      <c r="F103" t="s">
        <v>16</v>
      </c>
      <c r="G103" t="s">
        <v>66</v>
      </c>
      <c r="H103" t="s">
        <v>113</v>
      </c>
      <c r="I103" s="3">
        <v>0.125</v>
      </c>
      <c r="J103" t="s">
        <v>38</v>
      </c>
      <c r="K103">
        <v>81</v>
      </c>
      <c r="L103" s="3">
        <v>0.125</v>
      </c>
      <c r="M103" t="s">
        <v>83</v>
      </c>
    </row>
    <row r="104" spans="1:14" x14ac:dyDescent="0.35">
      <c r="A104" t="s">
        <v>64</v>
      </c>
      <c r="B104" s="1">
        <v>45511</v>
      </c>
      <c r="C104" t="s">
        <v>75</v>
      </c>
      <c r="D104" t="s">
        <v>76</v>
      </c>
      <c r="E104" s="2">
        <v>39413</v>
      </c>
      <c r="F104" t="s">
        <v>24</v>
      </c>
      <c r="G104" t="s">
        <v>66</v>
      </c>
      <c r="H104" t="s">
        <v>125</v>
      </c>
      <c r="I104" s="3">
        <v>8.4722222222222227E-2</v>
      </c>
      <c r="J104" t="s">
        <v>38</v>
      </c>
      <c r="K104">
        <v>58</v>
      </c>
      <c r="L104" s="3">
        <v>4.3055555555555555E-2</v>
      </c>
      <c r="M104" t="s">
        <v>83</v>
      </c>
    </row>
    <row r="105" spans="1:14" x14ac:dyDescent="0.35">
      <c r="A105" t="s">
        <v>14</v>
      </c>
      <c r="B105" s="1">
        <v>45511</v>
      </c>
      <c r="C105" t="s">
        <v>75</v>
      </c>
      <c r="D105" t="s">
        <v>76</v>
      </c>
      <c r="E105" s="2">
        <v>39413</v>
      </c>
      <c r="F105" t="s">
        <v>16</v>
      </c>
      <c r="G105" t="s">
        <v>36</v>
      </c>
      <c r="H105" t="s">
        <v>17</v>
      </c>
      <c r="I105" s="3">
        <v>8.4027777777777785E-2</v>
      </c>
      <c r="J105" t="s">
        <v>38</v>
      </c>
      <c r="K105" t="s">
        <v>136</v>
      </c>
      <c r="L105" s="3">
        <v>8.4027777777777785E-2</v>
      </c>
      <c r="M105" t="s">
        <v>39</v>
      </c>
    </row>
    <row r="106" spans="1:14" x14ac:dyDescent="0.35">
      <c r="A106" t="s">
        <v>14</v>
      </c>
      <c r="B106" s="1">
        <v>45511</v>
      </c>
      <c r="C106" t="s">
        <v>35</v>
      </c>
      <c r="D106">
        <v>15</v>
      </c>
      <c r="E106" s="2">
        <v>39419</v>
      </c>
      <c r="F106" t="s">
        <v>16</v>
      </c>
      <c r="G106" t="s">
        <v>36</v>
      </c>
      <c r="H106" t="s">
        <v>60</v>
      </c>
      <c r="I106" s="3">
        <v>8.3333333333333329E-2</v>
      </c>
      <c r="K106">
        <v>58</v>
      </c>
      <c r="L106" s="3">
        <v>8.3333333333333329E-2</v>
      </c>
      <c r="M106" t="s">
        <v>22</v>
      </c>
      <c r="N106" t="s">
        <v>102</v>
      </c>
    </row>
    <row r="107" spans="1:14" x14ac:dyDescent="0.35">
      <c r="A107" t="s">
        <v>14</v>
      </c>
      <c r="B107" s="1">
        <v>45511</v>
      </c>
      <c r="C107" t="s">
        <v>35</v>
      </c>
      <c r="D107">
        <v>15</v>
      </c>
      <c r="E107" s="2">
        <v>39419</v>
      </c>
      <c r="F107" t="s">
        <v>16</v>
      </c>
      <c r="G107" t="s">
        <v>36</v>
      </c>
      <c r="H107" t="s">
        <v>60</v>
      </c>
      <c r="I107" s="3">
        <v>8.3333333333333329E-2</v>
      </c>
      <c r="K107">
        <v>10</v>
      </c>
      <c r="L107" s="3">
        <v>4.1666666666666664E-2</v>
      </c>
      <c r="M107" t="s">
        <v>26</v>
      </c>
      <c r="N107" t="s">
        <v>137</v>
      </c>
    </row>
    <row r="108" spans="1:14" x14ac:dyDescent="0.35">
      <c r="A108" t="s">
        <v>14</v>
      </c>
      <c r="B108" s="1">
        <v>45511</v>
      </c>
      <c r="C108" t="s">
        <v>35</v>
      </c>
      <c r="D108">
        <v>16</v>
      </c>
      <c r="E108" s="2">
        <v>39424</v>
      </c>
      <c r="F108" t="s">
        <v>16</v>
      </c>
      <c r="G108" t="s">
        <v>36</v>
      </c>
      <c r="H108" t="s">
        <v>138</v>
      </c>
      <c r="I108" s="3">
        <v>0.1673611111111111</v>
      </c>
      <c r="K108">
        <v>90</v>
      </c>
      <c r="L108" s="3">
        <v>0.1673611111111111</v>
      </c>
      <c r="M108" t="s">
        <v>83</v>
      </c>
    </row>
    <row r="109" spans="1:14" x14ac:dyDescent="0.35">
      <c r="A109" t="s">
        <v>14</v>
      </c>
      <c r="B109" s="1">
        <v>45511</v>
      </c>
      <c r="C109" t="s">
        <v>35</v>
      </c>
      <c r="D109">
        <v>18</v>
      </c>
      <c r="E109" s="2">
        <v>39439</v>
      </c>
      <c r="F109" t="s">
        <v>16</v>
      </c>
      <c r="G109" t="s">
        <v>36</v>
      </c>
      <c r="H109" t="s">
        <v>56</v>
      </c>
      <c r="I109" s="3">
        <v>8.4027777777777785E-2</v>
      </c>
      <c r="J109" t="s">
        <v>38</v>
      </c>
      <c r="K109">
        <v>87</v>
      </c>
      <c r="L109" s="3">
        <v>8.4027777777777785E-2</v>
      </c>
      <c r="M109" t="s">
        <v>83</v>
      </c>
    </row>
    <row r="110" spans="1:14" x14ac:dyDescent="0.35">
      <c r="A110" t="s">
        <v>14</v>
      </c>
      <c r="B110" s="1">
        <v>45511</v>
      </c>
      <c r="C110" t="s">
        <v>35</v>
      </c>
      <c r="D110">
        <v>18</v>
      </c>
      <c r="E110" s="2">
        <v>39439</v>
      </c>
      <c r="F110" t="s">
        <v>16</v>
      </c>
      <c r="G110" t="s">
        <v>36</v>
      </c>
      <c r="H110" t="s">
        <v>56</v>
      </c>
      <c r="I110" s="3">
        <v>8.4027777777777785E-2</v>
      </c>
      <c r="J110" t="s">
        <v>38</v>
      </c>
      <c r="K110">
        <v>22</v>
      </c>
      <c r="L110" s="3">
        <v>4.1666666666666664E-2</v>
      </c>
      <c r="M110" t="s">
        <v>31</v>
      </c>
      <c r="N110" t="s">
        <v>135</v>
      </c>
    </row>
    <row r="111" spans="1:14" x14ac:dyDescent="0.35">
      <c r="A111" t="s">
        <v>14</v>
      </c>
      <c r="B111" s="1">
        <v>45511</v>
      </c>
      <c r="C111" t="s">
        <v>35</v>
      </c>
      <c r="D111">
        <v>19</v>
      </c>
      <c r="E111" s="2">
        <v>39442</v>
      </c>
      <c r="F111" t="s">
        <v>24</v>
      </c>
      <c r="G111" t="s">
        <v>36</v>
      </c>
      <c r="H111" t="s">
        <v>139</v>
      </c>
      <c r="I111" s="3">
        <v>2.7777777777777779E-3</v>
      </c>
      <c r="K111">
        <v>45</v>
      </c>
      <c r="L111" s="3">
        <v>2.0833333333333333E-3</v>
      </c>
      <c r="M111" t="s">
        <v>39</v>
      </c>
    </row>
    <row r="112" spans="1:14" x14ac:dyDescent="0.35">
      <c r="A112" t="s">
        <v>14</v>
      </c>
      <c r="B112" s="1">
        <v>45511</v>
      </c>
      <c r="C112" t="s">
        <v>35</v>
      </c>
      <c r="D112">
        <v>20</v>
      </c>
      <c r="E112" s="2">
        <v>39445</v>
      </c>
      <c r="F112" t="s">
        <v>24</v>
      </c>
      <c r="G112" t="s">
        <v>36</v>
      </c>
      <c r="H112" t="s">
        <v>140</v>
      </c>
      <c r="I112" s="3">
        <v>8.4027777777777785E-2</v>
      </c>
      <c r="J112" t="s">
        <v>38</v>
      </c>
      <c r="K112">
        <v>14</v>
      </c>
      <c r="L112" s="3">
        <v>6.9444444444444447E-4</v>
      </c>
      <c r="M112" t="s">
        <v>22</v>
      </c>
      <c r="N112" t="s">
        <v>44</v>
      </c>
    </row>
    <row r="113" spans="1:14" x14ac:dyDescent="0.35">
      <c r="A113" t="s">
        <v>14</v>
      </c>
      <c r="B113" s="1">
        <v>45511</v>
      </c>
      <c r="C113" t="s">
        <v>40</v>
      </c>
      <c r="D113" t="s">
        <v>50</v>
      </c>
      <c r="E113" s="2">
        <v>39452</v>
      </c>
      <c r="F113" t="s">
        <v>24</v>
      </c>
      <c r="G113" t="s">
        <v>36</v>
      </c>
      <c r="H113" t="s">
        <v>45</v>
      </c>
      <c r="I113" s="3">
        <v>1.3888888888888889E-3</v>
      </c>
      <c r="K113">
        <v>81</v>
      </c>
      <c r="L113" s="3">
        <v>6.9444444444444447E-4</v>
      </c>
      <c r="M113" t="s">
        <v>31</v>
      </c>
      <c r="N113" t="s">
        <v>44</v>
      </c>
    </row>
    <row r="114" spans="1:14" x14ac:dyDescent="0.35">
      <c r="A114" t="s">
        <v>14</v>
      </c>
      <c r="B114" s="1">
        <v>45511</v>
      </c>
      <c r="C114" t="s">
        <v>35</v>
      </c>
      <c r="D114">
        <v>22</v>
      </c>
      <c r="E114" s="2">
        <v>39459</v>
      </c>
      <c r="F114" t="s">
        <v>16</v>
      </c>
      <c r="G114" t="s">
        <v>36</v>
      </c>
      <c r="H114" t="s">
        <v>63</v>
      </c>
      <c r="I114" s="3">
        <v>0.25</v>
      </c>
      <c r="J114" t="s">
        <v>38</v>
      </c>
      <c r="K114">
        <v>48</v>
      </c>
      <c r="L114" s="3">
        <v>4.1666666666666664E-2</v>
      </c>
      <c r="M114" t="s">
        <v>39</v>
      </c>
    </row>
    <row r="115" spans="1:14" x14ac:dyDescent="0.35">
      <c r="A115" t="s">
        <v>14</v>
      </c>
      <c r="B115" s="1">
        <v>45511</v>
      </c>
      <c r="C115" t="s">
        <v>35</v>
      </c>
      <c r="D115">
        <v>22</v>
      </c>
      <c r="E115" s="2">
        <v>39459</v>
      </c>
      <c r="F115" t="s">
        <v>16</v>
      </c>
      <c r="G115" t="s">
        <v>36</v>
      </c>
      <c r="H115" t="s">
        <v>63</v>
      </c>
      <c r="I115" s="3">
        <v>0.25</v>
      </c>
      <c r="J115" t="s">
        <v>38</v>
      </c>
      <c r="K115">
        <v>70</v>
      </c>
      <c r="L115" s="3">
        <v>0.125</v>
      </c>
      <c r="M115" t="s">
        <v>26</v>
      </c>
      <c r="N115" t="s">
        <v>135</v>
      </c>
    </row>
    <row r="116" spans="1:14" x14ac:dyDescent="0.35">
      <c r="A116" t="s">
        <v>14</v>
      </c>
      <c r="B116" s="1">
        <v>45511</v>
      </c>
      <c r="C116" t="s">
        <v>35</v>
      </c>
      <c r="D116">
        <v>22</v>
      </c>
      <c r="E116" s="2">
        <v>39459</v>
      </c>
      <c r="F116" t="s">
        <v>16</v>
      </c>
      <c r="G116" t="s">
        <v>36</v>
      </c>
      <c r="H116" t="s">
        <v>63</v>
      </c>
      <c r="I116" s="3">
        <v>0.25</v>
      </c>
      <c r="J116" t="s">
        <v>38</v>
      </c>
      <c r="K116">
        <v>88</v>
      </c>
      <c r="L116" s="3">
        <v>0.20833333333333334</v>
      </c>
      <c r="M116" t="s">
        <v>31</v>
      </c>
    </row>
    <row r="117" spans="1:14" x14ac:dyDescent="0.35">
      <c r="A117" t="s">
        <v>14</v>
      </c>
      <c r="B117" s="1">
        <v>45511</v>
      </c>
      <c r="C117" t="s">
        <v>35</v>
      </c>
      <c r="D117">
        <v>23</v>
      </c>
      <c r="E117" s="2">
        <v>39466</v>
      </c>
      <c r="F117" t="s">
        <v>24</v>
      </c>
      <c r="G117" t="s">
        <v>36</v>
      </c>
      <c r="H117" t="s">
        <v>101</v>
      </c>
      <c r="I117" s="3">
        <v>1.3888888888888889E-3</v>
      </c>
      <c r="J117" t="s">
        <v>38</v>
      </c>
      <c r="K117" t="s">
        <v>141</v>
      </c>
      <c r="L117" s="3">
        <v>1.3888888888888889E-3</v>
      </c>
      <c r="M117" t="s">
        <v>26</v>
      </c>
    </row>
    <row r="118" spans="1:14" x14ac:dyDescent="0.35">
      <c r="A118" t="s">
        <v>14</v>
      </c>
      <c r="B118" s="1">
        <v>45511</v>
      </c>
      <c r="C118" t="s">
        <v>40</v>
      </c>
      <c r="D118" t="s">
        <v>29</v>
      </c>
      <c r="E118" s="2">
        <v>39474</v>
      </c>
      <c r="F118" t="s">
        <v>16</v>
      </c>
      <c r="G118" t="s">
        <v>36</v>
      </c>
      <c r="H118" t="s">
        <v>42</v>
      </c>
      <c r="I118" s="3">
        <v>0.12569444444444444</v>
      </c>
      <c r="J118" t="s">
        <v>38</v>
      </c>
      <c r="K118">
        <v>69</v>
      </c>
      <c r="L118" s="3">
        <v>8.4027777777777785E-2</v>
      </c>
      <c r="M118" t="s">
        <v>83</v>
      </c>
    </row>
    <row r="119" spans="1:14" x14ac:dyDescent="0.35">
      <c r="A119" t="s">
        <v>14</v>
      </c>
      <c r="B119" s="1">
        <v>45511</v>
      </c>
      <c r="C119" t="s">
        <v>40</v>
      </c>
      <c r="D119" t="s">
        <v>29</v>
      </c>
      <c r="E119" s="2">
        <v>39474</v>
      </c>
      <c r="F119" t="s">
        <v>16</v>
      </c>
      <c r="G119" t="s">
        <v>36</v>
      </c>
      <c r="H119" t="s">
        <v>42</v>
      </c>
      <c r="I119" s="3">
        <v>0.12569444444444444</v>
      </c>
      <c r="J119" t="s">
        <v>38</v>
      </c>
      <c r="K119">
        <v>88</v>
      </c>
      <c r="L119" s="3">
        <v>0.12569444444444444</v>
      </c>
      <c r="M119" t="s">
        <v>26</v>
      </c>
      <c r="N119" t="s">
        <v>44</v>
      </c>
    </row>
    <row r="120" spans="1:14" x14ac:dyDescent="0.35">
      <c r="A120" t="s">
        <v>14</v>
      </c>
      <c r="B120" s="1">
        <v>45511</v>
      </c>
      <c r="C120" t="s">
        <v>35</v>
      </c>
      <c r="D120">
        <v>24</v>
      </c>
      <c r="E120" s="2">
        <v>39477</v>
      </c>
      <c r="F120" t="s">
        <v>16</v>
      </c>
      <c r="G120" t="s">
        <v>36</v>
      </c>
      <c r="H120" t="s">
        <v>37</v>
      </c>
      <c r="I120" s="3">
        <v>8.3333333333333329E-2</v>
      </c>
      <c r="J120" t="s">
        <v>38</v>
      </c>
      <c r="K120">
        <v>10</v>
      </c>
      <c r="L120" s="3">
        <v>4.1666666666666664E-2</v>
      </c>
      <c r="M120" t="s">
        <v>26</v>
      </c>
      <c r="N120" t="s">
        <v>142</v>
      </c>
    </row>
    <row r="121" spans="1:14" x14ac:dyDescent="0.35">
      <c r="A121" t="s">
        <v>14</v>
      </c>
      <c r="B121" s="1">
        <v>45511</v>
      </c>
      <c r="C121" t="s">
        <v>35</v>
      </c>
      <c r="D121">
        <v>24</v>
      </c>
      <c r="E121" s="2">
        <v>39477</v>
      </c>
      <c r="F121" t="s">
        <v>16</v>
      </c>
      <c r="G121" t="s">
        <v>36</v>
      </c>
      <c r="H121" t="s">
        <v>37</v>
      </c>
      <c r="I121" s="3">
        <v>8.3333333333333329E-2</v>
      </c>
      <c r="J121" t="s">
        <v>38</v>
      </c>
      <c r="K121">
        <v>12</v>
      </c>
      <c r="L121" s="3">
        <v>8.3333333333333329E-2</v>
      </c>
      <c r="M121" t="s">
        <v>39</v>
      </c>
    </row>
    <row r="122" spans="1:14" x14ac:dyDescent="0.35">
      <c r="A122" t="s">
        <v>64</v>
      </c>
      <c r="B122" s="1">
        <v>45511</v>
      </c>
      <c r="C122" t="s">
        <v>75</v>
      </c>
      <c r="D122" t="s">
        <v>143</v>
      </c>
      <c r="E122" s="2">
        <v>39498</v>
      </c>
      <c r="F122" t="s">
        <v>24</v>
      </c>
      <c r="G122" t="s">
        <v>66</v>
      </c>
      <c r="H122" t="s">
        <v>144</v>
      </c>
      <c r="I122" s="3">
        <v>8.5416666666666669E-2</v>
      </c>
      <c r="J122" t="s">
        <v>38</v>
      </c>
      <c r="K122">
        <v>18</v>
      </c>
      <c r="L122" s="3">
        <v>4.2361111111111113E-2</v>
      </c>
      <c r="M122" t="s">
        <v>31</v>
      </c>
      <c r="N122" t="s">
        <v>104</v>
      </c>
    </row>
    <row r="123" spans="1:14" x14ac:dyDescent="0.35">
      <c r="A123" t="s">
        <v>64</v>
      </c>
      <c r="B123" s="1">
        <v>45511</v>
      </c>
      <c r="C123" t="s">
        <v>75</v>
      </c>
      <c r="D123" t="s">
        <v>143</v>
      </c>
      <c r="E123" s="2">
        <v>39498</v>
      </c>
      <c r="F123" t="s">
        <v>24</v>
      </c>
      <c r="G123" t="s">
        <v>66</v>
      </c>
      <c r="H123" t="s">
        <v>144</v>
      </c>
      <c r="I123" s="3">
        <v>8.5416666666666669E-2</v>
      </c>
      <c r="J123" t="s">
        <v>38</v>
      </c>
      <c r="K123">
        <v>79</v>
      </c>
      <c r="L123" s="3">
        <v>8.5416666666666669E-2</v>
      </c>
      <c r="M123" t="s">
        <v>31</v>
      </c>
    </row>
    <row r="124" spans="1:14" x14ac:dyDescent="0.35">
      <c r="A124" t="s">
        <v>14</v>
      </c>
      <c r="B124" s="1">
        <v>45511</v>
      </c>
      <c r="C124" t="s">
        <v>35</v>
      </c>
      <c r="D124">
        <v>27</v>
      </c>
      <c r="E124" s="2">
        <v>39501</v>
      </c>
      <c r="F124" t="s">
        <v>24</v>
      </c>
      <c r="G124" t="s">
        <v>36</v>
      </c>
      <c r="H124" t="s">
        <v>63</v>
      </c>
      <c r="I124" s="3">
        <v>4.5138888888888888E-2</v>
      </c>
      <c r="J124" t="s">
        <v>38</v>
      </c>
      <c r="K124">
        <v>56</v>
      </c>
      <c r="L124" s="3">
        <v>2.0833333333333333E-3</v>
      </c>
      <c r="M124" t="s">
        <v>26</v>
      </c>
    </row>
    <row r="125" spans="1:14" x14ac:dyDescent="0.35">
      <c r="A125" t="s">
        <v>14</v>
      </c>
      <c r="B125" s="1">
        <v>45511</v>
      </c>
      <c r="C125" t="s">
        <v>35</v>
      </c>
      <c r="D125">
        <v>27</v>
      </c>
      <c r="E125" s="2">
        <v>39501</v>
      </c>
      <c r="F125" t="s">
        <v>24</v>
      </c>
      <c r="G125" t="s">
        <v>36</v>
      </c>
      <c r="H125" t="s">
        <v>63</v>
      </c>
      <c r="I125" s="3">
        <v>4.5138888888888888E-2</v>
      </c>
      <c r="J125" t="s">
        <v>38</v>
      </c>
      <c r="K125">
        <v>45</v>
      </c>
      <c r="L125" s="3">
        <v>1.3888888888888889E-3</v>
      </c>
      <c r="M125" t="s">
        <v>26</v>
      </c>
      <c r="N125" t="s">
        <v>110</v>
      </c>
    </row>
    <row r="126" spans="1:14" x14ac:dyDescent="0.35">
      <c r="A126" t="s">
        <v>64</v>
      </c>
      <c r="B126" s="1">
        <v>45511</v>
      </c>
      <c r="C126" t="s">
        <v>65</v>
      </c>
      <c r="D126">
        <v>25</v>
      </c>
      <c r="E126" s="2">
        <v>39502</v>
      </c>
      <c r="F126" t="s">
        <v>16</v>
      </c>
      <c r="G126" t="s">
        <v>66</v>
      </c>
      <c r="H126" t="s">
        <v>127</v>
      </c>
      <c r="I126" s="3">
        <v>0.20902777777777778</v>
      </c>
      <c r="J126" t="s">
        <v>38</v>
      </c>
      <c r="K126">
        <v>44</v>
      </c>
      <c r="L126" s="3">
        <v>8.4027777777777785E-2</v>
      </c>
      <c r="M126" t="s">
        <v>31</v>
      </c>
      <c r="N126" t="s">
        <v>106</v>
      </c>
    </row>
    <row r="127" spans="1:14" x14ac:dyDescent="0.35">
      <c r="A127" t="s">
        <v>14</v>
      </c>
      <c r="B127" s="1">
        <v>45511</v>
      </c>
      <c r="C127" t="s">
        <v>75</v>
      </c>
      <c r="D127" t="s">
        <v>143</v>
      </c>
      <c r="E127" s="2">
        <v>39511</v>
      </c>
      <c r="F127" t="s">
        <v>16</v>
      </c>
      <c r="G127" t="s">
        <v>36</v>
      </c>
      <c r="H127" t="s">
        <v>125</v>
      </c>
      <c r="I127" s="3">
        <v>4.1666666666666664E-2</v>
      </c>
      <c r="J127" t="s">
        <v>38</v>
      </c>
      <c r="K127">
        <v>41</v>
      </c>
      <c r="L127" s="3">
        <v>4.1666666666666664E-2</v>
      </c>
      <c r="M127" t="s">
        <v>31</v>
      </c>
    </row>
    <row r="128" spans="1:14" x14ac:dyDescent="0.35">
      <c r="A128" t="s">
        <v>14</v>
      </c>
      <c r="B128" s="1">
        <v>45511</v>
      </c>
      <c r="C128" t="s">
        <v>35</v>
      </c>
      <c r="D128">
        <v>29</v>
      </c>
      <c r="E128" s="2">
        <v>39522</v>
      </c>
      <c r="F128" t="s">
        <v>24</v>
      </c>
      <c r="G128" t="s">
        <v>36</v>
      </c>
      <c r="H128" t="s">
        <v>138</v>
      </c>
      <c r="I128" s="3">
        <v>6.9444444444444447E-4</v>
      </c>
      <c r="K128">
        <v>76</v>
      </c>
      <c r="L128" s="3">
        <v>6.9444444444444447E-4</v>
      </c>
      <c r="M128" t="s">
        <v>26</v>
      </c>
      <c r="N128" t="s">
        <v>85</v>
      </c>
    </row>
    <row r="129" spans="1:14" x14ac:dyDescent="0.35">
      <c r="A129" t="s">
        <v>14</v>
      </c>
      <c r="B129" s="1">
        <v>45511</v>
      </c>
      <c r="C129" t="s">
        <v>35</v>
      </c>
      <c r="D129">
        <v>30</v>
      </c>
      <c r="E129" s="2">
        <v>39526</v>
      </c>
      <c r="F129" t="s">
        <v>16</v>
      </c>
      <c r="G129" t="s">
        <v>36</v>
      </c>
      <c r="H129" t="s">
        <v>84</v>
      </c>
      <c r="I129" s="3">
        <v>8.3333333333333329E-2</v>
      </c>
      <c r="K129">
        <v>8</v>
      </c>
      <c r="L129" s="3">
        <v>4.1666666666666664E-2</v>
      </c>
      <c r="M129" t="s">
        <v>26</v>
      </c>
    </row>
    <row r="130" spans="1:14" x14ac:dyDescent="0.35">
      <c r="A130" t="s">
        <v>14</v>
      </c>
      <c r="B130" s="1">
        <v>45511</v>
      </c>
      <c r="C130" t="s">
        <v>35</v>
      </c>
      <c r="D130">
        <v>30</v>
      </c>
      <c r="E130" s="2">
        <v>39526</v>
      </c>
      <c r="F130" t="s">
        <v>16</v>
      </c>
      <c r="G130" t="s">
        <v>36</v>
      </c>
      <c r="H130" t="s">
        <v>84</v>
      </c>
      <c r="I130" s="3">
        <v>8.3333333333333329E-2</v>
      </c>
      <c r="K130">
        <v>19</v>
      </c>
      <c r="L130" s="3">
        <v>8.3333333333333329E-2</v>
      </c>
      <c r="M130" t="s">
        <v>39</v>
      </c>
    </row>
    <row r="131" spans="1:14" x14ac:dyDescent="0.35">
      <c r="A131" t="s">
        <v>14</v>
      </c>
      <c r="B131" s="1">
        <v>45511</v>
      </c>
      <c r="C131" t="s">
        <v>35</v>
      </c>
      <c r="D131">
        <v>31</v>
      </c>
      <c r="E131" s="2">
        <v>39530</v>
      </c>
      <c r="F131" t="s">
        <v>16</v>
      </c>
      <c r="G131" t="s">
        <v>36</v>
      </c>
      <c r="H131" t="s">
        <v>145</v>
      </c>
      <c r="I131" s="3">
        <v>0.125</v>
      </c>
      <c r="J131" t="s">
        <v>38</v>
      </c>
      <c r="K131">
        <v>79</v>
      </c>
      <c r="L131" s="3">
        <v>8.3333333333333329E-2</v>
      </c>
      <c r="M131" t="s">
        <v>22</v>
      </c>
      <c r="N131" t="s">
        <v>142</v>
      </c>
    </row>
    <row r="132" spans="1:14" x14ac:dyDescent="0.35">
      <c r="A132" t="s">
        <v>14</v>
      </c>
      <c r="B132" s="1">
        <v>45511</v>
      </c>
      <c r="C132" t="s">
        <v>35</v>
      </c>
      <c r="D132">
        <v>32</v>
      </c>
      <c r="E132" s="2">
        <v>39536</v>
      </c>
      <c r="F132" t="s">
        <v>16</v>
      </c>
      <c r="G132" t="s">
        <v>36</v>
      </c>
      <c r="H132" t="s">
        <v>45</v>
      </c>
      <c r="I132" s="3">
        <v>0.16666666666666666</v>
      </c>
      <c r="J132" t="s">
        <v>38</v>
      </c>
      <c r="K132">
        <v>16</v>
      </c>
      <c r="L132" s="3">
        <v>4.1666666666666664E-2</v>
      </c>
      <c r="M132" t="s">
        <v>26</v>
      </c>
    </row>
    <row r="133" spans="1:14" x14ac:dyDescent="0.35">
      <c r="A133" t="s">
        <v>14</v>
      </c>
      <c r="B133" s="1">
        <v>45511</v>
      </c>
      <c r="C133" t="s">
        <v>75</v>
      </c>
      <c r="D133" t="s">
        <v>92</v>
      </c>
      <c r="E133" s="2">
        <v>39539</v>
      </c>
      <c r="F133" t="s">
        <v>24</v>
      </c>
      <c r="G133" t="s">
        <v>36</v>
      </c>
      <c r="H133" t="s">
        <v>116</v>
      </c>
      <c r="I133" s="3">
        <v>1.3888888888888889E-3</v>
      </c>
      <c r="J133" t="s">
        <v>38</v>
      </c>
      <c r="K133">
        <v>39</v>
      </c>
      <c r="L133" s="3">
        <v>6.9444444444444447E-4</v>
      </c>
      <c r="M133" t="s">
        <v>22</v>
      </c>
      <c r="N133" t="s">
        <v>52</v>
      </c>
    </row>
    <row r="134" spans="1:14" x14ac:dyDescent="0.35">
      <c r="A134" t="s">
        <v>14</v>
      </c>
      <c r="B134" s="1">
        <v>45511</v>
      </c>
      <c r="C134" t="s">
        <v>35</v>
      </c>
      <c r="D134">
        <v>33</v>
      </c>
      <c r="E134" s="2">
        <v>39544</v>
      </c>
      <c r="F134" t="s">
        <v>24</v>
      </c>
      <c r="G134" t="s">
        <v>36</v>
      </c>
      <c r="H134" t="s">
        <v>74</v>
      </c>
      <c r="I134" s="3">
        <v>8.4722222222222227E-2</v>
      </c>
      <c r="J134" t="s">
        <v>38</v>
      </c>
      <c r="K134">
        <v>9</v>
      </c>
      <c r="L134" s="3">
        <v>6.9444444444444447E-4</v>
      </c>
      <c r="M134" t="s">
        <v>31</v>
      </c>
      <c r="N134" t="s">
        <v>110</v>
      </c>
    </row>
    <row r="135" spans="1:14" x14ac:dyDescent="0.35">
      <c r="A135" t="s">
        <v>14</v>
      </c>
      <c r="B135" s="1">
        <v>45511</v>
      </c>
      <c r="C135" t="s">
        <v>35</v>
      </c>
      <c r="D135">
        <v>34</v>
      </c>
      <c r="E135" s="2">
        <v>39551</v>
      </c>
      <c r="F135" t="s">
        <v>16</v>
      </c>
      <c r="G135" t="s">
        <v>36</v>
      </c>
      <c r="H135" t="s">
        <v>54</v>
      </c>
      <c r="I135" s="3">
        <v>8.4027777777777785E-2</v>
      </c>
      <c r="J135" t="s">
        <v>38</v>
      </c>
      <c r="K135">
        <v>53</v>
      </c>
      <c r="L135" s="3">
        <v>4.2361111111111113E-2</v>
      </c>
      <c r="M135" t="s">
        <v>83</v>
      </c>
    </row>
    <row r="136" spans="1:14" x14ac:dyDescent="0.35">
      <c r="A136" t="s">
        <v>14</v>
      </c>
      <c r="B136" s="1">
        <v>45511</v>
      </c>
      <c r="C136" t="s">
        <v>35</v>
      </c>
      <c r="D136">
        <v>37</v>
      </c>
      <c r="E136" s="2">
        <v>39571</v>
      </c>
      <c r="F136" t="s">
        <v>16</v>
      </c>
      <c r="G136" t="s">
        <v>36</v>
      </c>
      <c r="H136" t="s">
        <v>140</v>
      </c>
      <c r="I136" s="3">
        <v>0.1673611111111111</v>
      </c>
      <c r="J136" t="s">
        <v>38</v>
      </c>
      <c r="K136">
        <v>3</v>
      </c>
      <c r="L136" s="3">
        <v>4.1666666666666664E-2</v>
      </c>
      <c r="M136" t="s">
        <v>26</v>
      </c>
      <c r="N136" t="s">
        <v>146</v>
      </c>
    </row>
    <row r="137" spans="1:14" x14ac:dyDescent="0.35">
      <c r="A137" t="s">
        <v>14</v>
      </c>
      <c r="B137" s="1">
        <v>45511</v>
      </c>
      <c r="C137" t="s">
        <v>35</v>
      </c>
      <c r="D137">
        <v>37</v>
      </c>
      <c r="E137" s="2">
        <v>39571</v>
      </c>
      <c r="F137" t="s">
        <v>16</v>
      </c>
      <c r="G137" t="s">
        <v>36</v>
      </c>
      <c r="H137" t="s">
        <v>140</v>
      </c>
      <c r="I137" s="3">
        <v>0.1673611111111111</v>
      </c>
      <c r="J137" t="s">
        <v>38</v>
      </c>
      <c r="K137">
        <v>24</v>
      </c>
      <c r="L137" s="3">
        <v>8.3333333333333329E-2</v>
      </c>
      <c r="M137" t="s">
        <v>26</v>
      </c>
      <c r="N137" t="s">
        <v>147</v>
      </c>
    </row>
    <row r="138" spans="1:14" x14ac:dyDescent="0.35">
      <c r="A138" t="s">
        <v>64</v>
      </c>
      <c r="B138" s="1">
        <v>45511</v>
      </c>
      <c r="C138" t="s">
        <v>65</v>
      </c>
      <c r="D138">
        <v>35</v>
      </c>
      <c r="E138" s="2">
        <v>39572</v>
      </c>
      <c r="F138" t="s">
        <v>16</v>
      </c>
      <c r="G138" t="s">
        <v>66</v>
      </c>
      <c r="H138" t="s">
        <v>148</v>
      </c>
      <c r="I138" s="3">
        <v>0.25</v>
      </c>
      <c r="J138" t="s">
        <v>38</v>
      </c>
      <c r="K138">
        <v>5</v>
      </c>
      <c r="L138" s="3">
        <v>4.1666666666666664E-2</v>
      </c>
      <c r="M138" t="s">
        <v>83</v>
      </c>
    </row>
    <row r="139" spans="1:14" x14ac:dyDescent="0.35">
      <c r="A139" t="s">
        <v>14</v>
      </c>
      <c r="B139" s="1">
        <v>45511</v>
      </c>
      <c r="C139" t="s">
        <v>35</v>
      </c>
      <c r="D139">
        <v>38</v>
      </c>
      <c r="E139" s="2">
        <v>39579</v>
      </c>
      <c r="F139" t="s">
        <v>24</v>
      </c>
      <c r="G139" t="s">
        <v>36</v>
      </c>
      <c r="H139" t="s">
        <v>96</v>
      </c>
      <c r="I139" s="3">
        <v>1.3888888888888889E-3</v>
      </c>
      <c r="J139" t="s">
        <v>38</v>
      </c>
      <c r="K139">
        <v>32</v>
      </c>
      <c r="L139" s="3">
        <v>6.9444444444444447E-4</v>
      </c>
      <c r="M139" t="s">
        <v>83</v>
      </c>
    </row>
    <row r="140" spans="1:14" x14ac:dyDescent="0.35">
      <c r="A140" t="s">
        <v>14</v>
      </c>
      <c r="B140" s="1">
        <v>45511</v>
      </c>
      <c r="C140" t="s">
        <v>75</v>
      </c>
      <c r="D140" t="s">
        <v>46</v>
      </c>
      <c r="E140" s="2">
        <v>39589</v>
      </c>
      <c r="F140" t="s">
        <v>16</v>
      </c>
      <c r="G140" t="s">
        <v>36</v>
      </c>
      <c r="H140" t="s">
        <v>149</v>
      </c>
      <c r="I140" t="s">
        <v>150</v>
      </c>
      <c r="J140" t="s">
        <v>19</v>
      </c>
      <c r="K140">
        <v>26</v>
      </c>
      <c r="L140" s="3">
        <v>4.1666666666666664E-2</v>
      </c>
      <c r="M140" t="s">
        <v>22</v>
      </c>
      <c r="N140" t="s">
        <v>124</v>
      </c>
    </row>
    <row r="141" spans="1:14" x14ac:dyDescent="0.35">
      <c r="A141" t="s">
        <v>64</v>
      </c>
      <c r="B141" s="1">
        <v>45543</v>
      </c>
      <c r="C141" t="s">
        <v>65</v>
      </c>
      <c r="D141">
        <v>2</v>
      </c>
      <c r="E141" s="2">
        <v>39704</v>
      </c>
      <c r="F141" t="s">
        <v>16</v>
      </c>
      <c r="G141" t="s">
        <v>66</v>
      </c>
      <c r="H141" t="s">
        <v>78</v>
      </c>
      <c r="I141" s="3">
        <v>4.2361111111111113E-2</v>
      </c>
      <c r="J141" t="s">
        <v>38</v>
      </c>
      <c r="K141">
        <v>70</v>
      </c>
      <c r="L141" s="3">
        <v>4.1666666666666664E-2</v>
      </c>
      <c r="M141" t="s">
        <v>83</v>
      </c>
    </row>
    <row r="142" spans="1:14" x14ac:dyDescent="0.35">
      <c r="A142" t="s">
        <v>64</v>
      </c>
      <c r="B142" s="1">
        <v>45543</v>
      </c>
      <c r="C142" t="s">
        <v>65</v>
      </c>
      <c r="D142">
        <v>3</v>
      </c>
      <c r="E142" s="2">
        <v>39712</v>
      </c>
      <c r="F142" t="s">
        <v>24</v>
      </c>
      <c r="G142" t="s">
        <v>66</v>
      </c>
      <c r="H142" t="s">
        <v>151</v>
      </c>
      <c r="I142" s="3">
        <v>4.583333333333333E-2</v>
      </c>
      <c r="J142" t="s">
        <v>38</v>
      </c>
      <c r="K142">
        <v>85</v>
      </c>
      <c r="L142" s="3">
        <v>4.5138888888888888E-2</v>
      </c>
      <c r="M142" t="s">
        <v>31</v>
      </c>
      <c r="N142" t="s">
        <v>99</v>
      </c>
    </row>
    <row r="143" spans="1:14" x14ac:dyDescent="0.35">
      <c r="A143" t="s">
        <v>64</v>
      </c>
      <c r="B143" s="1">
        <v>45543</v>
      </c>
      <c r="C143" t="s">
        <v>65</v>
      </c>
      <c r="D143">
        <v>3</v>
      </c>
      <c r="E143" s="2">
        <v>39712</v>
      </c>
      <c r="F143" t="s">
        <v>24</v>
      </c>
      <c r="G143" t="s">
        <v>66</v>
      </c>
      <c r="H143" t="s">
        <v>151</v>
      </c>
      <c r="I143" s="3">
        <v>4.583333333333333E-2</v>
      </c>
      <c r="J143" t="s">
        <v>38</v>
      </c>
      <c r="K143">
        <v>89</v>
      </c>
      <c r="L143" s="3">
        <v>4.583333333333333E-2</v>
      </c>
      <c r="M143" t="s">
        <v>22</v>
      </c>
      <c r="N143" t="s">
        <v>106</v>
      </c>
    </row>
    <row r="144" spans="1:14" x14ac:dyDescent="0.35">
      <c r="A144" t="s">
        <v>14</v>
      </c>
      <c r="B144" s="1">
        <v>45543</v>
      </c>
      <c r="C144" t="s">
        <v>80</v>
      </c>
      <c r="D144" t="s">
        <v>50</v>
      </c>
      <c r="E144" s="2">
        <v>39714</v>
      </c>
      <c r="F144" t="s">
        <v>16</v>
      </c>
      <c r="G144" t="s">
        <v>36</v>
      </c>
      <c r="H144" t="s">
        <v>74</v>
      </c>
      <c r="I144" s="3">
        <v>0.12569444444444444</v>
      </c>
      <c r="K144">
        <v>25</v>
      </c>
      <c r="L144" s="3">
        <v>4.1666666666666664E-2</v>
      </c>
      <c r="M144" t="s">
        <v>22</v>
      </c>
      <c r="N144" t="s">
        <v>44</v>
      </c>
    </row>
    <row r="145" spans="1:14" x14ac:dyDescent="0.35">
      <c r="A145" t="s">
        <v>14</v>
      </c>
      <c r="B145" s="1">
        <v>45543</v>
      </c>
      <c r="C145" t="s">
        <v>35</v>
      </c>
      <c r="D145">
        <v>6</v>
      </c>
      <c r="E145" s="2">
        <v>39718</v>
      </c>
      <c r="F145" t="s">
        <v>16</v>
      </c>
      <c r="G145" t="s">
        <v>36</v>
      </c>
      <c r="H145" t="s">
        <v>84</v>
      </c>
      <c r="I145" s="3">
        <v>8.3333333333333329E-2</v>
      </c>
      <c r="J145" t="s">
        <v>38</v>
      </c>
      <c r="K145">
        <v>59</v>
      </c>
      <c r="L145" s="3">
        <v>4.1666666666666664E-2</v>
      </c>
      <c r="M145" t="s">
        <v>83</v>
      </c>
    </row>
    <row r="146" spans="1:14" x14ac:dyDescent="0.35">
      <c r="A146" t="s">
        <v>64</v>
      </c>
      <c r="B146" s="1">
        <v>45543</v>
      </c>
      <c r="C146" t="s">
        <v>65</v>
      </c>
      <c r="D146">
        <v>5</v>
      </c>
      <c r="E146" s="2">
        <v>39718</v>
      </c>
      <c r="F146" t="s">
        <v>24</v>
      </c>
      <c r="G146" t="s">
        <v>66</v>
      </c>
      <c r="H146" t="s">
        <v>121</v>
      </c>
      <c r="I146" s="3">
        <v>4.3055555555555555E-2</v>
      </c>
      <c r="J146" t="s">
        <v>38</v>
      </c>
      <c r="K146">
        <v>90</v>
      </c>
      <c r="L146" s="3">
        <v>4.3055555555555555E-2</v>
      </c>
      <c r="M146" t="s">
        <v>83</v>
      </c>
    </row>
    <row r="147" spans="1:14" x14ac:dyDescent="0.35">
      <c r="A147" t="s">
        <v>64</v>
      </c>
      <c r="B147" s="1">
        <v>45543</v>
      </c>
      <c r="C147" t="s">
        <v>75</v>
      </c>
      <c r="D147" t="s">
        <v>76</v>
      </c>
      <c r="E147" s="2">
        <v>39722</v>
      </c>
      <c r="F147" t="s">
        <v>24</v>
      </c>
      <c r="G147" t="s">
        <v>66</v>
      </c>
      <c r="H147" t="s">
        <v>152</v>
      </c>
      <c r="I147" s="3">
        <v>4.3055555555555555E-2</v>
      </c>
      <c r="J147" t="s">
        <v>38</v>
      </c>
      <c r="K147" t="s">
        <v>141</v>
      </c>
      <c r="L147" s="3">
        <v>4.3055555555555555E-2</v>
      </c>
      <c r="M147" t="s">
        <v>31</v>
      </c>
      <c r="N147" t="s">
        <v>106</v>
      </c>
    </row>
    <row r="148" spans="1:14" x14ac:dyDescent="0.35">
      <c r="A148" t="s">
        <v>64</v>
      </c>
      <c r="B148" s="1">
        <v>45543</v>
      </c>
      <c r="C148" t="s">
        <v>75</v>
      </c>
      <c r="D148" t="s">
        <v>76</v>
      </c>
      <c r="E148" s="2">
        <v>39722</v>
      </c>
      <c r="F148" t="s">
        <v>24</v>
      </c>
      <c r="G148" t="s">
        <v>66</v>
      </c>
      <c r="H148" t="s">
        <v>152</v>
      </c>
      <c r="I148" s="3">
        <v>4.3055555555555555E-2</v>
      </c>
      <c r="J148" t="s">
        <v>38</v>
      </c>
      <c r="K148">
        <v>87</v>
      </c>
      <c r="L148" s="3">
        <v>4.2361111111111113E-2</v>
      </c>
      <c r="M148" t="s">
        <v>26</v>
      </c>
      <c r="N148" t="s">
        <v>153</v>
      </c>
    </row>
    <row r="149" spans="1:14" x14ac:dyDescent="0.35">
      <c r="A149" t="s">
        <v>64</v>
      </c>
      <c r="B149" s="1">
        <v>45543</v>
      </c>
      <c r="C149" t="s">
        <v>65</v>
      </c>
      <c r="D149">
        <v>6</v>
      </c>
      <c r="E149" s="2">
        <v>39725</v>
      </c>
      <c r="F149" t="s">
        <v>16</v>
      </c>
      <c r="G149" t="s">
        <v>66</v>
      </c>
      <c r="H149" t="s">
        <v>119</v>
      </c>
      <c r="I149" s="3">
        <v>0.25069444444444444</v>
      </c>
      <c r="J149" t="s">
        <v>38</v>
      </c>
      <c r="K149">
        <v>8</v>
      </c>
      <c r="L149" s="3">
        <v>0.125</v>
      </c>
      <c r="M149" t="s">
        <v>39</v>
      </c>
    </row>
    <row r="150" spans="1:14" x14ac:dyDescent="0.35">
      <c r="A150" t="s">
        <v>14</v>
      </c>
      <c r="B150" s="1">
        <v>45543</v>
      </c>
      <c r="C150" t="s">
        <v>35</v>
      </c>
      <c r="D150">
        <v>8</v>
      </c>
      <c r="E150" s="2">
        <v>39739</v>
      </c>
      <c r="F150" t="s">
        <v>16</v>
      </c>
      <c r="G150" t="s">
        <v>36</v>
      </c>
      <c r="H150" t="s">
        <v>82</v>
      </c>
      <c r="I150" s="3">
        <v>0.16666666666666666</v>
      </c>
      <c r="J150" t="s">
        <v>38</v>
      </c>
      <c r="K150">
        <v>69</v>
      </c>
      <c r="L150" s="3">
        <v>8.3333333333333329E-2</v>
      </c>
      <c r="M150" t="s">
        <v>31</v>
      </c>
      <c r="N150" t="s">
        <v>85</v>
      </c>
    </row>
    <row r="151" spans="1:14" x14ac:dyDescent="0.35">
      <c r="A151" t="s">
        <v>64</v>
      </c>
      <c r="B151" s="1">
        <v>45543</v>
      </c>
      <c r="C151" t="s">
        <v>75</v>
      </c>
      <c r="D151" t="s">
        <v>76</v>
      </c>
      <c r="E151" s="2">
        <v>39743</v>
      </c>
      <c r="F151" t="s">
        <v>24</v>
      </c>
      <c r="G151" t="s">
        <v>66</v>
      </c>
      <c r="H151" t="s">
        <v>154</v>
      </c>
      <c r="I151" s="3">
        <v>3.472222222222222E-3</v>
      </c>
      <c r="J151" t="s">
        <v>68</v>
      </c>
      <c r="K151">
        <v>4</v>
      </c>
      <c r="L151" s="3">
        <v>6.9444444444444447E-4</v>
      </c>
      <c r="M151" t="s">
        <v>31</v>
      </c>
      <c r="N151" t="s">
        <v>155</v>
      </c>
    </row>
    <row r="152" spans="1:14" x14ac:dyDescent="0.35">
      <c r="A152" t="s">
        <v>14</v>
      </c>
      <c r="B152" s="1">
        <v>45543</v>
      </c>
      <c r="C152" t="s">
        <v>35</v>
      </c>
      <c r="D152">
        <v>10</v>
      </c>
      <c r="E152" s="2">
        <v>39750</v>
      </c>
      <c r="F152" t="s">
        <v>16</v>
      </c>
      <c r="G152" t="s">
        <v>36</v>
      </c>
      <c r="H152" t="s">
        <v>140</v>
      </c>
      <c r="I152" s="3">
        <v>8.3333333333333329E-2</v>
      </c>
      <c r="J152" t="s">
        <v>38</v>
      </c>
      <c r="K152">
        <v>30</v>
      </c>
      <c r="L152" s="3">
        <v>8.3333333333333329E-2</v>
      </c>
      <c r="M152" t="s">
        <v>26</v>
      </c>
      <c r="N152" t="s">
        <v>156</v>
      </c>
    </row>
    <row r="153" spans="1:14" x14ac:dyDescent="0.35">
      <c r="A153" t="s">
        <v>14</v>
      </c>
      <c r="B153" s="1">
        <v>45543</v>
      </c>
      <c r="C153" t="s">
        <v>35</v>
      </c>
      <c r="D153">
        <v>10</v>
      </c>
      <c r="E153" s="2">
        <v>39750</v>
      </c>
      <c r="F153" t="s">
        <v>16</v>
      </c>
      <c r="G153" t="s">
        <v>36</v>
      </c>
      <c r="H153" t="s">
        <v>140</v>
      </c>
      <c r="I153" s="3">
        <v>8.3333333333333329E-2</v>
      </c>
      <c r="J153" t="s">
        <v>38</v>
      </c>
      <c r="K153">
        <v>14</v>
      </c>
      <c r="L153" s="3">
        <v>4.1666666666666664E-2</v>
      </c>
      <c r="M153" t="s">
        <v>31</v>
      </c>
      <c r="N153" t="s">
        <v>142</v>
      </c>
    </row>
    <row r="154" spans="1:14" x14ac:dyDescent="0.35">
      <c r="A154" t="s">
        <v>64</v>
      </c>
      <c r="B154" s="1">
        <v>45543</v>
      </c>
      <c r="C154" t="s">
        <v>65</v>
      </c>
      <c r="D154">
        <v>9</v>
      </c>
      <c r="E154" s="2">
        <v>39753</v>
      </c>
      <c r="F154" t="s">
        <v>24</v>
      </c>
      <c r="G154" t="s">
        <v>66</v>
      </c>
      <c r="H154" t="s">
        <v>157</v>
      </c>
      <c r="I154" s="3">
        <v>4.4444444444444446E-2</v>
      </c>
      <c r="J154" t="s">
        <v>38</v>
      </c>
      <c r="K154">
        <v>19</v>
      </c>
      <c r="L154" s="3">
        <v>4.3055555555555555E-2</v>
      </c>
      <c r="M154" t="s">
        <v>31</v>
      </c>
    </row>
    <row r="155" spans="1:14" x14ac:dyDescent="0.35">
      <c r="A155" t="s">
        <v>14</v>
      </c>
      <c r="B155" s="1">
        <v>45543</v>
      </c>
      <c r="C155" t="s">
        <v>35</v>
      </c>
      <c r="D155">
        <v>11</v>
      </c>
      <c r="E155" s="2">
        <v>39753</v>
      </c>
      <c r="F155" t="s">
        <v>16</v>
      </c>
      <c r="G155" t="s">
        <v>36</v>
      </c>
      <c r="H155" t="s">
        <v>158</v>
      </c>
      <c r="I155" s="3">
        <v>0.16875000000000001</v>
      </c>
      <c r="J155" t="s">
        <v>38</v>
      </c>
      <c r="K155">
        <v>43</v>
      </c>
      <c r="L155" s="3">
        <v>0.12569444444444444</v>
      </c>
      <c r="M155" t="s">
        <v>22</v>
      </c>
      <c r="N155" t="s">
        <v>142</v>
      </c>
    </row>
    <row r="156" spans="1:14" x14ac:dyDescent="0.35">
      <c r="A156" t="s">
        <v>14</v>
      </c>
      <c r="B156" s="1">
        <v>45543</v>
      </c>
      <c r="C156" t="s">
        <v>35</v>
      </c>
      <c r="D156">
        <v>11</v>
      </c>
      <c r="E156" s="2">
        <v>39753</v>
      </c>
      <c r="F156" t="s">
        <v>16</v>
      </c>
      <c r="G156" t="s">
        <v>36</v>
      </c>
      <c r="H156" t="s">
        <v>158</v>
      </c>
      <c r="I156" s="3">
        <v>0.16875000000000001</v>
      </c>
      <c r="J156" t="s">
        <v>38</v>
      </c>
      <c r="K156">
        <v>3</v>
      </c>
      <c r="L156" s="3">
        <v>4.1666666666666664E-2</v>
      </c>
      <c r="M156" t="s">
        <v>31</v>
      </c>
      <c r="N156" t="s">
        <v>156</v>
      </c>
    </row>
    <row r="157" spans="1:14" x14ac:dyDescent="0.35">
      <c r="A157" t="s">
        <v>64</v>
      </c>
      <c r="B157" s="1">
        <v>45543</v>
      </c>
      <c r="C157" t="s">
        <v>75</v>
      </c>
      <c r="D157" t="s">
        <v>76</v>
      </c>
      <c r="E157" s="2">
        <v>39756</v>
      </c>
      <c r="F157" t="s">
        <v>16</v>
      </c>
      <c r="G157" t="s">
        <v>66</v>
      </c>
      <c r="H157" t="s">
        <v>154</v>
      </c>
      <c r="I157" s="3">
        <v>4.2361111111111113E-2</v>
      </c>
      <c r="J157" t="s">
        <v>38</v>
      </c>
      <c r="K157">
        <v>61</v>
      </c>
      <c r="L157" s="3">
        <v>4.1666666666666664E-2</v>
      </c>
      <c r="M157" t="s">
        <v>31</v>
      </c>
      <c r="N157" t="s">
        <v>126</v>
      </c>
    </row>
    <row r="158" spans="1:14" x14ac:dyDescent="0.35">
      <c r="A158" t="s">
        <v>64</v>
      </c>
      <c r="B158" s="1">
        <v>45543</v>
      </c>
      <c r="C158" t="s">
        <v>91</v>
      </c>
      <c r="D158" t="s">
        <v>33</v>
      </c>
      <c r="E158" s="2">
        <v>39764</v>
      </c>
      <c r="F158" t="s">
        <v>16</v>
      </c>
      <c r="G158" t="s">
        <v>66</v>
      </c>
      <c r="H158" t="s">
        <v>159</v>
      </c>
      <c r="I158" s="3">
        <v>4.1666666666666664E-2</v>
      </c>
      <c r="J158" t="s">
        <v>38</v>
      </c>
      <c r="K158">
        <v>86</v>
      </c>
      <c r="L158" s="3">
        <v>4.1666666666666664E-2</v>
      </c>
      <c r="M158" t="s">
        <v>107</v>
      </c>
    </row>
    <row r="159" spans="1:14" x14ac:dyDescent="0.35">
      <c r="A159" t="s">
        <v>14</v>
      </c>
      <c r="B159" s="1">
        <v>45543</v>
      </c>
      <c r="C159" t="s">
        <v>35</v>
      </c>
      <c r="D159">
        <v>13</v>
      </c>
      <c r="E159" s="2">
        <v>39767</v>
      </c>
      <c r="F159" t="s">
        <v>16</v>
      </c>
      <c r="G159" t="s">
        <v>36</v>
      </c>
      <c r="H159" t="s">
        <v>160</v>
      </c>
      <c r="I159" s="3">
        <v>0.20833333333333334</v>
      </c>
      <c r="J159" t="s">
        <v>38</v>
      </c>
      <c r="K159">
        <v>88</v>
      </c>
      <c r="L159" s="3">
        <v>0.20833333333333334</v>
      </c>
      <c r="M159" t="s">
        <v>39</v>
      </c>
    </row>
    <row r="160" spans="1:14" x14ac:dyDescent="0.35">
      <c r="A160" t="s">
        <v>14</v>
      </c>
      <c r="B160" s="1">
        <v>45543</v>
      </c>
      <c r="C160" t="s">
        <v>35</v>
      </c>
      <c r="D160">
        <v>13</v>
      </c>
      <c r="E160" s="2">
        <v>39767</v>
      </c>
      <c r="F160" t="s">
        <v>16</v>
      </c>
      <c r="G160" t="s">
        <v>36</v>
      </c>
      <c r="H160" t="s">
        <v>160</v>
      </c>
      <c r="I160" s="3">
        <v>0.20833333333333334</v>
      </c>
      <c r="J160" t="s">
        <v>38</v>
      </c>
      <c r="K160">
        <v>3</v>
      </c>
      <c r="L160" s="3">
        <v>4.1666666666666664E-2</v>
      </c>
      <c r="M160" t="s">
        <v>39</v>
      </c>
    </row>
    <row r="161" spans="1:14" x14ac:dyDescent="0.35">
      <c r="A161" t="s">
        <v>64</v>
      </c>
      <c r="B161" s="1">
        <v>45543</v>
      </c>
      <c r="C161" t="s">
        <v>65</v>
      </c>
      <c r="D161">
        <v>11</v>
      </c>
      <c r="E161" s="2">
        <v>39768</v>
      </c>
      <c r="F161" t="s">
        <v>24</v>
      </c>
      <c r="G161" t="s">
        <v>66</v>
      </c>
      <c r="H161" t="s">
        <v>113</v>
      </c>
      <c r="I161" s="3">
        <v>1.3888888888888889E-3</v>
      </c>
      <c r="J161" t="s">
        <v>38</v>
      </c>
      <c r="K161">
        <v>51</v>
      </c>
      <c r="L161" s="3">
        <v>6.9444444444444447E-4</v>
      </c>
      <c r="M161" t="s">
        <v>31</v>
      </c>
      <c r="N161" t="s">
        <v>106</v>
      </c>
    </row>
    <row r="162" spans="1:14" x14ac:dyDescent="0.35">
      <c r="A162" t="s">
        <v>64</v>
      </c>
      <c r="B162" s="1">
        <v>45543</v>
      </c>
      <c r="C162" t="s">
        <v>75</v>
      </c>
      <c r="D162" t="s">
        <v>76</v>
      </c>
      <c r="E162" s="2">
        <v>39778</v>
      </c>
      <c r="F162" t="s">
        <v>24</v>
      </c>
      <c r="G162" t="s">
        <v>66</v>
      </c>
      <c r="H162" t="s">
        <v>17</v>
      </c>
      <c r="I162" s="3">
        <v>8.6805555555555552E-2</v>
      </c>
      <c r="J162" t="s">
        <v>38</v>
      </c>
      <c r="K162">
        <v>49</v>
      </c>
      <c r="L162" s="3">
        <v>2.0833333333333333E-3</v>
      </c>
      <c r="M162" t="s">
        <v>31</v>
      </c>
      <c r="N162" t="s">
        <v>155</v>
      </c>
    </row>
    <row r="163" spans="1:14" x14ac:dyDescent="0.35">
      <c r="A163" t="s">
        <v>64</v>
      </c>
      <c r="B163" s="1">
        <v>45543</v>
      </c>
      <c r="C163" t="s">
        <v>65</v>
      </c>
      <c r="D163">
        <v>13</v>
      </c>
      <c r="E163" s="2">
        <v>39781</v>
      </c>
      <c r="F163" t="s">
        <v>24</v>
      </c>
      <c r="G163" t="s">
        <v>66</v>
      </c>
      <c r="H163" t="s">
        <v>105</v>
      </c>
      <c r="I163" s="3">
        <v>2.0833333333333333E-3</v>
      </c>
      <c r="J163" t="s">
        <v>38</v>
      </c>
      <c r="K163">
        <v>78</v>
      </c>
      <c r="L163" s="3">
        <v>1.3888888888888889E-3</v>
      </c>
      <c r="M163" t="s">
        <v>31</v>
      </c>
      <c r="N163" t="s">
        <v>106</v>
      </c>
    </row>
    <row r="164" spans="1:14" x14ac:dyDescent="0.35">
      <c r="A164" t="s">
        <v>64</v>
      </c>
      <c r="B164" s="1">
        <v>45543</v>
      </c>
      <c r="C164" t="s">
        <v>65</v>
      </c>
      <c r="D164">
        <v>13</v>
      </c>
      <c r="E164" s="2">
        <v>39781</v>
      </c>
      <c r="F164" t="s">
        <v>24</v>
      </c>
      <c r="G164" t="s">
        <v>66</v>
      </c>
      <c r="H164" t="s">
        <v>105</v>
      </c>
      <c r="I164" s="3">
        <v>2.0833333333333333E-3</v>
      </c>
      <c r="J164" t="s">
        <v>38</v>
      </c>
      <c r="K164" t="s">
        <v>141</v>
      </c>
      <c r="L164" s="3">
        <v>2.0833333333333333E-3</v>
      </c>
      <c r="M164" t="s">
        <v>31</v>
      </c>
      <c r="N164" t="s">
        <v>161</v>
      </c>
    </row>
    <row r="165" spans="1:14" x14ac:dyDescent="0.35">
      <c r="A165" t="s">
        <v>64</v>
      </c>
      <c r="B165" s="1">
        <v>45543</v>
      </c>
      <c r="C165" t="s">
        <v>65</v>
      </c>
      <c r="D165">
        <v>15</v>
      </c>
      <c r="E165" s="2">
        <v>39795</v>
      </c>
      <c r="F165" t="s">
        <v>16</v>
      </c>
      <c r="G165" t="s">
        <v>66</v>
      </c>
      <c r="H165" t="s">
        <v>112</v>
      </c>
      <c r="I165" s="3">
        <v>8.3333333333333329E-2</v>
      </c>
      <c r="J165" t="s">
        <v>38</v>
      </c>
      <c r="K165">
        <v>89</v>
      </c>
      <c r="L165" s="3">
        <v>8.3333333333333329E-2</v>
      </c>
      <c r="M165" t="s">
        <v>162</v>
      </c>
      <c r="N165" t="s">
        <v>126</v>
      </c>
    </row>
    <row r="166" spans="1:14" x14ac:dyDescent="0.35">
      <c r="A166" t="s">
        <v>14</v>
      </c>
      <c r="B166" s="1">
        <v>45543</v>
      </c>
      <c r="C166" t="s">
        <v>163</v>
      </c>
      <c r="D166" t="s">
        <v>62</v>
      </c>
      <c r="E166" s="2">
        <v>39800</v>
      </c>
      <c r="F166" t="s">
        <v>24</v>
      </c>
      <c r="G166" t="s">
        <v>36</v>
      </c>
      <c r="H166" t="s">
        <v>164</v>
      </c>
      <c r="I166" s="3">
        <v>0.12847222222222221</v>
      </c>
      <c r="J166" t="s">
        <v>19</v>
      </c>
      <c r="K166" t="s">
        <v>58</v>
      </c>
      <c r="L166" s="3">
        <v>1.3888888888888889E-3</v>
      </c>
      <c r="M166" t="s">
        <v>22</v>
      </c>
      <c r="N166" t="s">
        <v>44</v>
      </c>
    </row>
    <row r="167" spans="1:14" x14ac:dyDescent="0.35">
      <c r="A167" t="s">
        <v>64</v>
      </c>
      <c r="B167" s="1">
        <v>45543</v>
      </c>
      <c r="C167" t="s">
        <v>91</v>
      </c>
      <c r="D167" t="s">
        <v>81</v>
      </c>
      <c r="E167" s="2">
        <v>39819</v>
      </c>
      <c r="F167" t="s">
        <v>24</v>
      </c>
      <c r="G167" t="s">
        <v>66</v>
      </c>
      <c r="H167" t="s">
        <v>119</v>
      </c>
      <c r="I167" s="3">
        <v>4.3749999999999997E-2</v>
      </c>
      <c r="J167" t="s">
        <v>38</v>
      </c>
      <c r="K167">
        <v>57</v>
      </c>
      <c r="L167" s="3">
        <v>1.3888888888888889E-3</v>
      </c>
      <c r="M167" t="s">
        <v>83</v>
      </c>
    </row>
    <row r="168" spans="1:14" x14ac:dyDescent="0.35">
      <c r="A168" t="s">
        <v>64</v>
      </c>
      <c r="B168" s="1">
        <v>45543</v>
      </c>
      <c r="C168" t="s">
        <v>91</v>
      </c>
      <c r="D168" t="s">
        <v>81</v>
      </c>
      <c r="E168" s="2">
        <v>39819</v>
      </c>
      <c r="F168" t="s">
        <v>24</v>
      </c>
      <c r="G168" t="s">
        <v>66</v>
      </c>
      <c r="H168" t="s">
        <v>119</v>
      </c>
      <c r="I168" s="3">
        <v>4.3749999999999997E-2</v>
      </c>
      <c r="J168" t="s">
        <v>38</v>
      </c>
      <c r="K168">
        <v>79</v>
      </c>
      <c r="L168" s="3">
        <v>4.3749999999999997E-2</v>
      </c>
      <c r="M168" t="s">
        <v>26</v>
      </c>
      <c r="N168" t="s">
        <v>99</v>
      </c>
    </row>
    <row r="169" spans="1:14" x14ac:dyDescent="0.35">
      <c r="A169" t="s">
        <v>64</v>
      </c>
      <c r="B169" s="1">
        <v>45543</v>
      </c>
      <c r="C169" t="s">
        <v>91</v>
      </c>
      <c r="D169" t="s">
        <v>81</v>
      </c>
      <c r="E169" s="2">
        <v>39819</v>
      </c>
      <c r="F169" t="s">
        <v>24</v>
      </c>
      <c r="G169" t="s">
        <v>66</v>
      </c>
      <c r="H169" t="s">
        <v>119</v>
      </c>
      <c r="I169" s="3">
        <v>4.3749999999999997E-2</v>
      </c>
      <c r="J169" t="s">
        <v>38</v>
      </c>
      <c r="K169">
        <v>11</v>
      </c>
      <c r="L169" s="3">
        <v>6.9444444444444447E-4</v>
      </c>
      <c r="M169" t="s">
        <v>31</v>
      </c>
      <c r="N169" t="s">
        <v>155</v>
      </c>
    </row>
    <row r="170" spans="1:14" x14ac:dyDescent="0.35">
      <c r="A170" t="s">
        <v>64</v>
      </c>
      <c r="B170" s="1">
        <v>45543</v>
      </c>
      <c r="C170" t="s">
        <v>65</v>
      </c>
      <c r="D170">
        <v>18</v>
      </c>
      <c r="E170" s="2">
        <v>39824</v>
      </c>
      <c r="F170" t="s">
        <v>24</v>
      </c>
      <c r="G170" t="s">
        <v>66</v>
      </c>
      <c r="H170" t="s">
        <v>100</v>
      </c>
      <c r="I170" s="3">
        <v>8.5416666666666669E-2</v>
      </c>
      <c r="J170" t="s">
        <v>38</v>
      </c>
      <c r="K170">
        <v>84</v>
      </c>
      <c r="L170" s="3">
        <v>8.5416666666666669E-2</v>
      </c>
      <c r="M170" t="s">
        <v>31</v>
      </c>
      <c r="N170" t="s">
        <v>155</v>
      </c>
    </row>
    <row r="171" spans="1:14" x14ac:dyDescent="0.35">
      <c r="A171" t="s">
        <v>64</v>
      </c>
      <c r="B171" s="1">
        <v>45543</v>
      </c>
      <c r="C171" t="s">
        <v>65</v>
      </c>
      <c r="D171">
        <v>19</v>
      </c>
      <c r="E171" s="2">
        <v>39830</v>
      </c>
      <c r="F171" t="s">
        <v>16</v>
      </c>
      <c r="G171" t="s">
        <v>66</v>
      </c>
      <c r="H171" t="s">
        <v>115</v>
      </c>
      <c r="I171" s="3">
        <v>0.20833333333333334</v>
      </c>
      <c r="J171" t="s">
        <v>38</v>
      </c>
      <c r="K171">
        <v>21</v>
      </c>
      <c r="L171" s="3">
        <v>4.1666666666666664E-2</v>
      </c>
      <c r="M171" t="s">
        <v>31</v>
      </c>
    </row>
    <row r="172" spans="1:14" x14ac:dyDescent="0.35">
      <c r="A172" t="s">
        <v>14</v>
      </c>
      <c r="B172" s="1">
        <v>45543</v>
      </c>
      <c r="C172" t="s">
        <v>80</v>
      </c>
      <c r="D172" t="s">
        <v>62</v>
      </c>
      <c r="E172" s="2">
        <v>39833</v>
      </c>
      <c r="F172" t="s">
        <v>16</v>
      </c>
      <c r="G172" t="s">
        <v>36</v>
      </c>
      <c r="H172" t="s">
        <v>138</v>
      </c>
      <c r="I172" s="3">
        <v>0.16805555555555557</v>
      </c>
      <c r="K172">
        <v>89</v>
      </c>
      <c r="L172" s="3">
        <v>0.1673611111111111</v>
      </c>
      <c r="M172" t="s">
        <v>83</v>
      </c>
    </row>
    <row r="173" spans="1:14" x14ac:dyDescent="0.35">
      <c r="A173" t="s">
        <v>64</v>
      </c>
      <c r="B173" s="1">
        <v>45543</v>
      </c>
      <c r="C173" t="s">
        <v>65</v>
      </c>
      <c r="D173">
        <v>20</v>
      </c>
      <c r="E173" s="2">
        <v>39837</v>
      </c>
      <c r="F173" t="s">
        <v>16</v>
      </c>
      <c r="G173" t="s">
        <v>66</v>
      </c>
      <c r="H173" t="s">
        <v>165</v>
      </c>
      <c r="I173" s="3">
        <v>0.1673611111111111</v>
      </c>
      <c r="J173" t="s">
        <v>38</v>
      </c>
      <c r="K173">
        <v>49</v>
      </c>
      <c r="L173" s="3">
        <v>4.1666666666666664E-2</v>
      </c>
      <c r="M173" t="s">
        <v>31</v>
      </c>
      <c r="N173" t="s">
        <v>155</v>
      </c>
    </row>
    <row r="174" spans="1:14" x14ac:dyDescent="0.35">
      <c r="A174" t="s">
        <v>64</v>
      </c>
      <c r="B174" s="1">
        <v>45543</v>
      </c>
      <c r="C174" t="s">
        <v>65</v>
      </c>
      <c r="D174">
        <v>20</v>
      </c>
      <c r="E174" s="2">
        <v>39837</v>
      </c>
      <c r="F174" t="s">
        <v>16</v>
      </c>
      <c r="G174" t="s">
        <v>66</v>
      </c>
      <c r="H174" t="s">
        <v>165</v>
      </c>
      <c r="I174" s="3">
        <v>0.1673611111111111</v>
      </c>
      <c r="J174" t="s">
        <v>38</v>
      </c>
      <c r="K174">
        <v>76</v>
      </c>
      <c r="L174" s="3">
        <v>0.1673611111111111</v>
      </c>
      <c r="M174" t="s">
        <v>26</v>
      </c>
    </row>
    <row r="175" spans="1:14" x14ac:dyDescent="0.35">
      <c r="A175" t="s">
        <v>14</v>
      </c>
      <c r="B175" s="1">
        <v>45543</v>
      </c>
      <c r="C175" t="s">
        <v>35</v>
      </c>
      <c r="D175">
        <v>23</v>
      </c>
      <c r="E175" s="2">
        <v>39840</v>
      </c>
      <c r="F175" t="s">
        <v>24</v>
      </c>
      <c r="G175" t="s">
        <v>36</v>
      </c>
      <c r="H175" t="s">
        <v>82</v>
      </c>
      <c r="I175" s="3">
        <v>3.472222222222222E-3</v>
      </c>
      <c r="J175" t="s">
        <v>19</v>
      </c>
      <c r="K175">
        <v>65</v>
      </c>
      <c r="L175" s="3">
        <v>2.7777777777777779E-3</v>
      </c>
      <c r="M175" t="s">
        <v>26</v>
      </c>
      <c r="N175" t="s">
        <v>44</v>
      </c>
    </row>
    <row r="176" spans="1:14" x14ac:dyDescent="0.35">
      <c r="A176" t="s">
        <v>14</v>
      </c>
      <c r="B176" s="1">
        <v>45543</v>
      </c>
      <c r="C176" t="s">
        <v>35</v>
      </c>
      <c r="D176">
        <v>23</v>
      </c>
      <c r="E176" s="2">
        <v>39840</v>
      </c>
      <c r="F176" t="s">
        <v>24</v>
      </c>
      <c r="G176" t="s">
        <v>36</v>
      </c>
      <c r="H176" t="s">
        <v>82</v>
      </c>
      <c r="I176" s="3">
        <v>3.472222222222222E-3</v>
      </c>
      <c r="J176" t="s">
        <v>19</v>
      </c>
      <c r="K176">
        <v>73</v>
      </c>
      <c r="L176" s="3">
        <v>3.472222222222222E-3</v>
      </c>
      <c r="M176" t="s">
        <v>26</v>
      </c>
      <c r="N176" t="s">
        <v>156</v>
      </c>
    </row>
    <row r="177" spans="1:14" x14ac:dyDescent="0.35">
      <c r="A177" t="s">
        <v>14</v>
      </c>
      <c r="B177" s="1">
        <v>45543</v>
      </c>
      <c r="C177" t="s">
        <v>35</v>
      </c>
      <c r="D177">
        <v>24</v>
      </c>
      <c r="E177" s="2">
        <v>39844</v>
      </c>
      <c r="F177" t="s">
        <v>16</v>
      </c>
      <c r="G177" t="s">
        <v>36</v>
      </c>
      <c r="H177" t="s">
        <v>56</v>
      </c>
      <c r="I177" s="3">
        <v>4.1666666666666664E-2</v>
      </c>
      <c r="J177" t="s">
        <v>19</v>
      </c>
      <c r="K177">
        <v>43</v>
      </c>
      <c r="L177" s="3">
        <v>4.1666666666666664E-2</v>
      </c>
      <c r="M177" t="s">
        <v>83</v>
      </c>
    </row>
    <row r="178" spans="1:14" x14ac:dyDescent="0.35">
      <c r="A178" t="s">
        <v>64</v>
      </c>
      <c r="B178" s="1">
        <v>45543</v>
      </c>
      <c r="C178" t="s">
        <v>65</v>
      </c>
      <c r="D178">
        <v>21</v>
      </c>
      <c r="E178" s="2">
        <v>39845</v>
      </c>
      <c r="F178" t="s">
        <v>24</v>
      </c>
      <c r="G178" t="s">
        <v>66</v>
      </c>
      <c r="H178" t="s">
        <v>78</v>
      </c>
      <c r="I178" s="3">
        <v>4.3055555555555555E-2</v>
      </c>
      <c r="J178" t="s">
        <v>38</v>
      </c>
      <c r="K178">
        <v>65</v>
      </c>
      <c r="L178" s="3">
        <v>4.2361111111111113E-2</v>
      </c>
      <c r="M178" t="s">
        <v>26</v>
      </c>
      <c r="N178" t="s">
        <v>106</v>
      </c>
    </row>
    <row r="179" spans="1:14" x14ac:dyDescent="0.35">
      <c r="A179" t="s">
        <v>64</v>
      </c>
      <c r="B179" s="1">
        <v>45543</v>
      </c>
      <c r="C179" t="s">
        <v>65</v>
      </c>
      <c r="D179">
        <v>21</v>
      </c>
      <c r="E179" s="2">
        <v>39845</v>
      </c>
      <c r="F179" t="s">
        <v>24</v>
      </c>
      <c r="G179" t="s">
        <v>66</v>
      </c>
      <c r="H179" t="s">
        <v>78</v>
      </c>
      <c r="I179" s="3">
        <v>4.3055555555555555E-2</v>
      </c>
      <c r="J179" t="s">
        <v>38</v>
      </c>
      <c r="K179">
        <v>81</v>
      </c>
      <c r="L179" s="3">
        <v>4.3055555555555555E-2</v>
      </c>
      <c r="M179" t="s">
        <v>26</v>
      </c>
    </row>
    <row r="180" spans="1:14" x14ac:dyDescent="0.35">
      <c r="A180" t="s">
        <v>14</v>
      </c>
      <c r="B180" s="1">
        <v>45543</v>
      </c>
      <c r="C180" t="s">
        <v>40</v>
      </c>
      <c r="D180" t="s">
        <v>33</v>
      </c>
      <c r="E180" s="2">
        <v>39859</v>
      </c>
      <c r="F180" t="s">
        <v>24</v>
      </c>
      <c r="G180" t="s">
        <v>36</v>
      </c>
      <c r="H180" t="s">
        <v>138</v>
      </c>
      <c r="I180" s="3">
        <v>4.4444444444444446E-2</v>
      </c>
      <c r="J180" t="s">
        <v>68</v>
      </c>
      <c r="K180">
        <v>68</v>
      </c>
      <c r="L180" s="3">
        <v>4.3749999999999997E-2</v>
      </c>
      <c r="M180" t="s">
        <v>22</v>
      </c>
      <c r="N180" t="s">
        <v>44</v>
      </c>
    </row>
    <row r="181" spans="1:14" x14ac:dyDescent="0.35">
      <c r="A181" t="s">
        <v>14</v>
      </c>
      <c r="B181" s="1">
        <v>45543</v>
      </c>
      <c r="C181" t="s">
        <v>35</v>
      </c>
      <c r="D181">
        <v>26</v>
      </c>
      <c r="E181" s="2">
        <v>39865</v>
      </c>
      <c r="F181" t="s">
        <v>16</v>
      </c>
      <c r="G181" t="s">
        <v>36</v>
      </c>
      <c r="H181" t="s">
        <v>134</v>
      </c>
      <c r="I181" s="3">
        <v>8.4027777777777785E-2</v>
      </c>
      <c r="K181">
        <v>60</v>
      </c>
      <c r="L181" s="3">
        <v>8.4027777777777785E-2</v>
      </c>
      <c r="M181" t="s">
        <v>39</v>
      </c>
    </row>
    <row r="182" spans="1:14" x14ac:dyDescent="0.35">
      <c r="A182" t="s">
        <v>64</v>
      </c>
      <c r="B182" s="1">
        <v>45543</v>
      </c>
      <c r="C182" t="s">
        <v>65</v>
      </c>
      <c r="D182">
        <v>25</v>
      </c>
      <c r="E182" s="2">
        <v>39873</v>
      </c>
      <c r="F182" t="s">
        <v>24</v>
      </c>
      <c r="G182" t="s">
        <v>66</v>
      </c>
      <c r="H182" t="s">
        <v>119</v>
      </c>
      <c r="I182" s="3">
        <v>0.16875000000000001</v>
      </c>
      <c r="J182" t="s">
        <v>38</v>
      </c>
      <c r="K182">
        <v>30</v>
      </c>
      <c r="L182" s="3">
        <v>1.3888888888888889E-3</v>
      </c>
      <c r="M182" t="s">
        <v>31</v>
      </c>
    </row>
    <row r="183" spans="1:14" x14ac:dyDescent="0.35">
      <c r="A183" t="s">
        <v>64</v>
      </c>
      <c r="B183" s="1">
        <v>45543</v>
      </c>
      <c r="C183" t="s">
        <v>91</v>
      </c>
      <c r="D183" t="s">
        <v>62</v>
      </c>
      <c r="E183" s="2">
        <v>39876</v>
      </c>
      <c r="F183" t="s">
        <v>24</v>
      </c>
      <c r="G183" t="s">
        <v>66</v>
      </c>
      <c r="H183" t="s">
        <v>89</v>
      </c>
      <c r="I183" s="3">
        <v>4.2361111111111113E-2</v>
      </c>
      <c r="J183" t="s">
        <v>38</v>
      </c>
      <c r="K183">
        <v>81</v>
      </c>
      <c r="L183" s="3">
        <v>4.2361111111111113E-2</v>
      </c>
      <c r="M183" t="s">
        <v>31</v>
      </c>
      <c r="N183" t="s">
        <v>166</v>
      </c>
    </row>
    <row r="184" spans="1:14" x14ac:dyDescent="0.35">
      <c r="A184" t="s">
        <v>64</v>
      </c>
      <c r="B184" s="1">
        <v>45543</v>
      </c>
      <c r="C184" t="s">
        <v>65</v>
      </c>
      <c r="D184">
        <v>26</v>
      </c>
      <c r="E184" s="2">
        <v>39879</v>
      </c>
      <c r="F184" t="s">
        <v>16</v>
      </c>
      <c r="G184" t="s">
        <v>66</v>
      </c>
      <c r="H184" t="s">
        <v>86</v>
      </c>
      <c r="I184" s="3">
        <v>8.3333333333333329E-2</v>
      </c>
      <c r="J184" t="s">
        <v>38</v>
      </c>
      <c r="K184">
        <v>31</v>
      </c>
      <c r="L184" s="3">
        <v>8.3333333333333329E-2</v>
      </c>
      <c r="M184" t="s">
        <v>83</v>
      </c>
    </row>
    <row r="185" spans="1:14" x14ac:dyDescent="0.35">
      <c r="A185" t="s">
        <v>14</v>
      </c>
      <c r="B185" s="1">
        <v>45543</v>
      </c>
      <c r="C185" t="s">
        <v>75</v>
      </c>
      <c r="D185" t="s">
        <v>143</v>
      </c>
      <c r="E185" s="2">
        <v>39883</v>
      </c>
      <c r="F185" t="s">
        <v>16</v>
      </c>
      <c r="G185" t="s">
        <v>36</v>
      </c>
      <c r="H185" t="s">
        <v>167</v>
      </c>
      <c r="I185" s="3">
        <v>8.3333333333333329E-2</v>
      </c>
      <c r="J185" t="s">
        <v>38</v>
      </c>
      <c r="K185">
        <v>49</v>
      </c>
      <c r="L185" s="3">
        <v>8.3333333333333329E-2</v>
      </c>
      <c r="M185" t="s">
        <v>22</v>
      </c>
      <c r="N185" t="s">
        <v>85</v>
      </c>
    </row>
    <row r="186" spans="1:14" x14ac:dyDescent="0.35">
      <c r="A186" t="s">
        <v>64</v>
      </c>
      <c r="B186" s="1">
        <v>45543</v>
      </c>
      <c r="C186" t="s">
        <v>75</v>
      </c>
      <c r="D186" t="s">
        <v>143</v>
      </c>
      <c r="E186" s="2">
        <v>39883</v>
      </c>
      <c r="F186" t="s">
        <v>16</v>
      </c>
      <c r="G186" t="s">
        <v>66</v>
      </c>
      <c r="H186" t="s">
        <v>125</v>
      </c>
      <c r="I186" s="3">
        <v>0.20972222222222223</v>
      </c>
      <c r="J186" t="s">
        <v>38</v>
      </c>
      <c r="K186">
        <v>40</v>
      </c>
      <c r="L186" s="3">
        <v>0.125</v>
      </c>
      <c r="M186" t="s">
        <v>31</v>
      </c>
      <c r="N186" t="s">
        <v>79</v>
      </c>
    </row>
    <row r="187" spans="1:14" x14ac:dyDescent="0.35">
      <c r="A187" t="s">
        <v>14</v>
      </c>
      <c r="B187" s="1">
        <v>45543</v>
      </c>
      <c r="C187" t="s">
        <v>35</v>
      </c>
      <c r="D187">
        <v>29</v>
      </c>
      <c r="E187" s="2">
        <v>39886</v>
      </c>
      <c r="F187" t="s">
        <v>16</v>
      </c>
      <c r="G187" t="s">
        <v>36</v>
      </c>
      <c r="H187" t="s">
        <v>145</v>
      </c>
      <c r="I187" s="3">
        <v>4.4444444444444446E-2</v>
      </c>
      <c r="J187" t="s">
        <v>38</v>
      </c>
      <c r="K187">
        <v>22</v>
      </c>
      <c r="L187" s="3">
        <v>4.1666666666666664E-2</v>
      </c>
      <c r="M187" t="s">
        <v>83</v>
      </c>
    </row>
    <row r="188" spans="1:14" x14ac:dyDescent="0.35">
      <c r="A188" t="s">
        <v>64</v>
      </c>
      <c r="B188" s="1">
        <v>45543</v>
      </c>
      <c r="C188" t="s">
        <v>65</v>
      </c>
      <c r="D188">
        <v>28</v>
      </c>
      <c r="E188" s="2">
        <v>39894</v>
      </c>
      <c r="F188" t="s">
        <v>16</v>
      </c>
      <c r="G188" t="s">
        <v>66</v>
      </c>
      <c r="H188" t="s">
        <v>157</v>
      </c>
      <c r="I188" s="3">
        <v>0.25</v>
      </c>
      <c r="J188" t="s">
        <v>38</v>
      </c>
      <c r="K188">
        <v>26</v>
      </c>
      <c r="L188" s="3">
        <v>8.3333333333333329E-2</v>
      </c>
      <c r="M188" t="s">
        <v>26</v>
      </c>
      <c r="N188" t="s">
        <v>106</v>
      </c>
    </row>
    <row r="189" spans="1:14" x14ac:dyDescent="0.35">
      <c r="A189" t="s">
        <v>14</v>
      </c>
      <c r="B189" s="1">
        <v>45543</v>
      </c>
      <c r="C189" t="s">
        <v>35</v>
      </c>
      <c r="D189">
        <v>31</v>
      </c>
      <c r="E189" s="2">
        <v>39908</v>
      </c>
      <c r="F189" t="s">
        <v>16</v>
      </c>
      <c r="G189" t="s">
        <v>36</v>
      </c>
      <c r="H189" t="s">
        <v>45</v>
      </c>
      <c r="I189" s="3">
        <v>0.12638888888888888</v>
      </c>
      <c r="J189" t="s">
        <v>38</v>
      </c>
      <c r="K189">
        <v>11</v>
      </c>
      <c r="L189" s="3">
        <v>4.1666666666666664E-2</v>
      </c>
      <c r="M189" t="s">
        <v>39</v>
      </c>
    </row>
    <row r="190" spans="1:14" x14ac:dyDescent="0.35">
      <c r="A190" t="s">
        <v>14</v>
      </c>
      <c r="B190" s="1">
        <v>45543</v>
      </c>
      <c r="C190" t="s">
        <v>35</v>
      </c>
      <c r="D190">
        <v>31</v>
      </c>
      <c r="E190" s="2">
        <v>39908</v>
      </c>
      <c r="F190" t="s">
        <v>16</v>
      </c>
      <c r="G190" t="s">
        <v>36</v>
      </c>
      <c r="H190" t="s">
        <v>45</v>
      </c>
      <c r="I190" s="3">
        <v>0.12638888888888888</v>
      </c>
      <c r="J190" t="s">
        <v>38</v>
      </c>
      <c r="K190">
        <v>80</v>
      </c>
      <c r="L190" s="3">
        <v>8.4722222222222227E-2</v>
      </c>
      <c r="M190" t="s">
        <v>31</v>
      </c>
      <c r="N190" t="s">
        <v>110</v>
      </c>
    </row>
    <row r="191" spans="1:14" x14ac:dyDescent="0.35">
      <c r="A191" t="s">
        <v>64</v>
      </c>
      <c r="B191" s="1">
        <v>45543</v>
      </c>
      <c r="C191" t="s">
        <v>75</v>
      </c>
      <c r="D191" t="s">
        <v>92</v>
      </c>
      <c r="E191" s="2">
        <v>39911</v>
      </c>
      <c r="F191" t="s">
        <v>16</v>
      </c>
      <c r="G191" t="s">
        <v>66</v>
      </c>
      <c r="H191" t="s">
        <v>168</v>
      </c>
      <c r="I191" s="3">
        <v>0.16666666666666666</v>
      </c>
      <c r="J191" t="s">
        <v>38</v>
      </c>
      <c r="K191">
        <v>9</v>
      </c>
      <c r="L191" s="3">
        <v>4.1666666666666664E-2</v>
      </c>
      <c r="M191" t="s">
        <v>31</v>
      </c>
      <c r="N191" t="s">
        <v>79</v>
      </c>
    </row>
    <row r="192" spans="1:14" x14ac:dyDescent="0.35">
      <c r="A192" t="s">
        <v>64</v>
      </c>
      <c r="B192" s="1">
        <v>45543</v>
      </c>
      <c r="C192" t="s">
        <v>75</v>
      </c>
      <c r="D192" t="s">
        <v>92</v>
      </c>
      <c r="E192" s="2">
        <v>39911</v>
      </c>
      <c r="F192" t="s">
        <v>16</v>
      </c>
      <c r="G192" t="s">
        <v>66</v>
      </c>
      <c r="H192" t="s">
        <v>168</v>
      </c>
      <c r="I192" s="3">
        <v>0.16666666666666666</v>
      </c>
      <c r="J192" t="s">
        <v>38</v>
      </c>
      <c r="K192">
        <v>38</v>
      </c>
      <c r="L192" s="3">
        <v>0.125</v>
      </c>
      <c r="M192" t="s">
        <v>26</v>
      </c>
      <c r="N192" t="s">
        <v>126</v>
      </c>
    </row>
    <row r="193" spans="1:14" x14ac:dyDescent="0.35">
      <c r="A193" t="s">
        <v>14</v>
      </c>
      <c r="B193" s="1">
        <v>45543</v>
      </c>
      <c r="C193" t="s">
        <v>75</v>
      </c>
      <c r="D193" t="s">
        <v>92</v>
      </c>
      <c r="E193" s="2">
        <v>39918</v>
      </c>
      <c r="F193" t="s">
        <v>24</v>
      </c>
      <c r="G193" t="s">
        <v>36</v>
      </c>
      <c r="H193" t="s">
        <v>169</v>
      </c>
      <c r="I193" s="3">
        <v>6.9444444444444447E-4</v>
      </c>
      <c r="J193" t="s">
        <v>38</v>
      </c>
      <c r="K193">
        <v>6</v>
      </c>
      <c r="L193" s="3">
        <v>6.9444444444444447E-4</v>
      </c>
      <c r="M193" t="s">
        <v>170</v>
      </c>
      <c r="N193" t="s">
        <v>171</v>
      </c>
    </row>
    <row r="194" spans="1:14" x14ac:dyDescent="0.35">
      <c r="A194" t="s">
        <v>64</v>
      </c>
      <c r="B194" s="1">
        <v>45543</v>
      </c>
      <c r="C194" t="s">
        <v>65</v>
      </c>
      <c r="D194">
        <v>31</v>
      </c>
      <c r="E194" s="2">
        <v>39921</v>
      </c>
      <c r="F194" t="s">
        <v>24</v>
      </c>
      <c r="G194" t="s">
        <v>66</v>
      </c>
      <c r="H194" t="s">
        <v>117</v>
      </c>
      <c r="I194" s="3">
        <v>6.9444444444444447E-4</v>
      </c>
      <c r="J194" t="s">
        <v>38</v>
      </c>
      <c r="K194">
        <v>18</v>
      </c>
      <c r="L194" s="3">
        <v>6.9444444444444447E-4</v>
      </c>
      <c r="M194" t="s">
        <v>31</v>
      </c>
      <c r="N194" t="s">
        <v>106</v>
      </c>
    </row>
    <row r="195" spans="1:14" x14ac:dyDescent="0.35">
      <c r="A195" t="s">
        <v>14</v>
      </c>
      <c r="B195" s="1">
        <v>45543</v>
      </c>
      <c r="C195" t="s">
        <v>35</v>
      </c>
      <c r="D195">
        <v>34</v>
      </c>
      <c r="E195" s="2">
        <v>39928</v>
      </c>
      <c r="F195" t="s">
        <v>16</v>
      </c>
      <c r="G195" t="s">
        <v>36</v>
      </c>
      <c r="H195" t="s">
        <v>42</v>
      </c>
      <c r="I195" s="3">
        <v>0.20972222222222223</v>
      </c>
      <c r="J195" t="s">
        <v>38</v>
      </c>
      <c r="K195">
        <v>68</v>
      </c>
      <c r="L195" s="3">
        <v>0.12638888888888888</v>
      </c>
      <c r="M195" t="s">
        <v>22</v>
      </c>
      <c r="N195" t="s">
        <v>85</v>
      </c>
    </row>
    <row r="196" spans="1:14" x14ac:dyDescent="0.35">
      <c r="A196" t="s">
        <v>14</v>
      </c>
      <c r="B196" s="1">
        <v>45543</v>
      </c>
      <c r="C196" t="s">
        <v>35</v>
      </c>
      <c r="D196">
        <v>34</v>
      </c>
      <c r="E196" s="2">
        <v>39928</v>
      </c>
      <c r="F196" t="s">
        <v>16</v>
      </c>
      <c r="G196" t="s">
        <v>36</v>
      </c>
      <c r="H196" t="s">
        <v>42</v>
      </c>
      <c r="I196" s="3">
        <v>0.20972222222222223</v>
      </c>
      <c r="J196" t="s">
        <v>38</v>
      </c>
      <c r="K196">
        <v>57</v>
      </c>
      <c r="L196" s="3">
        <v>4.3055555555555555E-2</v>
      </c>
      <c r="M196" t="s">
        <v>83</v>
      </c>
    </row>
    <row r="197" spans="1:14" x14ac:dyDescent="0.35">
      <c r="A197" t="s">
        <v>64</v>
      </c>
      <c r="B197" s="1">
        <v>45543</v>
      </c>
      <c r="C197" t="s">
        <v>65</v>
      </c>
      <c r="D197">
        <v>33</v>
      </c>
      <c r="E197" s="2">
        <v>39928</v>
      </c>
      <c r="F197" t="s">
        <v>24</v>
      </c>
      <c r="G197" t="s">
        <v>66</v>
      </c>
      <c r="H197" t="s">
        <v>148</v>
      </c>
      <c r="I197" s="3">
        <v>8.4722222222222227E-2</v>
      </c>
      <c r="J197" t="s">
        <v>38</v>
      </c>
      <c r="K197">
        <v>23</v>
      </c>
      <c r="L197" s="3">
        <v>6.9444444444444447E-4</v>
      </c>
      <c r="M197" t="s">
        <v>31</v>
      </c>
      <c r="N197" t="s">
        <v>99</v>
      </c>
    </row>
    <row r="198" spans="1:14" x14ac:dyDescent="0.35">
      <c r="A198" t="s">
        <v>64</v>
      </c>
      <c r="B198" s="1">
        <v>45543</v>
      </c>
      <c r="C198" t="s">
        <v>65</v>
      </c>
      <c r="D198">
        <v>34</v>
      </c>
      <c r="E198" s="2">
        <v>39935</v>
      </c>
      <c r="F198" t="s">
        <v>24</v>
      </c>
      <c r="G198" t="s">
        <v>66</v>
      </c>
      <c r="H198" t="s">
        <v>112</v>
      </c>
      <c r="I198" s="3">
        <v>8.7499999999999994E-2</v>
      </c>
      <c r="J198" t="s">
        <v>68</v>
      </c>
      <c r="K198">
        <v>35</v>
      </c>
      <c r="L198" s="3">
        <v>4.3749999999999997E-2</v>
      </c>
      <c r="M198" t="s">
        <v>31</v>
      </c>
      <c r="N198" t="s">
        <v>106</v>
      </c>
    </row>
    <row r="199" spans="1:14" x14ac:dyDescent="0.35">
      <c r="A199" t="s">
        <v>64</v>
      </c>
      <c r="B199" s="1">
        <v>45543</v>
      </c>
      <c r="C199" t="s">
        <v>65</v>
      </c>
      <c r="D199">
        <v>34</v>
      </c>
      <c r="E199" s="2">
        <v>39935</v>
      </c>
      <c r="F199" t="s">
        <v>24</v>
      </c>
      <c r="G199" t="s">
        <v>66</v>
      </c>
      <c r="H199" t="s">
        <v>112</v>
      </c>
      <c r="I199" s="3">
        <v>8.7499999999999994E-2</v>
      </c>
      <c r="J199" t="s">
        <v>68</v>
      </c>
      <c r="K199">
        <v>75</v>
      </c>
      <c r="L199" s="3">
        <v>8.6805555555555552E-2</v>
      </c>
      <c r="M199" t="s">
        <v>31</v>
      </c>
      <c r="N199" t="s">
        <v>106</v>
      </c>
    </row>
    <row r="200" spans="1:14" x14ac:dyDescent="0.35">
      <c r="A200" t="s">
        <v>14</v>
      </c>
      <c r="B200" s="1">
        <v>45543</v>
      </c>
      <c r="C200" t="s">
        <v>75</v>
      </c>
      <c r="D200" t="s">
        <v>62</v>
      </c>
      <c r="E200" s="2">
        <v>39938</v>
      </c>
      <c r="F200" t="s">
        <v>24</v>
      </c>
      <c r="G200" t="s">
        <v>36</v>
      </c>
      <c r="H200" t="s">
        <v>54</v>
      </c>
      <c r="I200" s="3">
        <v>4.3749999999999997E-2</v>
      </c>
      <c r="J200" t="s">
        <v>68</v>
      </c>
      <c r="K200">
        <v>11</v>
      </c>
      <c r="L200" s="3">
        <v>1.3888888888888889E-3</v>
      </c>
      <c r="M200" t="s">
        <v>39</v>
      </c>
    </row>
    <row r="201" spans="1:14" x14ac:dyDescent="0.35">
      <c r="A201" t="s">
        <v>14</v>
      </c>
      <c r="B201" s="1">
        <v>45543</v>
      </c>
      <c r="C201" t="s">
        <v>75</v>
      </c>
      <c r="D201" t="s">
        <v>62</v>
      </c>
      <c r="E201" s="2">
        <v>39938</v>
      </c>
      <c r="F201" t="s">
        <v>24</v>
      </c>
      <c r="G201" t="s">
        <v>36</v>
      </c>
      <c r="H201" t="s">
        <v>54</v>
      </c>
      <c r="I201" s="3">
        <v>4.3749999999999997E-2</v>
      </c>
      <c r="J201" t="s">
        <v>68</v>
      </c>
      <c r="K201">
        <v>61</v>
      </c>
      <c r="L201" s="3">
        <v>2.0833333333333333E-3</v>
      </c>
      <c r="M201" t="s">
        <v>26</v>
      </c>
      <c r="N201" t="s">
        <v>85</v>
      </c>
    </row>
    <row r="202" spans="1:14" x14ac:dyDescent="0.35">
      <c r="A202" t="s">
        <v>14</v>
      </c>
      <c r="B202" s="1">
        <v>45543</v>
      </c>
      <c r="C202" t="s">
        <v>35</v>
      </c>
      <c r="D202">
        <v>36</v>
      </c>
      <c r="E202" s="2">
        <v>39943</v>
      </c>
      <c r="F202" t="s">
        <v>16</v>
      </c>
      <c r="G202" t="s">
        <v>36</v>
      </c>
      <c r="H202" t="s">
        <v>41</v>
      </c>
      <c r="I202" s="3">
        <v>8.3333333333333329E-2</v>
      </c>
      <c r="J202" t="s">
        <v>38</v>
      </c>
      <c r="K202">
        <v>17</v>
      </c>
      <c r="L202" s="3">
        <v>4.1666666666666664E-2</v>
      </c>
      <c r="M202" t="s">
        <v>39</v>
      </c>
    </row>
    <row r="203" spans="1:14" x14ac:dyDescent="0.35">
      <c r="A203" t="s">
        <v>64</v>
      </c>
      <c r="B203" s="1">
        <v>45543</v>
      </c>
      <c r="C203" t="s">
        <v>91</v>
      </c>
      <c r="D203" t="s">
        <v>46</v>
      </c>
      <c r="E203" s="2">
        <v>39946</v>
      </c>
      <c r="F203" t="s">
        <v>16</v>
      </c>
      <c r="G203" t="s">
        <v>66</v>
      </c>
      <c r="H203" t="s">
        <v>86</v>
      </c>
      <c r="I203" s="3">
        <v>0.1673611111111111</v>
      </c>
      <c r="J203" t="s">
        <v>38</v>
      </c>
      <c r="K203">
        <v>55</v>
      </c>
      <c r="L203" s="3">
        <v>8.4027777777777785E-2</v>
      </c>
      <c r="M203" t="s">
        <v>31</v>
      </c>
      <c r="N203" t="s">
        <v>79</v>
      </c>
    </row>
    <row r="204" spans="1:14" x14ac:dyDescent="0.35">
      <c r="A204" t="s">
        <v>64</v>
      </c>
      <c r="B204" s="1">
        <v>45543</v>
      </c>
      <c r="C204" t="s">
        <v>75</v>
      </c>
      <c r="D204" t="s">
        <v>46</v>
      </c>
      <c r="E204" s="2">
        <v>39960</v>
      </c>
      <c r="F204" t="s">
        <v>16</v>
      </c>
      <c r="G204" t="s">
        <v>66</v>
      </c>
      <c r="H204" t="s">
        <v>36</v>
      </c>
      <c r="I204" s="3">
        <v>8.3333333333333329E-2</v>
      </c>
      <c r="J204" t="s">
        <v>68</v>
      </c>
      <c r="K204">
        <v>70</v>
      </c>
      <c r="L204" s="3">
        <v>8.3333333333333329E-2</v>
      </c>
      <c r="M204" t="s">
        <v>22</v>
      </c>
      <c r="N204" t="s">
        <v>106</v>
      </c>
    </row>
    <row r="205" spans="1:14" x14ac:dyDescent="0.35">
      <c r="A205" t="s">
        <v>64</v>
      </c>
      <c r="B205" s="1">
        <v>45574</v>
      </c>
      <c r="C205" t="s">
        <v>172</v>
      </c>
      <c r="D205" t="s">
        <v>173</v>
      </c>
      <c r="E205" s="2">
        <v>40048</v>
      </c>
      <c r="F205" t="s">
        <v>16</v>
      </c>
      <c r="G205" t="s">
        <v>66</v>
      </c>
      <c r="H205" t="s">
        <v>86</v>
      </c>
      <c r="I205" s="3">
        <v>0.125</v>
      </c>
      <c r="J205" t="s">
        <v>38</v>
      </c>
      <c r="K205">
        <v>68</v>
      </c>
      <c r="L205" s="3">
        <v>8.3333333333333329E-2</v>
      </c>
      <c r="M205" t="s">
        <v>83</v>
      </c>
    </row>
    <row r="206" spans="1:14" x14ac:dyDescent="0.35">
      <c r="A206" t="s">
        <v>64</v>
      </c>
      <c r="B206" s="1">
        <v>45574</v>
      </c>
      <c r="C206" t="s">
        <v>172</v>
      </c>
      <c r="D206" t="s">
        <v>173</v>
      </c>
      <c r="E206" s="2">
        <v>40048</v>
      </c>
      <c r="F206" t="s">
        <v>16</v>
      </c>
      <c r="G206" t="s">
        <v>66</v>
      </c>
      <c r="H206" t="s">
        <v>86</v>
      </c>
      <c r="I206" s="3">
        <v>0.125</v>
      </c>
      <c r="J206" t="s">
        <v>38</v>
      </c>
      <c r="K206">
        <v>50</v>
      </c>
      <c r="L206" s="3">
        <v>4.1666666666666664E-2</v>
      </c>
      <c r="M206" t="s">
        <v>26</v>
      </c>
      <c r="N206" t="s">
        <v>174</v>
      </c>
    </row>
    <row r="207" spans="1:14" x14ac:dyDescent="0.35">
      <c r="A207" t="s">
        <v>14</v>
      </c>
      <c r="B207" s="1">
        <v>45574</v>
      </c>
      <c r="C207" t="s">
        <v>65</v>
      </c>
      <c r="D207">
        <v>1</v>
      </c>
      <c r="E207" s="2">
        <v>40054</v>
      </c>
      <c r="F207" t="s">
        <v>16</v>
      </c>
      <c r="G207" t="s">
        <v>112</v>
      </c>
      <c r="H207" t="s">
        <v>175</v>
      </c>
      <c r="I207" s="3">
        <v>0.12638888888888888</v>
      </c>
      <c r="J207" t="s">
        <v>38</v>
      </c>
      <c r="K207">
        <v>35</v>
      </c>
      <c r="L207" s="3">
        <v>8.4027777777777785E-2</v>
      </c>
      <c r="M207" t="s">
        <v>83</v>
      </c>
    </row>
    <row r="208" spans="1:14" x14ac:dyDescent="0.35">
      <c r="A208" t="s">
        <v>64</v>
      </c>
      <c r="B208" s="1">
        <v>45574</v>
      </c>
      <c r="C208" t="s">
        <v>65</v>
      </c>
      <c r="D208">
        <v>2</v>
      </c>
      <c r="E208" s="2">
        <v>40068</v>
      </c>
      <c r="F208" t="s">
        <v>24</v>
      </c>
      <c r="G208" t="s">
        <v>66</v>
      </c>
      <c r="H208" t="s">
        <v>117</v>
      </c>
      <c r="I208" s="3">
        <v>1.3888888888888889E-3</v>
      </c>
      <c r="J208" t="s">
        <v>38</v>
      </c>
      <c r="K208">
        <v>78</v>
      </c>
      <c r="L208" s="3">
        <v>1.3888888888888889E-3</v>
      </c>
      <c r="M208" t="s">
        <v>22</v>
      </c>
      <c r="N208" t="s">
        <v>174</v>
      </c>
    </row>
    <row r="209" spans="1:14" x14ac:dyDescent="0.35">
      <c r="A209" t="s">
        <v>14</v>
      </c>
      <c r="B209" s="1">
        <v>45574</v>
      </c>
      <c r="C209" t="s">
        <v>65</v>
      </c>
      <c r="D209">
        <v>2</v>
      </c>
      <c r="E209" s="2">
        <v>40068</v>
      </c>
      <c r="F209" t="s">
        <v>24</v>
      </c>
      <c r="G209" t="s">
        <v>112</v>
      </c>
      <c r="H209" t="s">
        <v>121</v>
      </c>
      <c r="I209" s="3">
        <v>2.0833333333333333E-3</v>
      </c>
      <c r="K209">
        <v>90</v>
      </c>
      <c r="L209" s="3">
        <v>2.0833333333333333E-3</v>
      </c>
      <c r="M209" t="s">
        <v>26</v>
      </c>
      <c r="N209" t="s">
        <v>176</v>
      </c>
    </row>
    <row r="210" spans="1:14" x14ac:dyDescent="0.35">
      <c r="A210" t="s">
        <v>14</v>
      </c>
      <c r="B210" s="1">
        <v>45574</v>
      </c>
      <c r="C210" t="s">
        <v>75</v>
      </c>
      <c r="D210" t="s">
        <v>76</v>
      </c>
      <c r="E210" s="2">
        <v>40071</v>
      </c>
      <c r="F210" t="s">
        <v>24</v>
      </c>
      <c r="G210" t="s">
        <v>112</v>
      </c>
      <c r="H210" t="s">
        <v>177</v>
      </c>
      <c r="I210" s="3">
        <v>8.6805555555555552E-2</v>
      </c>
      <c r="J210" t="s">
        <v>68</v>
      </c>
      <c r="K210">
        <v>89</v>
      </c>
      <c r="L210" s="3">
        <v>8.611111111111111E-2</v>
      </c>
      <c r="M210" t="s">
        <v>39</v>
      </c>
    </row>
    <row r="211" spans="1:14" x14ac:dyDescent="0.35">
      <c r="A211" t="s">
        <v>14</v>
      </c>
      <c r="B211" s="1">
        <v>45574</v>
      </c>
      <c r="C211" t="s">
        <v>75</v>
      </c>
      <c r="D211" t="s">
        <v>76</v>
      </c>
      <c r="E211" s="2">
        <v>40071</v>
      </c>
      <c r="F211" t="s">
        <v>24</v>
      </c>
      <c r="G211" t="s">
        <v>112</v>
      </c>
      <c r="H211" t="s">
        <v>177</v>
      </c>
      <c r="I211" s="3">
        <v>8.6805555555555552E-2</v>
      </c>
      <c r="J211" t="s">
        <v>68</v>
      </c>
      <c r="K211">
        <v>27</v>
      </c>
      <c r="L211" s="3">
        <v>6.9444444444444447E-4</v>
      </c>
      <c r="M211" t="s">
        <v>39</v>
      </c>
    </row>
    <row r="212" spans="1:14" x14ac:dyDescent="0.35">
      <c r="A212" t="s">
        <v>64</v>
      </c>
      <c r="B212" s="1">
        <v>45574</v>
      </c>
      <c r="C212" t="s">
        <v>65</v>
      </c>
      <c r="D212">
        <v>3</v>
      </c>
      <c r="E212" s="2">
        <v>40075</v>
      </c>
      <c r="F212" t="s">
        <v>16</v>
      </c>
      <c r="G212" t="s">
        <v>66</v>
      </c>
      <c r="H212" t="s">
        <v>119</v>
      </c>
      <c r="I212" s="3">
        <v>0.20972222222222223</v>
      </c>
      <c r="J212" t="s">
        <v>38</v>
      </c>
      <c r="K212">
        <v>15</v>
      </c>
      <c r="L212" s="3">
        <v>8.3333333333333329E-2</v>
      </c>
      <c r="M212" t="s">
        <v>31</v>
      </c>
      <c r="N212" t="s">
        <v>106</v>
      </c>
    </row>
    <row r="213" spans="1:14" x14ac:dyDescent="0.35">
      <c r="A213" t="s">
        <v>64</v>
      </c>
      <c r="B213" s="1">
        <v>45574</v>
      </c>
      <c r="C213" t="s">
        <v>65</v>
      </c>
      <c r="D213">
        <v>3</v>
      </c>
      <c r="E213" s="2">
        <v>40075</v>
      </c>
      <c r="F213" t="s">
        <v>16</v>
      </c>
      <c r="G213" t="s">
        <v>66</v>
      </c>
      <c r="H213" t="s">
        <v>119</v>
      </c>
      <c r="I213" s="3">
        <v>0.20972222222222223</v>
      </c>
      <c r="J213" t="s">
        <v>38</v>
      </c>
      <c r="K213" t="s">
        <v>136</v>
      </c>
      <c r="L213" s="3">
        <v>0.20972222222222223</v>
      </c>
      <c r="M213" t="s">
        <v>26</v>
      </c>
      <c r="N213" t="s">
        <v>155</v>
      </c>
    </row>
    <row r="214" spans="1:14" x14ac:dyDescent="0.35">
      <c r="A214" t="s">
        <v>14</v>
      </c>
      <c r="B214" s="1">
        <v>45574</v>
      </c>
      <c r="C214" t="s">
        <v>65</v>
      </c>
      <c r="D214">
        <v>3</v>
      </c>
      <c r="E214" s="2">
        <v>40076</v>
      </c>
      <c r="F214" t="s">
        <v>16</v>
      </c>
      <c r="G214" t="s">
        <v>112</v>
      </c>
      <c r="H214" t="s">
        <v>178</v>
      </c>
      <c r="I214" s="3">
        <v>0.20833333333333334</v>
      </c>
      <c r="J214" t="s">
        <v>38</v>
      </c>
      <c r="K214">
        <v>75</v>
      </c>
      <c r="L214" s="3">
        <v>8.3333333333333329E-2</v>
      </c>
      <c r="M214" t="s">
        <v>22</v>
      </c>
      <c r="N214" t="s">
        <v>179</v>
      </c>
    </row>
    <row r="215" spans="1:14" x14ac:dyDescent="0.35">
      <c r="A215" t="s">
        <v>14</v>
      </c>
      <c r="B215" s="1">
        <v>45574</v>
      </c>
      <c r="C215" t="s">
        <v>65</v>
      </c>
      <c r="D215">
        <v>3</v>
      </c>
      <c r="E215" s="2">
        <v>40076</v>
      </c>
      <c r="F215" t="s">
        <v>16</v>
      </c>
      <c r="G215" t="s">
        <v>112</v>
      </c>
      <c r="H215" t="s">
        <v>178</v>
      </c>
      <c r="I215" s="3">
        <v>0.20833333333333334</v>
      </c>
      <c r="J215" t="s">
        <v>38</v>
      </c>
      <c r="K215">
        <v>1</v>
      </c>
      <c r="L215" s="3">
        <v>4.1666666666666664E-2</v>
      </c>
      <c r="M215" t="s">
        <v>26</v>
      </c>
    </row>
    <row r="216" spans="1:14" x14ac:dyDescent="0.35">
      <c r="A216" t="s">
        <v>64</v>
      </c>
      <c r="B216" s="1">
        <v>45574</v>
      </c>
      <c r="C216" t="s">
        <v>65</v>
      </c>
      <c r="D216">
        <v>4</v>
      </c>
      <c r="E216" s="2">
        <v>40078</v>
      </c>
      <c r="F216" t="s">
        <v>24</v>
      </c>
      <c r="G216" t="s">
        <v>66</v>
      </c>
      <c r="H216" t="s">
        <v>78</v>
      </c>
      <c r="I216" s="3">
        <v>4.4444444444444446E-2</v>
      </c>
      <c r="J216" t="s">
        <v>38</v>
      </c>
      <c r="K216">
        <v>63</v>
      </c>
      <c r="L216" s="3">
        <v>2.7777777777777779E-3</v>
      </c>
      <c r="M216" t="s">
        <v>31</v>
      </c>
      <c r="N216" t="s">
        <v>106</v>
      </c>
    </row>
    <row r="217" spans="1:14" x14ac:dyDescent="0.35">
      <c r="A217" t="s">
        <v>64</v>
      </c>
      <c r="B217" s="1">
        <v>45574</v>
      </c>
      <c r="C217" t="s">
        <v>65</v>
      </c>
      <c r="D217">
        <v>4</v>
      </c>
      <c r="E217" s="2">
        <v>40078</v>
      </c>
      <c r="F217" t="s">
        <v>24</v>
      </c>
      <c r="G217" t="s">
        <v>66</v>
      </c>
      <c r="H217" t="s">
        <v>78</v>
      </c>
      <c r="I217" s="3">
        <v>4.4444444444444446E-2</v>
      </c>
      <c r="J217" t="s">
        <v>38</v>
      </c>
      <c r="K217">
        <v>23</v>
      </c>
      <c r="L217" s="3">
        <v>1.3888888888888889E-3</v>
      </c>
      <c r="M217" t="s">
        <v>31</v>
      </c>
      <c r="N217" t="s">
        <v>106</v>
      </c>
    </row>
    <row r="218" spans="1:14" x14ac:dyDescent="0.35">
      <c r="A218" t="s">
        <v>14</v>
      </c>
      <c r="B218" s="1">
        <v>45574</v>
      </c>
      <c r="C218" t="s">
        <v>65</v>
      </c>
      <c r="D218">
        <v>4</v>
      </c>
      <c r="E218" s="2">
        <v>40079</v>
      </c>
      <c r="F218" t="s">
        <v>24</v>
      </c>
      <c r="G218" t="s">
        <v>112</v>
      </c>
      <c r="H218" t="s">
        <v>180</v>
      </c>
      <c r="I218" s="3">
        <v>1.3888888888888889E-3</v>
      </c>
      <c r="J218" t="s">
        <v>68</v>
      </c>
      <c r="K218">
        <v>2</v>
      </c>
      <c r="L218" s="3">
        <v>6.9444444444444447E-4</v>
      </c>
      <c r="M218" t="s">
        <v>26</v>
      </c>
    </row>
    <row r="219" spans="1:14" x14ac:dyDescent="0.35">
      <c r="A219" t="s">
        <v>64</v>
      </c>
      <c r="B219" s="1">
        <v>45574</v>
      </c>
      <c r="C219" t="s">
        <v>75</v>
      </c>
      <c r="D219" t="s">
        <v>76</v>
      </c>
      <c r="E219" s="2">
        <v>40085</v>
      </c>
      <c r="F219" t="s">
        <v>16</v>
      </c>
      <c r="G219" t="s">
        <v>66</v>
      </c>
      <c r="H219" t="s">
        <v>130</v>
      </c>
      <c r="I219" s="3">
        <v>8.3333333333333329E-2</v>
      </c>
      <c r="J219" t="s">
        <v>38</v>
      </c>
      <c r="K219">
        <v>25</v>
      </c>
      <c r="L219" s="3">
        <v>4.1666666666666664E-2</v>
      </c>
      <c r="M219" t="s">
        <v>31</v>
      </c>
      <c r="N219" t="s">
        <v>99</v>
      </c>
    </row>
    <row r="220" spans="1:14" x14ac:dyDescent="0.35">
      <c r="A220" t="s">
        <v>14</v>
      </c>
      <c r="B220" s="1">
        <v>45574</v>
      </c>
      <c r="C220" t="s">
        <v>75</v>
      </c>
      <c r="D220" t="s">
        <v>76</v>
      </c>
      <c r="E220" s="2">
        <v>40086</v>
      </c>
      <c r="F220" t="s">
        <v>16</v>
      </c>
      <c r="G220" t="s">
        <v>112</v>
      </c>
      <c r="H220" t="s">
        <v>181</v>
      </c>
      <c r="I220" s="3">
        <v>0.125</v>
      </c>
      <c r="J220" t="s">
        <v>68</v>
      </c>
      <c r="K220">
        <v>58</v>
      </c>
      <c r="L220" s="3">
        <v>4.1666666666666664E-2</v>
      </c>
      <c r="M220" t="s">
        <v>31</v>
      </c>
      <c r="N220" t="s">
        <v>182</v>
      </c>
    </row>
    <row r="221" spans="1:14" x14ac:dyDescent="0.35">
      <c r="A221" t="s">
        <v>14</v>
      </c>
      <c r="B221" s="1">
        <v>45574</v>
      </c>
      <c r="C221" t="s">
        <v>75</v>
      </c>
      <c r="D221" t="s">
        <v>76</v>
      </c>
      <c r="E221" s="2">
        <v>40086</v>
      </c>
      <c r="F221" t="s">
        <v>16</v>
      </c>
      <c r="G221" t="s">
        <v>112</v>
      </c>
      <c r="H221" t="s">
        <v>181</v>
      </c>
      <c r="I221" s="3">
        <v>0.125</v>
      </c>
      <c r="J221" t="s">
        <v>68</v>
      </c>
      <c r="K221">
        <v>64</v>
      </c>
      <c r="L221" s="3">
        <v>0.125</v>
      </c>
      <c r="M221" t="s">
        <v>26</v>
      </c>
      <c r="N221" t="s">
        <v>183</v>
      </c>
    </row>
    <row r="222" spans="1:14" x14ac:dyDescent="0.35">
      <c r="A222" t="s">
        <v>64</v>
      </c>
      <c r="B222" s="1">
        <v>45574</v>
      </c>
      <c r="C222" t="s">
        <v>65</v>
      </c>
      <c r="D222">
        <v>8</v>
      </c>
      <c r="E222" s="2">
        <v>40111</v>
      </c>
      <c r="F222" t="s">
        <v>16</v>
      </c>
      <c r="G222" t="s">
        <v>66</v>
      </c>
      <c r="H222" t="s">
        <v>93</v>
      </c>
      <c r="I222" s="3">
        <v>0.25069444444444444</v>
      </c>
      <c r="J222" t="s">
        <v>38</v>
      </c>
      <c r="K222">
        <v>80</v>
      </c>
      <c r="L222" s="3">
        <v>0.20902777777777778</v>
      </c>
      <c r="M222" t="s">
        <v>31</v>
      </c>
      <c r="N222" t="s">
        <v>99</v>
      </c>
    </row>
    <row r="223" spans="1:14" x14ac:dyDescent="0.35">
      <c r="A223" t="s">
        <v>64</v>
      </c>
      <c r="B223" s="1">
        <v>45574</v>
      </c>
      <c r="C223" t="s">
        <v>65</v>
      </c>
      <c r="D223">
        <v>10</v>
      </c>
      <c r="E223" s="2">
        <v>40124</v>
      </c>
      <c r="F223" t="s">
        <v>16</v>
      </c>
      <c r="G223" t="s">
        <v>66</v>
      </c>
      <c r="H223" t="s">
        <v>89</v>
      </c>
      <c r="I223" s="3">
        <v>0.16805555555555557</v>
      </c>
      <c r="J223" t="s">
        <v>38</v>
      </c>
      <c r="K223">
        <v>86</v>
      </c>
      <c r="L223" s="3">
        <v>0.1673611111111111</v>
      </c>
      <c r="M223" t="s">
        <v>83</v>
      </c>
    </row>
    <row r="224" spans="1:14" x14ac:dyDescent="0.35">
      <c r="A224" t="s">
        <v>64</v>
      </c>
      <c r="B224" s="1">
        <v>45574</v>
      </c>
      <c r="C224" t="s">
        <v>91</v>
      </c>
      <c r="D224" t="s">
        <v>184</v>
      </c>
      <c r="E224" s="2">
        <v>40127</v>
      </c>
      <c r="F224" t="s">
        <v>16</v>
      </c>
      <c r="G224" t="s">
        <v>66</v>
      </c>
      <c r="H224" t="s">
        <v>185</v>
      </c>
      <c r="I224" s="3">
        <v>0.20833333333333334</v>
      </c>
      <c r="J224" t="s">
        <v>38</v>
      </c>
      <c r="K224">
        <v>64</v>
      </c>
      <c r="L224" s="3">
        <v>0.16666666666666666</v>
      </c>
      <c r="M224" t="s">
        <v>31</v>
      </c>
      <c r="N224" t="s">
        <v>186</v>
      </c>
    </row>
    <row r="225" spans="1:14" x14ac:dyDescent="0.35">
      <c r="A225" t="s">
        <v>64</v>
      </c>
      <c r="B225" s="1">
        <v>45574</v>
      </c>
      <c r="C225" t="s">
        <v>65</v>
      </c>
      <c r="D225">
        <v>13</v>
      </c>
      <c r="E225" s="2">
        <v>40152</v>
      </c>
      <c r="F225" t="s">
        <v>24</v>
      </c>
      <c r="G225" t="s">
        <v>66</v>
      </c>
      <c r="H225" t="s">
        <v>115</v>
      </c>
      <c r="I225" s="3">
        <v>4.3749999999999997E-2</v>
      </c>
      <c r="J225" t="s">
        <v>38</v>
      </c>
      <c r="K225">
        <v>80</v>
      </c>
      <c r="L225" s="3">
        <v>4.3055555555555555E-2</v>
      </c>
      <c r="M225" t="s">
        <v>22</v>
      </c>
      <c r="N225" t="s">
        <v>186</v>
      </c>
    </row>
    <row r="226" spans="1:14" x14ac:dyDescent="0.35">
      <c r="A226" t="s">
        <v>64</v>
      </c>
      <c r="B226" s="1">
        <v>45574</v>
      </c>
      <c r="C226" t="s">
        <v>65</v>
      </c>
      <c r="D226">
        <v>13</v>
      </c>
      <c r="E226" s="2">
        <v>40152</v>
      </c>
      <c r="F226" t="s">
        <v>24</v>
      </c>
      <c r="G226" t="s">
        <v>66</v>
      </c>
      <c r="H226" t="s">
        <v>115</v>
      </c>
      <c r="I226" s="3">
        <v>4.3749999999999997E-2</v>
      </c>
      <c r="J226" t="s">
        <v>38</v>
      </c>
      <c r="K226">
        <v>26</v>
      </c>
      <c r="L226" s="3">
        <v>6.9444444444444447E-4</v>
      </c>
      <c r="M226" t="s">
        <v>31</v>
      </c>
      <c r="N226" t="s">
        <v>155</v>
      </c>
    </row>
    <row r="227" spans="1:14" x14ac:dyDescent="0.35">
      <c r="A227" t="s">
        <v>14</v>
      </c>
      <c r="B227" s="1">
        <v>45574</v>
      </c>
      <c r="C227" t="s">
        <v>65</v>
      </c>
      <c r="D227">
        <v>13</v>
      </c>
      <c r="E227" s="2">
        <v>40152</v>
      </c>
      <c r="F227" t="s">
        <v>16</v>
      </c>
      <c r="G227" t="s">
        <v>112</v>
      </c>
      <c r="H227" t="s">
        <v>187</v>
      </c>
      <c r="I227" s="3">
        <v>0.16805555555555557</v>
      </c>
      <c r="J227" t="s">
        <v>68</v>
      </c>
      <c r="K227">
        <v>84</v>
      </c>
      <c r="L227" s="3">
        <v>0.16805555555555557</v>
      </c>
      <c r="M227" t="s">
        <v>26</v>
      </c>
      <c r="N227" t="s">
        <v>188</v>
      </c>
    </row>
    <row r="228" spans="1:14" x14ac:dyDescent="0.35">
      <c r="A228" t="s">
        <v>14</v>
      </c>
      <c r="B228" s="1">
        <v>45574</v>
      </c>
      <c r="C228" t="s">
        <v>75</v>
      </c>
      <c r="D228" t="s">
        <v>76</v>
      </c>
      <c r="E228" s="2">
        <v>40155</v>
      </c>
      <c r="F228" t="s">
        <v>24</v>
      </c>
      <c r="G228" t="s">
        <v>112</v>
      </c>
      <c r="H228" t="s">
        <v>181</v>
      </c>
      <c r="I228" s="3">
        <v>4.3749999999999997E-2</v>
      </c>
      <c r="J228" t="s">
        <v>68</v>
      </c>
      <c r="K228">
        <v>5</v>
      </c>
      <c r="L228" s="3">
        <v>6.9444444444444447E-4</v>
      </c>
      <c r="M228" t="s">
        <v>39</v>
      </c>
    </row>
    <row r="229" spans="1:14" x14ac:dyDescent="0.35">
      <c r="A229" t="s">
        <v>14</v>
      </c>
      <c r="B229" s="1">
        <v>45574</v>
      </c>
      <c r="C229" t="s">
        <v>75</v>
      </c>
      <c r="D229" t="s">
        <v>76</v>
      </c>
      <c r="E229" s="2">
        <v>40155</v>
      </c>
      <c r="F229" t="s">
        <v>24</v>
      </c>
      <c r="G229" t="s">
        <v>112</v>
      </c>
      <c r="H229" t="s">
        <v>181</v>
      </c>
      <c r="I229" s="3">
        <v>4.3749999999999997E-2</v>
      </c>
      <c r="J229" t="s">
        <v>68</v>
      </c>
      <c r="K229">
        <v>80</v>
      </c>
      <c r="L229" s="3">
        <v>4.3749999999999997E-2</v>
      </c>
      <c r="M229" t="s">
        <v>26</v>
      </c>
      <c r="N229" t="s">
        <v>189</v>
      </c>
    </row>
    <row r="230" spans="1:14" x14ac:dyDescent="0.35">
      <c r="A230" t="s">
        <v>64</v>
      </c>
      <c r="B230" s="1">
        <v>45574</v>
      </c>
      <c r="C230" t="s">
        <v>75</v>
      </c>
      <c r="D230" t="s">
        <v>76</v>
      </c>
      <c r="E230" s="2">
        <v>40156</v>
      </c>
      <c r="F230" t="s">
        <v>24</v>
      </c>
      <c r="G230" t="s">
        <v>66</v>
      </c>
      <c r="H230" t="s">
        <v>130</v>
      </c>
      <c r="I230" s="3">
        <v>4.3055555555555555E-2</v>
      </c>
      <c r="J230" t="s">
        <v>38</v>
      </c>
      <c r="K230">
        <v>86</v>
      </c>
      <c r="L230" s="3">
        <v>4.3055555555555555E-2</v>
      </c>
      <c r="M230" t="s">
        <v>39</v>
      </c>
    </row>
    <row r="231" spans="1:14" x14ac:dyDescent="0.35">
      <c r="A231" t="s">
        <v>64</v>
      </c>
      <c r="B231" s="1">
        <v>45574</v>
      </c>
      <c r="C231" t="s">
        <v>163</v>
      </c>
      <c r="D231" t="s">
        <v>62</v>
      </c>
      <c r="E231" s="2">
        <v>40163</v>
      </c>
      <c r="F231" t="s">
        <v>24</v>
      </c>
      <c r="G231" t="s">
        <v>66</v>
      </c>
      <c r="H231" t="s">
        <v>190</v>
      </c>
      <c r="I231" s="3">
        <v>4.3749999999999997E-2</v>
      </c>
      <c r="J231" t="s">
        <v>38</v>
      </c>
      <c r="K231">
        <v>55</v>
      </c>
      <c r="L231" s="3">
        <v>4.3055555555555555E-2</v>
      </c>
      <c r="M231" t="s">
        <v>31</v>
      </c>
      <c r="N231" t="s">
        <v>174</v>
      </c>
    </row>
    <row r="232" spans="1:14" x14ac:dyDescent="0.35">
      <c r="A232" t="s">
        <v>64</v>
      </c>
      <c r="B232" s="1">
        <v>45574</v>
      </c>
      <c r="C232" t="s">
        <v>163</v>
      </c>
      <c r="D232" t="s">
        <v>46</v>
      </c>
      <c r="E232" s="2">
        <v>40166</v>
      </c>
      <c r="F232" t="s">
        <v>24</v>
      </c>
      <c r="G232" t="s">
        <v>66</v>
      </c>
      <c r="H232" t="s">
        <v>191</v>
      </c>
      <c r="I232" t="s">
        <v>192</v>
      </c>
      <c r="J232" t="s">
        <v>38</v>
      </c>
      <c r="K232">
        <v>110</v>
      </c>
      <c r="L232" s="3">
        <v>4.3055555555555555E-2</v>
      </c>
      <c r="M232" t="s">
        <v>193</v>
      </c>
      <c r="N232" t="s">
        <v>155</v>
      </c>
    </row>
    <row r="233" spans="1:14" x14ac:dyDescent="0.35">
      <c r="A233" t="s">
        <v>14</v>
      </c>
      <c r="B233" s="1">
        <v>45574</v>
      </c>
      <c r="C233" t="s">
        <v>65</v>
      </c>
      <c r="D233">
        <v>15</v>
      </c>
      <c r="E233" s="2">
        <v>40166</v>
      </c>
      <c r="F233" t="s">
        <v>16</v>
      </c>
      <c r="G233" t="s">
        <v>112</v>
      </c>
      <c r="H233" t="s">
        <v>93</v>
      </c>
      <c r="I233" s="3">
        <v>0.25</v>
      </c>
      <c r="J233" t="s">
        <v>68</v>
      </c>
      <c r="K233">
        <v>50</v>
      </c>
      <c r="L233" s="3">
        <v>0.20833333333333334</v>
      </c>
      <c r="M233" t="s">
        <v>31</v>
      </c>
      <c r="N233" t="s">
        <v>194</v>
      </c>
    </row>
    <row r="234" spans="1:14" x14ac:dyDescent="0.35">
      <c r="A234" t="s">
        <v>64</v>
      </c>
      <c r="B234" s="1">
        <v>45574</v>
      </c>
      <c r="C234" t="s">
        <v>65</v>
      </c>
      <c r="D234">
        <v>17</v>
      </c>
      <c r="E234" s="2">
        <v>40188</v>
      </c>
      <c r="F234" t="s">
        <v>24</v>
      </c>
      <c r="G234" t="s">
        <v>66</v>
      </c>
      <c r="H234" t="s">
        <v>195</v>
      </c>
      <c r="I234" s="3">
        <v>3.472222222222222E-3</v>
      </c>
      <c r="J234" t="s">
        <v>38</v>
      </c>
      <c r="K234">
        <v>75</v>
      </c>
      <c r="L234" s="3">
        <v>2.7777777777777779E-3</v>
      </c>
      <c r="M234" t="s">
        <v>31</v>
      </c>
      <c r="N234" t="s">
        <v>153</v>
      </c>
    </row>
    <row r="235" spans="1:14" x14ac:dyDescent="0.35">
      <c r="A235" t="s">
        <v>64</v>
      </c>
      <c r="B235" s="1">
        <v>45574</v>
      </c>
      <c r="C235" t="s">
        <v>65</v>
      </c>
      <c r="D235">
        <v>17</v>
      </c>
      <c r="E235" s="2">
        <v>40188</v>
      </c>
      <c r="F235" t="s">
        <v>24</v>
      </c>
      <c r="G235" t="s">
        <v>66</v>
      </c>
      <c r="H235" t="s">
        <v>195</v>
      </c>
      <c r="I235" s="3">
        <v>3.472222222222222E-3</v>
      </c>
      <c r="J235" t="s">
        <v>38</v>
      </c>
      <c r="K235">
        <v>45</v>
      </c>
      <c r="L235" s="3">
        <v>2.0833333333333333E-3</v>
      </c>
      <c r="M235" t="s">
        <v>26</v>
      </c>
      <c r="N235" t="s">
        <v>153</v>
      </c>
    </row>
    <row r="236" spans="1:14" x14ac:dyDescent="0.35">
      <c r="A236" t="s">
        <v>64</v>
      </c>
      <c r="B236" s="1">
        <v>45574</v>
      </c>
      <c r="C236" t="s">
        <v>65</v>
      </c>
      <c r="D236">
        <v>17</v>
      </c>
      <c r="E236" s="2">
        <v>40188</v>
      </c>
      <c r="F236" t="s">
        <v>24</v>
      </c>
      <c r="G236" t="s">
        <v>66</v>
      </c>
      <c r="H236" t="s">
        <v>195</v>
      </c>
      <c r="I236" s="3">
        <v>3.472222222222222E-3</v>
      </c>
      <c r="J236" t="s">
        <v>38</v>
      </c>
      <c r="K236">
        <v>36</v>
      </c>
      <c r="L236" s="3">
        <v>6.9444444444444447E-4</v>
      </c>
      <c r="M236" t="s">
        <v>31</v>
      </c>
      <c r="N236" t="s">
        <v>153</v>
      </c>
    </row>
    <row r="237" spans="1:14" x14ac:dyDescent="0.35">
      <c r="A237" t="s">
        <v>64</v>
      </c>
      <c r="B237" s="1">
        <v>45574</v>
      </c>
      <c r="C237" t="s">
        <v>65</v>
      </c>
      <c r="D237">
        <v>18</v>
      </c>
      <c r="E237" s="2">
        <v>40194</v>
      </c>
      <c r="F237" t="s">
        <v>16</v>
      </c>
      <c r="G237" t="s">
        <v>66</v>
      </c>
      <c r="H237" t="s">
        <v>105</v>
      </c>
      <c r="I237" s="3">
        <v>0.16666666666666666</v>
      </c>
      <c r="J237" t="s">
        <v>38</v>
      </c>
      <c r="K237" t="s">
        <v>69</v>
      </c>
      <c r="L237" s="3">
        <v>0.16666666666666666</v>
      </c>
      <c r="M237" t="s">
        <v>31</v>
      </c>
      <c r="N237" t="s">
        <v>196</v>
      </c>
    </row>
    <row r="238" spans="1:14" x14ac:dyDescent="0.35">
      <c r="A238" t="s">
        <v>64</v>
      </c>
      <c r="B238" s="1">
        <v>45574</v>
      </c>
      <c r="C238" t="s">
        <v>65</v>
      </c>
      <c r="D238">
        <v>18</v>
      </c>
      <c r="E238" s="2">
        <v>40194</v>
      </c>
      <c r="F238" t="s">
        <v>16</v>
      </c>
      <c r="G238" t="s">
        <v>66</v>
      </c>
      <c r="H238" t="s">
        <v>105</v>
      </c>
      <c r="I238" s="3">
        <v>0.16666666666666666</v>
      </c>
      <c r="J238" t="s">
        <v>38</v>
      </c>
      <c r="K238">
        <v>85</v>
      </c>
      <c r="L238" s="3">
        <v>0.125</v>
      </c>
      <c r="M238" t="s">
        <v>31</v>
      </c>
      <c r="N238" t="s">
        <v>155</v>
      </c>
    </row>
    <row r="239" spans="1:14" x14ac:dyDescent="0.35">
      <c r="A239" t="s">
        <v>64</v>
      </c>
      <c r="B239" s="1">
        <v>45574</v>
      </c>
      <c r="C239" t="s">
        <v>65</v>
      </c>
      <c r="D239">
        <v>19</v>
      </c>
      <c r="E239" s="2">
        <v>40201</v>
      </c>
      <c r="F239" t="s">
        <v>24</v>
      </c>
      <c r="G239" t="s">
        <v>66</v>
      </c>
      <c r="H239" t="s">
        <v>197</v>
      </c>
      <c r="I239" s="3">
        <v>2.0833333333333333E-3</v>
      </c>
      <c r="J239" t="s">
        <v>38</v>
      </c>
      <c r="K239">
        <v>54</v>
      </c>
      <c r="L239" s="3">
        <v>2.0833333333333333E-3</v>
      </c>
      <c r="M239" t="s">
        <v>31</v>
      </c>
      <c r="N239" t="s">
        <v>174</v>
      </c>
    </row>
    <row r="240" spans="1:14" x14ac:dyDescent="0.35">
      <c r="A240" t="s">
        <v>14</v>
      </c>
      <c r="B240" s="1">
        <v>45574</v>
      </c>
      <c r="C240" t="s">
        <v>65</v>
      </c>
      <c r="D240">
        <v>19</v>
      </c>
      <c r="E240" s="2">
        <v>40202</v>
      </c>
      <c r="F240" t="s">
        <v>16</v>
      </c>
      <c r="G240" t="s">
        <v>112</v>
      </c>
      <c r="H240" t="s">
        <v>157</v>
      </c>
      <c r="I240" s="3">
        <v>8.3333333333333329E-2</v>
      </c>
      <c r="J240" t="s">
        <v>38</v>
      </c>
      <c r="K240">
        <v>35</v>
      </c>
      <c r="L240" s="3">
        <v>4.1666666666666664E-2</v>
      </c>
      <c r="M240" t="s">
        <v>26</v>
      </c>
      <c r="N240" t="s">
        <v>198</v>
      </c>
    </row>
    <row r="241" spans="1:14" x14ac:dyDescent="0.35">
      <c r="A241" t="s">
        <v>14</v>
      </c>
      <c r="B241" s="1">
        <v>45574</v>
      </c>
      <c r="C241" t="s">
        <v>65</v>
      </c>
      <c r="D241">
        <v>19</v>
      </c>
      <c r="E241" s="2">
        <v>40202</v>
      </c>
      <c r="F241" t="s">
        <v>16</v>
      </c>
      <c r="G241" t="s">
        <v>112</v>
      </c>
      <c r="H241" t="s">
        <v>157</v>
      </c>
      <c r="I241" s="3">
        <v>8.3333333333333329E-2</v>
      </c>
      <c r="J241" t="s">
        <v>38</v>
      </c>
      <c r="K241">
        <v>39</v>
      </c>
      <c r="L241" s="3">
        <v>8.3333333333333329E-2</v>
      </c>
      <c r="M241" t="s">
        <v>26</v>
      </c>
      <c r="N241" t="s">
        <v>176</v>
      </c>
    </row>
    <row r="242" spans="1:14" x14ac:dyDescent="0.35">
      <c r="A242" t="s">
        <v>64</v>
      </c>
      <c r="B242" s="1">
        <v>45574</v>
      </c>
      <c r="C242" t="s">
        <v>65</v>
      </c>
      <c r="D242">
        <v>21</v>
      </c>
      <c r="E242" s="2">
        <v>40215</v>
      </c>
      <c r="F242" t="s">
        <v>16</v>
      </c>
      <c r="G242" t="s">
        <v>66</v>
      </c>
      <c r="H242" t="s">
        <v>117</v>
      </c>
      <c r="I242" s="3">
        <v>8.4027777777777785E-2</v>
      </c>
      <c r="J242" t="s">
        <v>38</v>
      </c>
      <c r="K242">
        <v>7</v>
      </c>
      <c r="L242" s="3">
        <v>4.1666666666666664E-2</v>
      </c>
      <c r="M242" t="s">
        <v>31</v>
      </c>
      <c r="N242" t="s">
        <v>199</v>
      </c>
    </row>
    <row r="243" spans="1:14" x14ac:dyDescent="0.35">
      <c r="A243" t="s">
        <v>14</v>
      </c>
      <c r="B243" s="1">
        <v>45574</v>
      </c>
      <c r="C243" t="s">
        <v>65</v>
      </c>
      <c r="D243">
        <v>22</v>
      </c>
      <c r="E243" s="2">
        <v>40222</v>
      </c>
      <c r="F243" t="s">
        <v>24</v>
      </c>
      <c r="G243" t="s">
        <v>112</v>
      </c>
      <c r="H243" t="s">
        <v>178</v>
      </c>
      <c r="I243" s="3">
        <v>2.0833333333333333E-3</v>
      </c>
      <c r="K243">
        <v>71</v>
      </c>
      <c r="L243" s="3">
        <v>2.0833333333333333E-3</v>
      </c>
      <c r="M243" t="s">
        <v>31</v>
      </c>
      <c r="N243" t="s">
        <v>198</v>
      </c>
    </row>
    <row r="244" spans="1:14" x14ac:dyDescent="0.35">
      <c r="A244" t="s">
        <v>14</v>
      </c>
      <c r="B244" s="1">
        <v>45574</v>
      </c>
      <c r="C244" t="s">
        <v>65</v>
      </c>
      <c r="D244">
        <v>22</v>
      </c>
      <c r="E244" s="2">
        <v>40222</v>
      </c>
      <c r="F244" t="s">
        <v>24</v>
      </c>
      <c r="G244" t="s">
        <v>112</v>
      </c>
      <c r="H244" t="s">
        <v>178</v>
      </c>
      <c r="I244" s="3">
        <v>2.0833333333333333E-3</v>
      </c>
      <c r="K244">
        <v>69</v>
      </c>
      <c r="L244" s="3">
        <v>1.3888888888888889E-3</v>
      </c>
      <c r="M244" t="s">
        <v>22</v>
      </c>
      <c r="N244" t="s">
        <v>198</v>
      </c>
    </row>
    <row r="245" spans="1:14" x14ac:dyDescent="0.35">
      <c r="A245" t="s">
        <v>14</v>
      </c>
      <c r="B245" s="1">
        <v>45574</v>
      </c>
      <c r="C245" t="s">
        <v>65</v>
      </c>
      <c r="D245">
        <v>23</v>
      </c>
      <c r="E245" s="2">
        <v>40230</v>
      </c>
      <c r="F245" t="s">
        <v>16</v>
      </c>
      <c r="G245" t="s">
        <v>112</v>
      </c>
      <c r="H245" t="s">
        <v>180</v>
      </c>
      <c r="I245" s="3">
        <v>0.25138888888888888</v>
      </c>
      <c r="K245">
        <v>18</v>
      </c>
      <c r="L245" s="3">
        <v>4.1666666666666664E-2</v>
      </c>
      <c r="M245" t="s">
        <v>39</v>
      </c>
    </row>
    <row r="246" spans="1:14" x14ac:dyDescent="0.35">
      <c r="A246" t="s">
        <v>14</v>
      </c>
      <c r="B246" s="1">
        <v>45574</v>
      </c>
      <c r="C246" t="s">
        <v>65</v>
      </c>
      <c r="D246">
        <v>24</v>
      </c>
      <c r="E246" s="2">
        <v>40236</v>
      </c>
      <c r="F246" t="s">
        <v>24</v>
      </c>
      <c r="G246" t="s">
        <v>112</v>
      </c>
      <c r="H246" t="s">
        <v>195</v>
      </c>
      <c r="I246" s="3">
        <v>4.5138888888888888E-2</v>
      </c>
      <c r="K246">
        <v>78</v>
      </c>
      <c r="L246" s="3">
        <v>4.4444444444444446E-2</v>
      </c>
      <c r="M246" t="s">
        <v>83</v>
      </c>
    </row>
    <row r="247" spans="1:14" x14ac:dyDescent="0.35">
      <c r="A247" t="s">
        <v>64</v>
      </c>
      <c r="B247" s="1">
        <v>45574</v>
      </c>
      <c r="C247" t="s">
        <v>65</v>
      </c>
      <c r="D247">
        <v>24</v>
      </c>
      <c r="E247" s="2">
        <v>40236</v>
      </c>
      <c r="F247" t="s">
        <v>16</v>
      </c>
      <c r="G247" t="s">
        <v>66</v>
      </c>
      <c r="H247" t="s">
        <v>157</v>
      </c>
      <c r="I247" s="3">
        <v>8.4027777777777785E-2</v>
      </c>
      <c r="J247" t="s">
        <v>38</v>
      </c>
      <c r="K247">
        <v>84</v>
      </c>
      <c r="L247" s="3">
        <v>8.4027777777777785E-2</v>
      </c>
      <c r="M247" t="s">
        <v>26</v>
      </c>
      <c r="N247" t="s">
        <v>155</v>
      </c>
    </row>
    <row r="248" spans="1:14" x14ac:dyDescent="0.35">
      <c r="A248" t="s">
        <v>64</v>
      </c>
      <c r="B248" s="1">
        <v>45574</v>
      </c>
      <c r="C248" t="s">
        <v>65</v>
      </c>
      <c r="D248">
        <v>25</v>
      </c>
      <c r="E248" s="2">
        <v>40243</v>
      </c>
      <c r="F248" t="s">
        <v>24</v>
      </c>
      <c r="G248" t="s">
        <v>66</v>
      </c>
      <c r="H248" t="s">
        <v>131</v>
      </c>
      <c r="I248" s="3">
        <v>8.4722222222222227E-2</v>
      </c>
      <c r="J248" t="s">
        <v>38</v>
      </c>
      <c r="K248">
        <v>66</v>
      </c>
      <c r="L248" s="3">
        <v>8.4722222222222227E-2</v>
      </c>
      <c r="M248" t="s">
        <v>31</v>
      </c>
    </row>
    <row r="249" spans="1:14" x14ac:dyDescent="0.35">
      <c r="A249" t="s">
        <v>64</v>
      </c>
      <c r="B249" s="1">
        <v>45574</v>
      </c>
      <c r="C249" t="s">
        <v>65</v>
      </c>
      <c r="D249">
        <v>25</v>
      </c>
      <c r="E249" s="2">
        <v>40243</v>
      </c>
      <c r="F249" t="s">
        <v>24</v>
      </c>
      <c r="G249" t="s">
        <v>66</v>
      </c>
      <c r="H249" t="s">
        <v>131</v>
      </c>
      <c r="I249" s="3">
        <v>8.4722222222222227E-2</v>
      </c>
      <c r="J249" t="s">
        <v>38</v>
      </c>
      <c r="K249">
        <v>42</v>
      </c>
      <c r="L249" s="3">
        <v>4.2361111111111113E-2</v>
      </c>
      <c r="M249" t="s">
        <v>39</v>
      </c>
    </row>
    <row r="250" spans="1:14" x14ac:dyDescent="0.35">
      <c r="A250" t="s">
        <v>14</v>
      </c>
      <c r="B250" s="1">
        <v>45574</v>
      </c>
      <c r="C250" t="s">
        <v>65</v>
      </c>
      <c r="D250">
        <v>25</v>
      </c>
      <c r="E250" s="2">
        <v>40243</v>
      </c>
      <c r="F250" t="s">
        <v>16</v>
      </c>
      <c r="G250" t="s">
        <v>112</v>
      </c>
      <c r="H250" t="s">
        <v>105</v>
      </c>
      <c r="I250" s="3">
        <v>0.12638888888888888</v>
      </c>
      <c r="J250" t="s">
        <v>68</v>
      </c>
      <c r="K250">
        <v>59</v>
      </c>
      <c r="L250" s="3">
        <v>4.3055555555555555E-2</v>
      </c>
      <c r="M250" t="s">
        <v>31</v>
      </c>
    </row>
    <row r="251" spans="1:14" x14ac:dyDescent="0.35">
      <c r="A251" t="s">
        <v>14</v>
      </c>
      <c r="B251" s="1">
        <v>45574</v>
      </c>
      <c r="C251" t="s">
        <v>75</v>
      </c>
      <c r="D251" t="s">
        <v>143</v>
      </c>
      <c r="E251" s="2">
        <v>40247</v>
      </c>
      <c r="F251" t="s">
        <v>16</v>
      </c>
      <c r="G251" t="s">
        <v>112</v>
      </c>
      <c r="H251" t="s">
        <v>125</v>
      </c>
      <c r="I251" s="3">
        <v>4.2361111111111113E-2</v>
      </c>
      <c r="J251" t="s">
        <v>19</v>
      </c>
      <c r="K251">
        <v>6</v>
      </c>
      <c r="L251" s="3">
        <v>4.1666666666666664E-2</v>
      </c>
      <c r="M251" t="s">
        <v>31</v>
      </c>
      <c r="N251" t="s">
        <v>176</v>
      </c>
    </row>
    <row r="252" spans="1:14" x14ac:dyDescent="0.35">
      <c r="A252" t="s">
        <v>64</v>
      </c>
      <c r="B252" s="1">
        <v>45574</v>
      </c>
      <c r="C252" t="s">
        <v>65</v>
      </c>
      <c r="D252">
        <v>26</v>
      </c>
      <c r="E252" s="2">
        <v>40251</v>
      </c>
      <c r="F252" t="s">
        <v>16</v>
      </c>
      <c r="G252" t="s">
        <v>66</v>
      </c>
      <c r="H252" t="s">
        <v>148</v>
      </c>
      <c r="I252" s="3">
        <v>0.125</v>
      </c>
      <c r="J252" t="s">
        <v>68</v>
      </c>
      <c r="K252">
        <v>56</v>
      </c>
      <c r="L252" s="3">
        <v>4.1666666666666664E-2</v>
      </c>
      <c r="M252" t="s">
        <v>31</v>
      </c>
      <c r="N252" t="s">
        <v>106</v>
      </c>
    </row>
    <row r="253" spans="1:14" x14ac:dyDescent="0.35">
      <c r="A253" t="s">
        <v>64</v>
      </c>
      <c r="B253" s="1">
        <v>45574</v>
      </c>
      <c r="C253" t="s">
        <v>65</v>
      </c>
      <c r="D253">
        <v>26</v>
      </c>
      <c r="E253" s="2">
        <v>40251</v>
      </c>
      <c r="F253" t="s">
        <v>16</v>
      </c>
      <c r="G253" t="s">
        <v>66</v>
      </c>
      <c r="H253" t="s">
        <v>148</v>
      </c>
      <c r="I253" s="3">
        <v>0.125</v>
      </c>
      <c r="J253" t="s">
        <v>68</v>
      </c>
      <c r="K253">
        <v>80</v>
      </c>
      <c r="L253" s="3">
        <v>8.3333333333333329E-2</v>
      </c>
      <c r="M253" t="s">
        <v>31</v>
      </c>
      <c r="N253" t="s">
        <v>126</v>
      </c>
    </row>
    <row r="254" spans="1:14" x14ac:dyDescent="0.35">
      <c r="A254" t="s">
        <v>64</v>
      </c>
      <c r="B254" s="1">
        <v>45574</v>
      </c>
      <c r="C254" t="s">
        <v>65</v>
      </c>
      <c r="D254">
        <v>26</v>
      </c>
      <c r="E254" s="2">
        <v>40251</v>
      </c>
      <c r="F254" t="s">
        <v>16</v>
      </c>
      <c r="G254" t="s">
        <v>66</v>
      </c>
      <c r="H254" t="s">
        <v>148</v>
      </c>
      <c r="I254" s="3">
        <v>0.125</v>
      </c>
      <c r="J254" t="s">
        <v>68</v>
      </c>
      <c r="K254">
        <v>82</v>
      </c>
      <c r="L254" s="3">
        <v>0.125</v>
      </c>
      <c r="M254" t="s">
        <v>26</v>
      </c>
      <c r="N254" t="s">
        <v>126</v>
      </c>
    </row>
    <row r="255" spans="1:14" x14ac:dyDescent="0.35">
      <c r="A255" t="s">
        <v>14</v>
      </c>
      <c r="B255" s="1">
        <v>45574</v>
      </c>
      <c r="C255" t="s">
        <v>65</v>
      </c>
      <c r="D255">
        <v>26</v>
      </c>
      <c r="E255" s="2">
        <v>40251</v>
      </c>
      <c r="F255" t="s">
        <v>24</v>
      </c>
      <c r="G255" t="s">
        <v>112</v>
      </c>
      <c r="H255" t="s">
        <v>197</v>
      </c>
      <c r="I255" s="3">
        <v>4.4444444444444446E-2</v>
      </c>
      <c r="J255" t="s">
        <v>68</v>
      </c>
      <c r="K255">
        <v>29</v>
      </c>
      <c r="L255" s="3">
        <v>6.9444444444444447E-4</v>
      </c>
      <c r="M255" t="s">
        <v>39</v>
      </c>
    </row>
    <row r="256" spans="1:14" x14ac:dyDescent="0.35">
      <c r="A256" t="s">
        <v>64</v>
      </c>
      <c r="B256" s="1">
        <v>45574</v>
      </c>
      <c r="C256" t="s">
        <v>75</v>
      </c>
      <c r="D256" t="s">
        <v>143</v>
      </c>
      <c r="E256" s="2">
        <v>40254</v>
      </c>
      <c r="F256" t="s">
        <v>16</v>
      </c>
      <c r="G256" t="s">
        <v>66</v>
      </c>
      <c r="H256" t="s">
        <v>128</v>
      </c>
      <c r="I256" s="3">
        <v>0.16666666666666666</v>
      </c>
      <c r="J256" t="s">
        <v>68</v>
      </c>
      <c r="K256">
        <v>13</v>
      </c>
      <c r="L256" s="3">
        <v>4.1666666666666664E-2</v>
      </c>
      <c r="M256" t="s">
        <v>31</v>
      </c>
      <c r="N256" t="s">
        <v>199</v>
      </c>
    </row>
    <row r="257" spans="1:14" x14ac:dyDescent="0.35">
      <c r="A257" t="s">
        <v>64</v>
      </c>
      <c r="B257" s="1">
        <v>45574</v>
      </c>
      <c r="C257" t="s">
        <v>75</v>
      </c>
      <c r="D257" t="s">
        <v>143</v>
      </c>
      <c r="E257" s="2">
        <v>40254</v>
      </c>
      <c r="F257" t="s">
        <v>16</v>
      </c>
      <c r="G257" t="s">
        <v>66</v>
      </c>
      <c r="H257" t="s">
        <v>128</v>
      </c>
      <c r="I257" s="3">
        <v>0.16666666666666666</v>
      </c>
      <c r="J257" t="s">
        <v>68</v>
      </c>
      <c r="K257">
        <v>56</v>
      </c>
      <c r="L257" s="3">
        <v>0.125</v>
      </c>
      <c r="M257" t="s">
        <v>31</v>
      </c>
      <c r="N257" t="s">
        <v>155</v>
      </c>
    </row>
    <row r="258" spans="1:14" x14ac:dyDescent="0.35">
      <c r="A258" t="s">
        <v>64</v>
      </c>
      <c r="B258" s="1">
        <v>45574</v>
      </c>
      <c r="C258" t="s">
        <v>65</v>
      </c>
      <c r="D258">
        <v>27</v>
      </c>
      <c r="E258" s="2">
        <v>40258</v>
      </c>
      <c r="F258" t="s">
        <v>24</v>
      </c>
      <c r="G258" t="s">
        <v>66</v>
      </c>
      <c r="H258" t="s">
        <v>93</v>
      </c>
      <c r="I258" s="3">
        <v>8.611111111111111E-2</v>
      </c>
      <c r="J258" t="s">
        <v>38</v>
      </c>
      <c r="K258">
        <v>4</v>
      </c>
      <c r="L258" s="3">
        <v>6.9444444444444447E-4</v>
      </c>
      <c r="M258" t="s">
        <v>22</v>
      </c>
      <c r="N258" t="s">
        <v>186</v>
      </c>
    </row>
    <row r="259" spans="1:14" x14ac:dyDescent="0.35">
      <c r="A259" t="s">
        <v>64</v>
      </c>
      <c r="B259" s="1">
        <v>45574</v>
      </c>
      <c r="C259" t="s">
        <v>65</v>
      </c>
      <c r="D259">
        <v>27</v>
      </c>
      <c r="E259" s="2">
        <v>40258</v>
      </c>
      <c r="F259" t="s">
        <v>24</v>
      </c>
      <c r="G259" t="s">
        <v>66</v>
      </c>
      <c r="H259" t="s">
        <v>93</v>
      </c>
      <c r="I259" s="3">
        <v>8.611111111111111E-2</v>
      </c>
      <c r="J259" t="s">
        <v>38</v>
      </c>
      <c r="K259">
        <v>65</v>
      </c>
      <c r="L259" s="3">
        <v>1.3888888888888889E-3</v>
      </c>
      <c r="M259" t="s">
        <v>31</v>
      </c>
    </row>
    <row r="260" spans="1:14" x14ac:dyDescent="0.35">
      <c r="A260" t="s">
        <v>64</v>
      </c>
      <c r="B260" s="1">
        <v>45574</v>
      </c>
      <c r="C260" t="s">
        <v>65</v>
      </c>
      <c r="D260">
        <v>27</v>
      </c>
      <c r="E260" s="2">
        <v>40258</v>
      </c>
      <c r="F260" t="s">
        <v>24</v>
      </c>
      <c r="G260" t="s">
        <v>66</v>
      </c>
      <c r="H260" t="s">
        <v>93</v>
      </c>
      <c r="I260" s="3">
        <v>8.611111111111111E-2</v>
      </c>
      <c r="J260" t="s">
        <v>38</v>
      </c>
      <c r="K260">
        <v>78</v>
      </c>
      <c r="L260" s="3">
        <v>2.0833333333333333E-3</v>
      </c>
      <c r="M260" t="s">
        <v>31</v>
      </c>
      <c r="N260" t="s">
        <v>99</v>
      </c>
    </row>
    <row r="261" spans="1:14" x14ac:dyDescent="0.35">
      <c r="A261" t="s">
        <v>14</v>
      </c>
      <c r="B261" s="1">
        <v>45574</v>
      </c>
      <c r="C261" t="s">
        <v>65</v>
      </c>
      <c r="D261">
        <v>28</v>
      </c>
      <c r="E261" s="2">
        <v>40262</v>
      </c>
      <c r="F261" t="s">
        <v>24</v>
      </c>
      <c r="G261" t="s">
        <v>112</v>
      </c>
      <c r="H261" t="s">
        <v>117</v>
      </c>
      <c r="I261" s="3">
        <v>8.611111111111111E-2</v>
      </c>
      <c r="K261">
        <v>13</v>
      </c>
      <c r="L261" s="3">
        <v>6.9444444444444447E-4</v>
      </c>
      <c r="M261" t="s">
        <v>39</v>
      </c>
    </row>
    <row r="262" spans="1:14" x14ac:dyDescent="0.35">
      <c r="A262" t="s">
        <v>14</v>
      </c>
      <c r="B262" s="1">
        <v>45574</v>
      </c>
      <c r="C262" t="s">
        <v>65</v>
      </c>
      <c r="D262">
        <v>28</v>
      </c>
      <c r="E262" s="2">
        <v>40262</v>
      </c>
      <c r="F262" t="s">
        <v>24</v>
      </c>
      <c r="G262" t="s">
        <v>112</v>
      </c>
      <c r="H262" t="s">
        <v>117</v>
      </c>
      <c r="I262" s="3">
        <v>8.611111111111111E-2</v>
      </c>
      <c r="K262">
        <v>36</v>
      </c>
      <c r="L262" s="3">
        <v>2.7777777777777779E-3</v>
      </c>
      <c r="M262" t="s">
        <v>26</v>
      </c>
    </row>
    <row r="263" spans="1:14" x14ac:dyDescent="0.35">
      <c r="A263" t="s">
        <v>64</v>
      </c>
      <c r="B263" s="1">
        <v>45574</v>
      </c>
      <c r="C263" t="s">
        <v>65</v>
      </c>
      <c r="D263">
        <v>30</v>
      </c>
      <c r="E263" s="2">
        <v>40271</v>
      </c>
      <c r="F263" t="s">
        <v>16</v>
      </c>
      <c r="G263" t="s">
        <v>66</v>
      </c>
      <c r="H263" t="s">
        <v>86</v>
      </c>
      <c r="I263" s="3">
        <v>0.1673611111111111</v>
      </c>
      <c r="J263" t="s">
        <v>68</v>
      </c>
      <c r="K263">
        <v>67</v>
      </c>
      <c r="L263" s="3">
        <v>0.16666666666666666</v>
      </c>
      <c r="M263" t="s">
        <v>31</v>
      </c>
      <c r="N263" t="s">
        <v>186</v>
      </c>
    </row>
    <row r="264" spans="1:14" x14ac:dyDescent="0.35">
      <c r="A264" t="s">
        <v>14</v>
      </c>
      <c r="B264" s="1">
        <v>45574</v>
      </c>
      <c r="C264" t="s">
        <v>65</v>
      </c>
      <c r="D264">
        <v>30</v>
      </c>
      <c r="E264" s="2">
        <v>40272</v>
      </c>
      <c r="F264" t="s">
        <v>24</v>
      </c>
      <c r="G264" t="s">
        <v>112</v>
      </c>
      <c r="H264" t="s">
        <v>78</v>
      </c>
      <c r="I264" s="3">
        <v>1.3888888888888889E-3</v>
      </c>
      <c r="K264">
        <v>23</v>
      </c>
      <c r="L264" s="3">
        <v>6.9444444444444447E-4</v>
      </c>
      <c r="M264" t="s">
        <v>83</v>
      </c>
    </row>
    <row r="265" spans="1:14" x14ac:dyDescent="0.35">
      <c r="A265" t="s">
        <v>64</v>
      </c>
      <c r="B265" s="1">
        <v>45574</v>
      </c>
      <c r="C265" t="s">
        <v>75</v>
      </c>
      <c r="D265" t="s">
        <v>92</v>
      </c>
      <c r="E265" s="2">
        <v>40274</v>
      </c>
      <c r="F265" t="s">
        <v>16</v>
      </c>
      <c r="G265" t="s">
        <v>66</v>
      </c>
      <c r="H265" t="s">
        <v>54</v>
      </c>
      <c r="I265" s="3">
        <v>0.1673611111111111</v>
      </c>
      <c r="J265" t="s">
        <v>68</v>
      </c>
      <c r="K265">
        <v>88</v>
      </c>
      <c r="L265" s="3">
        <v>0.1673611111111111</v>
      </c>
      <c r="M265" t="s">
        <v>31</v>
      </c>
      <c r="N265" t="s">
        <v>106</v>
      </c>
    </row>
    <row r="266" spans="1:14" x14ac:dyDescent="0.35">
      <c r="A266" t="s">
        <v>64</v>
      </c>
      <c r="B266" s="1">
        <v>45574</v>
      </c>
      <c r="C266" t="s">
        <v>75</v>
      </c>
      <c r="D266" t="s">
        <v>92</v>
      </c>
      <c r="E266" s="2">
        <v>40274</v>
      </c>
      <c r="F266" t="s">
        <v>16</v>
      </c>
      <c r="G266" t="s">
        <v>66</v>
      </c>
      <c r="H266" t="s">
        <v>54</v>
      </c>
      <c r="I266" s="3">
        <v>0.1673611111111111</v>
      </c>
      <c r="J266" t="s">
        <v>68</v>
      </c>
      <c r="K266">
        <v>21</v>
      </c>
      <c r="L266" s="3">
        <v>4.2361111111111113E-2</v>
      </c>
      <c r="M266" t="s">
        <v>31</v>
      </c>
    </row>
    <row r="267" spans="1:14" x14ac:dyDescent="0.35">
      <c r="A267" t="s">
        <v>64</v>
      </c>
      <c r="B267" s="1">
        <v>45574</v>
      </c>
      <c r="C267" t="s">
        <v>75</v>
      </c>
      <c r="D267" t="s">
        <v>92</v>
      </c>
      <c r="E267" s="2">
        <v>40274</v>
      </c>
      <c r="F267" t="s">
        <v>16</v>
      </c>
      <c r="G267" t="s">
        <v>66</v>
      </c>
      <c r="H267" t="s">
        <v>54</v>
      </c>
      <c r="I267" s="3">
        <v>0.1673611111111111</v>
      </c>
      <c r="J267" t="s">
        <v>68</v>
      </c>
      <c r="K267">
        <v>42</v>
      </c>
      <c r="L267" s="3">
        <v>0.12569444444444444</v>
      </c>
      <c r="M267" t="s">
        <v>31</v>
      </c>
      <c r="N267" t="s">
        <v>200</v>
      </c>
    </row>
    <row r="268" spans="1:14" x14ac:dyDescent="0.35">
      <c r="A268" t="s">
        <v>64</v>
      </c>
      <c r="B268" s="1">
        <v>45574</v>
      </c>
      <c r="C268" t="s">
        <v>75</v>
      </c>
      <c r="D268" t="s">
        <v>92</v>
      </c>
      <c r="E268" s="2">
        <v>40274</v>
      </c>
      <c r="F268" t="s">
        <v>16</v>
      </c>
      <c r="G268" t="s">
        <v>66</v>
      </c>
      <c r="H268" t="s">
        <v>54</v>
      </c>
      <c r="I268" s="3">
        <v>0.1673611111111111</v>
      </c>
      <c r="J268" t="s">
        <v>68</v>
      </c>
      <c r="K268">
        <v>37</v>
      </c>
      <c r="L268" s="3">
        <v>8.4027777777777785E-2</v>
      </c>
      <c r="M268" t="s">
        <v>26</v>
      </c>
      <c r="N268" t="s">
        <v>186</v>
      </c>
    </row>
    <row r="269" spans="1:14" x14ac:dyDescent="0.35">
      <c r="A269" t="s">
        <v>64</v>
      </c>
      <c r="B269" s="1">
        <v>45574</v>
      </c>
      <c r="C269" t="s">
        <v>65</v>
      </c>
      <c r="D269">
        <v>31</v>
      </c>
      <c r="E269" s="2">
        <v>40278</v>
      </c>
      <c r="F269" t="s">
        <v>24</v>
      </c>
      <c r="G269" t="s">
        <v>66</v>
      </c>
      <c r="H269" t="s">
        <v>112</v>
      </c>
      <c r="I269" s="3">
        <v>1.3888888888888889E-3</v>
      </c>
      <c r="J269" t="s">
        <v>68</v>
      </c>
      <c r="K269">
        <v>32</v>
      </c>
      <c r="L269" s="3">
        <v>6.9444444444444447E-4</v>
      </c>
      <c r="M269" t="s">
        <v>26</v>
      </c>
      <c r="N269" t="s">
        <v>106</v>
      </c>
    </row>
    <row r="270" spans="1:14" x14ac:dyDescent="0.35">
      <c r="A270" t="s">
        <v>14</v>
      </c>
      <c r="B270" s="1">
        <v>45574</v>
      </c>
      <c r="C270" t="s">
        <v>65</v>
      </c>
      <c r="D270">
        <v>32</v>
      </c>
      <c r="E270" s="2">
        <v>40283</v>
      </c>
      <c r="F270" t="s">
        <v>24</v>
      </c>
      <c r="G270" t="s">
        <v>112</v>
      </c>
      <c r="H270" t="s">
        <v>187</v>
      </c>
      <c r="I270" s="3">
        <v>4.3055555555555555E-2</v>
      </c>
      <c r="K270">
        <v>26</v>
      </c>
      <c r="L270" s="3">
        <v>4.2361111111111113E-2</v>
      </c>
      <c r="M270" t="s">
        <v>31</v>
      </c>
    </row>
    <row r="271" spans="1:14" x14ac:dyDescent="0.35">
      <c r="A271" t="s">
        <v>14</v>
      </c>
      <c r="B271" s="1">
        <v>45574</v>
      </c>
      <c r="C271" t="s">
        <v>65</v>
      </c>
      <c r="D271">
        <v>33</v>
      </c>
      <c r="E271" s="2">
        <v>40286</v>
      </c>
      <c r="F271" t="s">
        <v>16</v>
      </c>
      <c r="G271" t="s">
        <v>112</v>
      </c>
      <c r="H271" t="s">
        <v>148</v>
      </c>
      <c r="I271" s="3">
        <v>8.3333333333333329E-2</v>
      </c>
      <c r="J271" t="s">
        <v>68</v>
      </c>
      <c r="K271">
        <v>77</v>
      </c>
      <c r="L271" s="3">
        <v>8.3333333333333329E-2</v>
      </c>
      <c r="M271" t="s">
        <v>26</v>
      </c>
      <c r="N271" t="s">
        <v>201</v>
      </c>
    </row>
    <row r="272" spans="1:14" x14ac:dyDescent="0.35">
      <c r="A272" t="s">
        <v>64</v>
      </c>
      <c r="B272" s="1">
        <v>45574</v>
      </c>
      <c r="C272" t="s">
        <v>65</v>
      </c>
      <c r="D272">
        <v>35</v>
      </c>
      <c r="E272" s="2">
        <v>40299</v>
      </c>
      <c r="F272" t="s">
        <v>24</v>
      </c>
      <c r="G272" t="s">
        <v>66</v>
      </c>
      <c r="H272" t="s">
        <v>180</v>
      </c>
      <c r="I272" s="3">
        <v>4.4444444444444446E-2</v>
      </c>
      <c r="J272" t="s">
        <v>38</v>
      </c>
      <c r="K272">
        <v>18</v>
      </c>
      <c r="L272" s="3">
        <v>6.9444444444444447E-4</v>
      </c>
      <c r="M272" t="s">
        <v>31</v>
      </c>
      <c r="N272" t="s">
        <v>106</v>
      </c>
    </row>
    <row r="273" spans="1:14" x14ac:dyDescent="0.35">
      <c r="A273" t="s">
        <v>64</v>
      </c>
      <c r="B273" s="1">
        <v>45574</v>
      </c>
      <c r="C273" t="s">
        <v>65</v>
      </c>
      <c r="D273">
        <v>35</v>
      </c>
      <c r="E273" s="2">
        <v>40299</v>
      </c>
      <c r="F273" t="s">
        <v>24</v>
      </c>
      <c r="G273" t="s">
        <v>66</v>
      </c>
      <c r="H273" t="s">
        <v>180</v>
      </c>
      <c r="I273" s="3">
        <v>4.4444444444444446E-2</v>
      </c>
      <c r="J273" t="s">
        <v>38</v>
      </c>
      <c r="K273">
        <v>87</v>
      </c>
      <c r="L273" s="3">
        <v>4.4444444444444446E-2</v>
      </c>
      <c r="M273" t="s">
        <v>31</v>
      </c>
      <c r="N273" t="s">
        <v>155</v>
      </c>
    </row>
    <row r="274" spans="1:14" x14ac:dyDescent="0.35">
      <c r="A274" t="s">
        <v>14</v>
      </c>
      <c r="B274" s="1">
        <v>45574</v>
      </c>
      <c r="C274" t="s">
        <v>65</v>
      </c>
      <c r="D274">
        <v>35</v>
      </c>
      <c r="E274" s="2">
        <v>40300</v>
      </c>
      <c r="F274" t="s">
        <v>16</v>
      </c>
      <c r="G274" t="s">
        <v>112</v>
      </c>
      <c r="H274" t="s">
        <v>100</v>
      </c>
      <c r="I274" s="3">
        <v>0.12638888888888888</v>
      </c>
      <c r="K274">
        <v>89</v>
      </c>
      <c r="L274" s="3">
        <v>0.12638888888888888</v>
      </c>
      <c r="M274" t="s">
        <v>22</v>
      </c>
      <c r="N274" t="s">
        <v>188</v>
      </c>
    </row>
    <row r="275" spans="1:14" x14ac:dyDescent="0.35">
      <c r="A275" t="s">
        <v>14</v>
      </c>
      <c r="B275" s="1">
        <v>45574</v>
      </c>
      <c r="C275" t="s">
        <v>65</v>
      </c>
      <c r="D275">
        <v>35</v>
      </c>
      <c r="E275" s="2">
        <v>40300</v>
      </c>
      <c r="F275" t="s">
        <v>16</v>
      </c>
      <c r="G275" t="s">
        <v>112</v>
      </c>
      <c r="H275" t="s">
        <v>100</v>
      </c>
      <c r="I275" s="3">
        <v>0.12638888888888888</v>
      </c>
      <c r="K275">
        <v>25</v>
      </c>
      <c r="L275" s="3">
        <v>4.2361111111111113E-2</v>
      </c>
      <c r="M275" t="s">
        <v>26</v>
      </c>
    </row>
    <row r="276" spans="1:14" x14ac:dyDescent="0.35">
      <c r="A276" t="s">
        <v>64</v>
      </c>
      <c r="B276" s="1">
        <v>45574</v>
      </c>
      <c r="C276" t="s">
        <v>65</v>
      </c>
      <c r="D276">
        <v>36</v>
      </c>
      <c r="E276" s="2">
        <v>40302</v>
      </c>
      <c r="F276" t="s">
        <v>16</v>
      </c>
      <c r="G276" t="s">
        <v>66</v>
      </c>
      <c r="H276" t="s">
        <v>195</v>
      </c>
      <c r="I276" s="3">
        <v>0.1673611111111111</v>
      </c>
      <c r="J276" t="s">
        <v>38</v>
      </c>
      <c r="K276" t="s">
        <v>136</v>
      </c>
      <c r="L276" s="3">
        <v>0.1673611111111111</v>
      </c>
      <c r="M276" t="s">
        <v>26</v>
      </c>
      <c r="N276" t="s">
        <v>155</v>
      </c>
    </row>
    <row r="277" spans="1:14" x14ac:dyDescent="0.35">
      <c r="A277" t="s">
        <v>64</v>
      </c>
      <c r="B277" s="1">
        <v>45574</v>
      </c>
      <c r="C277" t="s">
        <v>65</v>
      </c>
      <c r="D277">
        <v>36</v>
      </c>
      <c r="E277" s="2">
        <v>40302</v>
      </c>
      <c r="F277" t="s">
        <v>16</v>
      </c>
      <c r="G277" t="s">
        <v>66</v>
      </c>
      <c r="H277" t="s">
        <v>195</v>
      </c>
      <c r="I277" s="3">
        <v>0.1673611111111111</v>
      </c>
      <c r="J277" t="s">
        <v>38</v>
      </c>
      <c r="K277">
        <v>16</v>
      </c>
      <c r="L277" s="3">
        <v>4.1666666666666664E-2</v>
      </c>
      <c r="M277" t="s">
        <v>26</v>
      </c>
      <c r="N277" t="s">
        <v>174</v>
      </c>
    </row>
    <row r="278" spans="1:14" x14ac:dyDescent="0.35">
      <c r="A278" t="s">
        <v>14</v>
      </c>
      <c r="B278" s="1">
        <v>45574</v>
      </c>
      <c r="C278" t="s">
        <v>65</v>
      </c>
      <c r="D278">
        <v>36</v>
      </c>
      <c r="E278" s="2">
        <v>40303</v>
      </c>
      <c r="F278" t="s">
        <v>24</v>
      </c>
      <c r="G278" t="s">
        <v>112</v>
      </c>
      <c r="H278" t="s">
        <v>89</v>
      </c>
      <c r="I278" s="3">
        <v>4.4444444444444446E-2</v>
      </c>
      <c r="K278">
        <v>71</v>
      </c>
      <c r="L278" s="3">
        <v>4.3749999999999997E-2</v>
      </c>
      <c r="M278" t="s">
        <v>26</v>
      </c>
    </row>
    <row r="279" spans="1:14" x14ac:dyDescent="0.35">
      <c r="A279" t="s">
        <v>14</v>
      </c>
      <c r="B279" s="1">
        <v>45574</v>
      </c>
      <c r="C279" t="s">
        <v>65</v>
      </c>
      <c r="D279">
        <v>36</v>
      </c>
      <c r="E279" s="2">
        <v>40303</v>
      </c>
      <c r="F279" t="s">
        <v>24</v>
      </c>
      <c r="G279" t="s">
        <v>112</v>
      </c>
      <c r="H279" t="s">
        <v>89</v>
      </c>
      <c r="I279" s="3">
        <v>4.4444444444444446E-2</v>
      </c>
      <c r="K279">
        <v>26</v>
      </c>
      <c r="L279" s="3">
        <v>4.2361111111111113E-2</v>
      </c>
      <c r="M279" t="s">
        <v>26</v>
      </c>
      <c r="N279" t="s">
        <v>202</v>
      </c>
    </row>
    <row r="280" spans="1:14" x14ac:dyDescent="0.35">
      <c r="A280" t="s">
        <v>14</v>
      </c>
      <c r="B280" s="1">
        <v>45574</v>
      </c>
      <c r="C280" t="s">
        <v>65</v>
      </c>
      <c r="D280">
        <v>36</v>
      </c>
      <c r="E280" s="2">
        <v>40303</v>
      </c>
      <c r="F280" t="s">
        <v>24</v>
      </c>
      <c r="G280" t="s">
        <v>112</v>
      </c>
      <c r="H280" t="s">
        <v>89</v>
      </c>
      <c r="I280" s="3">
        <v>4.4444444444444446E-2</v>
      </c>
      <c r="K280">
        <v>56</v>
      </c>
      <c r="L280" s="3">
        <v>4.3055555555555555E-2</v>
      </c>
      <c r="M280" t="s">
        <v>26</v>
      </c>
      <c r="N280" t="s">
        <v>202</v>
      </c>
    </row>
    <row r="281" spans="1:14" x14ac:dyDescent="0.35">
      <c r="A281" t="s">
        <v>64</v>
      </c>
      <c r="B281" s="1">
        <v>45574</v>
      </c>
      <c r="C281" t="s">
        <v>65</v>
      </c>
      <c r="D281">
        <v>37</v>
      </c>
      <c r="E281" s="2">
        <v>40306</v>
      </c>
      <c r="F281" t="s">
        <v>24</v>
      </c>
      <c r="G281" t="s">
        <v>66</v>
      </c>
      <c r="H281" t="s">
        <v>105</v>
      </c>
      <c r="I281" s="3">
        <v>8.5416666666666669E-2</v>
      </c>
      <c r="J281" t="s">
        <v>38</v>
      </c>
      <c r="K281">
        <v>5</v>
      </c>
      <c r="L281" s="3">
        <v>6.9444444444444447E-4</v>
      </c>
      <c r="M281" t="s">
        <v>31</v>
      </c>
      <c r="N281" t="s">
        <v>203</v>
      </c>
    </row>
    <row r="282" spans="1:14" x14ac:dyDescent="0.35">
      <c r="A282" t="s">
        <v>14</v>
      </c>
      <c r="B282" s="1">
        <v>45574</v>
      </c>
      <c r="C282" t="s">
        <v>65</v>
      </c>
      <c r="D282">
        <v>37</v>
      </c>
      <c r="E282" s="2">
        <v>40306</v>
      </c>
      <c r="F282" t="s">
        <v>16</v>
      </c>
      <c r="G282" t="s">
        <v>112</v>
      </c>
      <c r="H282" t="s">
        <v>86</v>
      </c>
      <c r="I282" s="3">
        <v>0.20902777777777778</v>
      </c>
      <c r="J282" t="s">
        <v>68</v>
      </c>
      <c r="K282">
        <v>21</v>
      </c>
      <c r="L282" s="3">
        <v>4.1666666666666664E-2</v>
      </c>
      <c r="M282" t="s">
        <v>83</v>
      </c>
    </row>
    <row r="283" spans="1:14" x14ac:dyDescent="0.35">
      <c r="A283" t="s">
        <v>64</v>
      </c>
      <c r="B283" s="1">
        <v>45574</v>
      </c>
      <c r="C283" t="s">
        <v>65</v>
      </c>
      <c r="D283">
        <v>38</v>
      </c>
      <c r="E283" s="2">
        <v>40314</v>
      </c>
      <c r="F283" t="s">
        <v>16</v>
      </c>
      <c r="G283" t="s">
        <v>66</v>
      </c>
      <c r="H283" t="s">
        <v>197</v>
      </c>
      <c r="I283" s="3">
        <v>0.16666666666666666</v>
      </c>
      <c r="J283" t="s">
        <v>38</v>
      </c>
      <c r="K283">
        <v>74</v>
      </c>
      <c r="L283" s="3">
        <v>0.16666666666666666</v>
      </c>
      <c r="M283" t="s">
        <v>31</v>
      </c>
      <c r="N283" t="s">
        <v>199</v>
      </c>
    </row>
    <row r="284" spans="1:14" x14ac:dyDescent="0.35">
      <c r="A284" t="s">
        <v>64</v>
      </c>
      <c r="B284" s="1">
        <v>45574</v>
      </c>
      <c r="C284" t="s">
        <v>65</v>
      </c>
      <c r="D284">
        <v>38</v>
      </c>
      <c r="E284" s="2">
        <v>40314</v>
      </c>
      <c r="F284" t="s">
        <v>16</v>
      </c>
      <c r="G284" t="s">
        <v>66</v>
      </c>
      <c r="H284" t="s">
        <v>197</v>
      </c>
      <c r="I284" s="3">
        <v>0.16666666666666666</v>
      </c>
      <c r="J284" t="s">
        <v>38</v>
      </c>
      <c r="K284">
        <v>61</v>
      </c>
      <c r="L284" s="3">
        <v>0.125</v>
      </c>
      <c r="M284" t="s">
        <v>26</v>
      </c>
      <c r="N284" t="s">
        <v>199</v>
      </c>
    </row>
    <row r="285" spans="1:14" x14ac:dyDescent="0.35">
      <c r="A285" t="s">
        <v>64</v>
      </c>
      <c r="B285" s="1">
        <v>45606</v>
      </c>
      <c r="C285" t="s">
        <v>172</v>
      </c>
      <c r="D285" t="s">
        <v>173</v>
      </c>
      <c r="E285" s="2">
        <v>40411</v>
      </c>
      <c r="F285" t="s">
        <v>16</v>
      </c>
      <c r="G285" t="s">
        <v>66</v>
      </c>
      <c r="H285" t="s">
        <v>105</v>
      </c>
      <c r="I285" s="3">
        <v>0.16666666666666666</v>
      </c>
      <c r="J285" t="s">
        <v>38</v>
      </c>
      <c r="K285" t="s">
        <v>69</v>
      </c>
      <c r="L285" s="3">
        <v>0.16666666666666666</v>
      </c>
      <c r="M285" t="s">
        <v>31</v>
      </c>
      <c r="N285" t="s">
        <v>99</v>
      </c>
    </row>
    <row r="286" spans="1:14" x14ac:dyDescent="0.35">
      <c r="A286" t="s">
        <v>64</v>
      </c>
      <c r="B286" s="1">
        <v>45606</v>
      </c>
      <c r="C286" t="s">
        <v>172</v>
      </c>
      <c r="D286" t="s">
        <v>173</v>
      </c>
      <c r="E286" s="2">
        <v>40411</v>
      </c>
      <c r="F286" t="s">
        <v>16</v>
      </c>
      <c r="G286" t="s">
        <v>66</v>
      </c>
      <c r="H286" t="s">
        <v>105</v>
      </c>
      <c r="I286" s="3">
        <v>0.16666666666666666</v>
      </c>
      <c r="J286" t="s">
        <v>38</v>
      </c>
      <c r="K286">
        <v>25</v>
      </c>
      <c r="L286" s="3">
        <v>8.3333333333333329E-2</v>
      </c>
      <c r="M286" t="s">
        <v>31</v>
      </c>
      <c r="N286" t="s">
        <v>106</v>
      </c>
    </row>
    <row r="287" spans="1:14" x14ac:dyDescent="0.35">
      <c r="A287" t="s">
        <v>64</v>
      </c>
      <c r="B287" s="1">
        <v>45606</v>
      </c>
      <c r="C287" t="s">
        <v>172</v>
      </c>
      <c r="D287" t="s">
        <v>173</v>
      </c>
      <c r="E287" s="2">
        <v>40411</v>
      </c>
      <c r="F287" t="s">
        <v>16</v>
      </c>
      <c r="G287" t="s">
        <v>66</v>
      </c>
      <c r="H287" t="s">
        <v>105</v>
      </c>
      <c r="I287" s="3">
        <v>0.16666666666666666</v>
      </c>
      <c r="J287" t="s">
        <v>38</v>
      </c>
      <c r="K287">
        <v>43</v>
      </c>
      <c r="L287" s="3">
        <v>0.125</v>
      </c>
      <c r="M287" t="s">
        <v>26</v>
      </c>
      <c r="N287" t="s">
        <v>155</v>
      </c>
    </row>
    <row r="288" spans="1:14" x14ac:dyDescent="0.35">
      <c r="A288" t="s">
        <v>64</v>
      </c>
      <c r="B288" s="1">
        <v>45606</v>
      </c>
      <c r="C288" t="s">
        <v>65</v>
      </c>
      <c r="D288">
        <v>1</v>
      </c>
      <c r="E288" s="2">
        <v>40419</v>
      </c>
      <c r="F288" t="s">
        <v>24</v>
      </c>
      <c r="G288" t="s">
        <v>66</v>
      </c>
      <c r="H288" t="s">
        <v>78</v>
      </c>
      <c r="I288" s="3">
        <v>2.0833333333333333E-3</v>
      </c>
      <c r="J288" t="s">
        <v>38</v>
      </c>
      <c r="K288">
        <v>3</v>
      </c>
      <c r="L288" s="3">
        <v>6.9444444444444447E-4</v>
      </c>
      <c r="M288" t="s">
        <v>31</v>
      </c>
      <c r="N288" t="s">
        <v>99</v>
      </c>
    </row>
    <row r="289" spans="1:14" x14ac:dyDescent="0.35">
      <c r="A289" t="s">
        <v>64</v>
      </c>
      <c r="B289" s="1">
        <v>45606</v>
      </c>
      <c r="C289" t="s">
        <v>75</v>
      </c>
      <c r="D289" t="s">
        <v>76</v>
      </c>
      <c r="E289" s="2">
        <v>40435</v>
      </c>
      <c r="F289" t="s">
        <v>16</v>
      </c>
      <c r="G289" t="s">
        <v>66</v>
      </c>
      <c r="H289" t="s">
        <v>77</v>
      </c>
      <c r="I289" s="3">
        <v>0.20902777777777778</v>
      </c>
      <c r="J289" t="s">
        <v>68</v>
      </c>
      <c r="K289">
        <v>45</v>
      </c>
      <c r="L289" s="3">
        <v>0.12569444444444444</v>
      </c>
      <c r="M289" t="s">
        <v>31</v>
      </c>
      <c r="N289" t="s">
        <v>186</v>
      </c>
    </row>
    <row r="290" spans="1:14" x14ac:dyDescent="0.35">
      <c r="A290" t="s">
        <v>64</v>
      </c>
      <c r="B290" s="1">
        <v>45606</v>
      </c>
      <c r="C290" t="s">
        <v>75</v>
      </c>
      <c r="D290" t="s">
        <v>76</v>
      </c>
      <c r="E290" s="2">
        <v>40435</v>
      </c>
      <c r="F290" t="s">
        <v>16</v>
      </c>
      <c r="G290" t="s">
        <v>66</v>
      </c>
      <c r="H290" t="s">
        <v>77</v>
      </c>
      <c r="I290" s="3">
        <v>0.20902777777777778</v>
      </c>
      <c r="J290" t="s">
        <v>68</v>
      </c>
      <c r="K290">
        <v>22</v>
      </c>
      <c r="L290" s="3">
        <v>4.2361111111111113E-2</v>
      </c>
      <c r="M290" t="s">
        <v>31</v>
      </c>
      <c r="N290" t="s">
        <v>106</v>
      </c>
    </row>
    <row r="291" spans="1:14" x14ac:dyDescent="0.35">
      <c r="A291" t="s">
        <v>64</v>
      </c>
      <c r="B291" s="1">
        <v>45606</v>
      </c>
      <c r="C291" t="s">
        <v>65</v>
      </c>
      <c r="D291">
        <v>3</v>
      </c>
      <c r="E291" s="2">
        <v>40440</v>
      </c>
      <c r="F291" t="s">
        <v>24</v>
      </c>
      <c r="G291" t="s">
        <v>66</v>
      </c>
      <c r="H291" t="s">
        <v>119</v>
      </c>
      <c r="I291" s="3">
        <v>4.3055555555555555E-2</v>
      </c>
      <c r="J291" t="s">
        <v>68</v>
      </c>
      <c r="K291">
        <v>12</v>
      </c>
      <c r="L291" s="3">
        <v>6.9444444444444447E-4</v>
      </c>
      <c r="M291" t="s">
        <v>31</v>
      </c>
      <c r="N291" t="s">
        <v>186</v>
      </c>
    </row>
    <row r="292" spans="1:14" x14ac:dyDescent="0.35">
      <c r="A292" t="s">
        <v>14</v>
      </c>
      <c r="B292" s="1">
        <v>45606</v>
      </c>
      <c r="C292" t="s">
        <v>65</v>
      </c>
      <c r="D292">
        <v>4</v>
      </c>
      <c r="E292" s="2">
        <v>40442</v>
      </c>
      <c r="F292" t="s">
        <v>16</v>
      </c>
      <c r="G292" t="s">
        <v>112</v>
      </c>
      <c r="H292" t="s">
        <v>121</v>
      </c>
      <c r="I292" s="3">
        <v>0.125</v>
      </c>
      <c r="J292" t="s">
        <v>19</v>
      </c>
      <c r="K292">
        <v>28</v>
      </c>
      <c r="L292" s="3">
        <v>4.1666666666666664E-2</v>
      </c>
      <c r="M292" t="s">
        <v>83</v>
      </c>
    </row>
    <row r="293" spans="1:14" x14ac:dyDescent="0.35">
      <c r="A293" t="s">
        <v>14</v>
      </c>
      <c r="B293" s="1">
        <v>45606</v>
      </c>
      <c r="C293" t="s">
        <v>65</v>
      </c>
      <c r="D293">
        <v>6</v>
      </c>
      <c r="E293" s="2">
        <v>40454</v>
      </c>
      <c r="F293" t="s">
        <v>16</v>
      </c>
      <c r="G293" t="s">
        <v>112</v>
      </c>
      <c r="H293" t="s">
        <v>175</v>
      </c>
      <c r="I293" s="3">
        <v>0.25069444444444444</v>
      </c>
      <c r="J293" t="s">
        <v>19</v>
      </c>
      <c r="K293">
        <v>4</v>
      </c>
      <c r="L293" s="3">
        <v>4.1666666666666664E-2</v>
      </c>
      <c r="M293" t="s">
        <v>22</v>
      </c>
      <c r="N293" t="s">
        <v>204</v>
      </c>
    </row>
    <row r="294" spans="1:14" x14ac:dyDescent="0.35">
      <c r="A294" t="s">
        <v>14</v>
      </c>
      <c r="B294" s="1">
        <v>45606</v>
      </c>
      <c r="C294" t="s">
        <v>65</v>
      </c>
      <c r="D294">
        <v>6</v>
      </c>
      <c r="E294" s="2">
        <v>40454</v>
      </c>
      <c r="F294" t="s">
        <v>16</v>
      </c>
      <c r="G294" t="s">
        <v>112</v>
      </c>
      <c r="H294" t="s">
        <v>175</v>
      </c>
      <c r="I294" s="3">
        <v>0.25069444444444444</v>
      </c>
      <c r="J294" t="s">
        <v>19</v>
      </c>
      <c r="K294">
        <v>89</v>
      </c>
      <c r="L294" s="3">
        <v>0.25069444444444444</v>
      </c>
      <c r="M294" t="s">
        <v>31</v>
      </c>
      <c r="N294" t="s">
        <v>205</v>
      </c>
    </row>
    <row r="295" spans="1:14" x14ac:dyDescent="0.35">
      <c r="A295" t="s">
        <v>64</v>
      </c>
      <c r="B295" s="1">
        <v>45606</v>
      </c>
      <c r="C295" t="s">
        <v>65</v>
      </c>
      <c r="D295">
        <v>6</v>
      </c>
      <c r="E295" s="2">
        <v>40454</v>
      </c>
      <c r="F295" t="s">
        <v>16</v>
      </c>
      <c r="G295" t="s">
        <v>66</v>
      </c>
      <c r="H295" t="s">
        <v>89</v>
      </c>
      <c r="I295" s="3">
        <v>4.2361111111111113E-2</v>
      </c>
      <c r="J295" t="s">
        <v>68</v>
      </c>
      <c r="K295">
        <v>20</v>
      </c>
      <c r="L295" s="3">
        <v>4.1666666666666664E-2</v>
      </c>
      <c r="M295" t="s">
        <v>31</v>
      </c>
      <c r="N295" t="s">
        <v>186</v>
      </c>
    </row>
    <row r="296" spans="1:14" x14ac:dyDescent="0.35">
      <c r="A296" t="s">
        <v>14</v>
      </c>
      <c r="B296" s="1">
        <v>45606</v>
      </c>
      <c r="C296" t="s">
        <v>65</v>
      </c>
      <c r="D296">
        <v>7</v>
      </c>
      <c r="E296" s="2">
        <v>40467</v>
      </c>
      <c r="F296" t="s">
        <v>24</v>
      </c>
      <c r="G296" t="s">
        <v>112</v>
      </c>
      <c r="H296" t="s">
        <v>157</v>
      </c>
      <c r="I296" s="3">
        <v>4.4444444444444446E-2</v>
      </c>
      <c r="J296" t="s">
        <v>19</v>
      </c>
      <c r="K296">
        <v>45</v>
      </c>
      <c r="L296" s="3">
        <v>1.3888888888888889E-3</v>
      </c>
      <c r="M296" t="s">
        <v>26</v>
      </c>
      <c r="N296" t="s">
        <v>204</v>
      </c>
    </row>
    <row r="297" spans="1:14" x14ac:dyDescent="0.35">
      <c r="A297" t="s">
        <v>14</v>
      </c>
      <c r="B297" s="1">
        <v>45606</v>
      </c>
      <c r="C297" t="s">
        <v>65</v>
      </c>
      <c r="D297">
        <v>7</v>
      </c>
      <c r="E297" s="2">
        <v>40467</v>
      </c>
      <c r="F297" t="s">
        <v>24</v>
      </c>
      <c r="G297" t="s">
        <v>112</v>
      </c>
      <c r="H297" t="s">
        <v>157</v>
      </c>
      <c r="I297" s="3">
        <v>4.4444444444444446E-2</v>
      </c>
      <c r="J297" t="s">
        <v>19</v>
      </c>
      <c r="K297">
        <v>50</v>
      </c>
      <c r="L297" s="3">
        <v>2.0833333333333333E-3</v>
      </c>
      <c r="M297" t="s">
        <v>83</v>
      </c>
    </row>
    <row r="298" spans="1:14" x14ac:dyDescent="0.35">
      <c r="A298" t="s">
        <v>14</v>
      </c>
      <c r="B298" s="1">
        <v>45606</v>
      </c>
      <c r="C298" t="s">
        <v>75</v>
      </c>
      <c r="D298" t="s">
        <v>76</v>
      </c>
      <c r="E298" s="2">
        <v>40470</v>
      </c>
      <c r="F298" t="s">
        <v>16</v>
      </c>
      <c r="G298" t="s">
        <v>112</v>
      </c>
      <c r="H298" t="s">
        <v>118</v>
      </c>
      <c r="I298" s="3">
        <v>8.3333333333333329E-2</v>
      </c>
      <c r="J298" t="s">
        <v>19</v>
      </c>
      <c r="K298">
        <v>13</v>
      </c>
      <c r="L298" s="3">
        <v>4.1666666666666664E-2</v>
      </c>
      <c r="M298" t="s">
        <v>39</v>
      </c>
    </row>
    <row r="299" spans="1:14" x14ac:dyDescent="0.35">
      <c r="A299" t="s">
        <v>64</v>
      </c>
      <c r="B299" s="1">
        <v>45606</v>
      </c>
      <c r="C299" t="s">
        <v>75</v>
      </c>
      <c r="D299" t="s">
        <v>76</v>
      </c>
      <c r="E299" s="2">
        <v>40471</v>
      </c>
      <c r="F299" t="s">
        <v>16</v>
      </c>
      <c r="G299" t="s">
        <v>66</v>
      </c>
      <c r="H299" t="s">
        <v>206</v>
      </c>
      <c r="I299" s="3">
        <v>8.3333333333333329E-2</v>
      </c>
      <c r="J299" t="s">
        <v>68</v>
      </c>
      <c r="K299" t="s">
        <v>69</v>
      </c>
      <c r="L299" s="3">
        <v>8.3333333333333329E-2</v>
      </c>
      <c r="M299" t="s">
        <v>31</v>
      </c>
      <c r="N299" t="s">
        <v>196</v>
      </c>
    </row>
    <row r="300" spans="1:14" x14ac:dyDescent="0.35">
      <c r="A300" t="s">
        <v>64</v>
      </c>
      <c r="B300" s="1">
        <v>45606</v>
      </c>
      <c r="C300" t="s">
        <v>75</v>
      </c>
      <c r="D300" t="s">
        <v>76</v>
      </c>
      <c r="E300" s="2">
        <v>40471</v>
      </c>
      <c r="F300" t="s">
        <v>16</v>
      </c>
      <c r="G300" t="s">
        <v>66</v>
      </c>
      <c r="H300" t="s">
        <v>206</v>
      </c>
      <c r="I300" s="3">
        <v>8.3333333333333329E-2</v>
      </c>
      <c r="J300" t="s">
        <v>68</v>
      </c>
      <c r="K300">
        <v>18</v>
      </c>
      <c r="L300" s="3">
        <v>4.1666666666666664E-2</v>
      </c>
      <c r="M300" t="s">
        <v>31</v>
      </c>
      <c r="N300" t="s">
        <v>99</v>
      </c>
    </row>
    <row r="301" spans="1:14" x14ac:dyDescent="0.35">
      <c r="A301" t="s">
        <v>14</v>
      </c>
      <c r="B301" s="1">
        <v>45606</v>
      </c>
      <c r="C301" t="s">
        <v>65</v>
      </c>
      <c r="D301">
        <v>8</v>
      </c>
      <c r="E301" s="2">
        <v>40474</v>
      </c>
      <c r="F301" t="s">
        <v>16</v>
      </c>
      <c r="G301" t="s">
        <v>112</v>
      </c>
      <c r="H301" t="s">
        <v>78</v>
      </c>
      <c r="I301" s="3">
        <v>0.25069444444444444</v>
      </c>
      <c r="J301" t="s">
        <v>19</v>
      </c>
      <c r="K301">
        <v>55</v>
      </c>
      <c r="L301" s="3">
        <v>0.20833333333333334</v>
      </c>
      <c r="M301" t="s">
        <v>83</v>
      </c>
    </row>
    <row r="302" spans="1:14" x14ac:dyDescent="0.35">
      <c r="A302" t="s">
        <v>14</v>
      </c>
      <c r="B302" s="1">
        <v>45606</v>
      </c>
      <c r="C302" t="s">
        <v>65</v>
      </c>
      <c r="D302">
        <v>8</v>
      </c>
      <c r="E302" s="2">
        <v>40474</v>
      </c>
      <c r="F302" t="s">
        <v>16</v>
      </c>
      <c r="G302" t="s">
        <v>112</v>
      </c>
      <c r="H302" t="s">
        <v>78</v>
      </c>
      <c r="I302" s="3">
        <v>0.25069444444444444</v>
      </c>
      <c r="J302" t="s">
        <v>19</v>
      </c>
      <c r="K302">
        <v>26</v>
      </c>
      <c r="L302" s="3">
        <v>0.125</v>
      </c>
      <c r="M302" t="s">
        <v>31</v>
      </c>
      <c r="N302" t="s">
        <v>204</v>
      </c>
    </row>
    <row r="303" spans="1:14" x14ac:dyDescent="0.35">
      <c r="A303" t="s">
        <v>14</v>
      </c>
      <c r="B303" s="1">
        <v>45606</v>
      </c>
      <c r="C303" t="s">
        <v>65</v>
      </c>
      <c r="D303">
        <v>8</v>
      </c>
      <c r="E303" s="2">
        <v>40474</v>
      </c>
      <c r="F303" t="s">
        <v>16</v>
      </c>
      <c r="G303" t="s">
        <v>112</v>
      </c>
      <c r="H303" t="s">
        <v>78</v>
      </c>
      <c r="I303" s="3">
        <v>0.25069444444444444</v>
      </c>
      <c r="J303" t="s">
        <v>19</v>
      </c>
      <c r="K303">
        <v>15</v>
      </c>
      <c r="L303" s="3">
        <v>8.3333333333333329E-2</v>
      </c>
      <c r="M303" t="s">
        <v>26</v>
      </c>
      <c r="N303" t="s">
        <v>188</v>
      </c>
    </row>
    <row r="304" spans="1:14" x14ac:dyDescent="0.35">
      <c r="A304" t="s">
        <v>14</v>
      </c>
      <c r="B304" s="1">
        <v>45606</v>
      </c>
      <c r="C304" t="s">
        <v>65</v>
      </c>
      <c r="D304">
        <v>8</v>
      </c>
      <c r="E304" s="2">
        <v>40474</v>
      </c>
      <c r="F304" t="s">
        <v>16</v>
      </c>
      <c r="G304" t="s">
        <v>112</v>
      </c>
      <c r="H304" t="s">
        <v>78</v>
      </c>
      <c r="I304" s="3">
        <v>0.25069444444444444</v>
      </c>
      <c r="J304" t="s">
        <v>19</v>
      </c>
      <c r="K304">
        <v>47</v>
      </c>
      <c r="L304" s="3">
        <v>0.16666666666666666</v>
      </c>
      <c r="M304" t="s">
        <v>26</v>
      </c>
      <c r="N304" t="s">
        <v>207</v>
      </c>
    </row>
    <row r="305" spans="1:14" x14ac:dyDescent="0.35">
      <c r="A305" t="s">
        <v>64</v>
      </c>
      <c r="B305" s="1">
        <v>45606</v>
      </c>
      <c r="C305" t="s">
        <v>65</v>
      </c>
      <c r="D305">
        <v>8</v>
      </c>
      <c r="E305" s="2">
        <v>40474</v>
      </c>
      <c r="F305" t="s">
        <v>24</v>
      </c>
      <c r="G305" t="s">
        <v>66</v>
      </c>
      <c r="H305" t="s">
        <v>93</v>
      </c>
      <c r="I305" s="3">
        <v>1.3888888888888889E-3</v>
      </c>
      <c r="J305" t="s">
        <v>68</v>
      </c>
      <c r="K305">
        <v>41</v>
      </c>
      <c r="L305" s="3">
        <v>6.9444444444444447E-4</v>
      </c>
      <c r="M305" t="s">
        <v>31</v>
      </c>
      <c r="N305" t="s">
        <v>208</v>
      </c>
    </row>
    <row r="306" spans="1:14" x14ac:dyDescent="0.35">
      <c r="A306" t="s">
        <v>64</v>
      </c>
      <c r="B306" s="1">
        <v>45606</v>
      </c>
      <c r="C306" t="s">
        <v>65</v>
      </c>
      <c r="D306">
        <v>8</v>
      </c>
      <c r="E306" s="2">
        <v>40474</v>
      </c>
      <c r="F306" t="s">
        <v>24</v>
      </c>
      <c r="G306" t="s">
        <v>66</v>
      </c>
      <c r="H306" t="s">
        <v>93</v>
      </c>
      <c r="I306" s="3">
        <v>1.3888888888888889E-3</v>
      </c>
      <c r="J306" t="s">
        <v>68</v>
      </c>
      <c r="K306">
        <v>65</v>
      </c>
      <c r="L306" s="3">
        <v>1.3888888888888889E-3</v>
      </c>
      <c r="M306" t="s">
        <v>31</v>
      </c>
    </row>
    <row r="307" spans="1:14" x14ac:dyDescent="0.35">
      <c r="A307" t="s">
        <v>14</v>
      </c>
      <c r="B307" s="1">
        <v>45606</v>
      </c>
      <c r="C307" t="s">
        <v>65</v>
      </c>
      <c r="D307">
        <v>9</v>
      </c>
      <c r="E307" s="2">
        <v>40481</v>
      </c>
      <c r="F307" t="s">
        <v>24</v>
      </c>
      <c r="G307" t="s">
        <v>112</v>
      </c>
      <c r="H307" t="s">
        <v>209</v>
      </c>
      <c r="I307" s="3">
        <v>4.3749999999999997E-2</v>
      </c>
      <c r="J307" t="s">
        <v>19</v>
      </c>
      <c r="K307">
        <v>86</v>
      </c>
      <c r="L307" s="3">
        <v>4.3749999999999997E-2</v>
      </c>
      <c r="M307" t="s">
        <v>26</v>
      </c>
      <c r="N307" t="s">
        <v>183</v>
      </c>
    </row>
    <row r="308" spans="1:14" x14ac:dyDescent="0.35">
      <c r="A308" t="s">
        <v>14</v>
      </c>
      <c r="B308" s="1">
        <v>45606</v>
      </c>
      <c r="C308" t="s">
        <v>65</v>
      </c>
      <c r="D308">
        <v>9</v>
      </c>
      <c r="E308" s="2">
        <v>40481</v>
      </c>
      <c r="F308" t="s">
        <v>24</v>
      </c>
      <c r="G308" t="s">
        <v>112</v>
      </c>
      <c r="H308" t="s">
        <v>209</v>
      </c>
      <c r="I308" s="3">
        <v>4.3749999999999997E-2</v>
      </c>
      <c r="J308" t="s">
        <v>19</v>
      </c>
      <c r="K308">
        <v>82</v>
      </c>
      <c r="L308" s="3">
        <v>4.3055555555555555E-2</v>
      </c>
      <c r="M308" t="s">
        <v>26</v>
      </c>
      <c r="N308" t="s">
        <v>183</v>
      </c>
    </row>
    <row r="309" spans="1:14" x14ac:dyDescent="0.35">
      <c r="A309" t="s">
        <v>64</v>
      </c>
      <c r="B309" s="1">
        <v>45606</v>
      </c>
      <c r="C309" t="s">
        <v>65</v>
      </c>
      <c r="D309">
        <v>9</v>
      </c>
      <c r="E309" s="2">
        <v>40481</v>
      </c>
      <c r="F309" t="s">
        <v>16</v>
      </c>
      <c r="G309" t="s">
        <v>66</v>
      </c>
      <c r="H309" t="s">
        <v>105</v>
      </c>
      <c r="I309" s="3">
        <v>0.20833333333333334</v>
      </c>
      <c r="J309" t="s">
        <v>38</v>
      </c>
      <c r="K309">
        <v>63</v>
      </c>
      <c r="L309" s="3">
        <v>0.16666666666666666</v>
      </c>
      <c r="M309" t="s">
        <v>31</v>
      </c>
    </row>
    <row r="310" spans="1:14" x14ac:dyDescent="0.35">
      <c r="A310" t="s">
        <v>64</v>
      </c>
      <c r="B310" s="1">
        <v>45606</v>
      </c>
      <c r="C310" t="s">
        <v>65</v>
      </c>
      <c r="D310">
        <v>9</v>
      </c>
      <c r="E310" s="2">
        <v>40481</v>
      </c>
      <c r="F310" t="s">
        <v>16</v>
      </c>
      <c r="G310" t="s">
        <v>66</v>
      </c>
      <c r="H310" t="s">
        <v>105</v>
      </c>
      <c r="I310" s="3">
        <v>0.20833333333333334</v>
      </c>
      <c r="J310" t="s">
        <v>38</v>
      </c>
      <c r="K310">
        <v>4</v>
      </c>
      <c r="L310" s="3">
        <v>4.1666666666666664E-2</v>
      </c>
      <c r="M310" t="s">
        <v>31</v>
      </c>
    </row>
    <row r="311" spans="1:14" x14ac:dyDescent="0.35">
      <c r="A311" t="s">
        <v>64</v>
      </c>
      <c r="B311" s="1">
        <v>45606</v>
      </c>
      <c r="C311" t="s">
        <v>75</v>
      </c>
      <c r="D311" t="s">
        <v>76</v>
      </c>
      <c r="E311" s="2">
        <v>40484</v>
      </c>
      <c r="F311" t="s">
        <v>24</v>
      </c>
      <c r="G311" t="s">
        <v>66</v>
      </c>
      <c r="H311" t="s">
        <v>206</v>
      </c>
      <c r="I311" s="3">
        <v>4.2361111111111113E-2</v>
      </c>
      <c r="J311" t="s">
        <v>68</v>
      </c>
      <c r="K311">
        <v>31</v>
      </c>
      <c r="L311" s="3">
        <v>6.9444444444444447E-4</v>
      </c>
      <c r="M311" t="s">
        <v>26</v>
      </c>
    </row>
    <row r="312" spans="1:14" x14ac:dyDescent="0.35">
      <c r="A312" t="s">
        <v>64</v>
      </c>
      <c r="B312" s="1">
        <v>45606</v>
      </c>
      <c r="C312" t="s">
        <v>65</v>
      </c>
      <c r="D312">
        <v>10</v>
      </c>
      <c r="E312" s="2">
        <v>40489</v>
      </c>
      <c r="F312" t="s">
        <v>24</v>
      </c>
      <c r="G312" t="s">
        <v>66</v>
      </c>
      <c r="H312" t="s">
        <v>117</v>
      </c>
      <c r="I312" s="3">
        <v>4.3749999999999997E-2</v>
      </c>
      <c r="J312" t="s">
        <v>68</v>
      </c>
      <c r="K312">
        <v>23</v>
      </c>
      <c r="L312" s="3">
        <v>6.9444444444444447E-4</v>
      </c>
      <c r="M312" t="s">
        <v>31</v>
      </c>
      <c r="N312" t="s">
        <v>208</v>
      </c>
    </row>
    <row r="313" spans="1:14" x14ac:dyDescent="0.35">
      <c r="A313" t="s">
        <v>14</v>
      </c>
      <c r="B313" s="1">
        <v>45606</v>
      </c>
      <c r="C313" t="s">
        <v>91</v>
      </c>
      <c r="D313" t="s">
        <v>210</v>
      </c>
      <c r="E313" s="2">
        <v>40492</v>
      </c>
      <c r="F313" t="s">
        <v>16</v>
      </c>
      <c r="G313" t="s">
        <v>112</v>
      </c>
      <c r="H313" t="s">
        <v>211</v>
      </c>
      <c r="I313" s="3">
        <v>0.20902777777777778</v>
      </c>
      <c r="K313">
        <v>76</v>
      </c>
      <c r="L313" s="3">
        <v>0.125</v>
      </c>
      <c r="M313" t="s">
        <v>31</v>
      </c>
      <c r="N313" t="s">
        <v>207</v>
      </c>
    </row>
    <row r="314" spans="1:14" x14ac:dyDescent="0.35">
      <c r="A314" t="s">
        <v>64</v>
      </c>
      <c r="B314" s="1">
        <v>45606</v>
      </c>
      <c r="C314" t="s">
        <v>91</v>
      </c>
      <c r="D314" t="s">
        <v>210</v>
      </c>
      <c r="E314" s="2">
        <v>40492</v>
      </c>
      <c r="F314" t="s">
        <v>16</v>
      </c>
      <c r="G314" t="s">
        <v>66</v>
      </c>
      <c r="H314" t="s">
        <v>212</v>
      </c>
      <c r="I314" s="3">
        <v>0.20902777777777778</v>
      </c>
      <c r="J314" t="s">
        <v>38</v>
      </c>
      <c r="K314">
        <v>67</v>
      </c>
      <c r="L314" s="3">
        <v>0.20902777777777778</v>
      </c>
      <c r="M314" t="s">
        <v>31</v>
      </c>
      <c r="N314" t="s">
        <v>213</v>
      </c>
    </row>
    <row r="315" spans="1:14" x14ac:dyDescent="0.35">
      <c r="A315" t="s">
        <v>64</v>
      </c>
      <c r="B315" s="1">
        <v>45606</v>
      </c>
      <c r="C315" t="s">
        <v>65</v>
      </c>
      <c r="D315">
        <v>11</v>
      </c>
      <c r="E315" s="2">
        <v>40495</v>
      </c>
      <c r="F315" t="s">
        <v>16</v>
      </c>
      <c r="G315" t="s">
        <v>66</v>
      </c>
      <c r="H315" t="s">
        <v>180</v>
      </c>
      <c r="I315" s="3">
        <v>0.12569444444444444</v>
      </c>
      <c r="J315" t="s">
        <v>68</v>
      </c>
      <c r="K315">
        <v>58</v>
      </c>
      <c r="L315" s="3">
        <v>8.4027777777777785E-2</v>
      </c>
      <c r="M315" t="s">
        <v>26</v>
      </c>
      <c r="N315" t="s">
        <v>186</v>
      </c>
    </row>
    <row r="316" spans="1:14" x14ac:dyDescent="0.35">
      <c r="A316" t="s">
        <v>64</v>
      </c>
      <c r="B316" s="1">
        <v>45606</v>
      </c>
      <c r="C316" t="s">
        <v>65</v>
      </c>
      <c r="D316">
        <v>11</v>
      </c>
      <c r="E316" s="2">
        <v>40495</v>
      </c>
      <c r="F316" t="s">
        <v>16</v>
      </c>
      <c r="G316" t="s">
        <v>66</v>
      </c>
      <c r="H316" t="s">
        <v>180</v>
      </c>
      <c r="I316" s="3">
        <v>0.12569444444444444</v>
      </c>
      <c r="J316" t="s">
        <v>68</v>
      </c>
      <c r="K316">
        <v>83</v>
      </c>
      <c r="L316" s="3">
        <v>0.12569444444444444</v>
      </c>
      <c r="M316" t="s">
        <v>31</v>
      </c>
      <c r="N316" t="s">
        <v>186</v>
      </c>
    </row>
    <row r="317" spans="1:14" x14ac:dyDescent="0.35">
      <c r="A317" t="s">
        <v>14</v>
      </c>
      <c r="B317" s="1">
        <v>45606</v>
      </c>
      <c r="C317" t="s">
        <v>65</v>
      </c>
      <c r="D317">
        <v>12</v>
      </c>
      <c r="E317" s="2">
        <v>40502</v>
      </c>
      <c r="F317" t="s">
        <v>16</v>
      </c>
      <c r="G317" t="s">
        <v>112</v>
      </c>
      <c r="H317" t="s">
        <v>86</v>
      </c>
      <c r="I317" s="3">
        <v>0.20902777777777778</v>
      </c>
      <c r="J317" t="s">
        <v>19</v>
      </c>
      <c r="K317">
        <v>30</v>
      </c>
      <c r="L317" s="3">
        <v>8.3333333333333329E-2</v>
      </c>
      <c r="M317" t="s">
        <v>31</v>
      </c>
      <c r="N317" t="s">
        <v>204</v>
      </c>
    </row>
    <row r="318" spans="1:14" x14ac:dyDescent="0.35">
      <c r="A318" t="s">
        <v>14</v>
      </c>
      <c r="B318" s="1">
        <v>45606</v>
      </c>
      <c r="C318" t="s">
        <v>65</v>
      </c>
      <c r="D318">
        <v>12</v>
      </c>
      <c r="E318" s="2">
        <v>40502</v>
      </c>
      <c r="F318" t="s">
        <v>16</v>
      </c>
      <c r="G318" t="s">
        <v>112</v>
      </c>
      <c r="H318" t="s">
        <v>86</v>
      </c>
      <c r="I318" s="3">
        <v>0.20902777777777778</v>
      </c>
      <c r="J318" t="s">
        <v>19</v>
      </c>
      <c r="K318">
        <v>62</v>
      </c>
      <c r="L318" s="3">
        <v>0.1673611111111111</v>
      </c>
      <c r="M318" t="s">
        <v>39</v>
      </c>
    </row>
    <row r="319" spans="1:14" x14ac:dyDescent="0.35">
      <c r="A319" t="s">
        <v>14</v>
      </c>
      <c r="B319" s="1">
        <v>45606</v>
      </c>
      <c r="C319" t="s">
        <v>65</v>
      </c>
      <c r="D319">
        <v>12</v>
      </c>
      <c r="E319" s="2">
        <v>40502</v>
      </c>
      <c r="F319" t="s">
        <v>16</v>
      </c>
      <c r="G319" t="s">
        <v>112</v>
      </c>
      <c r="H319" t="s">
        <v>86</v>
      </c>
      <c r="I319" s="3">
        <v>0.20902777777777778</v>
      </c>
      <c r="J319" t="s">
        <v>19</v>
      </c>
      <c r="K319" t="s">
        <v>69</v>
      </c>
      <c r="L319" s="3">
        <v>0.20902777777777778</v>
      </c>
      <c r="M319" t="s">
        <v>83</v>
      </c>
    </row>
    <row r="320" spans="1:14" x14ac:dyDescent="0.35">
      <c r="A320" t="s">
        <v>64</v>
      </c>
      <c r="B320" s="1">
        <v>45606</v>
      </c>
      <c r="C320" t="s">
        <v>65</v>
      </c>
      <c r="D320">
        <v>12</v>
      </c>
      <c r="E320" s="2">
        <v>40502</v>
      </c>
      <c r="F320" t="s">
        <v>24</v>
      </c>
      <c r="G320" t="s">
        <v>66</v>
      </c>
      <c r="H320" t="s">
        <v>131</v>
      </c>
      <c r="I320" s="3">
        <v>5.5555555555555558E-3</v>
      </c>
      <c r="J320" t="s">
        <v>68</v>
      </c>
      <c r="K320">
        <v>16</v>
      </c>
      <c r="L320" s="3">
        <v>6.9444444444444447E-4</v>
      </c>
      <c r="M320" t="s">
        <v>31</v>
      </c>
      <c r="N320" t="s">
        <v>208</v>
      </c>
    </row>
    <row r="321" spans="1:14" x14ac:dyDescent="0.35">
      <c r="A321" t="s">
        <v>64</v>
      </c>
      <c r="B321" s="1">
        <v>45606</v>
      </c>
      <c r="C321" t="s">
        <v>65</v>
      </c>
      <c r="D321">
        <v>12</v>
      </c>
      <c r="E321" s="2">
        <v>40502</v>
      </c>
      <c r="F321" t="s">
        <v>24</v>
      </c>
      <c r="G321" t="s">
        <v>66</v>
      </c>
      <c r="H321" t="s">
        <v>131</v>
      </c>
      <c r="I321" s="3">
        <v>5.5555555555555558E-3</v>
      </c>
      <c r="J321" t="s">
        <v>68</v>
      </c>
      <c r="K321">
        <v>67</v>
      </c>
      <c r="L321" s="3">
        <v>4.8611111111111112E-3</v>
      </c>
      <c r="M321" t="s">
        <v>55</v>
      </c>
      <c r="N321" t="s">
        <v>208</v>
      </c>
    </row>
    <row r="322" spans="1:14" x14ac:dyDescent="0.35">
      <c r="A322" t="s">
        <v>64</v>
      </c>
      <c r="B322" s="1">
        <v>45606</v>
      </c>
      <c r="C322" t="s">
        <v>65</v>
      </c>
      <c r="D322">
        <v>12</v>
      </c>
      <c r="E322" s="2">
        <v>40502</v>
      </c>
      <c r="F322" t="s">
        <v>24</v>
      </c>
      <c r="G322" t="s">
        <v>66</v>
      </c>
      <c r="H322" t="s">
        <v>131</v>
      </c>
      <c r="I322" s="3">
        <v>5.5555555555555558E-3</v>
      </c>
      <c r="J322" t="s">
        <v>68</v>
      </c>
      <c r="K322">
        <v>36</v>
      </c>
      <c r="L322" s="3">
        <v>3.472222222222222E-3</v>
      </c>
      <c r="M322" t="s">
        <v>55</v>
      </c>
    </row>
    <row r="323" spans="1:14" x14ac:dyDescent="0.35">
      <c r="A323" t="s">
        <v>14</v>
      </c>
      <c r="B323" s="1">
        <v>45606</v>
      </c>
      <c r="C323" t="s">
        <v>75</v>
      </c>
      <c r="D323" t="s">
        <v>76</v>
      </c>
      <c r="E323" s="2">
        <v>40505</v>
      </c>
      <c r="F323" t="s">
        <v>24</v>
      </c>
      <c r="G323" t="s">
        <v>112</v>
      </c>
      <c r="H323" t="s">
        <v>214</v>
      </c>
      <c r="I323" s="3">
        <v>2.7777777777777779E-3</v>
      </c>
      <c r="J323" t="s">
        <v>19</v>
      </c>
      <c r="K323">
        <v>70</v>
      </c>
      <c r="L323" s="3">
        <v>2.0833333333333333E-3</v>
      </c>
      <c r="M323" t="s">
        <v>31</v>
      </c>
      <c r="N323" t="s">
        <v>207</v>
      </c>
    </row>
    <row r="324" spans="1:14" x14ac:dyDescent="0.35">
      <c r="A324" t="s">
        <v>14</v>
      </c>
      <c r="B324" s="1">
        <v>45606</v>
      </c>
      <c r="C324" t="s">
        <v>75</v>
      </c>
      <c r="D324" t="s">
        <v>76</v>
      </c>
      <c r="E324" s="2">
        <v>40505</v>
      </c>
      <c r="F324" t="s">
        <v>24</v>
      </c>
      <c r="G324" t="s">
        <v>112</v>
      </c>
      <c r="H324" t="s">
        <v>214</v>
      </c>
      <c r="I324" s="3">
        <v>2.7777777777777779E-3</v>
      </c>
      <c r="J324" t="s">
        <v>19</v>
      </c>
      <c r="K324">
        <v>81</v>
      </c>
      <c r="L324" s="3">
        <v>2.7777777777777779E-3</v>
      </c>
      <c r="M324" t="s">
        <v>83</v>
      </c>
    </row>
    <row r="325" spans="1:14" x14ac:dyDescent="0.35">
      <c r="A325" t="s">
        <v>64</v>
      </c>
      <c r="B325" s="1">
        <v>45606</v>
      </c>
      <c r="C325" t="s">
        <v>75</v>
      </c>
      <c r="D325" t="s">
        <v>76</v>
      </c>
      <c r="E325" s="2">
        <v>40506</v>
      </c>
      <c r="F325" t="s">
        <v>24</v>
      </c>
      <c r="G325" t="s">
        <v>66</v>
      </c>
      <c r="H325" t="s">
        <v>77</v>
      </c>
      <c r="I325" s="3">
        <v>2.0833333333333333E-3</v>
      </c>
      <c r="J325" t="s">
        <v>68</v>
      </c>
      <c r="K325">
        <v>63</v>
      </c>
      <c r="L325" s="3">
        <v>1.3888888888888889E-3</v>
      </c>
      <c r="M325" t="s">
        <v>31</v>
      </c>
      <c r="N325" t="s">
        <v>215</v>
      </c>
    </row>
    <row r="326" spans="1:14" x14ac:dyDescent="0.35">
      <c r="A326" t="s">
        <v>64</v>
      </c>
      <c r="B326" s="1">
        <v>45606</v>
      </c>
      <c r="C326" t="s">
        <v>65</v>
      </c>
      <c r="D326">
        <v>14</v>
      </c>
      <c r="E326" s="2">
        <v>40516</v>
      </c>
      <c r="F326" t="s">
        <v>24</v>
      </c>
      <c r="G326" t="s">
        <v>66</v>
      </c>
      <c r="H326" t="s">
        <v>100</v>
      </c>
      <c r="I326" s="3">
        <v>2.0833333333333333E-3</v>
      </c>
      <c r="J326" t="s">
        <v>68</v>
      </c>
      <c r="K326">
        <v>64</v>
      </c>
      <c r="L326" s="3">
        <v>1.3888888888888889E-3</v>
      </c>
      <c r="M326" t="s">
        <v>31</v>
      </c>
      <c r="N326" t="s">
        <v>208</v>
      </c>
    </row>
    <row r="327" spans="1:14" x14ac:dyDescent="0.35">
      <c r="A327" t="s">
        <v>64</v>
      </c>
      <c r="B327" s="1">
        <v>45606</v>
      </c>
      <c r="C327" t="s">
        <v>65</v>
      </c>
      <c r="D327">
        <v>14</v>
      </c>
      <c r="E327" s="2">
        <v>40516</v>
      </c>
      <c r="F327" t="s">
        <v>24</v>
      </c>
      <c r="G327" t="s">
        <v>66</v>
      </c>
      <c r="H327" t="s">
        <v>100</v>
      </c>
      <c r="I327" s="3">
        <v>2.0833333333333333E-3</v>
      </c>
      <c r="J327" t="s">
        <v>68</v>
      </c>
      <c r="K327">
        <v>82</v>
      </c>
      <c r="L327" s="3">
        <v>2.0833333333333333E-3</v>
      </c>
      <c r="M327" t="s">
        <v>83</v>
      </c>
    </row>
    <row r="328" spans="1:14" x14ac:dyDescent="0.35">
      <c r="A328" t="s">
        <v>14</v>
      </c>
      <c r="B328" s="1">
        <v>45606</v>
      </c>
      <c r="C328" t="s">
        <v>65</v>
      </c>
      <c r="D328">
        <v>14</v>
      </c>
      <c r="E328" s="2">
        <v>40516</v>
      </c>
      <c r="F328" t="s">
        <v>16</v>
      </c>
      <c r="G328" t="s">
        <v>112</v>
      </c>
      <c r="H328" t="s">
        <v>148</v>
      </c>
      <c r="I328" s="3">
        <v>8.3333333333333329E-2</v>
      </c>
      <c r="J328" t="s">
        <v>19</v>
      </c>
      <c r="K328">
        <v>72</v>
      </c>
      <c r="L328" s="3">
        <v>4.1666666666666664E-2</v>
      </c>
      <c r="M328" t="s">
        <v>31</v>
      </c>
      <c r="N328" t="s">
        <v>204</v>
      </c>
    </row>
    <row r="329" spans="1:14" x14ac:dyDescent="0.35">
      <c r="A329" t="s">
        <v>14</v>
      </c>
      <c r="B329" s="1">
        <v>45606</v>
      </c>
      <c r="C329" t="s">
        <v>65</v>
      </c>
      <c r="D329">
        <v>14</v>
      </c>
      <c r="E329" s="2">
        <v>40516</v>
      </c>
      <c r="F329" t="s">
        <v>16</v>
      </c>
      <c r="G329" t="s">
        <v>112</v>
      </c>
      <c r="H329" t="s">
        <v>148</v>
      </c>
      <c r="I329" s="3">
        <v>8.3333333333333329E-2</v>
      </c>
      <c r="J329" t="s">
        <v>19</v>
      </c>
      <c r="K329">
        <v>86</v>
      </c>
      <c r="L329" s="3">
        <v>8.3333333333333329E-2</v>
      </c>
      <c r="M329" t="s">
        <v>26</v>
      </c>
    </row>
    <row r="330" spans="1:14" x14ac:dyDescent="0.35">
      <c r="A330" t="s">
        <v>14</v>
      </c>
      <c r="B330" s="1">
        <v>45606</v>
      </c>
      <c r="C330" t="s">
        <v>75</v>
      </c>
      <c r="D330" t="s">
        <v>76</v>
      </c>
      <c r="E330" s="2">
        <v>40520</v>
      </c>
      <c r="F330" t="s">
        <v>16</v>
      </c>
      <c r="G330" t="s">
        <v>112</v>
      </c>
      <c r="H330" t="s">
        <v>216</v>
      </c>
      <c r="I330" s="3">
        <v>0.16666666666666666</v>
      </c>
      <c r="J330" t="s">
        <v>19</v>
      </c>
      <c r="K330">
        <v>49</v>
      </c>
      <c r="L330" s="3">
        <v>8.3333333333333329E-2</v>
      </c>
      <c r="M330" t="s">
        <v>26</v>
      </c>
      <c r="N330" t="s">
        <v>201</v>
      </c>
    </row>
    <row r="331" spans="1:14" x14ac:dyDescent="0.35">
      <c r="A331" t="s">
        <v>64</v>
      </c>
      <c r="B331" s="1">
        <v>45606</v>
      </c>
      <c r="C331" t="s">
        <v>65</v>
      </c>
      <c r="D331">
        <v>15</v>
      </c>
      <c r="E331" s="2">
        <v>40524</v>
      </c>
      <c r="F331" t="s">
        <v>16</v>
      </c>
      <c r="G331" t="s">
        <v>66</v>
      </c>
      <c r="H331" t="s">
        <v>217</v>
      </c>
      <c r="I331" s="3">
        <v>0.20833333333333334</v>
      </c>
      <c r="J331" t="s">
        <v>68</v>
      </c>
      <c r="K331">
        <v>46</v>
      </c>
      <c r="L331" s="3">
        <v>0.125</v>
      </c>
      <c r="M331" t="s">
        <v>31</v>
      </c>
      <c r="N331" t="s">
        <v>155</v>
      </c>
    </row>
    <row r="332" spans="1:14" x14ac:dyDescent="0.35">
      <c r="A332" t="s">
        <v>64</v>
      </c>
      <c r="B332" s="1">
        <v>45606</v>
      </c>
      <c r="C332" t="s">
        <v>65</v>
      </c>
      <c r="D332">
        <v>15</v>
      </c>
      <c r="E332" s="2">
        <v>40524</v>
      </c>
      <c r="F332" t="s">
        <v>16</v>
      </c>
      <c r="G332" t="s">
        <v>66</v>
      </c>
      <c r="H332" t="s">
        <v>217</v>
      </c>
      <c r="I332" s="3">
        <v>0.20833333333333334</v>
      </c>
      <c r="J332" t="s">
        <v>68</v>
      </c>
      <c r="K332">
        <v>86</v>
      </c>
      <c r="L332" s="3">
        <v>0.16666666666666666</v>
      </c>
      <c r="M332" t="s">
        <v>31</v>
      </c>
      <c r="N332" t="s">
        <v>153</v>
      </c>
    </row>
    <row r="333" spans="1:14" x14ac:dyDescent="0.35">
      <c r="A333" t="s">
        <v>14</v>
      </c>
      <c r="B333" s="1">
        <v>45606</v>
      </c>
      <c r="C333" t="s">
        <v>65</v>
      </c>
      <c r="D333">
        <v>15</v>
      </c>
      <c r="E333" s="2">
        <v>40524</v>
      </c>
      <c r="F333" t="s">
        <v>24</v>
      </c>
      <c r="G333" t="s">
        <v>112</v>
      </c>
      <c r="H333" t="s">
        <v>93</v>
      </c>
      <c r="I333" s="3">
        <v>4.3749999999999997E-2</v>
      </c>
      <c r="J333" t="s">
        <v>19</v>
      </c>
      <c r="K333">
        <v>43</v>
      </c>
      <c r="L333" s="3">
        <v>1.3888888888888889E-3</v>
      </c>
      <c r="M333" t="s">
        <v>39</v>
      </c>
    </row>
    <row r="334" spans="1:14" x14ac:dyDescent="0.35">
      <c r="A334" t="s">
        <v>14</v>
      </c>
      <c r="B334" s="1">
        <v>45606</v>
      </c>
      <c r="C334" t="s">
        <v>91</v>
      </c>
      <c r="D334" t="s">
        <v>143</v>
      </c>
      <c r="E334" s="2">
        <v>40534</v>
      </c>
      <c r="F334" t="s">
        <v>16</v>
      </c>
      <c r="G334" t="s">
        <v>112</v>
      </c>
      <c r="H334" t="s">
        <v>127</v>
      </c>
      <c r="I334" s="3">
        <v>0.33333333333333331</v>
      </c>
      <c r="J334" t="s">
        <v>19</v>
      </c>
      <c r="K334">
        <v>73</v>
      </c>
      <c r="L334" s="3">
        <v>0.29166666666666669</v>
      </c>
      <c r="M334" t="s">
        <v>26</v>
      </c>
      <c r="N334" t="s">
        <v>183</v>
      </c>
    </row>
    <row r="335" spans="1:14" x14ac:dyDescent="0.35">
      <c r="A335" t="s">
        <v>14</v>
      </c>
      <c r="B335" s="1">
        <v>45606</v>
      </c>
      <c r="C335" t="s">
        <v>91</v>
      </c>
      <c r="D335" t="s">
        <v>143</v>
      </c>
      <c r="E335" s="2">
        <v>40534</v>
      </c>
      <c r="F335" t="s">
        <v>16</v>
      </c>
      <c r="G335" t="s">
        <v>112</v>
      </c>
      <c r="H335" t="s">
        <v>127</v>
      </c>
      <c r="I335" s="3">
        <v>0.33333333333333331</v>
      </c>
      <c r="J335" t="s">
        <v>19</v>
      </c>
      <c r="K335">
        <v>71</v>
      </c>
      <c r="L335" s="3">
        <v>0.25</v>
      </c>
      <c r="M335" t="s">
        <v>26</v>
      </c>
      <c r="N335" t="s">
        <v>207</v>
      </c>
    </row>
    <row r="336" spans="1:14" x14ac:dyDescent="0.35">
      <c r="A336" t="s">
        <v>14</v>
      </c>
      <c r="B336" s="1">
        <v>45606</v>
      </c>
      <c r="C336" t="s">
        <v>91</v>
      </c>
      <c r="D336" t="s">
        <v>143</v>
      </c>
      <c r="E336" s="2">
        <v>40534</v>
      </c>
      <c r="F336" t="s">
        <v>16</v>
      </c>
      <c r="G336" t="s">
        <v>112</v>
      </c>
      <c r="H336" t="s">
        <v>127</v>
      </c>
      <c r="I336" s="3">
        <v>0.33333333333333331</v>
      </c>
      <c r="J336" t="s">
        <v>19</v>
      </c>
      <c r="K336">
        <v>44</v>
      </c>
      <c r="L336" s="3">
        <v>0.16666666666666666</v>
      </c>
      <c r="M336" t="s">
        <v>26</v>
      </c>
      <c r="N336" t="s">
        <v>183</v>
      </c>
    </row>
    <row r="337" spans="1:14" x14ac:dyDescent="0.35">
      <c r="A337" t="s">
        <v>14</v>
      </c>
      <c r="B337" s="1">
        <v>45606</v>
      </c>
      <c r="C337" t="s">
        <v>65</v>
      </c>
      <c r="D337">
        <v>17</v>
      </c>
      <c r="E337" s="2">
        <v>40546</v>
      </c>
      <c r="F337" t="s">
        <v>24</v>
      </c>
      <c r="G337" t="s">
        <v>112</v>
      </c>
      <c r="H337" t="s">
        <v>117</v>
      </c>
      <c r="I337" s="3">
        <v>8.5416666666666669E-2</v>
      </c>
      <c r="J337" t="s">
        <v>19</v>
      </c>
      <c r="K337">
        <v>11</v>
      </c>
      <c r="L337" s="3">
        <v>6.9444444444444447E-4</v>
      </c>
      <c r="M337" t="s">
        <v>83</v>
      </c>
    </row>
    <row r="338" spans="1:14" x14ac:dyDescent="0.35">
      <c r="A338" t="s">
        <v>14</v>
      </c>
      <c r="B338" s="1">
        <v>45606</v>
      </c>
      <c r="C338" t="s">
        <v>65</v>
      </c>
      <c r="D338">
        <v>17</v>
      </c>
      <c r="E338" s="2">
        <v>40546</v>
      </c>
      <c r="F338" t="s">
        <v>24</v>
      </c>
      <c r="G338" t="s">
        <v>112</v>
      </c>
      <c r="H338" t="s">
        <v>117</v>
      </c>
      <c r="I338" s="3">
        <v>8.5416666666666669E-2</v>
      </c>
      <c r="J338" t="s">
        <v>19</v>
      </c>
      <c r="K338">
        <v>57</v>
      </c>
      <c r="L338" s="3">
        <v>4.3749999999999997E-2</v>
      </c>
      <c r="M338" t="s">
        <v>26</v>
      </c>
      <c r="N338" t="s">
        <v>183</v>
      </c>
    </row>
    <row r="339" spans="1:14" x14ac:dyDescent="0.35">
      <c r="A339" t="s">
        <v>64</v>
      </c>
      <c r="B339" s="1">
        <v>45606</v>
      </c>
      <c r="C339" t="s">
        <v>65</v>
      </c>
      <c r="D339">
        <v>18</v>
      </c>
      <c r="E339" s="2">
        <v>40551</v>
      </c>
      <c r="F339" t="s">
        <v>24</v>
      </c>
      <c r="G339" t="s">
        <v>66</v>
      </c>
      <c r="H339" t="s">
        <v>115</v>
      </c>
      <c r="I339" s="3">
        <v>2.7777777777777779E-3</v>
      </c>
      <c r="J339" t="s">
        <v>68</v>
      </c>
      <c r="K339">
        <v>51</v>
      </c>
      <c r="L339" s="3">
        <v>1.3888888888888889E-3</v>
      </c>
      <c r="M339" t="s">
        <v>39</v>
      </c>
    </row>
    <row r="340" spans="1:14" x14ac:dyDescent="0.35">
      <c r="A340" t="s">
        <v>14</v>
      </c>
      <c r="B340" s="1">
        <v>45606</v>
      </c>
      <c r="C340" t="s">
        <v>65</v>
      </c>
      <c r="D340">
        <v>18</v>
      </c>
      <c r="E340" s="2">
        <v>40552</v>
      </c>
      <c r="F340" t="s">
        <v>16</v>
      </c>
      <c r="G340" t="s">
        <v>112</v>
      </c>
      <c r="H340" t="s">
        <v>180</v>
      </c>
      <c r="I340" s="3">
        <v>0.16805555555555557</v>
      </c>
      <c r="J340" t="s">
        <v>19</v>
      </c>
      <c r="K340">
        <v>10</v>
      </c>
      <c r="L340" s="3">
        <v>4.2361111111111113E-2</v>
      </c>
      <c r="M340" t="s">
        <v>26</v>
      </c>
      <c r="N340" t="s">
        <v>204</v>
      </c>
    </row>
    <row r="341" spans="1:14" x14ac:dyDescent="0.35">
      <c r="A341" t="s">
        <v>14</v>
      </c>
      <c r="B341" s="1">
        <v>45606</v>
      </c>
      <c r="C341" t="s">
        <v>65</v>
      </c>
      <c r="D341">
        <v>18</v>
      </c>
      <c r="E341" s="2">
        <v>40552</v>
      </c>
      <c r="F341" t="s">
        <v>16</v>
      </c>
      <c r="G341" t="s">
        <v>112</v>
      </c>
      <c r="H341" t="s">
        <v>180</v>
      </c>
      <c r="I341" s="3">
        <v>0.16805555555555557</v>
      </c>
      <c r="J341" t="s">
        <v>19</v>
      </c>
      <c r="K341">
        <v>45</v>
      </c>
      <c r="L341" s="3">
        <v>8.4722222222222227E-2</v>
      </c>
      <c r="M341" t="s">
        <v>22</v>
      </c>
      <c r="N341" t="s">
        <v>205</v>
      </c>
    </row>
    <row r="342" spans="1:14" x14ac:dyDescent="0.35">
      <c r="A342" t="s">
        <v>14</v>
      </c>
      <c r="B342" s="1">
        <v>45606</v>
      </c>
      <c r="C342" t="s">
        <v>65</v>
      </c>
      <c r="D342">
        <v>18</v>
      </c>
      <c r="E342" s="2">
        <v>40552</v>
      </c>
      <c r="F342" t="s">
        <v>16</v>
      </c>
      <c r="G342" t="s">
        <v>112</v>
      </c>
      <c r="H342" t="s">
        <v>180</v>
      </c>
      <c r="I342" s="3">
        <v>0.16805555555555557</v>
      </c>
      <c r="J342" t="s">
        <v>19</v>
      </c>
      <c r="K342">
        <v>79</v>
      </c>
      <c r="L342" s="3">
        <v>0.12638888888888888</v>
      </c>
      <c r="M342" t="s">
        <v>31</v>
      </c>
      <c r="N342" t="s">
        <v>198</v>
      </c>
    </row>
    <row r="343" spans="1:14" x14ac:dyDescent="0.35">
      <c r="A343" t="s">
        <v>64</v>
      </c>
      <c r="B343" s="1">
        <v>45606</v>
      </c>
      <c r="C343" t="s">
        <v>91</v>
      </c>
      <c r="D343" t="s">
        <v>92</v>
      </c>
      <c r="E343" s="2">
        <v>40555</v>
      </c>
      <c r="F343" t="s">
        <v>16</v>
      </c>
      <c r="G343" t="s">
        <v>66</v>
      </c>
      <c r="H343" t="s">
        <v>95</v>
      </c>
      <c r="I343" s="3">
        <v>0.20833333333333334</v>
      </c>
      <c r="J343" t="s">
        <v>68</v>
      </c>
      <c r="K343">
        <v>63</v>
      </c>
      <c r="L343" s="3">
        <v>8.3333333333333329E-2</v>
      </c>
      <c r="M343" t="s">
        <v>31</v>
      </c>
    </row>
    <row r="344" spans="1:14" x14ac:dyDescent="0.35">
      <c r="A344" t="s">
        <v>64</v>
      </c>
      <c r="B344" s="1">
        <v>45606</v>
      </c>
      <c r="C344" t="s">
        <v>91</v>
      </c>
      <c r="D344" t="s">
        <v>92</v>
      </c>
      <c r="E344" s="2">
        <v>40555</v>
      </c>
      <c r="F344" t="s">
        <v>16</v>
      </c>
      <c r="G344" t="s">
        <v>66</v>
      </c>
      <c r="H344" t="s">
        <v>95</v>
      </c>
      <c r="I344" s="3">
        <v>0.20833333333333334</v>
      </c>
      <c r="J344" t="s">
        <v>68</v>
      </c>
      <c r="K344">
        <v>44</v>
      </c>
      <c r="L344" s="3">
        <v>4.1666666666666664E-2</v>
      </c>
      <c r="M344" t="s">
        <v>31</v>
      </c>
      <c r="N344" t="s">
        <v>99</v>
      </c>
    </row>
    <row r="345" spans="1:14" x14ac:dyDescent="0.35">
      <c r="A345" t="s">
        <v>64</v>
      </c>
      <c r="B345" s="1">
        <v>45606</v>
      </c>
      <c r="C345" t="s">
        <v>91</v>
      </c>
      <c r="D345" t="s">
        <v>92</v>
      </c>
      <c r="E345" s="2">
        <v>40555</v>
      </c>
      <c r="F345" t="s">
        <v>16</v>
      </c>
      <c r="G345" t="s">
        <v>66</v>
      </c>
      <c r="H345" t="s">
        <v>95</v>
      </c>
      <c r="I345" s="3">
        <v>0.20833333333333334</v>
      </c>
      <c r="J345" t="s">
        <v>68</v>
      </c>
      <c r="K345">
        <v>73</v>
      </c>
      <c r="L345" s="3">
        <v>0.125</v>
      </c>
      <c r="M345" t="s">
        <v>31</v>
      </c>
      <c r="N345" t="s">
        <v>106</v>
      </c>
    </row>
    <row r="346" spans="1:14" x14ac:dyDescent="0.35">
      <c r="A346" t="s">
        <v>14</v>
      </c>
      <c r="B346" s="1">
        <v>45606</v>
      </c>
      <c r="C346" t="s">
        <v>91</v>
      </c>
      <c r="D346" t="s">
        <v>92</v>
      </c>
      <c r="E346" s="2">
        <v>40556</v>
      </c>
      <c r="F346" t="s">
        <v>16</v>
      </c>
      <c r="G346" t="s">
        <v>112</v>
      </c>
      <c r="H346" t="s">
        <v>119</v>
      </c>
      <c r="I346" s="3">
        <v>0.12569444444444444</v>
      </c>
      <c r="J346" t="s">
        <v>19</v>
      </c>
      <c r="K346">
        <v>60</v>
      </c>
      <c r="L346" s="3">
        <v>8.4027777777777785E-2</v>
      </c>
      <c r="M346" t="s">
        <v>26</v>
      </c>
      <c r="N346" t="s">
        <v>204</v>
      </c>
    </row>
    <row r="347" spans="1:14" x14ac:dyDescent="0.35">
      <c r="A347" t="s">
        <v>64</v>
      </c>
      <c r="B347" s="1">
        <v>45606</v>
      </c>
      <c r="C347" t="s">
        <v>91</v>
      </c>
      <c r="D347" t="s">
        <v>92</v>
      </c>
      <c r="E347" s="2">
        <v>40562</v>
      </c>
      <c r="F347" t="s">
        <v>24</v>
      </c>
      <c r="G347" t="s">
        <v>66</v>
      </c>
      <c r="H347" t="s">
        <v>95</v>
      </c>
      <c r="I347" s="3">
        <v>0.12569444444444444</v>
      </c>
      <c r="J347" t="s">
        <v>38</v>
      </c>
      <c r="K347">
        <v>37</v>
      </c>
      <c r="L347" s="3">
        <v>8.4027777777777785E-2</v>
      </c>
      <c r="M347" t="s">
        <v>31</v>
      </c>
      <c r="N347" t="s">
        <v>106</v>
      </c>
    </row>
    <row r="348" spans="1:14" x14ac:dyDescent="0.35">
      <c r="A348" t="s">
        <v>14</v>
      </c>
      <c r="B348" s="1">
        <v>45606</v>
      </c>
      <c r="C348" t="s">
        <v>91</v>
      </c>
      <c r="D348" t="s">
        <v>92</v>
      </c>
      <c r="E348" s="2">
        <v>40563</v>
      </c>
      <c r="F348" t="s">
        <v>24</v>
      </c>
      <c r="G348" t="s">
        <v>112</v>
      </c>
      <c r="H348" t="s">
        <v>119</v>
      </c>
      <c r="I348" s="3">
        <v>6.9444444444444447E-4</v>
      </c>
      <c r="J348" t="s">
        <v>68</v>
      </c>
      <c r="K348">
        <v>22</v>
      </c>
      <c r="L348" s="3">
        <v>6.9444444444444447E-4</v>
      </c>
      <c r="M348" t="s">
        <v>26</v>
      </c>
      <c r="N348" t="s">
        <v>202</v>
      </c>
    </row>
    <row r="349" spans="1:14" x14ac:dyDescent="0.35">
      <c r="A349" t="s">
        <v>64</v>
      </c>
      <c r="B349" s="1">
        <v>45606</v>
      </c>
      <c r="C349" t="s">
        <v>65</v>
      </c>
      <c r="D349">
        <v>20</v>
      </c>
      <c r="E349" s="2">
        <v>40565</v>
      </c>
      <c r="F349" t="s">
        <v>16</v>
      </c>
      <c r="G349" t="s">
        <v>66</v>
      </c>
      <c r="H349" t="s">
        <v>78</v>
      </c>
      <c r="I349" s="3">
        <v>0.125</v>
      </c>
      <c r="J349" t="s">
        <v>68</v>
      </c>
      <c r="K349">
        <v>33</v>
      </c>
      <c r="L349" s="3">
        <v>8.3333333333333329E-2</v>
      </c>
      <c r="M349" t="s">
        <v>83</v>
      </c>
    </row>
    <row r="350" spans="1:14" x14ac:dyDescent="0.35">
      <c r="A350" t="s">
        <v>64</v>
      </c>
      <c r="B350" s="1">
        <v>45606</v>
      </c>
      <c r="C350" t="s">
        <v>91</v>
      </c>
      <c r="D350" t="s">
        <v>62</v>
      </c>
      <c r="E350" s="2">
        <v>40569</v>
      </c>
      <c r="F350" t="s">
        <v>16</v>
      </c>
      <c r="G350" t="s">
        <v>66</v>
      </c>
      <c r="H350" t="s">
        <v>131</v>
      </c>
      <c r="I350" s="3">
        <v>0.20833333333333334</v>
      </c>
      <c r="J350" t="s">
        <v>68</v>
      </c>
      <c r="K350">
        <v>15</v>
      </c>
      <c r="L350" s="3">
        <v>0.125</v>
      </c>
      <c r="M350" t="s">
        <v>31</v>
      </c>
      <c r="N350" t="s">
        <v>99</v>
      </c>
    </row>
    <row r="351" spans="1:14" x14ac:dyDescent="0.35">
      <c r="A351" t="s">
        <v>64</v>
      </c>
      <c r="B351" s="1">
        <v>45606</v>
      </c>
      <c r="C351" t="s">
        <v>91</v>
      </c>
      <c r="D351" t="s">
        <v>62</v>
      </c>
      <c r="E351" s="2">
        <v>40569</v>
      </c>
      <c r="F351" t="s">
        <v>16</v>
      </c>
      <c r="G351" t="s">
        <v>66</v>
      </c>
      <c r="H351" t="s">
        <v>131</v>
      </c>
      <c r="I351" s="3">
        <v>0.20833333333333334</v>
      </c>
      <c r="J351" t="s">
        <v>68</v>
      </c>
      <c r="K351">
        <v>9</v>
      </c>
      <c r="L351" s="3">
        <v>4.1666666666666664E-2</v>
      </c>
      <c r="M351" t="s">
        <v>31</v>
      </c>
      <c r="N351" t="s">
        <v>186</v>
      </c>
    </row>
    <row r="352" spans="1:14" x14ac:dyDescent="0.35">
      <c r="A352" t="s">
        <v>64</v>
      </c>
      <c r="B352" s="1">
        <v>45606</v>
      </c>
      <c r="C352" t="s">
        <v>65</v>
      </c>
      <c r="D352">
        <v>21</v>
      </c>
      <c r="E352" s="2">
        <v>40572</v>
      </c>
      <c r="F352" t="s">
        <v>24</v>
      </c>
      <c r="G352" t="s">
        <v>66</v>
      </c>
      <c r="H352" t="s">
        <v>209</v>
      </c>
      <c r="I352" s="3">
        <v>2.0833333333333333E-3</v>
      </c>
      <c r="J352" t="s">
        <v>68</v>
      </c>
      <c r="K352">
        <v>89</v>
      </c>
      <c r="L352" s="3">
        <v>2.0833333333333333E-3</v>
      </c>
      <c r="M352" t="s">
        <v>31</v>
      </c>
      <c r="N352" t="s">
        <v>155</v>
      </c>
    </row>
    <row r="353" spans="1:14" x14ac:dyDescent="0.35">
      <c r="A353" t="s">
        <v>64</v>
      </c>
      <c r="B353" s="1">
        <v>45606</v>
      </c>
      <c r="C353" t="s">
        <v>65</v>
      </c>
      <c r="D353">
        <v>21</v>
      </c>
      <c r="E353" s="2">
        <v>40572</v>
      </c>
      <c r="F353" t="s">
        <v>24</v>
      </c>
      <c r="G353" t="s">
        <v>66</v>
      </c>
      <c r="H353" t="s">
        <v>209</v>
      </c>
      <c r="I353" s="3">
        <v>2.0833333333333333E-3</v>
      </c>
      <c r="J353" t="s">
        <v>68</v>
      </c>
      <c r="K353">
        <v>87</v>
      </c>
      <c r="L353" s="3">
        <v>1.3888888888888889E-3</v>
      </c>
      <c r="M353" t="s">
        <v>31</v>
      </c>
      <c r="N353" t="s">
        <v>155</v>
      </c>
    </row>
    <row r="354" spans="1:14" x14ac:dyDescent="0.35">
      <c r="A354" t="s">
        <v>64</v>
      </c>
      <c r="B354" s="1">
        <v>45606</v>
      </c>
      <c r="C354" t="s">
        <v>65</v>
      </c>
      <c r="D354">
        <v>22</v>
      </c>
      <c r="E354" s="2">
        <v>40579</v>
      </c>
      <c r="F354" t="s">
        <v>16</v>
      </c>
      <c r="G354" t="s">
        <v>66</v>
      </c>
      <c r="H354" t="s">
        <v>119</v>
      </c>
      <c r="I354" s="3">
        <v>0.125</v>
      </c>
      <c r="J354" t="s">
        <v>68</v>
      </c>
      <c r="K354">
        <v>28</v>
      </c>
      <c r="L354" s="3">
        <v>8.3333333333333329E-2</v>
      </c>
      <c r="M354" t="s">
        <v>31</v>
      </c>
      <c r="N354" t="s">
        <v>186</v>
      </c>
    </row>
    <row r="355" spans="1:14" x14ac:dyDescent="0.35">
      <c r="A355" t="s">
        <v>64</v>
      </c>
      <c r="B355" s="1">
        <v>45606</v>
      </c>
      <c r="C355" t="s">
        <v>65</v>
      </c>
      <c r="D355">
        <v>22</v>
      </c>
      <c r="E355" s="2">
        <v>40579</v>
      </c>
      <c r="F355" t="s">
        <v>16</v>
      </c>
      <c r="G355" t="s">
        <v>66</v>
      </c>
      <c r="H355" t="s">
        <v>119</v>
      </c>
      <c r="I355" s="3">
        <v>0.125</v>
      </c>
      <c r="J355" t="s">
        <v>68</v>
      </c>
      <c r="K355">
        <v>78</v>
      </c>
      <c r="L355" s="3">
        <v>0.125</v>
      </c>
      <c r="M355" t="s">
        <v>31</v>
      </c>
      <c r="N355" t="s">
        <v>208</v>
      </c>
    </row>
    <row r="356" spans="1:14" x14ac:dyDescent="0.35">
      <c r="A356" t="s">
        <v>64</v>
      </c>
      <c r="B356" s="1">
        <v>45606</v>
      </c>
      <c r="C356" t="s">
        <v>65</v>
      </c>
      <c r="D356">
        <v>22</v>
      </c>
      <c r="E356" s="2">
        <v>40579</v>
      </c>
      <c r="F356" t="s">
        <v>16</v>
      </c>
      <c r="G356" t="s">
        <v>66</v>
      </c>
      <c r="H356" t="s">
        <v>119</v>
      </c>
      <c r="I356" s="3">
        <v>0.125</v>
      </c>
      <c r="J356" t="s">
        <v>68</v>
      </c>
      <c r="K356">
        <v>16</v>
      </c>
      <c r="L356" s="3">
        <v>4.1666666666666664E-2</v>
      </c>
      <c r="M356" t="s">
        <v>31</v>
      </c>
      <c r="N356" t="s">
        <v>155</v>
      </c>
    </row>
    <row r="357" spans="1:14" x14ac:dyDescent="0.35">
      <c r="A357" t="s">
        <v>14</v>
      </c>
      <c r="B357" s="1">
        <v>45606</v>
      </c>
      <c r="C357" t="s">
        <v>65</v>
      </c>
      <c r="D357">
        <v>22</v>
      </c>
      <c r="E357" s="2">
        <v>40580</v>
      </c>
      <c r="F357" t="s">
        <v>16</v>
      </c>
      <c r="G357" t="s">
        <v>112</v>
      </c>
      <c r="H357" t="s">
        <v>217</v>
      </c>
      <c r="I357" s="3">
        <v>0.1673611111111111</v>
      </c>
      <c r="J357" t="s">
        <v>19</v>
      </c>
      <c r="K357">
        <v>20</v>
      </c>
      <c r="L357" s="3">
        <v>8.3333333333333329E-2</v>
      </c>
      <c r="M357" t="s">
        <v>31</v>
      </c>
      <c r="N357" t="s">
        <v>198</v>
      </c>
    </row>
    <row r="358" spans="1:14" x14ac:dyDescent="0.35">
      <c r="A358" t="s">
        <v>14</v>
      </c>
      <c r="B358" s="1">
        <v>45606</v>
      </c>
      <c r="C358" t="s">
        <v>65</v>
      </c>
      <c r="D358">
        <v>22</v>
      </c>
      <c r="E358" s="2">
        <v>40580</v>
      </c>
      <c r="F358" t="s">
        <v>16</v>
      </c>
      <c r="G358" t="s">
        <v>112</v>
      </c>
      <c r="H358" t="s">
        <v>217</v>
      </c>
      <c r="I358" s="3">
        <v>0.1673611111111111</v>
      </c>
      <c r="J358" t="s">
        <v>19</v>
      </c>
      <c r="K358">
        <v>42</v>
      </c>
      <c r="L358" s="3">
        <v>0.125</v>
      </c>
      <c r="M358" t="s">
        <v>22</v>
      </c>
      <c r="N358" t="s">
        <v>204</v>
      </c>
    </row>
    <row r="359" spans="1:14" x14ac:dyDescent="0.35">
      <c r="A359" t="s">
        <v>64</v>
      </c>
      <c r="B359" s="1">
        <v>45606</v>
      </c>
      <c r="C359" t="s">
        <v>65</v>
      </c>
      <c r="D359">
        <v>24</v>
      </c>
      <c r="E359" s="2">
        <v>40594</v>
      </c>
      <c r="F359" t="s">
        <v>16</v>
      </c>
      <c r="G359" t="s">
        <v>66</v>
      </c>
      <c r="H359" t="s">
        <v>86</v>
      </c>
      <c r="I359" s="3">
        <v>8.4027777777777785E-2</v>
      </c>
      <c r="J359" t="s">
        <v>68</v>
      </c>
      <c r="K359">
        <v>78</v>
      </c>
      <c r="L359" s="3">
        <v>8.4027777777777785E-2</v>
      </c>
      <c r="M359" t="s">
        <v>26</v>
      </c>
      <c r="N359" t="s">
        <v>155</v>
      </c>
    </row>
    <row r="360" spans="1:14" x14ac:dyDescent="0.35">
      <c r="A360" t="s">
        <v>64</v>
      </c>
      <c r="B360" s="1">
        <v>45606</v>
      </c>
      <c r="C360" t="s">
        <v>65</v>
      </c>
      <c r="D360">
        <v>25</v>
      </c>
      <c r="E360" s="2">
        <v>40600</v>
      </c>
      <c r="F360" t="s">
        <v>24</v>
      </c>
      <c r="G360" t="s">
        <v>66</v>
      </c>
      <c r="H360" t="s">
        <v>89</v>
      </c>
      <c r="I360" s="3">
        <v>2.0833333333333333E-3</v>
      </c>
      <c r="J360" t="s">
        <v>68</v>
      </c>
      <c r="K360">
        <v>38</v>
      </c>
      <c r="L360" s="3">
        <v>6.9444444444444447E-4</v>
      </c>
      <c r="M360" t="s">
        <v>22</v>
      </c>
      <c r="N360" t="s">
        <v>200</v>
      </c>
    </row>
    <row r="361" spans="1:14" x14ac:dyDescent="0.35">
      <c r="A361" t="s">
        <v>64</v>
      </c>
      <c r="B361" s="1">
        <v>45606</v>
      </c>
      <c r="C361" t="s">
        <v>65</v>
      </c>
      <c r="D361">
        <v>26</v>
      </c>
      <c r="E361" s="2">
        <v>40604</v>
      </c>
      <c r="F361" t="s">
        <v>24</v>
      </c>
      <c r="G361" t="s">
        <v>66</v>
      </c>
      <c r="H361" t="s">
        <v>148</v>
      </c>
      <c r="I361" s="3">
        <v>6.9444444444444447E-4</v>
      </c>
      <c r="J361" t="s">
        <v>68</v>
      </c>
      <c r="K361">
        <v>77</v>
      </c>
      <c r="L361" s="3">
        <v>6.9444444444444447E-4</v>
      </c>
      <c r="M361" t="s">
        <v>31</v>
      </c>
      <c r="N361" t="s">
        <v>215</v>
      </c>
    </row>
    <row r="362" spans="1:14" x14ac:dyDescent="0.35">
      <c r="A362" t="s">
        <v>14</v>
      </c>
      <c r="B362" s="1">
        <v>45606</v>
      </c>
      <c r="C362" t="s">
        <v>65</v>
      </c>
      <c r="D362">
        <v>26</v>
      </c>
      <c r="E362" s="2">
        <v>40605</v>
      </c>
      <c r="F362" t="s">
        <v>16</v>
      </c>
      <c r="G362" t="s">
        <v>112</v>
      </c>
      <c r="H362" t="s">
        <v>157</v>
      </c>
      <c r="I362" s="3">
        <v>0.29166666666666669</v>
      </c>
      <c r="J362" t="s">
        <v>19</v>
      </c>
      <c r="K362">
        <v>67</v>
      </c>
      <c r="L362" s="3">
        <v>0.25</v>
      </c>
      <c r="M362" t="s">
        <v>83</v>
      </c>
    </row>
    <row r="363" spans="1:14" x14ac:dyDescent="0.35">
      <c r="A363" t="s">
        <v>14</v>
      </c>
      <c r="B363" s="1">
        <v>45606</v>
      </c>
      <c r="C363" t="s">
        <v>65</v>
      </c>
      <c r="D363">
        <v>26</v>
      </c>
      <c r="E363" s="2">
        <v>40605</v>
      </c>
      <c r="F363" t="s">
        <v>16</v>
      </c>
      <c r="G363" t="s">
        <v>112</v>
      </c>
      <c r="H363" t="s">
        <v>157</v>
      </c>
      <c r="I363" s="3">
        <v>0.29166666666666669</v>
      </c>
      <c r="J363" t="s">
        <v>19</v>
      </c>
      <c r="K363">
        <v>50</v>
      </c>
      <c r="L363" s="3">
        <v>0.16666666666666666</v>
      </c>
      <c r="M363" t="s">
        <v>31</v>
      </c>
      <c r="N363" t="s">
        <v>204</v>
      </c>
    </row>
    <row r="364" spans="1:14" x14ac:dyDescent="0.35">
      <c r="A364" t="s">
        <v>14</v>
      </c>
      <c r="B364" s="1">
        <v>45606</v>
      </c>
      <c r="C364" t="s">
        <v>65</v>
      </c>
      <c r="D364">
        <v>26</v>
      </c>
      <c r="E364" s="2">
        <v>40605</v>
      </c>
      <c r="F364" t="s">
        <v>16</v>
      </c>
      <c r="G364" t="s">
        <v>112</v>
      </c>
      <c r="H364" t="s">
        <v>157</v>
      </c>
      <c r="I364" s="3">
        <v>0.29166666666666669</v>
      </c>
      <c r="J364" t="s">
        <v>19</v>
      </c>
      <c r="K364">
        <v>76</v>
      </c>
      <c r="L364" s="3">
        <v>0.29166666666666669</v>
      </c>
      <c r="M364" t="s">
        <v>26</v>
      </c>
      <c r="N364" t="s">
        <v>218</v>
      </c>
    </row>
    <row r="365" spans="1:14" x14ac:dyDescent="0.35">
      <c r="A365" t="s">
        <v>64</v>
      </c>
      <c r="B365" s="1">
        <v>45606</v>
      </c>
      <c r="C365" t="s">
        <v>75</v>
      </c>
      <c r="D365" t="s">
        <v>143</v>
      </c>
      <c r="E365" s="2">
        <v>40610</v>
      </c>
      <c r="F365" t="s">
        <v>16</v>
      </c>
      <c r="G365" t="s">
        <v>66</v>
      </c>
      <c r="H365" t="s">
        <v>54</v>
      </c>
      <c r="I365" s="3">
        <v>0.12569444444444444</v>
      </c>
      <c r="J365" t="s">
        <v>38</v>
      </c>
      <c r="K365">
        <v>49</v>
      </c>
      <c r="L365" s="3">
        <v>4.1666666666666664E-2</v>
      </c>
      <c r="M365" t="s">
        <v>31</v>
      </c>
      <c r="N365" t="s">
        <v>99</v>
      </c>
    </row>
    <row r="366" spans="1:14" x14ac:dyDescent="0.35">
      <c r="A366" t="s">
        <v>64</v>
      </c>
      <c r="B366" s="1">
        <v>45606</v>
      </c>
      <c r="C366" t="s">
        <v>75</v>
      </c>
      <c r="D366" t="s">
        <v>143</v>
      </c>
      <c r="E366" s="2">
        <v>40610</v>
      </c>
      <c r="F366" t="s">
        <v>16</v>
      </c>
      <c r="G366" t="s">
        <v>66</v>
      </c>
      <c r="H366" t="s">
        <v>54</v>
      </c>
      <c r="I366" s="3">
        <v>0.12569444444444444</v>
      </c>
      <c r="J366" t="s">
        <v>38</v>
      </c>
      <c r="K366">
        <v>72</v>
      </c>
      <c r="L366" s="3">
        <v>0.12569444444444444</v>
      </c>
      <c r="M366" t="s">
        <v>83</v>
      </c>
    </row>
    <row r="367" spans="1:14" x14ac:dyDescent="0.35">
      <c r="A367" t="s">
        <v>14</v>
      </c>
      <c r="B367" s="1">
        <v>45606</v>
      </c>
      <c r="C367" t="s">
        <v>75</v>
      </c>
      <c r="D367" t="s">
        <v>92</v>
      </c>
      <c r="E367" s="2">
        <v>40638</v>
      </c>
      <c r="F367" t="s">
        <v>16</v>
      </c>
      <c r="G367" t="s">
        <v>112</v>
      </c>
      <c r="H367" t="s">
        <v>42</v>
      </c>
      <c r="I367" s="3">
        <v>0.16666666666666666</v>
      </c>
      <c r="J367" t="s">
        <v>19</v>
      </c>
      <c r="K367">
        <v>87</v>
      </c>
      <c r="L367" s="3">
        <v>0.16666666666666666</v>
      </c>
      <c r="M367" t="s">
        <v>26</v>
      </c>
      <c r="N367" t="s">
        <v>198</v>
      </c>
    </row>
    <row r="368" spans="1:14" x14ac:dyDescent="0.35">
      <c r="A368" t="s">
        <v>64</v>
      </c>
      <c r="B368" s="1">
        <v>45606</v>
      </c>
      <c r="C368" t="s">
        <v>65</v>
      </c>
      <c r="D368">
        <v>31</v>
      </c>
      <c r="E368" s="2">
        <v>40642</v>
      </c>
      <c r="F368" t="s">
        <v>16</v>
      </c>
      <c r="G368" t="s">
        <v>66</v>
      </c>
      <c r="H368" t="s">
        <v>131</v>
      </c>
      <c r="I368" s="3">
        <v>0.12569444444444444</v>
      </c>
      <c r="J368" t="s">
        <v>68</v>
      </c>
      <c r="K368" t="s">
        <v>69</v>
      </c>
      <c r="L368" s="3">
        <v>0.12569444444444444</v>
      </c>
      <c r="M368" t="s">
        <v>31</v>
      </c>
      <c r="N368" t="s">
        <v>200</v>
      </c>
    </row>
    <row r="369" spans="1:14" x14ac:dyDescent="0.35">
      <c r="A369" t="s">
        <v>64</v>
      </c>
      <c r="B369" s="1">
        <v>45606</v>
      </c>
      <c r="C369" t="s">
        <v>65</v>
      </c>
      <c r="D369">
        <v>31</v>
      </c>
      <c r="E369" s="2">
        <v>40642</v>
      </c>
      <c r="F369" t="s">
        <v>16</v>
      </c>
      <c r="G369" t="s">
        <v>66</v>
      </c>
      <c r="H369" t="s">
        <v>131</v>
      </c>
      <c r="I369" s="3">
        <v>0.12569444444444444</v>
      </c>
      <c r="J369" t="s">
        <v>68</v>
      </c>
      <c r="K369">
        <v>52</v>
      </c>
      <c r="L369" s="3">
        <v>4.2361111111111113E-2</v>
      </c>
      <c r="M369" t="s">
        <v>83</v>
      </c>
    </row>
    <row r="370" spans="1:14" x14ac:dyDescent="0.35">
      <c r="A370" t="s">
        <v>14</v>
      </c>
      <c r="B370" s="1">
        <v>45606</v>
      </c>
      <c r="C370" t="s">
        <v>65</v>
      </c>
      <c r="D370">
        <v>31</v>
      </c>
      <c r="E370" s="2">
        <v>40642</v>
      </c>
      <c r="F370" t="s">
        <v>24</v>
      </c>
      <c r="G370" t="s">
        <v>112</v>
      </c>
      <c r="H370" t="s">
        <v>86</v>
      </c>
      <c r="I370" s="3">
        <v>2.0833333333333333E-3</v>
      </c>
      <c r="J370" t="s">
        <v>68</v>
      </c>
      <c r="K370">
        <v>70</v>
      </c>
      <c r="L370" s="3">
        <v>2.0833333333333333E-3</v>
      </c>
      <c r="M370" t="s">
        <v>26</v>
      </c>
      <c r="N370" t="s">
        <v>179</v>
      </c>
    </row>
    <row r="371" spans="1:14" x14ac:dyDescent="0.35">
      <c r="A371" t="s">
        <v>64</v>
      </c>
      <c r="B371" s="1">
        <v>45606</v>
      </c>
      <c r="C371" t="s">
        <v>75</v>
      </c>
      <c r="D371" t="s">
        <v>92</v>
      </c>
      <c r="E371" s="2">
        <v>40645</v>
      </c>
      <c r="F371" t="s">
        <v>24</v>
      </c>
      <c r="G371" t="s">
        <v>66</v>
      </c>
      <c r="H371" t="s">
        <v>152</v>
      </c>
      <c r="I371" s="3">
        <v>6.9444444444444447E-4</v>
      </c>
      <c r="J371" t="s">
        <v>68</v>
      </c>
      <c r="K371">
        <v>42</v>
      </c>
      <c r="L371" s="3">
        <v>6.9444444444444447E-4</v>
      </c>
      <c r="M371" t="s">
        <v>31</v>
      </c>
      <c r="N371" t="s">
        <v>155</v>
      </c>
    </row>
    <row r="372" spans="1:14" x14ac:dyDescent="0.35">
      <c r="A372" t="s">
        <v>14</v>
      </c>
      <c r="B372" s="1">
        <v>45606</v>
      </c>
      <c r="C372" t="s">
        <v>75</v>
      </c>
      <c r="D372" t="s">
        <v>92</v>
      </c>
      <c r="E372" s="2">
        <v>40646</v>
      </c>
      <c r="F372" t="s">
        <v>24</v>
      </c>
      <c r="G372" t="s">
        <v>112</v>
      </c>
      <c r="H372" t="s">
        <v>42</v>
      </c>
      <c r="I372" s="3">
        <v>6.9444444444444447E-4</v>
      </c>
      <c r="J372" t="s">
        <v>38</v>
      </c>
      <c r="K372">
        <v>50</v>
      </c>
      <c r="L372" s="3">
        <v>6.9444444444444447E-4</v>
      </c>
      <c r="M372" t="s">
        <v>26</v>
      </c>
      <c r="N372" t="s">
        <v>219</v>
      </c>
    </row>
    <row r="373" spans="1:14" x14ac:dyDescent="0.35">
      <c r="A373" t="s">
        <v>64</v>
      </c>
      <c r="B373" s="1">
        <v>45606</v>
      </c>
      <c r="C373" t="s">
        <v>65</v>
      </c>
      <c r="D373">
        <v>32</v>
      </c>
      <c r="E373" s="2">
        <v>40649</v>
      </c>
      <c r="F373" t="s">
        <v>24</v>
      </c>
      <c r="G373" t="s">
        <v>66</v>
      </c>
      <c r="H373" t="s">
        <v>112</v>
      </c>
      <c r="I373" s="3">
        <v>4.2361111111111113E-2</v>
      </c>
      <c r="J373" t="s">
        <v>68</v>
      </c>
      <c r="K373">
        <v>53</v>
      </c>
      <c r="L373" s="3">
        <v>6.9444444444444447E-4</v>
      </c>
      <c r="M373" t="s">
        <v>83</v>
      </c>
    </row>
    <row r="374" spans="1:14" x14ac:dyDescent="0.35">
      <c r="A374" t="s">
        <v>14</v>
      </c>
      <c r="B374" s="1">
        <v>45606</v>
      </c>
      <c r="C374" t="s">
        <v>65</v>
      </c>
      <c r="D374">
        <v>32</v>
      </c>
      <c r="E374" s="2">
        <v>40649</v>
      </c>
      <c r="F374" t="s">
        <v>16</v>
      </c>
      <c r="G374" t="s">
        <v>112</v>
      </c>
      <c r="H374" t="s">
        <v>66</v>
      </c>
      <c r="I374" s="3">
        <v>4.2361111111111113E-2</v>
      </c>
      <c r="J374" t="s">
        <v>19</v>
      </c>
      <c r="K374">
        <v>82</v>
      </c>
      <c r="L374" s="3">
        <v>4.2361111111111113E-2</v>
      </c>
      <c r="M374" t="s">
        <v>83</v>
      </c>
    </row>
    <row r="375" spans="1:14" x14ac:dyDescent="0.35">
      <c r="A375" t="s">
        <v>14</v>
      </c>
      <c r="B375" s="1">
        <v>45606</v>
      </c>
      <c r="C375" t="s">
        <v>91</v>
      </c>
      <c r="D375" t="s">
        <v>46</v>
      </c>
      <c r="E375" s="2">
        <v>40653</v>
      </c>
      <c r="F375" t="s">
        <v>24</v>
      </c>
      <c r="G375" t="s">
        <v>112</v>
      </c>
      <c r="H375" t="s">
        <v>66</v>
      </c>
      <c r="I375" t="s">
        <v>220</v>
      </c>
      <c r="J375" t="s">
        <v>68</v>
      </c>
      <c r="K375">
        <v>103</v>
      </c>
      <c r="L375" s="3">
        <v>6.9444444444444447E-4</v>
      </c>
      <c r="M375" t="s">
        <v>22</v>
      </c>
      <c r="N375" t="s">
        <v>207</v>
      </c>
    </row>
    <row r="376" spans="1:14" x14ac:dyDescent="0.35">
      <c r="A376" t="s">
        <v>64</v>
      </c>
      <c r="B376" s="1">
        <v>45606</v>
      </c>
      <c r="C376" t="s">
        <v>65</v>
      </c>
      <c r="D376">
        <v>33</v>
      </c>
      <c r="E376" s="2">
        <v>40656</v>
      </c>
      <c r="F376" t="s">
        <v>16</v>
      </c>
      <c r="G376" t="s">
        <v>66</v>
      </c>
      <c r="H376" t="s">
        <v>100</v>
      </c>
      <c r="I376" s="3">
        <v>8.3333333333333329E-2</v>
      </c>
      <c r="J376" t="s">
        <v>68</v>
      </c>
      <c r="K376">
        <v>87</v>
      </c>
      <c r="L376" s="3">
        <v>8.3333333333333329E-2</v>
      </c>
      <c r="M376" t="s">
        <v>26</v>
      </c>
      <c r="N376" t="s">
        <v>155</v>
      </c>
    </row>
    <row r="377" spans="1:14" x14ac:dyDescent="0.35">
      <c r="A377" t="s">
        <v>64</v>
      </c>
      <c r="B377" s="1">
        <v>45606</v>
      </c>
      <c r="C377" t="s">
        <v>75</v>
      </c>
      <c r="D377" t="s">
        <v>62</v>
      </c>
      <c r="E377" s="2">
        <v>40660</v>
      </c>
      <c r="F377" t="s">
        <v>24</v>
      </c>
      <c r="G377" t="s">
        <v>66</v>
      </c>
      <c r="H377" t="s">
        <v>112</v>
      </c>
      <c r="I377" s="3">
        <v>1.3888888888888889E-3</v>
      </c>
      <c r="J377" t="s">
        <v>68</v>
      </c>
      <c r="K377">
        <v>76</v>
      </c>
      <c r="L377" s="3">
        <v>6.9444444444444447E-4</v>
      </c>
      <c r="M377" t="s">
        <v>31</v>
      </c>
      <c r="N377" t="s">
        <v>221</v>
      </c>
    </row>
    <row r="378" spans="1:14" x14ac:dyDescent="0.35">
      <c r="A378" t="s">
        <v>64</v>
      </c>
      <c r="B378" s="1">
        <v>45606</v>
      </c>
      <c r="C378" t="s">
        <v>75</v>
      </c>
      <c r="D378" t="s">
        <v>62</v>
      </c>
      <c r="E378" s="2">
        <v>40660</v>
      </c>
      <c r="F378" t="s">
        <v>24</v>
      </c>
      <c r="G378" t="s">
        <v>66</v>
      </c>
      <c r="H378" t="s">
        <v>112</v>
      </c>
      <c r="I378" s="3">
        <v>1.3888888888888889E-3</v>
      </c>
      <c r="J378" t="s">
        <v>68</v>
      </c>
      <c r="K378">
        <v>87</v>
      </c>
      <c r="L378" s="3">
        <v>1.3888888888888889E-3</v>
      </c>
      <c r="M378" t="s">
        <v>20</v>
      </c>
      <c r="N378" t="s">
        <v>222</v>
      </c>
    </row>
    <row r="379" spans="1:14" x14ac:dyDescent="0.35">
      <c r="A379" t="s">
        <v>14</v>
      </c>
      <c r="B379" s="1">
        <v>45606</v>
      </c>
      <c r="C379" t="s">
        <v>65</v>
      </c>
      <c r="D379">
        <v>35</v>
      </c>
      <c r="E379" s="2">
        <v>40670</v>
      </c>
      <c r="F379" t="s">
        <v>24</v>
      </c>
      <c r="G379" t="s">
        <v>112</v>
      </c>
      <c r="H379" t="s">
        <v>105</v>
      </c>
      <c r="I379" s="3">
        <v>8.7499999999999994E-2</v>
      </c>
      <c r="J379" t="s">
        <v>19</v>
      </c>
      <c r="K379">
        <v>30</v>
      </c>
      <c r="L379" s="3">
        <v>1.3888888888888889E-3</v>
      </c>
      <c r="M379" t="s">
        <v>26</v>
      </c>
      <c r="N379" t="s">
        <v>182</v>
      </c>
    </row>
    <row r="380" spans="1:14" x14ac:dyDescent="0.35">
      <c r="A380" t="s">
        <v>14</v>
      </c>
      <c r="B380" s="1">
        <v>45606</v>
      </c>
      <c r="C380" t="s">
        <v>65</v>
      </c>
      <c r="D380">
        <v>35</v>
      </c>
      <c r="E380" s="2">
        <v>40670</v>
      </c>
      <c r="F380" t="s">
        <v>24</v>
      </c>
      <c r="G380" t="s">
        <v>112</v>
      </c>
      <c r="H380" t="s">
        <v>105</v>
      </c>
      <c r="I380" s="3">
        <v>8.7499999999999994E-2</v>
      </c>
      <c r="J380" t="s">
        <v>19</v>
      </c>
      <c r="K380">
        <v>76</v>
      </c>
      <c r="L380" s="3">
        <v>4.583333333333333E-2</v>
      </c>
      <c r="M380" t="s">
        <v>26</v>
      </c>
      <c r="N380" t="s">
        <v>183</v>
      </c>
    </row>
    <row r="381" spans="1:14" x14ac:dyDescent="0.35">
      <c r="A381" t="s">
        <v>14</v>
      </c>
      <c r="B381" s="1">
        <v>45606</v>
      </c>
      <c r="C381" t="s">
        <v>65</v>
      </c>
      <c r="D381">
        <v>35</v>
      </c>
      <c r="E381" s="2">
        <v>40670</v>
      </c>
      <c r="F381" t="s">
        <v>24</v>
      </c>
      <c r="G381" t="s">
        <v>112</v>
      </c>
      <c r="H381" t="s">
        <v>105</v>
      </c>
      <c r="I381" s="3">
        <v>8.7499999999999994E-2</v>
      </c>
      <c r="J381" t="s">
        <v>19</v>
      </c>
      <c r="K381">
        <v>64</v>
      </c>
      <c r="L381" s="3">
        <v>4.4444444444444446E-2</v>
      </c>
      <c r="M381" t="s">
        <v>26</v>
      </c>
    </row>
    <row r="382" spans="1:14" x14ac:dyDescent="0.35">
      <c r="A382" t="s">
        <v>14</v>
      </c>
      <c r="B382" s="1">
        <v>45606</v>
      </c>
      <c r="C382" t="s">
        <v>65</v>
      </c>
      <c r="D382">
        <v>35</v>
      </c>
      <c r="E382" s="2">
        <v>40670</v>
      </c>
      <c r="F382" t="s">
        <v>24</v>
      </c>
      <c r="G382" t="s">
        <v>112</v>
      </c>
      <c r="H382" t="s">
        <v>105</v>
      </c>
      <c r="I382" s="3">
        <v>8.7499999999999994E-2</v>
      </c>
      <c r="J382" t="s">
        <v>19</v>
      </c>
      <c r="K382">
        <v>70</v>
      </c>
      <c r="L382" s="3">
        <v>4.5138888888888888E-2</v>
      </c>
      <c r="M382" t="s">
        <v>26</v>
      </c>
      <c r="N382" t="s">
        <v>204</v>
      </c>
    </row>
    <row r="383" spans="1:14" x14ac:dyDescent="0.35">
      <c r="A383" t="s">
        <v>14</v>
      </c>
      <c r="B383" s="1">
        <v>45606</v>
      </c>
      <c r="C383" t="s">
        <v>65</v>
      </c>
      <c r="D383">
        <v>36</v>
      </c>
      <c r="E383" s="2">
        <v>40673</v>
      </c>
      <c r="F383" t="s">
        <v>16</v>
      </c>
      <c r="G383" t="s">
        <v>112</v>
      </c>
      <c r="H383" t="s">
        <v>117</v>
      </c>
      <c r="I383" s="3">
        <v>0.16666666666666666</v>
      </c>
      <c r="J383" t="s">
        <v>19</v>
      </c>
      <c r="K383">
        <v>23</v>
      </c>
      <c r="L383" s="3">
        <v>4.1666666666666664E-2</v>
      </c>
      <c r="M383" t="s">
        <v>22</v>
      </c>
      <c r="N383" t="s">
        <v>204</v>
      </c>
    </row>
    <row r="384" spans="1:14" x14ac:dyDescent="0.35">
      <c r="A384" t="s">
        <v>14</v>
      </c>
      <c r="B384" s="1">
        <v>45606</v>
      </c>
      <c r="C384" t="s">
        <v>65</v>
      </c>
      <c r="D384">
        <v>36</v>
      </c>
      <c r="E384" s="2">
        <v>40673</v>
      </c>
      <c r="F384" t="s">
        <v>16</v>
      </c>
      <c r="G384" t="s">
        <v>112</v>
      </c>
      <c r="H384" t="s">
        <v>117</v>
      </c>
      <c r="I384" s="3">
        <v>0.16666666666666666</v>
      </c>
      <c r="J384" t="s">
        <v>19</v>
      </c>
      <c r="K384" t="s">
        <v>69</v>
      </c>
      <c r="L384" s="3">
        <v>0.16666666666666666</v>
      </c>
      <c r="M384" t="s">
        <v>83</v>
      </c>
    </row>
    <row r="385" spans="1:14" x14ac:dyDescent="0.35">
      <c r="A385" t="s">
        <v>14</v>
      </c>
      <c r="B385" s="1">
        <v>45606</v>
      </c>
      <c r="C385" t="s">
        <v>65</v>
      </c>
      <c r="D385">
        <v>36</v>
      </c>
      <c r="E385" s="2">
        <v>40673</v>
      </c>
      <c r="F385" t="s">
        <v>16</v>
      </c>
      <c r="G385" t="s">
        <v>112</v>
      </c>
      <c r="H385" t="s">
        <v>117</v>
      </c>
      <c r="I385" s="3">
        <v>0.16666666666666666</v>
      </c>
      <c r="J385" t="s">
        <v>19</v>
      </c>
      <c r="K385">
        <v>57</v>
      </c>
      <c r="L385" s="3">
        <v>8.3333333333333329E-2</v>
      </c>
      <c r="M385" t="s">
        <v>31</v>
      </c>
      <c r="N385" t="s">
        <v>204</v>
      </c>
    </row>
    <row r="386" spans="1:14" x14ac:dyDescent="0.35">
      <c r="A386" t="s">
        <v>14</v>
      </c>
      <c r="B386" s="1">
        <v>45606</v>
      </c>
      <c r="C386" t="s">
        <v>65</v>
      </c>
      <c r="D386">
        <v>37</v>
      </c>
      <c r="E386" s="2">
        <v>40678</v>
      </c>
      <c r="F386" t="s">
        <v>24</v>
      </c>
      <c r="G386" t="s">
        <v>112</v>
      </c>
      <c r="H386" t="s">
        <v>180</v>
      </c>
      <c r="I386" s="3">
        <v>4.3749999999999997E-2</v>
      </c>
      <c r="J386" t="s">
        <v>68</v>
      </c>
      <c r="K386">
        <v>22</v>
      </c>
      <c r="L386" s="3">
        <v>1.3888888888888889E-3</v>
      </c>
      <c r="M386" t="s">
        <v>39</v>
      </c>
    </row>
    <row r="387" spans="1:14" x14ac:dyDescent="0.35">
      <c r="A387" t="s">
        <v>14</v>
      </c>
      <c r="B387" s="1">
        <v>45606</v>
      </c>
      <c r="C387" t="s">
        <v>65</v>
      </c>
      <c r="D387">
        <v>37</v>
      </c>
      <c r="E387" s="2">
        <v>40678</v>
      </c>
      <c r="F387" t="s">
        <v>24</v>
      </c>
      <c r="G387" t="s">
        <v>112</v>
      </c>
      <c r="H387" t="s">
        <v>180</v>
      </c>
      <c r="I387" s="3">
        <v>4.3749999999999997E-2</v>
      </c>
      <c r="J387" t="s">
        <v>68</v>
      </c>
      <c r="K387">
        <v>90</v>
      </c>
      <c r="L387" s="3">
        <v>4.3749999999999997E-2</v>
      </c>
      <c r="M387" t="s">
        <v>39</v>
      </c>
    </row>
    <row r="388" spans="1:14" x14ac:dyDescent="0.35">
      <c r="A388" t="s">
        <v>14</v>
      </c>
      <c r="B388" s="1">
        <v>45606</v>
      </c>
      <c r="C388" t="s">
        <v>65</v>
      </c>
      <c r="D388">
        <v>38</v>
      </c>
      <c r="E388" s="2">
        <v>40684</v>
      </c>
      <c r="F388" t="s">
        <v>16</v>
      </c>
      <c r="G388" t="s">
        <v>112</v>
      </c>
      <c r="H388" t="s">
        <v>187</v>
      </c>
      <c r="I388" s="3">
        <v>0.33402777777777776</v>
      </c>
      <c r="J388" t="s">
        <v>19</v>
      </c>
      <c r="K388">
        <v>4</v>
      </c>
      <c r="L388" s="3">
        <v>4.1666666666666664E-2</v>
      </c>
      <c r="M388" t="s">
        <v>26</v>
      </c>
      <c r="N388" t="s">
        <v>202</v>
      </c>
    </row>
    <row r="389" spans="1:14" x14ac:dyDescent="0.35">
      <c r="A389" t="s">
        <v>14</v>
      </c>
      <c r="B389" s="1">
        <v>45606</v>
      </c>
      <c r="C389" t="s">
        <v>65</v>
      </c>
      <c r="D389">
        <v>38</v>
      </c>
      <c r="E389" s="2">
        <v>40684</v>
      </c>
      <c r="F389" t="s">
        <v>16</v>
      </c>
      <c r="G389" t="s">
        <v>112</v>
      </c>
      <c r="H389" t="s">
        <v>187</v>
      </c>
      <c r="I389" s="3">
        <v>0.33402777777777776</v>
      </c>
      <c r="J389" t="s">
        <v>19</v>
      </c>
      <c r="K389">
        <v>76</v>
      </c>
      <c r="L389" s="3">
        <v>0.29236111111111113</v>
      </c>
      <c r="M389" t="s">
        <v>26</v>
      </c>
      <c r="N389" t="s">
        <v>202</v>
      </c>
    </row>
    <row r="390" spans="1:14" x14ac:dyDescent="0.35">
      <c r="A390" t="s">
        <v>64</v>
      </c>
      <c r="B390" s="1">
        <v>45606</v>
      </c>
      <c r="C390" t="s">
        <v>75</v>
      </c>
      <c r="D390" t="s">
        <v>46</v>
      </c>
      <c r="E390" s="2">
        <v>40691</v>
      </c>
      <c r="F390" t="s">
        <v>16</v>
      </c>
      <c r="G390" t="s">
        <v>66</v>
      </c>
      <c r="H390" t="s">
        <v>36</v>
      </c>
      <c r="I390" s="3">
        <v>0.12569444444444444</v>
      </c>
      <c r="J390" t="s">
        <v>68</v>
      </c>
      <c r="K390">
        <v>54</v>
      </c>
      <c r="L390" s="3">
        <v>8.4027777777777785E-2</v>
      </c>
      <c r="M390" t="s">
        <v>31</v>
      </c>
      <c r="N390" t="s">
        <v>99</v>
      </c>
    </row>
    <row r="391" spans="1:14" x14ac:dyDescent="0.35">
      <c r="A391" t="s">
        <v>64</v>
      </c>
      <c r="B391" s="1">
        <v>45637</v>
      </c>
      <c r="C391" t="s">
        <v>172</v>
      </c>
      <c r="D391" t="s">
        <v>173</v>
      </c>
      <c r="E391" s="2">
        <v>40769</v>
      </c>
      <c r="F391" t="s">
        <v>24</v>
      </c>
      <c r="G391" t="s">
        <v>66</v>
      </c>
      <c r="H391" t="s">
        <v>112</v>
      </c>
      <c r="I391" s="3">
        <v>8.4722222222222227E-2</v>
      </c>
      <c r="J391" t="s">
        <v>68</v>
      </c>
      <c r="K391">
        <v>45</v>
      </c>
      <c r="L391" s="3">
        <v>4.3055555555555555E-2</v>
      </c>
      <c r="M391" t="s">
        <v>31</v>
      </c>
      <c r="N391" t="s">
        <v>213</v>
      </c>
    </row>
    <row r="392" spans="1:14" x14ac:dyDescent="0.35">
      <c r="A392" t="s">
        <v>64</v>
      </c>
      <c r="B392" s="1">
        <v>45637</v>
      </c>
      <c r="C392" t="s">
        <v>172</v>
      </c>
      <c r="D392" t="s">
        <v>173</v>
      </c>
      <c r="E392" s="2">
        <v>40772</v>
      </c>
      <c r="F392" t="s">
        <v>16</v>
      </c>
      <c r="G392" t="s">
        <v>66</v>
      </c>
      <c r="H392" t="s">
        <v>112</v>
      </c>
      <c r="I392" s="3">
        <v>0.12638888888888888</v>
      </c>
      <c r="J392" t="s">
        <v>68</v>
      </c>
      <c r="K392">
        <v>88</v>
      </c>
      <c r="L392" s="3">
        <v>0.12638888888888888</v>
      </c>
      <c r="M392" t="s">
        <v>31</v>
      </c>
      <c r="N392" t="s">
        <v>215</v>
      </c>
    </row>
    <row r="393" spans="1:14" x14ac:dyDescent="0.35">
      <c r="A393" t="s">
        <v>64</v>
      </c>
      <c r="B393" s="1">
        <v>45637</v>
      </c>
      <c r="C393" t="s">
        <v>172</v>
      </c>
      <c r="D393" t="s">
        <v>173</v>
      </c>
      <c r="E393" s="2">
        <v>40772</v>
      </c>
      <c r="F393" t="s">
        <v>16</v>
      </c>
      <c r="G393" t="s">
        <v>66</v>
      </c>
      <c r="H393" t="s">
        <v>112</v>
      </c>
      <c r="I393" s="3">
        <v>0.12638888888888888</v>
      </c>
      <c r="J393" t="s">
        <v>68</v>
      </c>
      <c r="K393">
        <v>44</v>
      </c>
      <c r="L393" s="3">
        <v>8.4027777777777785E-2</v>
      </c>
      <c r="M393" t="s">
        <v>26</v>
      </c>
      <c r="N393" t="s">
        <v>166</v>
      </c>
    </row>
    <row r="394" spans="1:14" x14ac:dyDescent="0.35">
      <c r="A394" t="s">
        <v>14</v>
      </c>
      <c r="B394" s="1">
        <v>45637</v>
      </c>
      <c r="C394" t="s">
        <v>172</v>
      </c>
      <c r="D394" t="s">
        <v>173</v>
      </c>
      <c r="E394" s="2">
        <v>40772</v>
      </c>
      <c r="F394" t="s">
        <v>24</v>
      </c>
      <c r="G394" t="s">
        <v>112</v>
      </c>
      <c r="H394" t="s">
        <v>66</v>
      </c>
      <c r="I394" s="3">
        <v>0.12638888888888888</v>
      </c>
      <c r="J394" t="s">
        <v>19</v>
      </c>
      <c r="K394">
        <v>20</v>
      </c>
      <c r="L394" s="3">
        <v>4.2361111111111113E-2</v>
      </c>
      <c r="M394" t="s">
        <v>26</v>
      </c>
      <c r="N394" t="s">
        <v>183</v>
      </c>
    </row>
    <row r="395" spans="1:14" x14ac:dyDescent="0.35">
      <c r="A395" t="s">
        <v>64</v>
      </c>
      <c r="B395" s="1">
        <v>45637</v>
      </c>
      <c r="C395" t="s">
        <v>223</v>
      </c>
      <c r="D395" t="s">
        <v>46</v>
      </c>
      <c r="E395" s="2">
        <v>40781</v>
      </c>
      <c r="F395" t="s">
        <v>16</v>
      </c>
      <c r="G395" t="s">
        <v>66</v>
      </c>
      <c r="H395" t="s">
        <v>169</v>
      </c>
      <c r="I395" s="3">
        <v>8.3333333333333329E-2</v>
      </c>
      <c r="J395" t="s">
        <v>68</v>
      </c>
      <c r="K395">
        <v>39</v>
      </c>
      <c r="L395" s="3">
        <v>4.1666666666666664E-2</v>
      </c>
      <c r="M395" t="s">
        <v>31</v>
      </c>
    </row>
    <row r="396" spans="1:14" x14ac:dyDescent="0.35">
      <c r="A396" t="s">
        <v>14</v>
      </c>
      <c r="B396" s="1">
        <v>45637</v>
      </c>
      <c r="C396" t="s">
        <v>65</v>
      </c>
      <c r="D396">
        <v>2</v>
      </c>
      <c r="E396" s="2">
        <v>40783</v>
      </c>
      <c r="F396" t="s">
        <v>24</v>
      </c>
      <c r="G396" t="s">
        <v>112</v>
      </c>
      <c r="H396" t="s">
        <v>93</v>
      </c>
      <c r="I396" s="3">
        <v>4.1666666666666666E-3</v>
      </c>
      <c r="J396" t="s">
        <v>19</v>
      </c>
      <c r="K396">
        <v>23</v>
      </c>
      <c r="L396" s="3">
        <v>6.9444444444444447E-4</v>
      </c>
      <c r="M396" t="s">
        <v>31</v>
      </c>
      <c r="N396" t="s">
        <v>204</v>
      </c>
    </row>
    <row r="397" spans="1:14" x14ac:dyDescent="0.35">
      <c r="A397" t="s">
        <v>14</v>
      </c>
      <c r="B397" s="1">
        <v>45637</v>
      </c>
      <c r="C397" t="s">
        <v>65</v>
      </c>
      <c r="D397">
        <v>2</v>
      </c>
      <c r="E397" s="2">
        <v>40783</v>
      </c>
      <c r="F397" t="s">
        <v>24</v>
      </c>
      <c r="G397" t="s">
        <v>112</v>
      </c>
      <c r="H397" t="s">
        <v>93</v>
      </c>
      <c r="I397" s="3">
        <v>4.1666666666666666E-3</v>
      </c>
      <c r="J397" t="s">
        <v>19</v>
      </c>
      <c r="K397">
        <v>70</v>
      </c>
      <c r="L397" s="3">
        <v>2.7777777777777779E-3</v>
      </c>
      <c r="M397" t="s">
        <v>26</v>
      </c>
      <c r="N397" t="s">
        <v>207</v>
      </c>
    </row>
    <row r="398" spans="1:14" x14ac:dyDescent="0.35">
      <c r="A398" t="s">
        <v>14</v>
      </c>
      <c r="B398" s="1">
        <v>45637</v>
      </c>
      <c r="C398" t="s">
        <v>65</v>
      </c>
      <c r="D398">
        <v>2</v>
      </c>
      <c r="E398" s="2">
        <v>40783</v>
      </c>
      <c r="F398" t="s">
        <v>24</v>
      </c>
      <c r="G398" t="s">
        <v>112</v>
      </c>
      <c r="H398" t="s">
        <v>93</v>
      </c>
      <c r="I398" s="3">
        <v>4.1666666666666666E-3</v>
      </c>
      <c r="J398" t="s">
        <v>19</v>
      </c>
      <c r="K398">
        <v>86</v>
      </c>
      <c r="L398" s="3">
        <v>4.1666666666666666E-3</v>
      </c>
      <c r="M398" t="s">
        <v>26</v>
      </c>
      <c r="N398" t="s">
        <v>198</v>
      </c>
    </row>
    <row r="399" spans="1:14" x14ac:dyDescent="0.35">
      <c r="A399" t="s">
        <v>64</v>
      </c>
      <c r="B399" s="1">
        <v>45637</v>
      </c>
      <c r="C399" t="s">
        <v>65</v>
      </c>
      <c r="D399">
        <v>2</v>
      </c>
      <c r="E399" s="2">
        <v>40784</v>
      </c>
      <c r="F399" t="s">
        <v>16</v>
      </c>
      <c r="G399" t="s">
        <v>66</v>
      </c>
      <c r="H399" t="s">
        <v>180</v>
      </c>
      <c r="I399" s="3">
        <v>0.20833333333333334</v>
      </c>
      <c r="J399" t="s">
        <v>68</v>
      </c>
      <c r="K399">
        <v>74</v>
      </c>
      <c r="L399" s="3">
        <v>0.20833333333333334</v>
      </c>
      <c r="M399" t="s">
        <v>31</v>
      </c>
      <c r="N399" t="s">
        <v>213</v>
      </c>
    </row>
    <row r="400" spans="1:14" x14ac:dyDescent="0.35">
      <c r="A400" t="s">
        <v>64</v>
      </c>
      <c r="B400" s="1">
        <v>45637</v>
      </c>
      <c r="C400" t="s">
        <v>65</v>
      </c>
      <c r="D400">
        <v>2</v>
      </c>
      <c r="E400" s="2">
        <v>40784</v>
      </c>
      <c r="F400" t="s">
        <v>16</v>
      </c>
      <c r="G400" t="s">
        <v>66</v>
      </c>
      <c r="H400" t="s">
        <v>180</v>
      </c>
      <c r="I400" s="3">
        <v>0.20833333333333334</v>
      </c>
      <c r="J400" t="s">
        <v>68</v>
      </c>
      <c r="K400">
        <v>51</v>
      </c>
      <c r="L400" s="3">
        <v>0.16666666666666666</v>
      </c>
      <c r="M400" t="s">
        <v>26</v>
      </c>
      <c r="N400" t="s">
        <v>99</v>
      </c>
    </row>
    <row r="401" spans="1:14" x14ac:dyDescent="0.35">
      <c r="A401" t="s">
        <v>14</v>
      </c>
      <c r="B401" s="1">
        <v>45637</v>
      </c>
      <c r="C401" t="s">
        <v>65</v>
      </c>
      <c r="D401">
        <v>3</v>
      </c>
      <c r="E401" s="2">
        <v>40796</v>
      </c>
      <c r="F401" t="s">
        <v>16</v>
      </c>
      <c r="G401" t="s">
        <v>112</v>
      </c>
      <c r="H401" t="s">
        <v>117</v>
      </c>
      <c r="I401" s="3">
        <v>0.16805555555555557</v>
      </c>
      <c r="J401" t="s">
        <v>19</v>
      </c>
      <c r="K401">
        <v>59</v>
      </c>
      <c r="L401" s="3">
        <v>8.4027777777777785E-2</v>
      </c>
      <c r="M401" t="s">
        <v>83</v>
      </c>
    </row>
    <row r="402" spans="1:14" x14ac:dyDescent="0.35">
      <c r="A402" t="s">
        <v>64</v>
      </c>
      <c r="B402" s="1">
        <v>45637</v>
      </c>
      <c r="C402" t="s">
        <v>65</v>
      </c>
      <c r="D402">
        <v>4</v>
      </c>
      <c r="E402" s="2">
        <v>40803</v>
      </c>
      <c r="F402" t="s">
        <v>16</v>
      </c>
      <c r="G402" t="s">
        <v>66</v>
      </c>
      <c r="H402" t="s">
        <v>100</v>
      </c>
      <c r="I402" s="3">
        <v>0.33333333333333331</v>
      </c>
      <c r="J402" t="s">
        <v>68</v>
      </c>
      <c r="K402">
        <v>79</v>
      </c>
      <c r="L402" s="3">
        <v>0.33333333333333331</v>
      </c>
      <c r="M402" t="s">
        <v>31</v>
      </c>
      <c r="N402" t="s">
        <v>224</v>
      </c>
    </row>
    <row r="403" spans="1:14" x14ac:dyDescent="0.35">
      <c r="A403" t="s">
        <v>64</v>
      </c>
      <c r="B403" s="1">
        <v>45637</v>
      </c>
      <c r="C403" t="s">
        <v>65</v>
      </c>
      <c r="D403">
        <v>4</v>
      </c>
      <c r="E403" s="2">
        <v>40803</v>
      </c>
      <c r="F403" t="s">
        <v>16</v>
      </c>
      <c r="G403" t="s">
        <v>66</v>
      </c>
      <c r="H403" t="s">
        <v>100</v>
      </c>
      <c r="I403" s="3">
        <v>0.33333333333333331</v>
      </c>
      <c r="J403" t="s">
        <v>68</v>
      </c>
      <c r="K403">
        <v>5</v>
      </c>
      <c r="L403" s="3">
        <v>4.1666666666666664E-2</v>
      </c>
      <c r="M403" t="s">
        <v>31</v>
      </c>
      <c r="N403" t="s">
        <v>155</v>
      </c>
    </row>
    <row r="404" spans="1:14" x14ac:dyDescent="0.35">
      <c r="A404" t="s">
        <v>64</v>
      </c>
      <c r="B404" s="1">
        <v>45637</v>
      </c>
      <c r="C404" t="s">
        <v>65</v>
      </c>
      <c r="D404">
        <v>4</v>
      </c>
      <c r="E404" s="2">
        <v>40803</v>
      </c>
      <c r="F404" t="s">
        <v>16</v>
      </c>
      <c r="G404" t="s">
        <v>66</v>
      </c>
      <c r="H404" t="s">
        <v>100</v>
      </c>
      <c r="I404" s="3">
        <v>0.33333333333333331</v>
      </c>
      <c r="J404" t="s">
        <v>68</v>
      </c>
      <c r="K404">
        <v>41</v>
      </c>
      <c r="L404" s="3">
        <v>0.20833333333333334</v>
      </c>
      <c r="M404" t="s">
        <v>31</v>
      </c>
      <c r="N404" t="s">
        <v>224</v>
      </c>
    </row>
    <row r="405" spans="1:14" x14ac:dyDescent="0.35">
      <c r="A405" t="s">
        <v>64</v>
      </c>
      <c r="B405" s="1">
        <v>45637</v>
      </c>
      <c r="C405" t="s">
        <v>65</v>
      </c>
      <c r="D405">
        <v>6</v>
      </c>
      <c r="E405" s="2">
        <v>40810</v>
      </c>
      <c r="F405" t="s">
        <v>16</v>
      </c>
      <c r="G405" t="s">
        <v>66</v>
      </c>
      <c r="H405" t="s">
        <v>119</v>
      </c>
      <c r="I405" s="3">
        <v>0.20833333333333334</v>
      </c>
      <c r="J405" t="s">
        <v>68</v>
      </c>
      <c r="K405">
        <v>26</v>
      </c>
      <c r="L405" s="3">
        <v>0.125</v>
      </c>
      <c r="M405" t="s">
        <v>31</v>
      </c>
      <c r="N405" t="s">
        <v>186</v>
      </c>
    </row>
    <row r="406" spans="1:14" x14ac:dyDescent="0.35">
      <c r="A406" t="s">
        <v>14</v>
      </c>
      <c r="B406" s="1">
        <v>45637</v>
      </c>
      <c r="C406" t="s">
        <v>65</v>
      </c>
      <c r="D406">
        <v>6</v>
      </c>
      <c r="E406" s="2">
        <v>40810</v>
      </c>
      <c r="F406" t="s">
        <v>16</v>
      </c>
      <c r="G406" t="s">
        <v>112</v>
      </c>
      <c r="H406" t="s">
        <v>225</v>
      </c>
      <c r="I406" s="3">
        <v>0.25138888888888888</v>
      </c>
      <c r="J406" t="s">
        <v>19</v>
      </c>
      <c r="K406">
        <v>51</v>
      </c>
      <c r="L406" s="3">
        <v>0.12569444444444444</v>
      </c>
      <c r="M406" t="s">
        <v>83</v>
      </c>
    </row>
    <row r="407" spans="1:14" x14ac:dyDescent="0.35">
      <c r="A407" t="s">
        <v>64</v>
      </c>
      <c r="B407" s="1">
        <v>45637</v>
      </c>
      <c r="C407" t="s">
        <v>65</v>
      </c>
      <c r="D407">
        <v>6</v>
      </c>
      <c r="E407" s="2">
        <v>40810</v>
      </c>
      <c r="F407" t="s">
        <v>16</v>
      </c>
      <c r="G407" t="s">
        <v>66</v>
      </c>
      <c r="H407" t="s">
        <v>119</v>
      </c>
      <c r="I407" s="3">
        <v>0.20833333333333334</v>
      </c>
      <c r="J407" t="s">
        <v>68</v>
      </c>
      <c r="K407">
        <v>78</v>
      </c>
      <c r="L407" s="3">
        <v>0.16666666666666666</v>
      </c>
      <c r="M407" t="s">
        <v>31</v>
      </c>
      <c r="N407" t="s">
        <v>155</v>
      </c>
    </row>
    <row r="408" spans="1:14" x14ac:dyDescent="0.35">
      <c r="A408" t="s">
        <v>64</v>
      </c>
      <c r="B408" s="1">
        <v>45637</v>
      </c>
      <c r="C408" t="s">
        <v>65</v>
      </c>
      <c r="D408">
        <v>6</v>
      </c>
      <c r="E408" s="2">
        <v>40810</v>
      </c>
      <c r="F408" t="s">
        <v>16</v>
      </c>
      <c r="G408" t="s">
        <v>66</v>
      </c>
      <c r="H408" t="s">
        <v>119</v>
      </c>
      <c r="I408" s="3">
        <v>0.20833333333333334</v>
      </c>
      <c r="J408" t="s">
        <v>68</v>
      </c>
      <c r="K408" t="s">
        <v>69</v>
      </c>
      <c r="L408" s="3">
        <v>0.20833333333333334</v>
      </c>
      <c r="M408" t="s">
        <v>31</v>
      </c>
      <c r="N408" t="s">
        <v>208</v>
      </c>
    </row>
    <row r="409" spans="1:14" x14ac:dyDescent="0.35">
      <c r="A409" t="s">
        <v>14</v>
      </c>
      <c r="B409" s="1">
        <v>45637</v>
      </c>
      <c r="C409" t="s">
        <v>65</v>
      </c>
      <c r="D409">
        <v>6</v>
      </c>
      <c r="E409" s="2">
        <v>40810</v>
      </c>
      <c r="F409" t="s">
        <v>16</v>
      </c>
      <c r="G409" t="s">
        <v>112</v>
      </c>
      <c r="H409" t="s">
        <v>225</v>
      </c>
      <c r="I409" s="3">
        <v>0.25138888888888888</v>
      </c>
      <c r="J409" t="s">
        <v>19</v>
      </c>
      <c r="K409">
        <v>39</v>
      </c>
      <c r="L409" s="3">
        <v>4.2361111111111113E-2</v>
      </c>
      <c r="M409" t="s">
        <v>31</v>
      </c>
      <c r="N409" t="s">
        <v>198</v>
      </c>
    </row>
    <row r="410" spans="1:14" x14ac:dyDescent="0.35">
      <c r="A410" t="s">
        <v>14</v>
      </c>
      <c r="B410" s="1">
        <v>45637</v>
      </c>
      <c r="C410" t="s">
        <v>65</v>
      </c>
      <c r="D410">
        <v>6</v>
      </c>
      <c r="E410" s="2">
        <v>40810</v>
      </c>
      <c r="F410" t="s">
        <v>16</v>
      </c>
      <c r="G410" t="s">
        <v>112</v>
      </c>
      <c r="H410" t="s">
        <v>225</v>
      </c>
      <c r="I410" s="3">
        <v>0.25138888888888888</v>
      </c>
      <c r="J410" t="s">
        <v>19</v>
      </c>
      <c r="K410">
        <v>84</v>
      </c>
      <c r="L410" s="3">
        <v>0.25138888888888888</v>
      </c>
      <c r="M410" t="s">
        <v>83</v>
      </c>
    </row>
    <row r="411" spans="1:14" x14ac:dyDescent="0.35">
      <c r="A411" t="s">
        <v>14</v>
      </c>
      <c r="B411" s="1">
        <v>45637</v>
      </c>
      <c r="C411" t="s">
        <v>75</v>
      </c>
      <c r="D411" t="s">
        <v>76</v>
      </c>
      <c r="E411" s="2">
        <v>40813</v>
      </c>
      <c r="F411" t="s">
        <v>16</v>
      </c>
      <c r="G411" t="s">
        <v>112</v>
      </c>
      <c r="H411" t="s">
        <v>214</v>
      </c>
      <c r="I411" s="3">
        <v>0.125</v>
      </c>
      <c r="J411" t="s">
        <v>19</v>
      </c>
      <c r="K411">
        <v>25</v>
      </c>
      <c r="L411" s="3">
        <v>4.1666666666666664E-2</v>
      </c>
      <c r="M411" t="s">
        <v>26</v>
      </c>
      <c r="N411" t="s">
        <v>183</v>
      </c>
    </row>
    <row r="412" spans="1:14" x14ac:dyDescent="0.35">
      <c r="A412" t="s">
        <v>64</v>
      </c>
      <c r="B412" s="1">
        <v>45637</v>
      </c>
      <c r="C412" t="s">
        <v>75</v>
      </c>
      <c r="D412" t="s">
        <v>76</v>
      </c>
      <c r="E412" s="2">
        <v>40814</v>
      </c>
      <c r="F412" t="s">
        <v>24</v>
      </c>
      <c r="G412" t="s">
        <v>66</v>
      </c>
      <c r="H412" t="s">
        <v>226</v>
      </c>
      <c r="I412" s="3">
        <v>3.472222222222222E-3</v>
      </c>
      <c r="J412" t="s">
        <v>68</v>
      </c>
      <c r="K412">
        <v>56</v>
      </c>
      <c r="L412" s="3">
        <v>2.7777777777777779E-3</v>
      </c>
      <c r="M412" t="s">
        <v>31</v>
      </c>
      <c r="N412" t="s">
        <v>155</v>
      </c>
    </row>
    <row r="413" spans="1:14" x14ac:dyDescent="0.35">
      <c r="A413" t="s">
        <v>64</v>
      </c>
      <c r="B413" s="1">
        <v>45637</v>
      </c>
      <c r="C413" t="s">
        <v>75</v>
      </c>
      <c r="D413" t="s">
        <v>76</v>
      </c>
      <c r="E413" s="2">
        <v>40814</v>
      </c>
      <c r="F413" t="s">
        <v>24</v>
      </c>
      <c r="G413" t="s">
        <v>66</v>
      </c>
      <c r="H413" t="s">
        <v>226</v>
      </c>
      <c r="I413" s="3">
        <v>3.472222222222222E-3</v>
      </c>
      <c r="J413" t="s">
        <v>68</v>
      </c>
      <c r="K413">
        <v>38</v>
      </c>
      <c r="L413" s="3">
        <v>2.0833333333333333E-3</v>
      </c>
      <c r="M413" t="s">
        <v>22</v>
      </c>
    </row>
    <row r="414" spans="1:14" x14ac:dyDescent="0.35">
      <c r="A414" t="s">
        <v>64</v>
      </c>
      <c r="B414" s="1">
        <v>45637</v>
      </c>
      <c r="C414" t="s">
        <v>65</v>
      </c>
      <c r="D414">
        <v>8</v>
      </c>
      <c r="E414" s="2">
        <v>40831</v>
      </c>
      <c r="F414" t="s">
        <v>16</v>
      </c>
      <c r="G414" t="s">
        <v>66</v>
      </c>
      <c r="H414" t="s">
        <v>78</v>
      </c>
      <c r="I414" s="3">
        <v>0.125</v>
      </c>
      <c r="J414" t="s">
        <v>68</v>
      </c>
      <c r="K414">
        <v>69</v>
      </c>
      <c r="L414" s="3">
        <v>0.125</v>
      </c>
      <c r="M414" t="s">
        <v>26</v>
      </c>
    </row>
    <row r="415" spans="1:14" x14ac:dyDescent="0.35">
      <c r="A415" t="s">
        <v>64</v>
      </c>
      <c r="B415" s="1">
        <v>45637</v>
      </c>
      <c r="C415" t="s">
        <v>65</v>
      </c>
      <c r="D415">
        <v>8</v>
      </c>
      <c r="E415" s="2">
        <v>40831</v>
      </c>
      <c r="F415" t="s">
        <v>16</v>
      </c>
      <c r="G415" t="s">
        <v>66</v>
      </c>
      <c r="H415" t="s">
        <v>78</v>
      </c>
      <c r="I415" s="3">
        <v>0.125</v>
      </c>
      <c r="J415" t="s">
        <v>68</v>
      </c>
      <c r="K415">
        <v>11</v>
      </c>
      <c r="L415" s="3">
        <v>4.1666666666666664E-2</v>
      </c>
      <c r="M415" t="s">
        <v>26</v>
      </c>
      <c r="N415" t="s">
        <v>99</v>
      </c>
    </row>
    <row r="416" spans="1:14" x14ac:dyDescent="0.35">
      <c r="A416" t="s">
        <v>14</v>
      </c>
      <c r="B416" s="1">
        <v>45637</v>
      </c>
      <c r="C416" t="s">
        <v>65</v>
      </c>
      <c r="D416">
        <v>9</v>
      </c>
      <c r="E416" s="2">
        <v>40838</v>
      </c>
      <c r="F416" t="s">
        <v>24</v>
      </c>
      <c r="G416" t="s">
        <v>112</v>
      </c>
      <c r="H416" t="s">
        <v>157</v>
      </c>
      <c r="I416" s="3">
        <v>2.7777777777777779E-3</v>
      </c>
      <c r="J416" t="s">
        <v>19</v>
      </c>
      <c r="K416">
        <v>28</v>
      </c>
      <c r="L416" s="3">
        <v>2.0833333333333333E-3</v>
      </c>
      <c r="M416" t="s">
        <v>26</v>
      </c>
      <c r="N416" t="s">
        <v>205</v>
      </c>
    </row>
    <row r="417" spans="1:14" x14ac:dyDescent="0.35">
      <c r="A417" t="s">
        <v>14</v>
      </c>
      <c r="B417" s="1">
        <v>45637</v>
      </c>
      <c r="C417" t="s">
        <v>65</v>
      </c>
      <c r="D417">
        <v>9</v>
      </c>
      <c r="E417" s="2">
        <v>40838</v>
      </c>
      <c r="F417" t="s">
        <v>24</v>
      </c>
      <c r="G417" t="s">
        <v>112</v>
      </c>
      <c r="H417" t="s">
        <v>157</v>
      </c>
      <c r="I417" s="3">
        <v>2.7777777777777779E-3</v>
      </c>
      <c r="J417" t="s">
        <v>19</v>
      </c>
      <c r="K417">
        <v>24</v>
      </c>
      <c r="L417" s="3">
        <v>1.3888888888888889E-3</v>
      </c>
      <c r="M417" t="s">
        <v>31</v>
      </c>
      <c r="N417" t="s">
        <v>207</v>
      </c>
    </row>
    <row r="418" spans="1:14" x14ac:dyDescent="0.35">
      <c r="A418" t="s">
        <v>14</v>
      </c>
      <c r="B418" s="1">
        <v>45637</v>
      </c>
      <c r="C418" t="s">
        <v>65</v>
      </c>
      <c r="D418">
        <v>9</v>
      </c>
      <c r="E418" s="2">
        <v>40838</v>
      </c>
      <c r="F418" t="s">
        <v>24</v>
      </c>
      <c r="G418" t="s">
        <v>112</v>
      </c>
      <c r="H418" t="s">
        <v>157</v>
      </c>
      <c r="I418" s="3">
        <v>2.7777777777777779E-3</v>
      </c>
      <c r="J418" t="s">
        <v>19</v>
      </c>
      <c r="K418">
        <v>38</v>
      </c>
      <c r="L418" s="3">
        <v>2.7777777777777779E-3</v>
      </c>
      <c r="M418" t="s">
        <v>26</v>
      </c>
      <c r="N418" t="s">
        <v>202</v>
      </c>
    </row>
    <row r="419" spans="1:14" x14ac:dyDescent="0.35">
      <c r="A419" t="s">
        <v>64</v>
      </c>
      <c r="B419" s="1">
        <v>45637</v>
      </c>
      <c r="C419" t="s">
        <v>65</v>
      </c>
      <c r="D419">
        <v>11</v>
      </c>
      <c r="E419" s="2">
        <v>40845</v>
      </c>
      <c r="F419" t="s">
        <v>16</v>
      </c>
      <c r="G419" t="s">
        <v>66</v>
      </c>
      <c r="H419" t="s">
        <v>89</v>
      </c>
      <c r="I419" s="3">
        <v>0.20833333333333334</v>
      </c>
      <c r="J419" t="s">
        <v>68</v>
      </c>
      <c r="K419">
        <v>30</v>
      </c>
      <c r="L419" s="3">
        <v>0.125</v>
      </c>
      <c r="M419" t="s">
        <v>31</v>
      </c>
      <c r="N419" t="s">
        <v>155</v>
      </c>
    </row>
    <row r="420" spans="1:14" x14ac:dyDescent="0.35">
      <c r="A420" t="s">
        <v>64</v>
      </c>
      <c r="B420" s="1">
        <v>45637</v>
      </c>
      <c r="C420" t="s">
        <v>65</v>
      </c>
      <c r="D420">
        <v>11</v>
      </c>
      <c r="E420" s="2">
        <v>40845</v>
      </c>
      <c r="F420" t="s">
        <v>16</v>
      </c>
      <c r="G420" t="s">
        <v>66</v>
      </c>
      <c r="H420" t="s">
        <v>89</v>
      </c>
      <c r="I420" s="3">
        <v>0.20833333333333334</v>
      </c>
      <c r="J420" t="s">
        <v>68</v>
      </c>
      <c r="K420">
        <v>13</v>
      </c>
      <c r="L420" s="3">
        <v>4.1666666666666664E-2</v>
      </c>
      <c r="M420" t="s">
        <v>83</v>
      </c>
    </row>
    <row r="421" spans="1:14" x14ac:dyDescent="0.35">
      <c r="A421" t="s">
        <v>64</v>
      </c>
      <c r="B421" s="1">
        <v>45637</v>
      </c>
      <c r="C421" t="s">
        <v>65</v>
      </c>
      <c r="D421">
        <v>11</v>
      </c>
      <c r="E421" s="2">
        <v>40845</v>
      </c>
      <c r="F421" t="s">
        <v>16</v>
      </c>
      <c r="G421" t="s">
        <v>66</v>
      </c>
      <c r="H421" t="s">
        <v>89</v>
      </c>
      <c r="I421" s="3">
        <v>0.20833333333333334</v>
      </c>
      <c r="J421" t="s">
        <v>68</v>
      </c>
      <c r="K421">
        <v>21</v>
      </c>
      <c r="L421" s="3">
        <v>8.3333333333333329E-2</v>
      </c>
      <c r="M421" t="s">
        <v>26</v>
      </c>
      <c r="N421" t="s">
        <v>215</v>
      </c>
    </row>
    <row r="422" spans="1:14" x14ac:dyDescent="0.35">
      <c r="A422" t="s">
        <v>64</v>
      </c>
      <c r="B422" s="1">
        <v>45637</v>
      </c>
      <c r="C422" t="s">
        <v>75</v>
      </c>
      <c r="D422" t="s">
        <v>76</v>
      </c>
      <c r="E422" s="2">
        <v>40848</v>
      </c>
      <c r="F422" t="s">
        <v>24</v>
      </c>
      <c r="G422" t="s">
        <v>66</v>
      </c>
      <c r="H422" t="s">
        <v>227</v>
      </c>
      <c r="I422" s="3">
        <v>2.7777777777777779E-3</v>
      </c>
      <c r="J422" t="s">
        <v>68</v>
      </c>
      <c r="K422" t="s">
        <v>141</v>
      </c>
      <c r="L422" s="3">
        <v>2.7777777777777779E-3</v>
      </c>
      <c r="M422" t="s">
        <v>31</v>
      </c>
      <c r="N422" t="s">
        <v>166</v>
      </c>
    </row>
    <row r="423" spans="1:14" x14ac:dyDescent="0.35">
      <c r="A423" t="s">
        <v>64</v>
      </c>
      <c r="B423" s="1">
        <v>45637</v>
      </c>
      <c r="C423" t="s">
        <v>75</v>
      </c>
      <c r="D423" t="s">
        <v>76</v>
      </c>
      <c r="E423" s="2">
        <v>40848</v>
      </c>
      <c r="F423" t="s">
        <v>24</v>
      </c>
      <c r="G423" t="s">
        <v>66</v>
      </c>
      <c r="H423" t="s">
        <v>227</v>
      </c>
      <c r="I423" s="3">
        <v>2.7777777777777779E-3</v>
      </c>
      <c r="J423" t="s">
        <v>68</v>
      </c>
      <c r="K423" t="s">
        <v>228</v>
      </c>
      <c r="L423" s="3">
        <v>1.3888888888888889E-3</v>
      </c>
      <c r="M423" t="s">
        <v>31</v>
      </c>
      <c r="N423" t="s">
        <v>215</v>
      </c>
    </row>
    <row r="424" spans="1:14" x14ac:dyDescent="0.35">
      <c r="A424" t="s">
        <v>64</v>
      </c>
      <c r="B424" s="1">
        <v>45637</v>
      </c>
      <c r="C424" t="s">
        <v>75</v>
      </c>
      <c r="D424" t="s">
        <v>76</v>
      </c>
      <c r="E424" s="2">
        <v>40848</v>
      </c>
      <c r="F424" t="s">
        <v>24</v>
      </c>
      <c r="G424" t="s">
        <v>66</v>
      </c>
      <c r="H424" t="s">
        <v>227</v>
      </c>
      <c r="I424" s="3">
        <v>2.7777777777777779E-3</v>
      </c>
      <c r="J424" t="s">
        <v>68</v>
      </c>
      <c r="K424">
        <v>24</v>
      </c>
      <c r="L424" s="3">
        <v>6.9444444444444447E-4</v>
      </c>
      <c r="M424" t="s">
        <v>83</v>
      </c>
    </row>
    <row r="425" spans="1:14" x14ac:dyDescent="0.35">
      <c r="A425" t="s">
        <v>14</v>
      </c>
      <c r="B425" s="1">
        <v>45637</v>
      </c>
      <c r="C425" t="s">
        <v>75</v>
      </c>
      <c r="D425" t="s">
        <v>76</v>
      </c>
      <c r="E425" s="2">
        <v>40849</v>
      </c>
      <c r="F425" t="s">
        <v>24</v>
      </c>
      <c r="G425" t="s">
        <v>112</v>
      </c>
      <c r="H425" t="s">
        <v>125</v>
      </c>
      <c r="I425" s="3">
        <v>1.3888888888888889E-3</v>
      </c>
      <c r="J425" t="s">
        <v>19</v>
      </c>
      <c r="K425">
        <v>69</v>
      </c>
      <c r="L425" s="3">
        <v>1.3888888888888889E-3</v>
      </c>
      <c r="M425" t="s">
        <v>83</v>
      </c>
    </row>
    <row r="426" spans="1:14" x14ac:dyDescent="0.35">
      <c r="A426" t="s">
        <v>14</v>
      </c>
      <c r="B426" s="1">
        <v>45637</v>
      </c>
      <c r="C426" t="s">
        <v>75</v>
      </c>
      <c r="D426" t="s">
        <v>76</v>
      </c>
      <c r="E426" s="2">
        <v>40849</v>
      </c>
      <c r="F426" t="s">
        <v>24</v>
      </c>
      <c r="G426" t="s">
        <v>112</v>
      </c>
      <c r="H426" t="s">
        <v>125</v>
      </c>
      <c r="I426" s="3">
        <v>1.3888888888888889E-3</v>
      </c>
      <c r="J426" t="s">
        <v>19</v>
      </c>
      <c r="K426">
        <v>25</v>
      </c>
      <c r="L426" s="3">
        <v>6.9444444444444447E-4</v>
      </c>
      <c r="M426" t="s">
        <v>39</v>
      </c>
    </row>
    <row r="427" spans="1:14" x14ac:dyDescent="0.35">
      <c r="A427" t="s">
        <v>64</v>
      </c>
      <c r="B427" s="1">
        <v>45637</v>
      </c>
      <c r="C427" t="s">
        <v>65</v>
      </c>
      <c r="D427">
        <v>12</v>
      </c>
      <c r="E427" s="2">
        <v>40853</v>
      </c>
      <c r="F427" t="s">
        <v>24</v>
      </c>
      <c r="G427" t="s">
        <v>66</v>
      </c>
      <c r="H427" t="s">
        <v>86</v>
      </c>
      <c r="I427" s="3">
        <v>8.4722222222222227E-2</v>
      </c>
      <c r="J427" t="s">
        <v>68</v>
      </c>
      <c r="K427">
        <v>90</v>
      </c>
      <c r="L427" s="3">
        <v>8.4722222222222227E-2</v>
      </c>
      <c r="M427" t="s">
        <v>31</v>
      </c>
    </row>
    <row r="428" spans="1:14" x14ac:dyDescent="0.35">
      <c r="A428" t="s">
        <v>14</v>
      </c>
      <c r="B428" s="1">
        <v>45637</v>
      </c>
      <c r="C428" t="s">
        <v>65</v>
      </c>
      <c r="D428">
        <v>12</v>
      </c>
      <c r="E428" s="2">
        <v>40853</v>
      </c>
      <c r="F428" t="s">
        <v>16</v>
      </c>
      <c r="G428" t="s">
        <v>112</v>
      </c>
      <c r="H428" t="s">
        <v>100</v>
      </c>
      <c r="I428" s="3">
        <v>0.29236111111111113</v>
      </c>
      <c r="J428" t="s">
        <v>19</v>
      </c>
      <c r="K428">
        <v>23</v>
      </c>
      <c r="L428" s="3">
        <v>4.1666666666666664E-2</v>
      </c>
      <c r="M428" t="s">
        <v>22</v>
      </c>
      <c r="N428" t="s">
        <v>207</v>
      </c>
    </row>
    <row r="429" spans="1:14" x14ac:dyDescent="0.35">
      <c r="A429" t="s">
        <v>14</v>
      </c>
      <c r="B429" s="1">
        <v>45637</v>
      </c>
      <c r="C429" t="s">
        <v>65</v>
      </c>
      <c r="D429">
        <v>12</v>
      </c>
      <c r="E429" s="2">
        <v>40853</v>
      </c>
      <c r="F429" t="s">
        <v>16</v>
      </c>
      <c r="G429" t="s">
        <v>112</v>
      </c>
      <c r="H429" t="s">
        <v>100</v>
      </c>
      <c r="I429" s="3">
        <v>0.29236111111111113</v>
      </c>
      <c r="J429" t="s">
        <v>19</v>
      </c>
      <c r="K429">
        <v>55</v>
      </c>
      <c r="L429" s="3">
        <v>0.1673611111111111</v>
      </c>
      <c r="M429" t="s">
        <v>83</v>
      </c>
    </row>
    <row r="430" spans="1:14" x14ac:dyDescent="0.35">
      <c r="A430" t="s">
        <v>14</v>
      </c>
      <c r="B430" s="1">
        <v>45637</v>
      </c>
      <c r="C430" t="s">
        <v>65</v>
      </c>
      <c r="D430">
        <v>12</v>
      </c>
      <c r="E430" s="2">
        <v>40853</v>
      </c>
      <c r="F430" t="s">
        <v>16</v>
      </c>
      <c r="G430" t="s">
        <v>112</v>
      </c>
      <c r="H430" t="s">
        <v>100</v>
      </c>
      <c r="I430" s="3">
        <v>0.29236111111111113</v>
      </c>
      <c r="J430" t="s">
        <v>19</v>
      </c>
      <c r="K430">
        <v>58</v>
      </c>
      <c r="L430" s="3">
        <v>0.20902777777777778</v>
      </c>
      <c r="M430" t="s">
        <v>22</v>
      </c>
      <c r="N430" t="s">
        <v>229</v>
      </c>
    </row>
    <row r="431" spans="1:14" x14ac:dyDescent="0.35">
      <c r="A431" t="s">
        <v>14</v>
      </c>
      <c r="B431" s="1">
        <v>45637</v>
      </c>
      <c r="C431" t="s">
        <v>65</v>
      </c>
      <c r="D431">
        <v>13</v>
      </c>
      <c r="E431" s="2">
        <v>40866</v>
      </c>
      <c r="F431" t="s">
        <v>24</v>
      </c>
      <c r="G431" t="s">
        <v>112</v>
      </c>
      <c r="H431" t="s">
        <v>148</v>
      </c>
      <c r="I431" s="3">
        <v>8.5416666666666669E-2</v>
      </c>
      <c r="J431" t="s">
        <v>19</v>
      </c>
      <c r="K431">
        <v>79</v>
      </c>
      <c r="L431" s="3">
        <v>4.3749999999999997E-2</v>
      </c>
      <c r="M431" t="s">
        <v>26</v>
      </c>
      <c r="N431" t="s">
        <v>182</v>
      </c>
    </row>
    <row r="432" spans="1:14" x14ac:dyDescent="0.35">
      <c r="A432" t="s">
        <v>64</v>
      </c>
      <c r="B432" s="1">
        <v>45637</v>
      </c>
      <c r="C432" t="s">
        <v>65</v>
      </c>
      <c r="D432">
        <v>13</v>
      </c>
      <c r="E432" s="2">
        <v>40866</v>
      </c>
      <c r="F432" t="s">
        <v>16</v>
      </c>
      <c r="G432" t="s">
        <v>66</v>
      </c>
      <c r="H432" t="s">
        <v>93</v>
      </c>
      <c r="I432" s="3">
        <v>0.16666666666666666</v>
      </c>
      <c r="J432" t="s">
        <v>68</v>
      </c>
      <c r="K432">
        <v>43</v>
      </c>
      <c r="L432" s="3">
        <v>8.3333333333333329E-2</v>
      </c>
      <c r="M432" t="s">
        <v>26</v>
      </c>
      <c r="N432" t="s">
        <v>224</v>
      </c>
    </row>
    <row r="433" spans="1:14" x14ac:dyDescent="0.35">
      <c r="A433" t="s">
        <v>64</v>
      </c>
      <c r="B433" s="1">
        <v>45637</v>
      </c>
      <c r="C433" t="s">
        <v>75</v>
      </c>
      <c r="D433" t="s">
        <v>76</v>
      </c>
      <c r="E433" s="2">
        <v>40870</v>
      </c>
      <c r="F433" t="s">
        <v>24</v>
      </c>
      <c r="G433" t="s">
        <v>66</v>
      </c>
      <c r="H433" t="s">
        <v>118</v>
      </c>
      <c r="I433" s="3">
        <v>8.5416666666666669E-2</v>
      </c>
      <c r="J433" t="s">
        <v>230</v>
      </c>
      <c r="K433">
        <v>31</v>
      </c>
      <c r="L433" s="3">
        <v>4.3055555555555555E-2</v>
      </c>
      <c r="M433" t="s">
        <v>83</v>
      </c>
    </row>
    <row r="434" spans="1:14" x14ac:dyDescent="0.35">
      <c r="A434" t="s">
        <v>14</v>
      </c>
      <c r="B434" s="1">
        <v>45637</v>
      </c>
      <c r="C434" t="s">
        <v>65</v>
      </c>
      <c r="D434">
        <v>14</v>
      </c>
      <c r="E434" s="2">
        <v>40873</v>
      </c>
      <c r="F434" t="s">
        <v>16</v>
      </c>
      <c r="G434" t="s">
        <v>112</v>
      </c>
      <c r="H434" t="s">
        <v>119</v>
      </c>
      <c r="I434" s="3">
        <v>0.1673611111111111</v>
      </c>
      <c r="J434" t="s">
        <v>19</v>
      </c>
      <c r="K434">
        <v>82</v>
      </c>
      <c r="L434" s="3">
        <v>0.1673611111111111</v>
      </c>
      <c r="M434" t="s">
        <v>83</v>
      </c>
    </row>
    <row r="435" spans="1:14" x14ac:dyDescent="0.35">
      <c r="A435" t="s">
        <v>14</v>
      </c>
      <c r="B435" s="1">
        <v>45637</v>
      </c>
      <c r="C435" t="s">
        <v>65</v>
      </c>
      <c r="D435">
        <v>14</v>
      </c>
      <c r="E435" s="2">
        <v>40873</v>
      </c>
      <c r="F435" t="s">
        <v>16</v>
      </c>
      <c r="G435" t="s">
        <v>112</v>
      </c>
      <c r="H435" t="s">
        <v>119</v>
      </c>
      <c r="I435" s="3">
        <v>0.1673611111111111</v>
      </c>
      <c r="J435" t="s">
        <v>19</v>
      </c>
      <c r="K435">
        <v>24</v>
      </c>
      <c r="L435" s="3">
        <v>4.2361111111111113E-2</v>
      </c>
      <c r="M435" t="s">
        <v>83</v>
      </c>
    </row>
    <row r="436" spans="1:14" x14ac:dyDescent="0.35">
      <c r="A436" t="s">
        <v>64</v>
      </c>
      <c r="B436" s="1">
        <v>45637</v>
      </c>
      <c r="C436" t="s">
        <v>65</v>
      </c>
      <c r="D436">
        <v>17</v>
      </c>
      <c r="E436" s="2">
        <v>40876</v>
      </c>
      <c r="F436" t="s">
        <v>16</v>
      </c>
      <c r="G436" t="s">
        <v>66</v>
      </c>
      <c r="H436" t="s">
        <v>225</v>
      </c>
      <c r="I436" s="3">
        <v>0.16666666666666666</v>
      </c>
      <c r="J436" t="s">
        <v>68</v>
      </c>
      <c r="K436">
        <v>49</v>
      </c>
      <c r="L436" s="3">
        <v>0.16666666666666666</v>
      </c>
      <c r="M436" t="s">
        <v>31</v>
      </c>
      <c r="N436" t="s">
        <v>155</v>
      </c>
    </row>
    <row r="437" spans="1:14" x14ac:dyDescent="0.35">
      <c r="A437" t="s">
        <v>14</v>
      </c>
      <c r="B437" s="1">
        <v>45637</v>
      </c>
      <c r="C437" t="s">
        <v>65</v>
      </c>
      <c r="D437">
        <v>15</v>
      </c>
      <c r="E437" s="2">
        <v>40880</v>
      </c>
      <c r="F437" t="s">
        <v>24</v>
      </c>
      <c r="G437" t="s">
        <v>112</v>
      </c>
      <c r="H437" t="s">
        <v>151</v>
      </c>
      <c r="I437" s="3">
        <v>2.0833333333333333E-3</v>
      </c>
      <c r="J437" t="s">
        <v>19</v>
      </c>
      <c r="K437">
        <v>65</v>
      </c>
      <c r="L437" s="3">
        <v>1.3888888888888889E-3</v>
      </c>
      <c r="M437" t="s">
        <v>26</v>
      </c>
      <c r="N437" t="s">
        <v>207</v>
      </c>
    </row>
    <row r="438" spans="1:14" x14ac:dyDescent="0.35">
      <c r="A438" t="s">
        <v>64</v>
      </c>
      <c r="B438" s="1">
        <v>45637</v>
      </c>
      <c r="C438" t="s">
        <v>65</v>
      </c>
      <c r="D438">
        <v>15</v>
      </c>
      <c r="E438" s="2">
        <v>40880</v>
      </c>
      <c r="F438" t="s">
        <v>16</v>
      </c>
      <c r="G438" t="s">
        <v>66</v>
      </c>
      <c r="H438" t="s">
        <v>127</v>
      </c>
      <c r="I438" s="3">
        <v>0.20833333333333334</v>
      </c>
      <c r="J438" t="s">
        <v>68</v>
      </c>
      <c r="K438">
        <v>55</v>
      </c>
      <c r="L438" s="3">
        <v>0.16666666666666666</v>
      </c>
      <c r="M438" t="s">
        <v>31</v>
      </c>
      <c r="N438" t="s">
        <v>155</v>
      </c>
    </row>
    <row r="439" spans="1:14" x14ac:dyDescent="0.35">
      <c r="A439" t="s">
        <v>14</v>
      </c>
      <c r="B439" s="1">
        <v>45637</v>
      </c>
      <c r="C439" t="s">
        <v>91</v>
      </c>
      <c r="D439" t="s">
        <v>210</v>
      </c>
      <c r="E439" s="2">
        <v>40890</v>
      </c>
      <c r="F439" t="s">
        <v>24</v>
      </c>
      <c r="G439" t="s">
        <v>112</v>
      </c>
      <c r="H439" t="s">
        <v>231</v>
      </c>
      <c r="I439" s="3">
        <v>1.3888888888888889E-3</v>
      </c>
      <c r="J439" t="s">
        <v>19</v>
      </c>
      <c r="K439">
        <v>74</v>
      </c>
      <c r="L439" s="3">
        <v>1.3888888888888889E-3</v>
      </c>
      <c r="M439" t="s">
        <v>31</v>
      </c>
      <c r="N439" t="s">
        <v>188</v>
      </c>
    </row>
    <row r="440" spans="1:14" x14ac:dyDescent="0.35">
      <c r="A440" t="s">
        <v>14</v>
      </c>
      <c r="B440" s="1">
        <v>45637</v>
      </c>
      <c r="C440" t="s">
        <v>65</v>
      </c>
      <c r="D440">
        <v>17</v>
      </c>
      <c r="E440" s="2">
        <v>40894</v>
      </c>
      <c r="F440" t="s">
        <v>24</v>
      </c>
      <c r="G440" t="s">
        <v>112</v>
      </c>
      <c r="H440" t="s">
        <v>105</v>
      </c>
      <c r="I440" s="3">
        <v>8.7499999999999994E-2</v>
      </c>
      <c r="J440" t="s">
        <v>19</v>
      </c>
      <c r="K440">
        <v>10</v>
      </c>
      <c r="L440" s="3">
        <v>6.9444444444444447E-4</v>
      </c>
      <c r="M440" t="s">
        <v>26</v>
      </c>
      <c r="N440" t="s">
        <v>207</v>
      </c>
    </row>
    <row r="441" spans="1:14" x14ac:dyDescent="0.35">
      <c r="A441" t="s">
        <v>14</v>
      </c>
      <c r="B441" s="1">
        <v>45637</v>
      </c>
      <c r="C441" t="s">
        <v>65</v>
      </c>
      <c r="D441">
        <v>17</v>
      </c>
      <c r="E441" s="2">
        <v>40894</v>
      </c>
      <c r="F441" t="s">
        <v>24</v>
      </c>
      <c r="G441" t="s">
        <v>112</v>
      </c>
      <c r="H441" t="s">
        <v>105</v>
      </c>
      <c r="I441" s="3">
        <v>8.7499999999999994E-2</v>
      </c>
      <c r="J441" t="s">
        <v>19</v>
      </c>
      <c r="K441">
        <v>41</v>
      </c>
      <c r="L441" s="3">
        <v>2.0833333333333333E-3</v>
      </c>
      <c r="M441" t="s">
        <v>26</v>
      </c>
      <c r="N441" t="s">
        <v>183</v>
      </c>
    </row>
    <row r="442" spans="1:14" x14ac:dyDescent="0.35">
      <c r="A442" t="s">
        <v>14</v>
      </c>
      <c r="B442" s="1">
        <v>45637</v>
      </c>
      <c r="C442" t="s">
        <v>65</v>
      </c>
      <c r="D442">
        <v>17</v>
      </c>
      <c r="E442" s="2">
        <v>40894</v>
      </c>
      <c r="F442" t="s">
        <v>24</v>
      </c>
      <c r="G442" t="s">
        <v>112</v>
      </c>
      <c r="H442" t="s">
        <v>105</v>
      </c>
      <c r="I442" s="3">
        <v>8.7499999999999994E-2</v>
      </c>
      <c r="J442" t="s">
        <v>19</v>
      </c>
      <c r="K442">
        <v>86</v>
      </c>
      <c r="L442" s="3">
        <v>4.5138888888888888E-2</v>
      </c>
      <c r="M442" t="s">
        <v>83</v>
      </c>
    </row>
    <row r="443" spans="1:14" x14ac:dyDescent="0.35">
      <c r="A443" t="s">
        <v>64</v>
      </c>
      <c r="B443" s="1">
        <v>45637</v>
      </c>
      <c r="C443" t="s">
        <v>163</v>
      </c>
      <c r="D443" t="s">
        <v>46</v>
      </c>
      <c r="E443" s="2">
        <v>40895</v>
      </c>
      <c r="F443" t="s">
        <v>24</v>
      </c>
      <c r="G443" t="s">
        <v>66</v>
      </c>
      <c r="H443" t="s">
        <v>232</v>
      </c>
      <c r="I443" s="3">
        <v>2.7777777777777779E-3</v>
      </c>
      <c r="J443" t="s">
        <v>38</v>
      </c>
      <c r="K443">
        <v>82</v>
      </c>
      <c r="L443" s="3">
        <v>2.7777777777777779E-3</v>
      </c>
      <c r="M443" t="s">
        <v>31</v>
      </c>
      <c r="N443" t="s">
        <v>155</v>
      </c>
    </row>
    <row r="444" spans="1:14" x14ac:dyDescent="0.35">
      <c r="A444" t="s">
        <v>64</v>
      </c>
      <c r="B444" s="1">
        <v>45637</v>
      </c>
      <c r="C444" t="s">
        <v>163</v>
      </c>
      <c r="D444" t="s">
        <v>46</v>
      </c>
      <c r="E444" s="2">
        <v>40895</v>
      </c>
      <c r="F444" t="s">
        <v>24</v>
      </c>
      <c r="G444" t="s">
        <v>66</v>
      </c>
      <c r="H444" t="s">
        <v>232</v>
      </c>
      <c r="I444" s="3">
        <v>2.7777777777777779E-3</v>
      </c>
      <c r="J444" t="s">
        <v>38</v>
      </c>
      <c r="K444">
        <v>17</v>
      </c>
      <c r="L444" s="3">
        <v>6.9444444444444447E-4</v>
      </c>
      <c r="M444" t="s">
        <v>31</v>
      </c>
      <c r="N444" t="s">
        <v>106</v>
      </c>
    </row>
    <row r="445" spans="1:14" x14ac:dyDescent="0.35">
      <c r="A445" t="s">
        <v>64</v>
      </c>
      <c r="B445" s="1">
        <v>45637</v>
      </c>
      <c r="C445" t="s">
        <v>91</v>
      </c>
      <c r="D445" t="s">
        <v>143</v>
      </c>
      <c r="E445" s="2">
        <v>40912</v>
      </c>
      <c r="F445" t="s">
        <v>16</v>
      </c>
      <c r="G445" t="s">
        <v>66</v>
      </c>
      <c r="H445" t="s">
        <v>100</v>
      </c>
      <c r="I445" s="3">
        <v>0.16666666666666666</v>
      </c>
      <c r="J445" t="s">
        <v>68</v>
      </c>
      <c r="K445">
        <v>90</v>
      </c>
      <c r="L445" s="3">
        <v>0.16666666666666666</v>
      </c>
      <c r="M445" t="s">
        <v>31</v>
      </c>
      <c r="N445" t="s">
        <v>106</v>
      </c>
    </row>
    <row r="446" spans="1:14" x14ac:dyDescent="0.35">
      <c r="A446" t="s">
        <v>64</v>
      </c>
      <c r="B446" s="1">
        <v>45637</v>
      </c>
      <c r="C446" t="s">
        <v>91</v>
      </c>
      <c r="D446" t="s">
        <v>143</v>
      </c>
      <c r="E446" s="2">
        <v>40912</v>
      </c>
      <c r="F446" t="s">
        <v>16</v>
      </c>
      <c r="G446" t="s">
        <v>66</v>
      </c>
      <c r="H446" t="s">
        <v>100</v>
      </c>
      <c r="I446" s="3">
        <v>0.16666666666666666</v>
      </c>
      <c r="J446" t="s">
        <v>68</v>
      </c>
      <c r="K446">
        <v>71</v>
      </c>
      <c r="L446" s="3">
        <v>0.125</v>
      </c>
      <c r="M446" t="s">
        <v>22</v>
      </c>
      <c r="N446" t="s">
        <v>224</v>
      </c>
    </row>
    <row r="447" spans="1:14" x14ac:dyDescent="0.35">
      <c r="A447" t="s">
        <v>14</v>
      </c>
      <c r="B447" s="1">
        <v>45637</v>
      </c>
      <c r="C447" t="s">
        <v>65</v>
      </c>
      <c r="D447">
        <v>18</v>
      </c>
      <c r="E447" s="2">
        <v>40915</v>
      </c>
      <c r="F447" t="s">
        <v>16</v>
      </c>
      <c r="G447" t="s">
        <v>112</v>
      </c>
      <c r="H447" t="s">
        <v>233</v>
      </c>
      <c r="I447" s="3">
        <v>0.20902777777777778</v>
      </c>
      <c r="J447" t="s">
        <v>19</v>
      </c>
      <c r="K447">
        <v>89</v>
      </c>
      <c r="L447" s="3">
        <v>0.20902777777777778</v>
      </c>
      <c r="M447" t="s">
        <v>26</v>
      </c>
    </row>
    <row r="448" spans="1:14" x14ac:dyDescent="0.35">
      <c r="A448" t="s">
        <v>64</v>
      </c>
      <c r="B448" s="1">
        <v>45637</v>
      </c>
      <c r="C448" t="s">
        <v>65</v>
      </c>
      <c r="D448">
        <v>19</v>
      </c>
      <c r="E448" s="2">
        <v>40923</v>
      </c>
      <c r="F448" t="s">
        <v>16</v>
      </c>
      <c r="G448" t="s">
        <v>66</v>
      </c>
      <c r="H448" t="s">
        <v>95</v>
      </c>
      <c r="I448" s="3">
        <v>0.16805555555555557</v>
      </c>
      <c r="J448" t="s">
        <v>68</v>
      </c>
      <c r="K448">
        <v>12</v>
      </c>
      <c r="L448" s="3">
        <v>8.3333333333333329E-2</v>
      </c>
      <c r="M448" t="s">
        <v>26</v>
      </c>
      <c r="N448" t="s">
        <v>234</v>
      </c>
    </row>
    <row r="449" spans="1:14" x14ac:dyDescent="0.35">
      <c r="A449" t="s">
        <v>64</v>
      </c>
      <c r="B449" s="1">
        <v>45637</v>
      </c>
      <c r="C449" t="s">
        <v>65</v>
      </c>
      <c r="D449">
        <v>19</v>
      </c>
      <c r="E449" s="2">
        <v>40923</v>
      </c>
      <c r="F449" t="s">
        <v>16</v>
      </c>
      <c r="G449" t="s">
        <v>66</v>
      </c>
      <c r="H449" t="s">
        <v>95</v>
      </c>
      <c r="I449" s="3">
        <v>0.16805555555555557</v>
      </c>
      <c r="J449" t="s">
        <v>68</v>
      </c>
      <c r="K449">
        <v>86</v>
      </c>
      <c r="L449" s="3">
        <v>0.16805555555555557</v>
      </c>
      <c r="M449" t="s">
        <v>83</v>
      </c>
    </row>
    <row r="450" spans="1:14" x14ac:dyDescent="0.35">
      <c r="A450" t="s">
        <v>14</v>
      </c>
      <c r="B450" s="1">
        <v>45637</v>
      </c>
      <c r="C450" t="s">
        <v>91</v>
      </c>
      <c r="D450" t="s">
        <v>92</v>
      </c>
      <c r="E450" s="2">
        <v>40926</v>
      </c>
      <c r="F450" t="s">
        <v>16</v>
      </c>
      <c r="G450" t="s">
        <v>112</v>
      </c>
      <c r="H450" t="s">
        <v>66</v>
      </c>
      <c r="I450" s="3">
        <v>4.3055555555555555E-2</v>
      </c>
      <c r="J450" t="s">
        <v>19</v>
      </c>
      <c r="K450">
        <v>11</v>
      </c>
      <c r="L450" s="3">
        <v>4.1666666666666664E-2</v>
      </c>
      <c r="M450" t="s">
        <v>31</v>
      </c>
      <c r="N450" t="s">
        <v>183</v>
      </c>
    </row>
    <row r="451" spans="1:14" x14ac:dyDescent="0.35">
      <c r="A451" t="s">
        <v>14</v>
      </c>
      <c r="B451" s="1">
        <v>45637</v>
      </c>
      <c r="C451" t="s">
        <v>65</v>
      </c>
      <c r="D451">
        <v>1</v>
      </c>
      <c r="E451" s="2">
        <v>40930</v>
      </c>
      <c r="F451" t="s">
        <v>16</v>
      </c>
      <c r="G451" t="s">
        <v>112</v>
      </c>
      <c r="H451" t="s">
        <v>86</v>
      </c>
      <c r="I451" s="3">
        <v>0.1673611111111111</v>
      </c>
      <c r="J451" t="s">
        <v>19</v>
      </c>
      <c r="K451">
        <v>67</v>
      </c>
      <c r="L451" s="3">
        <v>0.12569444444444444</v>
      </c>
      <c r="M451" t="s">
        <v>83</v>
      </c>
    </row>
    <row r="452" spans="1:14" x14ac:dyDescent="0.35">
      <c r="A452" t="s">
        <v>14</v>
      </c>
      <c r="B452" s="1">
        <v>45637</v>
      </c>
      <c r="C452" t="s">
        <v>65</v>
      </c>
      <c r="D452">
        <v>1</v>
      </c>
      <c r="E452" s="2">
        <v>40930</v>
      </c>
      <c r="F452" t="s">
        <v>16</v>
      </c>
      <c r="G452" t="s">
        <v>112</v>
      </c>
      <c r="H452" t="s">
        <v>86</v>
      </c>
      <c r="I452" s="3">
        <v>0.1673611111111111</v>
      </c>
      <c r="J452" t="s">
        <v>19</v>
      </c>
      <c r="K452">
        <v>46</v>
      </c>
      <c r="L452" s="3">
        <v>8.4027777777777785E-2</v>
      </c>
      <c r="M452" t="s">
        <v>83</v>
      </c>
    </row>
    <row r="453" spans="1:14" x14ac:dyDescent="0.35">
      <c r="A453" t="s">
        <v>64</v>
      </c>
      <c r="B453" s="1">
        <v>45637</v>
      </c>
      <c r="C453" t="s">
        <v>65</v>
      </c>
      <c r="D453">
        <v>1</v>
      </c>
      <c r="E453" s="2">
        <v>40930</v>
      </c>
      <c r="F453" t="s">
        <v>24</v>
      </c>
      <c r="G453" t="s">
        <v>66</v>
      </c>
      <c r="H453" t="s">
        <v>157</v>
      </c>
      <c r="I453" s="3">
        <v>4.4444444444444446E-2</v>
      </c>
      <c r="J453" t="s">
        <v>68</v>
      </c>
      <c r="K453">
        <v>77</v>
      </c>
      <c r="L453" s="3">
        <v>2.7777777777777779E-3</v>
      </c>
      <c r="M453" t="s">
        <v>31</v>
      </c>
      <c r="N453" t="s">
        <v>186</v>
      </c>
    </row>
    <row r="454" spans="1:14" x14ac:dyDescent="0.35">
      <c r="A454" t="s">
        <v>64</v>
      </c>
      <c r="B454" s="1">
        <v>45637</v>
      </c>
      <c r="C454" t="s">
        <v>65</v>
      </c>
      <c r="D454">
        <v>1</v>
      </c>
      <c r="E454" s="2">
        <v>40930</v>
      </c>
      <c r="F454" t="s">
        <v>24</v>
      </c>
      <c r="G454" t="s">
        <v>66</v>
      </c>
      <c r="H454" t="s">
        <v>157</v>
      </c>
      <c r="I454" s="3">
        <v>4.4444444444444446E-2</v>
      </c>
      <c r="J454" t="s">
        <v>68</v>
      </c>
      <c r="K454">
        <v>51</v>
      </c>
      <c r="L454" s="3">
        <v>2.0833333333333333E-3</v>
      </c>
      <c r="M454" t="s">
        <v>31</v>
      </c>
      <c r="N454" t="s">
        <v>213</v>
      </c>
    </row>
    <row r="455" spans="1:14" x14ac:dyDescent="0.35">
      <c r="A455" t="s">
        <v>64</v>
      </c>
      <c r="B455" s="1">
        <v>45637</v>
      </c>
      <c r="C455" t="s">
        <v>65</v>
      </c>
      <c r="D455">
        <v>1</v>
      </c>
      <c r="E455" s="2">
        <v>40930</v>
      </c>
      <c r="F455" t="s">
        <v>24</v>
      </c>
      <c r="G455" t="s">
        <v>66</v>
      </c>
      <c r="H455" t="s">
        <v>157</v>
      </c>
      <c r="I455" s="3">
        <v>4.4444444444444446E-2</v>
      </c>
      <c r="J455" t="s">
        <v>68</v>
      </c>
      <c r="K455">
        <v>32</v>
      </c>
      <c r="L455" s="3">
        <v>6.9444444444444447E-4</v>
      </c>
      <c r="M455" t="s">
        <v>22</v>
      </c>
      <c r="N455" t="s">
        <v>215</v>
      </c>
    </row>
    <row r="456" spans="1:14" x14ac:dyDescent="0.35">
      <c r="A456" t="s">
        <v>14</v>
      </c>
      <c r="B456" s="1">
        <v>45637</v>
      </c>
      <c r="C456" t="s">
        <v>91</v>
      </c>
      <c r="D456" t="s">
        <v>92</v>
      </c>
      <c r="E456" s="2">
        <v>40933</v>
      </c>
      <c r="F456" t="s">
        <v>24</v>
      </c>
      <c r="G456" t="s">
        <v>112</v>
      </c>
      <c r="H456" t="s">
        <v>66</v>
      </c>
      <c r="I456" s="3">
        <v>8.4722222222222227E-2</v>
      </c>
      <c r="J456" t="s">
        <v>19</v>
      </c>
      <c r="K456">
        <v>68</v>
      </c>
      <c r="L456" s="3">
        <v>8.4027777777777785E-2</v>
      </c>
      <c r="M456" t="s">
        <v>26</v>
      </c>
      <c r="N456" t="s">
        <v>204</v>
      </c>
    </row>
    <row r="457" spans="1:14" x14ac:dyDescent="0.35">
      <c r="A457" t="s">
        <v>14</v>
      </c>
      <c r="B457" s="1">
        <v>45637</v>
      </c>
      <c r="C457" t="s">
        <v>65</v>
      </c>
      <c r="D457">
        <v>21</v>
      </c>
      <c r="E457" s="2">
        <v>40936</v>
      </c>
      <c r="F457" t="s">
        <v>16</v>
      </c>
      <c r="G457" t="s">
        <v>112</v>
      </c>
      <c r="H457" t="s">
        <v>93</v>
      </c>
      <c r="I457" s="3">
        <v>0.12569444444444444</v>
      </c>
      <c r="J457" t="s">
        <v>19</v>
      </c>
      <c r="K457">
        <v>48</v>
      </c>
      <c r="L457" s="3">
        <v>8.4027777777777785E-2</v>
      </c>
      <c r="M457" t="s">
        <v>26</v>
      </c>
      <c r="N457" t="s">
        <v>204</v>
      </c>
    </row>
    <row r="458" spans="1:14" x14ac:dyDescent="0.35">
      <c r="A458" t="s">
        <v>64</v>
      </c>
      <c r="B458" s="1">
        <v>45637</v>
      </c>
      <c r="C458" t="s">
        <v>65</v>
      </c>
      <c r="D458">
        <v>22</v>
      </c>
      <c r="E458" s="2">
        <v>40943</v>
      </c>
      <c r="F458" t="s">
        <v>16</v>
      </c>
      <c r="G458" t="s">
        <v>66</v>
      </c>
      <c r="H458" t="s">
        <v>217</v>
      </c>
      <c r="I458" s="3">
        <v>8.4027777777777785E-2</v>
      </c>
      <c r="J458" t="s">
        <v>68</v>
      </c>
      <c r="K458">
        <v>72</v>
      </c>
      <c r="L458" s="3">
        <v>8.3333333333333329E-2</v>
      </c>
      <c r="M458" t="s">
        <v>31</v>
      </c>
      <c r="N458" t="s">
        <v>155</v>
      </c>
    </row>
    <row r="459" spans="1:14" x14ac:dyDescent="0.35">
      <c r="A459" t="s">
        <v>14</v>
      </c>
      <c r="B459" s="1">
        <v>45637</v>
      </c>
      <c r="C459" t="s">
        <v>65</v>
      </c>
      <c r="D459">
        <v>23</v>
      </c>
      <c r="E459" s="2">
        <v>40951</v>
      </c>
      <c r="F459" t="s">
        <v>16</v>
      </c>
      <c r="G459" t="s">
        <v>112</v>
      </c>
      <c r="H459" t="s">
        <v>127</v>
      </c>
      <c r="I459" s="3">
        <v>0.16805555555555557</v>
      </c>
      <c r="J459" t="s">
        <v>19</v>
      </c>
      <c r="K459">
        <v>45</v>
      </c>
      <c r="L459" s="3">
        <v>4.2361111111111113E-2</v>
      </c>
      <c r="M459" t="s">
        <v>83</v>
      </c>
    </row>
    <row r="460" spans="1:14" x14ac:dyDescent="0.35">
      <c r="A460" t="s">
        <v>14</v>
      </c>
      <c r="B460" s="1">
        <v>45637</v>
      </c>
      <c r="C460" t="s">
        <v>65</v>
      </c>
      <c r="D460">
        <v>23</v>
      </c>
      <c r="E460" s="2">
        <v>40951</v>
      </c>
      <c r="F460" t="s">
        <v>16</v>
      </c>
      <c r="G460" t="s">
        <v>112</v>
      </c>
      <c r="H460" t="s">
        <v>127</v>
      </c>
      <c r="I460" s="3">
        <v>0.16805555555555557</v>
      </c>
      <c r="J460" t="s">
        <v>19</v>
      </c>
      <c r="K460">
        <v>50</v>
      </c>
      <c r="L460" s="3">
        <v>8.4027777777777785E-2</v>
      </c>
      <c r="M460" t="s">
        <v>22</v>
      </c>
      <c r="N460" t="s">
        <v>188</v>
      </c>
    </row>
    <row r="461" spans="1:14" x14ac:dyDescent="0.35">
      <c r="A461" t="s">
        <v>14</v>
      </c>
      <c r="B461" s="1">
        <v>45637</v>
      </c>
      <c r="C461" t="s">
        <v>65</v>
      </c>
      <c r="D461">
        <v>23</v>
      </c>
      <c r="E461" s="2">
        <v>40951</v>
      </c>
      <c r="F461" t="s">
        <v>16</v>
      </c>
      <c r="G461" t="s">
        <v>112</v>
      </c>
      <c r="H461" t="s">
        <v>127</v>
      </c>
      <c r="I461" s="3">
        <v>0.16805555555555557</v>
      </c>
      <c r="J461" t="s">
        <v>19</v>
      </c>
      <c r="K461">
        <v>57</v>
      </c>
      <c r="L461" s="3">
        <v>0.12569444444444444</v>
      </c>
      <c r="M461" t="s">
        <v>26</v>
      </c>
      <c r="N461" t="s">
        <v>235</v>
      </c>
    </row>
    <row r="462" spans="1:14" x14ac:dyDescent="0.35">
      <c r="A462" t="s">
        <v>64</v>
      </c>
      <c r="B462" s="1">
        <v>45637</v>
      </c>
      <c r="C462" t="s">
        <v>75</v>
      </c>
      <c r="D462" t="s">
        <v>143</v>
      </c>
      <c r="E462" s="2">
        <v>40953</v>
      </c>
      <c r="F462" t="s">
        <v>24</v>
      </c>
      <c r="G462" t="s">
        <v>66</v>
      </c>
      <c r="H462" t="s">
        <v>236</v>
      </c>
      <c r="I462" s="3">
        <v>4.3749999999999997E-2</v>
      </c>
      <c r="J462" t="s">
        <v>68</v>
      </c>
      <c r="K462">
        <v>88</v>
      </c>
      <c r="L462" s="3">
        <v>4.3749999999999997E-2</v>
      </c>
      <c r="M462" t="s">
        <v>31</v>
      </c>
      <c r="N462" t="s">
        <v>155</v>
      </c>
    </row>
    <row r="463" spans="1:14" x14ac:dyDescent="0.35">
      <c r="A463" t="s">
        <v>14</v>
      </c>
      <c r="B463" s="1">
        <v>45637</v>
      </c>
      <c r="C463" t="s">
        <v>65</v>
      </c>
      <c r="D463">
        <v>24</v>
      </c>
      <c r="E463" s="2">
        <v>40957</v>
      </c>
      <c r="F463" t="s">
        <v>16</v>
      </c>
      <c r="G463" t="s">
        <v>112</v>
      </c>
      <c r="H463" t="s">
        <v>78</v>
      </c>
      <c r="I463" s="3">
        <v>0.16666666666666666</v>
      </c>
      <c r="J463" t="s">
        <v>19</v>
      </c>
      <c r="K463">
        <v>6</v>
      </c>
      <c r="L463" s="3">
        <v>4.1666666666666664E-2</v>
      </c>
      <c r="M463" t="s">
        <v>22</v>
      </c>
      <c r="N463" t="s">
        <v>198</v>
      </c>
    </row>
    <row r="464" spans="1:14" x14ac:dyDescent="0.35">
      <c r="A464" t="s">
        <v>64</v>
      </c>
      <c r="B464" s="1">
        <v>45637</v>
      </c>
      <c r="C464" t="s">
        <v>65</v>
      </c>
      <c r="D464">
        <v>24</v>
      </c>
      <c r="E464" s="2">
        <v>40958</v>
      </c>
      <c r="F464" t="s">
        <v>16</v>
      </c>
      <c r="G464" t="s">
        <v>66</v>
      </c>
      <c r="H464" t="s">
        <v>148</v>
      </c>
      <c r="I464" s="3">
        <v>0.20902777777777778</v>
      </c>
      <c r="J464" t="s">
        <v>68</v>
      </c>
      <c r="K464">
        <v>21</v>
      </c>
      <c r="L464" s="3">
        <v>4.2361111111111113E-2</v>
      </c>
      <c r="M464" t="s">
        <v>31</v>
      </c>
    </row>
    <row r="465" spans="1:14" x14ac:dyDescent="0.35">
      <c r="A465" t="s">
        <v>64</v>
      </c>
      <c r="B465" s="1">
        <v>45637</v>
      </c>
      <c r="C465" t="s">
        <v>65</v>
      </c>
      <c r="D465">
        <v>24</v>
      </c>
      <c r="E465" s="2">
        <v>40958</v>
      </c>
      <c r="F465" t="s">
        <v>16</v>
      </c>
      <c r="G465" t="s">
        <v>66</v>
      </c>
      <c r="H465" t="s">
        <v>148</v>
      </c>
      <c r="I465" s="3">
        <v>0.20902777777777778</v>
      </c>
      <c r="J465" t="s">
        <v>68</v>
      </c>
      <c r="K465">
        <v>27</v>
      </c>
      <c r="L465" s="3">
        <v>8.4027777777777785E-2</v>
      </c>
      <c r="M465" t="s">
        <v>55</v>
      </c>
    </row>
    <row r="466" spans="1:14" x14ac:dyDescent="0.35">
      <c r="A466" t="s">
        <v>64</v>
      </c>
      <c r="B466" s="1">
        <v>45637</v>
      </c>
      <c r="C466" t="s">
        <v>65</v>
      </c>
      <c r="D466">
        <v>24</v>
      </c>
      <c r="E466" s="2">
        <v>40958</v>
      </c>
      <c r="F466" t="s">
        <v>16</v>
      </c>
      <c r="G466" t="s">
        <v>66</v>
      </c>
      <c r="H466" t="s">
        <v>148</v>
      </c>
      <c r="I466" s="3">
        <v>0.20902777777777778</v>
      </c>
      <c r="J466" t="s">
        <v>68</v>
      </c>
      <c r="K466">
        <v>75</v>
      </c>
      <c r="L466" s="3">
        <v>0.12569444444444444</v>
      </c>
      <c r="M466" t="s">
        <v>31</v>
      </c>
      <c r="N466" t="s">
        <v>237</v>
      </c>
    </row>
    <row r="467" spans="1:14" x14ac:dyDescent="0.35">
      <c r="A467" t="s">
        <v>64</v>
      </c>
      <c r="B467" s="1">
        <v>45637</v>
      </c>
      <c r="C467" t="s">
        <v>65</v>
      </c>
      <c r="D467">
        <v>24</v>
      </c>
      <c r="E467" s="2">
        <v>40958</v>
      </c>
      <c r="F467" t="s">
        <v>16</v>
      </c>
      <c r="G467" t="s">
        <v>66</v>
      </c>
      <c r="H467" t="s">
        <v>148</v>
      </c>
      <c r="I467" s="3">
        <v>0.20902777777777778</v>
      </c>
      <c r="J467" t="s">
        <v>68</v>
      </c>
      <c r="K467">
        <v>84</v>
      </c>
      <c r="L467" s="3">
        <v>0.1673611111111111</v>
      </c>
      <c r="M467" t="s">
        <v>31</v>
      </c>
      <c r="N467" t="s">
        <v>222</v>
      </c>
    </row>
    <row r="468" spans="1:14" x14ac:dyDescent="0.35">
      <c r="A468" t="s">
        <v>14</v>
      </c>
      <c r="B468" s="1">
        <v>45637</v>
      </c>
      <c r="C468" t="s">
        <v>75</v>
      </c>
      <c r="D468" t="s">
        <v>143</v>
      </c>
      <c r="E468" s="2">
        <v>40960</v>
      </c>
      <c r="F468" t="s">
        <v>24</v>
      </c>
      <c r="G468" t="s">
        <v>112</v>
      </c>
      <c r="H468" t="s">
        <v>238</v>
      </c>
      <c r="I468" s="3">
        <v>4.2361111111111113E-2</v>
      </c>
      <c r="J468" t="s">
        <v>19</v>
      </c>
      <c r="K468">
        <v>28</v>
      </c>
      <c r="L468" s="3">
        <v>6.9444444444444447E-4</v>
      </c>
      <c r="M468" t="s">
        <v>31</v>
      </c>
      <c r="N468" t="s">
        <v>235</v>
      </c>
    </row>
    <row r="469" spans="1:14" x14ac:dyDescent="0.35">
      <c r="A469" t="s">
        <v>64</v>
      </c>
      <c r="B469" s="1">
        <v>45637</v>
      </c>
      <c r="C469" t="s">
        <v>65</v>
      </c>
      <c r="D469">
        <v>25</v>
      </c>
      <c r="E469" s="2">
        <v>40965</v>
      </c>
      <c r="F469" t="s">
        <v>24</v>
      </c>
      <c r="G469" t="s">
        <v>66</v>
      </c>
      <c r="H469" t="s">
        <v>119</v>
      </c>
      <c r="I469" s="3">
        <v>4.3055555555555555E-2</v>
      </c>
      <c r="J469" t="s">
        <v>68</v>
      </c>
      <c r="K469">
        <v>79</v>
      </c>
      <c r="L469" s="3">
        <v>4.3055555555555555E-2</v>
      </c>
      <c r="M469" t="s">
        <v>39</v>
      </c>
    </row>
    <row r="470" spans="1:14" x14ac:dyDescent="0.35">
      <c r="A470" t="s">
        <v>14</v>
      </c>
      <c r="B470" s="1">
        <v>45637</v>
      </c>
      <c r="C470" t="s">
        <v>65</v>
      </c>
      <c r="D470">
        <v>25</v>
      </c>
      <c r="E470" s="2">
        <v>40965</v>
      </c>
      <c r="F470" t="s">
        <v>24</v>
      </c>
      <c r="G470" t="s">
        <v>112</v>
      </c>
      <c r="H470" t="s">
        <v>225</v>
      </c>
      <c r="I470" s="3">
        <v>6.9444444444444447E-4</v>
      </c>
      <c r="J470" t="s">
        <v>19</v>
      </c>
      <c r="K470">
        <v>53</v>
      </c>
      <c r="L470" s="3">
        <v>6.9444444444444447E-4</v>
      </c>
      <c r="M470" t="s">
        <v>26</v>
      </c>
    </row>
    <row r="471" spans="1:14" x14ac:dyDescent="0.35">
      <c r="A471" t="s">
        <v>14</v>
      </c>
      <c r="B471" s="1">
        <v>45637</v>
      </c>
      <c r="C471" t="s">
        <v>65</v>
      </c>
      <c r="D471">
        <v>26</v>
      </c>
      <c r="E471" s="2">
        <v>40972</v>
      </c>
      <c r="F471" t="s">
        <v>16</v>
      </c>
      <c r="G471" t="s">
        <v>112</v>
      </c>
      <c r="H471" t="s">
        <v>121</v>
      </c>
      <c r="I471" s="3">
        <v>0.20833333333333334</v>
      </c>
      <c r="J471" t="s">
        <v>19</v>
      </c>
      <c r="K471">
        <v>23</v>
      </c>
      <c r="L471" s="3">
        <v>4.1666666666666664E-2</v>
      </c>
      <c r="M471" t="s">
        <v>31</v>
      </c>
      <c r="N471" t="s">
        <v>188</v>
      </c>
    </row>
    <row r="472" spans="1:14" x14ac:dyDescent="0.35">
      <c r="A472" t="s">
        <v>64</v>
      </c>
      <c r="B472" s="1">
        <v>45637</v>
      </c>
      <c r="C472" t="s">
        <v>75</v>
      </c>
      <c r="D472" t="s">
        <v>143</v>
      </c>
      <c r="E472" s="2">
        <v>40975</v>
      </c>
      <c r="F472" t="s">
        <v>16</v>
      </c>
      <c r="G472" t="s">
        <v>66</v>
      </c>
      <c r="H472" t="s">
        <v>236</v>
      </c>
      <c r="I472" s="3">
        <v>0.29236111111111113</v>
      </c>
      <c r="J472" t="s">
        <v>68</v>
      </c>
      <c r="K472">
        <v>85</v>
      </c>
      <c r="L472" s="3">
        <v>0.29166666666666669</v>
      </c>
      <c r="M472" t="s">
        <v>31</v>
      </c>
      <c r="N472" t="s">
        <v>200</v>
      </c>
    </row>
    <row r="473" spans="1:14" x14ac:dyDescent="0.35">
      <c r="A473" t="s">
        <v>64</v>
      </c>
      <c r="B473" s="1">
        <v>45637</v>
      </c>
      <c r="C473" t="s">
        <v>75</v>
      </c>
      <c r="D473" t="s">
        <v>143</v>
      </c>
      <c r="E473" s="2">
        <v>40975</v>
      </c>
      <c r="F473" t="s">
        <v>16</v>
      </c>
      <c r="G473" t="s">
        <v>66</v>
      </c>
      <c r="H473" t="s">
        <v>236</v>
      </c>
      <c r="I473" s="3">
        <v>0.29236111111111113</v>
      </c>
      <c r="J473" t="s">
        <v>68</v>
      </c>
      <c r="K473">
        <v>58</v>
      </c>
      <c r="L473" s="3">
        <v>0.20833333333333334</v>
      </c>
      <c r="M473" t="s">
        <v>31</v>
      </c>
    </row>
    <row r="474" spans="1:14" x14ac:dyDescent="0.35">
      <c r="A474" t="s">
        <v>64</v>
      </c>
      <c r="B474" s="1">
        <v>45637</v>
      </c>
      <c r="C474" t="s">
        <v>75</v>
      </c>
      <c r="D474" t="s">
        <v>143</v>
      </c>
      <c r="E474" s="2">
        <v>40975</v>
      </c>
      <c r="F474" t="s">
        <v>16</v>
      </c>
      <c r="G474" t="s">
        <v>66</v>
      </c>
      <c r="H474" t="s">
        <v>236</v>
      </c>
      <c r="I474" s="3">
        <v>0.29236111111111113</v>
      </c>
      <c r="J474" t="s">
        <v>68</v>
      </c>
      <c r="K474">
        <v>50</v>
      </c>
      <c r="L474" s="3">
        <v>0.125</v>
      </c>
      <c r="M474" t="s">
        <v>26</v>
      </c>
      <c r="N474" t="s">
        <v>224</v>
      </c>
    </row>
    <row r="475" spans="1:14" x14ac:dyDescent="0.35">
      <c r="A475" t="s">
        <v>64</v>
      </c>
      <c r="B475" s="1">
        <v>45637</v>
      </c>
      <c r="C475" t="s">
        <v>75</v>
      </c>
      <c r="D475" t="s">
        <v>143</v>
      </c>
      <c r="E475" s="2">
        <v>40975</v>
      </c>
      <c r="F475" t="s">
        <v>16</v>
      </c>
      <c r="G475" t="s">
        <v>66</v>
      </c>
      <c r="H475" t="s">
        <v>236</v>
      </c>
      <c r="I475" s="3">
        <v>0.29236111111111113</v>
      </c>
      <c r="J475" t="s">
        <v>68</v>
      </c>
      <c r="K475">
        <v>42</v>
      </c>
      <c r="L475" s="3">
        <v>8.3333333333333329E-2</v>
      </c>
      <c r="M475" t="s">
        <v>31</v>
      </c>
      <c r="N475" t="s">
        <v>99</v>
      </c>
    </row>
    <row r="476" spans="1:14" x14ac:dyDescent="0.35">
      <c r="A476" t="s">
        <v>64</v>
      </c>
      <c r="B476" s="1">
        <v>45637</v>
      </c>
      <c r="C476" t="s">
        <v>75</v>
      </c>
      <c r="D476" t="s">
        <v>143</v>
      </c>
      <c r="E476" s="2">
        <v>40975</v>
      </c>
      <c r="F476" t="s">
        <v>16</v>
      </c>
      <c r="G476" t="s">
        <v>66</v>
      </c>
      <c r="H476" t="s">
        <v>236</v>
      </c>
      <c r="I476" s="3">
        <v>0.29236111111111113</v>
      </c>
      <c r="J476" t="s">
        <v>68</v>
      </c>
      <c r="K476">
        <v>25</v>
      </c>
      <c r="L476" s="3">
        <v>4.1666666666666664E-2</v>
      </c>
      <c r="M476" t="s">
        <v>31</v>
      </c>
      <c r="N476" t="s">
        <v>106</v>
      </c>
    </row>
    <row r="477" spans="1:14" x14ac:dyDescent="0.35">
      <c r="A477" t="s">
        <v>14</v>
      </c>
      <c r="B477" s="1">
        <v>45637</v>
      </c>
      <c r="C477" t="s">
        <v>65</v>
      </c>
      <c r="D477">
        <v>27</v>
      </c>
      <c r="E477" s="2">
        <v>40978</v>
      </c>
      <c r="F477" t="s">
        <v>24</v>
      </c>
      <c r="G477" t="s">
        <v>112</v>
      </c>
      <c r="H477" t="s">
        <v>95</v>
      </c>
      <c r="I477" s="3">
        <v>8.5416666666666669E-2</v>
      </c>
      <c r="J477" t="s">
        <v>19</v>
      </c>
      <c r="K477">
        <v>52</v>
      </c>
      <c r="L477" s="3">
        <v>4.3055555555555555E-2</v>
      </c>
      <c r="M477" t="s">
        <v>31</v>
      </c>
      <c r="N477" t="s">
        <v>201</v>
      </c>
    </row>
    <row r="478" spans="1:14" x14ac:dyDescent="0.35">
      <c r="A478" t="s">
        <v>14</v>
      </c>
      <c r="B478" s="1">
        <v>45637</v>
      </c>
      <c r="C478" t="s">
        <v>65</v>
      </c>
      <c r="D478">
        <v>27</v>
      </c>
      <c r="E478" s="2">
        <v>40978</v>
      </c>
      <c r="F478" t="s">
        <v>24</v>
      </c>
      <c r="G478" t="s">
        <v>112</v>
      </c>
      <c r="H478" t="s">
        <v>95</v>
      </c>
      <c r="I478" s="3">
        <v>8.5416666666666669E-2</v>
      </c>
      <c r="J478" t="s">
        <v>19</v>
      </c>
      <c r="K478">
        <v>73</v>
      </c>
      <c r="L478" s="3">
        <v>8.5416666666666669E-2</v>
      </c>
      <c r="M478" t="s">
        <v>31</v>
      </c>
    </row>
    <row r="479" spans="1:14" x14ac:dyDescent="0.35">
      <c r="A479" t="s">
        <v>64</v>
      </c>
      <c r="B479" s="1">
        <v>45637</v>
      </c>
      <c r="C479" t="s">
        <v>65</v>
      </c>
      <c r="D479">
        <v>27</v>
      </c>
      <c r="E479" s="2">
        <v>40979</v>
      </c>
      <c r="F479" t="s">
        <v>24</v>
      </c>
      <c r="G479" t="s">
        <v>66</v>
      </c>
      <c r="H479" t="s">
        <v>78</v>
      </c>
      <c r="I479" s="3">
        <v>1.3888888888888889E-3</v>
      </c>
      <c r="J479" t="s">
        <v>68</v>
      </c>
      <c r="K479">
        <v>28</v>
      </c>
      <c r="L479" s="3">
        <v>6.9444444444444447E-4</v>
      </c>
      <c r="M479" t="s">
        <v>31</v>
      </c>
      <c r="N479" t="s">
        <v>224</v>
      </c>
    </row>
    <row r="480" spans="1:14" x14ac:dyDescent="0.35">
      <c r="A480" t="s">
        <v>64</v>
      </c>
      <c r="B480" s="1">
        <v>45637</v>
      </c>
      <c r="C480" t="s">
        <v>65</v>
      </c>
      <c r="D480">
        <v>27</v>
      </c>
      <c r="E480" s="2">
        <v>40979</v>
      </c>
      <c r="F480" t="s">
        <v>24</v>
      </c>
      <c r="G480" t="s">
        <v>66</v>
      </c>
      <c r="H480" t="s">
        <v>78</v>
      </c>
      <c r="I480" s="3">
        <v>1.3888888888888889E-3</v>
      </c>
      <c r="J480" t="s">
        <v>68</v>
      </c>
      <c r="K480">
        <v>55</v>
      </c>
      <c r="L480" s="3">
        <v>1.3888888888888889E-3</v>
      </c>
      <c r="M480" t="s">
        <v>83</v>
      </c>
    </row>
    <row r="481" spans="1:14" x14ac:dyDescent="0.35">
      <c r="A481" t="s">
        <v>14</v>
      </c>
      <c r="B481" s="1">
        <v>45637</v>
      </c>
      <c r="C481" t="s">
        <v>75</v>
      </c>
      <c r="D481" t="s">
        <v>143</v>
      </c>
      <c r="E481" s="2">
        <v>40982</v>
      </c>
      <c r="F481" t="s">
        <v>16</v>
      </c>
      <c r="G481" t="s">
        <v>112</v>
      </c>
      <c r="H481" t="s">
        <v>238</v>
      </c>
      <c r="I481" s="3">
        <v>0.1673611111111111</v>
      </c>
      <c r="J481" t="s">
        <v>19</v>
      </c>
      <c r="K481" t="s">
        <v>239</v>
      </c>
      <c r="L481" s="3">
        <v>0.1673611111111111</v>
      </c>
      <c r="M481" t="s">
        <v>26</v>
      </c>
      <c r="N481" t="s">
        <v>183</v>
      </c>
    </row>
    <row r="482" spans="1:14" x14ac:dyDescent="0.35">
      <c r="A482" t="s">
        <v>14</v>
      </c>
      <c r="B482" s="1">
        <v>45637</v>
      </c>
      <c r="C482" t="s">
        <v>75</v>
      </c>
      <c r="D482" t="s">
        <v>143</v>
      </c>
      <c r="E482" s="2">
        <v>40982</v>
      </c>
      <c r="F482" t="s">
        <v>16</v>
      </c>
      <c r="G482" t="s">
        <v>112</v>
      </c>
      <c r="H482" t="s">
        <v>238</v>
      </c>
      <c r="I482" s="3">
        <v>0.1673611111111111</v>
      </c>
      <c r="J482" t="s">
        <v>19</v>
      </c>
      <c r="K482">
        <v>55</v>
      </c>
      <c r="L482" s="3">
        <v>8.3333333333333329E-2</v>
      </c>
      <c r="M482" t="s">
        <v>26</v>
      </c>
      <c r="N482" t="s">
        <v>202</v>
      </c>
    </row>
    <row r="483" spans="1:14" x14ac:dyDescent="0.35">
      <c r="A483" t="s">
        <v>64</v>
      </c>
      <c r="B483" s="1">
        <v>45637</v>
      </c>
      <c r="C483" t="s">
        <v>65</v>
      </c>
      <c r="D483">
        <v>28</v>
      </c>
      <c r="E483" s="2">
        <v>40985</v>
      </c>
      <c r="F483" t="s">
        <v>24</v>
      </c>
      <c r="G483" t="s">
        <v>66</v>
      </c>
      <c r="H483" t="s">
        <v>105</v>
      </c>
      <c r="I483" s="3">
        <v>1.3888888888888889E-3</v>
      </c>
      <c r="J483" t="s">
        <v>68</v>
      </c>
      <c r="K483">
        <v>25</v>
      </c>
      <c r="L483" s="3">
        <v>1.3888888888888889E-3</v>
      </c>
      <c r="M483" t="s">
        <v>31</v>
      </c>
      <c r="N483" t="s">
        <v>99</v>
      </c>
    </row>
    <row r="484" spans="1:14" x14ac:dyDescent="0.35">
      <c r="A484" t="s">
        <v>64</v>
      </c>
      <c r="B484" s="1">
        <v>45637</v>
      </c>
      <c r="C484" t="s">
        <v>65</v>
      </c>
      <c r="D484">
        <v>29</v>
      </c>
      <c r="E484" s="2">
        <v>40988</v>
      </c>
      <c r="F484" t="s">
        <v>16</v>
      </c>
      <c r="G484" t="s">
        <v>66</v>
      </c>
      <c r="H484" t="s">
        <v>233</v>
      </c>
      <c r="I484" s="3">
        <v>0.21041666666666667</v>
      </c>
      <c r="J484" t="s">
        <v>68</v>
      </c>
      <c r="K484">
        <v>85</v>
      </c>
      <c r="L484" s="3">
        <v>0.20972222222222223</v>
      </c>
      <c r="M484" t="s">
        <v>31</v>
      </c>
      <c r="N484" t="s">
        <v>155</v>
      </c>
    </row>
    <row r="485" spans="1:14" x14ac:dyDescent="0.35">
      <c r="A485" t="s">
        <v>64</v>
      </c>
      <c r="B485" s="1">
        <v>45637</v>
      </c>
      <c r="C485" t="s">
        <v>65</v>
      </c>
      <c r="D485">
        <v>29</v>
      </c>
      <c r="E485" s="2">
        <v>40988</v>
      </c>
      <c r="F485" t="s">
        <v>16</v>
      </c>
      <c r="G485" t="s">
        <v>66</v>
      </c>
      <c r="H485" t="s">
        <v>233</v>
      </c>
      <c r="I485" s="3">
        <v>0.21041666666666667</v>
      </c>
      <c r="J485" t="s">
        <v>68</v>
      </c>
      <c r="K485">
        <v>66</v>
      </c>
      <c r="L485" s="3">
        <v>0.12638888888888888</v>
      </c>
      <c r="M485" t="s">
        <v>31</v>
      </c>
      <c r="N485" t="s">
        <v>155</v>
      </c>
    </row>
    <row r="486" spans="1:14" x14ac:dyDescent="0.35">
      <c r="A486" t="s">
        <v>64</v>
      </c>
      <c r="B486" s="1">
        <v>45637</v>
      </c>
      <c r="C486" t="s">
        <v>65</v>
      </c>
      <c r="D486">
        <v>29</v>
      </c>
      <c r="E486" s="2">
        <v>40988</v>
      </c>
      <c r="F486" t="s">
        <v>16</v>
      </c>
      <c r="G486" t="s">
        <v>66</v>
      </c>
      <c r="H486" t="s">
        <v>233</v>
      </c>
      <c r="I486" s="3">
        <v>0.21041666666666667</v>
      </c>
      <c r="J486" t="s">
        <v>68</v>
      </c>
      <c r="K486">
        <v>16</v>
      </c>
      <c r="L486" s="3">
        <v>8.3333333333333329E-2</v>
      </c>
      <c r="M486" t="s">
        <v>31</v>
      </c>
      <c r="N486" t="s">
        <v>240</v>
      </c>
    </row>
    <row r="487" spans="1:14" x14ac:dyDescent="0.35">
      <c r="A487" t="s">
        <v>14</v>
      </c>
      <c r="B487" s="1">
        <v>45637</v>
      </c>
      <c r="C487" t="s">
        <v>65</v>
      </c>
      <c r="D487">
        <v>29</v>
      </c>
      <c r="E487" s="2">
        <v>40989</v>
      </c>
      <c r="F487" t="s">
        <v>24</v>
      </c>
      <c r="G487" t="s">
        <v>112</v>
      </c>
      <c r="H487" t="s">
        <v>180</v>
      </c>
      <c r="I487" s="3">
        <v>4.2361111111111113E-2</v>
      </c>
      <c r="J487" t="s">
        <v>19</v>
      </c>
      <c r="K487">
        <v>61</v>
      </c>
      <c r="L487" s="3">
        <v>6.9444444444444447E-4</v>
      </c>
      <c r="M487" t="s">
        <v>26</v>
      </c>
      <c r="N487" t="s">
        <v>204</v>
      </c>
    </row>
    <row r="488" spans="1:14" x14ac:dyDescent="0.35">
      <c r="A488" t="s">
        <v>14</v>
      </c>
      <c r="B488" s="1">
        <v>45637</v>
      </c>
      <c r="C488" t="s">
        <v>65</v>
      </c>
      <c r="D488">
        <v>30</v>
      </c>
      <c r="E488" s="2">
        <v>40992</v>
      </c>
      <c r="F488" t="s">
        <v>16</v>
      </c>
      <c r="G488" t="s">
        <v>112</v>
      </c>
      <c r="H488" t="s">
        <v>217</v>
      </c>
      <c r="I488" s="3">
        <v>0.20902777777777778</v>
      </c>
      <c r="J488" t="s">
        <v>19</v>
      </c>
      <c r="K488">
        <v>32</v>
      </c>
      <c r="L488" s="3">
        <v>8.3333333333333329E-2</v>
      </c>
      <c r="M488" t="s">
        <v>26</v>
      </c>
      <c r="N488" t="s">
        <v>198</v>
      </c>
    </row>
    <row r="489" spans="1:14" x14ac:dyDescent="0.35">
      <c r="A489" t="s">
        <v>14</v>
      </c>
      <c r="B489" s="1">
        <v>45637</v>
      </c>
      <c r="C489" t="s">
        <v>65</v>
      </c>
      <c r="D489">
        <v>30</v>
      </c>
      <c r="E489" s="2">
        <v>40992</v>
      </c>
      <c r="F489" t="s">
        <v>16</v>
      </c>
      <c r="G489" t="s">
        <v>112</v>
      </c>
      <c r="H489" t="s">
        <v>217</v>
      </c>
      <c r="I489" s="3">
        <v>0.20902777777777778</v>
      </c>
      <c r="J489" t="s">
        <v>19</v>
      </c>
      <c r="K489">
        <v>55</v>
      </c>
      <c r="L489" s="3">
        <v>0.20902777777777778</v>
      </c>
      <c r="M489" t="s">
        <v>26</v>
      </c>
      <c r="N489" t="s">
        <v>188</v>
      </c>
    </row>
    <row r="490" spans="1:14" x14ac:dyDescent="0.35">
      <c r="A490" t="s">
        <v>64</v>
      </c>
      <c r="B490" s="1">
        <v>45637</v>
      </c>
      <c r="C490" t="s">
        <v>65</v>
      </c>
      <c r="D490">
        <v>30</v>
      </c>
      <c r="E490" s="2">
        <v>40992</v>
      </c>
      <c r="F490" t="s">
        <v>24</v>
      </c>
      <c r="G490" t="s">
        <v>66</v>
      </c>
      <c r="H490" t="s">
        <v>89</v>
      </c>
      <c r="I490" s="3">
        <v>1.3888888888888889E-3</v>
      </c>
      <c r="J490" t="s">
        <v>68</v>
      </c>
      <c r="K490">
        <v>25</v>
      </c>
      <c r="L490" s="3">
        <v>6.9444444444444447E-4</v>
      </c>
      <c r="M490" t="s">
        <v>39</v>
      </c>
    </row>
    <row r="491" spans="1:14" x14ac:dyDescent="0.35">
      <c r="A491" t="s">
        <v>64</v>
      </c>
      <c r="B491" s="1">
        <v>45637</v>
      </c>
      <c r="C491" t="s">
        <v>65</v>
      </c>
      <c r="D491">
        <v>31</v>
      </c>
      <c r="E491" s="2">
        <v>40999</v>
      </c>
      <c r="F491" t="s">
        <v>16</v>
      </c>
      <c r="G491" t="s">
        <v>66</v>
      </c>
      <c r="H491" t="s">
        <v>86</v>
      </c>
      <c r="I491" s="3">
        <v>8.3333333333333329E-2</v>
      </c>
      <c r="J491" t="s">
        <v>68</v>
      </c>
      <c r="K491">
        <v>57</v>
      </c>
      <c r="L491" s="3">
        <v>8.3333333333333329E-2</v>
      </c>
      <c r="M491" t="s">
        <v>83</v>
      </c>
    </row>
    <row r="492" spans="1:14" x14ac:dyDescent="0.35">
      <c r="A492" t="s">
        <v>14</v>
      </c>
      <c r="B492" s="1">
        <v>45637</v>
      </c>
      <c r="C492" t="s">
        <v>65</v>
      </c>
      <c r="D492">
        <v>31</v>
      </c>
      <c r="E492" s="2">
        <v>40999</v>
      </c>
      <c r="F492" t="s">
        <v>24</v>
      </c>
      <c r="G492" t="s">
        <v>112</v>
      </c>
      <c r="H492" t="s">
        <v>100</v>
      </c>
      <c r="I492" s="3">
        <v>4.5138888888888888E-2</v>
      </c>
      <c r="J492" t="s">
        <v>19</v>
      </c>
      <c r="K492">
        <v>37</v>
      </c>
      <c r="L492" s="3">
        <v>1.3888888888888889E-3</v>
      </c>
      <c r="M492" t="s">
        <v>170</v>
      </c>
      <c r="N492" t="s">
        <v>205</v>
      </c>
    </row>
    <row r="493" spans="1:14" x14ac:dyDescent="0.35">
      <c r="A493" t="s">
        <v>14</v>
      </c>
      <c r="B493" s="1">
        <v>45637</v>
      </c>
      <c r="C493" t="s">
        <v>65</v>
      </c>
      <c r="D493">
        <v>31</v>
      </c>
      <c r="E493" s="2">
        <v>40999</v>
      </c>
      <c r="F493" t="s">
        <v>24</v>
      </c>
      <c r="G493" t="s">
        <v>112</v>
      </c>
      <c r="H493" t="s">
        <v>100</v>
      </c>
      <c r="I493" s="3">
        <v>4.5138888888888888E-2</v>
      </c>
      <c r="J493" t="s">
        <v>19</v>
      </c>
      <c r="K493">
        <v>70</v>
      </c>
      <c r="L493" s="3">
        <v>4.4444444444444446E-2</v>
      </c>
      <c r="M493" t="s">
        <v>39</v>
      </c>
    </row>
    <row r="494" spans="1:14" x14ac:dyDescent="0.35">
      <c r="A494" t="s">
        <v>64</v>
      </c>
      <c r="B494" s="1">
        <v>45637</v>
      </c>
      <c r="C494" t="s">
        <v>75</v>
      </c>
      <c r="D494" t="s">
        <v>92</v>
      </c>
      <c r="E494" s="2">
        <v>41002</v>
      </c>
      <c r="F494" t="s">
        <v>16</v>
      </c>
      <c r="G494" t="s">
        <v>66</v>
      </c>
      <c r="H494" t="s">
        <v>118</v>
      </c>
      <c r="I494" s="3">
        <v>0.12569444444444444</v>
      </c>
      <c r="J494" t="s">
        <v>38</v>
      </c>
      <c r="K494">
        <v>42</v>
      </c>
      <c r="L494" s="3">
        <v>8.4027777777777785E-2</v>
      </c>
      <c r="M494" t="s">
        <v>83</v>
      </c>
    </row>
    <row r="495" spans="1:14" x14ac:dyDescent="0.35">
      <c r="A495" t="s">
        <v>64</v>
      </c>
      <c r="B495" s="1">
        <v>45637</v>
      </c>
      <c r="C495" t="s">
        <v>75</v>
      </c>
      <c r="D495" t="s">
        <v>92</v>
      </c>
      <c r="E495" s="2">
        <v>41002</v>
      </c>
      <c r="F495" t="s">
        <v>16</v>
      </c>
      <c r="G495" t="s">
        <v>66</v>
      </c>
      <c r="H495" t="s">
        <v>118</v>
      </c>
      <c r="I495" s="3">
        <v>0.12569444444444444</v>
      </c>
      <c r="J495" t="s">
        <v>38</v>
      </c>
      <c r="K495">
        <v>11</v>
      </c>
      <c r="L495" s="3">
        <v>4.1666666666666664E-2</v>
      </c>
      <c r="M495" t="s">
        <v>83</v>
      </c>
    </row>
    <row r="496" spans="1:14" x14ac:dyDescent="0.35">
      <c r="A496" t="s">
        <v>14</v>
      </c>
      <c r="B496" s="1">
        <v>45637</v>
      </c>
      <c r="C496" t="s">
        <v>75</v>
      </c>
      <c r="D496" t="s">
        <v>92</v>
      </c>
      <c r="E496" s="2">
        <v>41003</v>
      </c>
      <c r="F496" t="s">
        <v>16</v>
      </c>
      <c r="G496" t="s">
        <v>112</v>
      </c>
      <c r="H496" t="s">
        <v>241</v>
      </c>
      <c r="I496" s="3">
        <v>0.20972222222222223</v>
      </c>
      <c r="J496" t="s">
        <v>19</v>
      </c>
      <c r="K496">
        <v>26</v>
      </c>
      <c r="L496" s="3">
        <v>4.1666666666666664E-2</v>
      </c>
      <c r="M496" t="s">
        <v>26</v>
      </c>
      <c r="N496" t="s">
        <v>201</v>
      </c>
    </row>
    <row r="497" spans="1:14" x14ac:dyDescent="0.35">
      <c r="A497" t="s">
        <v>14</v>
      </c>
      <c r="B497" s="1">
        <v>45637</v>
      </c>
      <c r="C497" t="s">
        <v>75</v>
      </c>
      <c r="D497" t="s">
        <v>92</v>
      </c>
      <c r="E497" s="2">
        <v>41003</v>
      </c>
      <c r="F497" t="s">
        <v>16</v>
      </c>
      <c r="G497" t="s">
        <v>112</v>
      </c>
      <c r="H497" t="s">
        <v>241</v>
      </c>
      <c r="I497" s="3">
        <v>0.20972222222222223</v>
      </c>
      <c r="J497" t="s">
        <v>19</v>
      </c>
      <c r="K497">
        <v>75</v>
      </c>
      <c r="L497" s="3">
        <v>0.12569444444444444</v>
      </c>
      <c r="M497" t="s">
        <v>39</v>
      </c>
    </row>
    <row r="498" spans="1:14" x14ac:dyDescent="0.35">
      <c r="A498" t="s">
        <v>64</v>
      </c>
      <c r="B498" s="1">
        <v>45637</v>
      </c>
      <c r="C498" t="s">
        <v>65</v>
      </c>
      <c r="D498">
        <v>32</v>
      </c>
      <c r="E498" s="2">
        <v>41006</v>
      </c>
      <c r="F498" t="s">
        <v>24</v>
      </c>
      <c r="G498" t="s">
        <v>66</v>
      </c>
      <c r="H498" t="s">
        <v>93</v>
      </c>
      <c r="I498" s="3">
        <v>4.4444444444444446E-2</v>
      </c>
      <c r="J498" t="s">
        <v>68</v>
      </c>
      <c r="K498">
        <v>86</v>
      </c>
      <c r="L498" s="3">
        <v>4.3749999999999997E-2</v>
      </c>
      <c r="M498" t="s">
        <v>83</v>
      </c>
    </row>
    <row r="499" spans="1:14" x14ac:dyDescent="0.35">
      <c r="A499" t="s">
        <v>64</v>
      </c>
      <c r="B499" s="1">
        <v>45637</v>
      </c>
      <c r="C499" t="s">
        <v>65</v>
      </c>
      <c r="D499">
        <v>32</v>
      </c>
      <c r="E499" s="2">
        <v>41006</v>
      </c>
      <c r="F499" t="s">
        <v>24</v>
      </c>
      <c r="G499" t="s">
        <v>66</v>
      </c>
      <c r="H499" t="s">
        <v>93</v>
      </c>
      <c r="I499" s="3">
        <v>4.4444444444444446E-2</v>
      </c>
      <c r="J499" t="s">
        <v>68</v>
      </c>
      <c r="K499">
        <v>39</v>
      </c>
      <c r="L499" s="3">
        <v>4.3055555555555555E-2</v>
      </c>
      <c r="M499" t="s">
        <v>31</v>
      </c>
      <c r="N499" t="s">
        <v>234</v>
      </c>
    </row>
    <row r="500" spans="1:14" x14ac:dyDescent="0.35">
      <c r="A500" t="s">
        <v>64</v>
      </c>
      <c r="B500" s="1">
        <v>45637</v>
      </c>
      <c r="C500" t="s">
        <v>65</v>
      </c>
      <c r="D500">
        <v>33</v>
      </c>
      <c r="E500" s="2">
        <v>41009</v>
      </c>
      <c r="F500" t="s">
        <v>16</v>
      </c>
      <c r="G500" t="s">
        <v>66</v>
      </c>
      <c r="H500" t="s">
        <v>117</v>
      </c>
      <c r="I500" s="3">
        <v>0.16666666666666666</v>
      </c>
      <c r="J500" t="s">
        <v>68</v>
      </c>
      <c r="K500">
        <v>44</v>
      </c>
      <c r="L500" s="3">
        <v>8.3333333333333329E-2</v>
      </c>
      <c r="M500" t="s">
        <v>31</v>
      </c>
      <c r="N500" t="s">
        <v>99</v>
      </c>
    </row>
    <row r="501" spans="1:14" x14ac:dyDescent="0.35">
      <c r="A501" t="s">
        <v>14</v>
      </c>
      <c r="B501" s="1">
        <v>45637</v>
      </c>
      <c r="C501" t="s">
        <v>65</v>
      </c>
      <c r="D501">
        <v>33</v>
      </c>
      <c r="E501" s="2">
        <v>41010</v>
      </c>
      <c r="F501" t="s">
        <v>24</v>
      </c>
      <c r="G501" t="s">
        <v>112</v>
      </c>
      <c r="H501" t="s">
        <v>119</v>
      </c>
      <c r="I501" s="3">
        <v>4.4444444444444446E-2</v>
      </c>
      <c r="J501" t="s">
        <v>19</v>
      </c>
      <c r="K501">
        <v>67</v>
      </c>
      <c r="L501" s="3">
        <v>4.3055555555555555E-2</v>
      </c>
      <c r="M501" t="s">
        <v>170</v>
      </c>
    </row>
    <row r="502" spans="1:14" x14ac:dyDescent="0.35">
      <c r="A502" t="s">
        <v>14</v>
      </c>
      <c r="B502" s="1">
        <v>45637</v>
      </c>
      <c r="C502" t="s">
        <v>65</v>
      </c>
      <c r="D502">
        <v>33</v>
      </c>
      <c r="E502" s="2">
        <v>41010</v>
      </c>
      <c r="F502" t="s">
        <v>24</v>
      </c>
      <c r="G502" t="s">
        <v>112</v>
      </c>
      <c r="H502" t="s">
        <v>119</v>
      </c>
      <c r="I502" s="3">
        <v>4.4444444444444446E-2</v>
      </c>
      <c r="J502" t="s">
        <v>19</v>
      </c>
      <c r="K502">
        <v>24</v>
      </c>
      <c r="L502" s="3">
        <v>6.9444444444444447E-4</v>
      </c>
      <c r="M502" t="s">
        <v>39</v>
      </c>
    </row>
    <row r="503" spans="1:14" x14ac:dyDescent="0.35">
      <c r="A503" t="s">
        <v>14</v>
      </c>
      <c r="B503" s="1">
        <v>45637</v>
      </c>
      <c r="C503" t="s">
        <v>65</v>
      </c>
      <c r="D503">
        <v>33</v>
      </c>
      <c r="E503" s="2">
        <v>41010</v>
      </c>
      <c r="F503" t="s">
        <v>24</v>
      </c>
      <c r="G503" t="s">
        <v>112</v>
      </c>
      <c r="H503" t="s">
        <v>119</v>
      </c>
      <c r="I503" s="3">
        <v>4.4444444444444446E-2</v>
      </c>
      <c r="J503" t="s">
        <v>19</v>
      </c>
      <c r="K503">
        <v>82</v>
      </c>
      <c r="L503" s="3">
        <v>4.3749999999999997E-2</v>
      </c>
      <c r="M503" t="s">
        <v>83</v>
      </c>
    </row>
    <row r="504" spans="1:14" x14ac:dyDescent="0.35">
      <c r="A504" t="s">
        <v>64</v>
      </c>
      <c r="B504" s="1">
        <v>45637</v>
      </c>
      <c r="C504" t="s">
        <v>65</v>
      </c>
      <c r="D504">
        <v>34</v>
      </c>
      <c r="E504" s="2">
        <v>41013</v>
      </c>
      <c r="F504" t="s">
        <v>24</v>
      </c>
      <c r="G504" t="s">
        <v>66</v>
      </c>
      <c r="H504" t="s">
        <v>127</v>
      </c>
      <c r="I504" s="3">
        <v>4.3055555555555555E-2</v>
      </c>
      <c r="J504" t="s">
        <v>68</v>
      </c>
      <c r="K504">
        <v>73</v>
      </c>
      <c r="L504" s="3">
        <v>4.3055555555555555E-2</v>
      </c>
      <c r="M504" t="s">
        <v>83</v>
      </c>
    </row>
    <row r="505" spans="1:14" x14ac:dyDescent="0.35">
      <c r="A505" t="s">
        <v>64</v>
      </c>
      <c r="B505" s="1">
        <v>45637</v>
      </c>
      <c r="C505" t="s">
        <v>65</v>
      </c>
      <c r="D505">
        <v>34</v>
      </c>
      <c r="E505" s="2">
        <v>41013</v>
      </c>
      <c r="F505" t="s">
        <v>24</v>
      </c>
      <c r="G505" t="s">
        <v>66</v>
      </c>
      <c r="H505" t="s">
        <v>127</v>
      </c>
      <c r="I505" s="3">
        <v>4.3055555555555555E-2</v>
      </c>
      <c r="J505" t="s">
        <v>68</v>
      </c>
      <c r="K505">
        <v>64</v>
      </c>
      <c r="L505" s="3">
        <v>4.2361111111111113E-2</v>
      </c>
      <c r="M505" t="s">
        <v>31</v>
      </c>
      <c r="N505" t="s">
        <v>234</v>
      </c>
    </row>
    <row r="506" spans="1:14" x14ac:dyDescent="0.35">
      <c r="A506" t="s">
        <v>14</v>
      </c>
      <c r="B506" s="1">
        <v>45637</v>
      </c>
      <c r="C506" t="s">
        <v>65</v>
      </c>
      <c r="D506">
        <v>34</v>
      </c>
      <c r="E506" s="2">
        <v>41013</v>
      </c>
      <c r="F506" t="s">
        <v>16</v>
      </c>
      <c r="G506" t="s">
        <v>112</v>
      </c>
      <c r="H506" t="s">
        <v>151</v>
      </c>
      <c r="I506" s="3">
        <v>0.12569444444444444</v>
      </c>
      <c r="J506" t="s">
        <v>19</v>
      </c>
      <c r="K506">
        <v>74</v>
      </c>
      <c r="L506" s="3">
        <v>8.4027777777777785E-2</v>
      </c>
      <c r="M506" t="s">
        <v>22</v>
      </c>
      <c r="N506" t="s">
        <v>207</v>
      </c>
    </row>
    <row r="507" spans="1:14" x14ac:dyDescent="0.35">
      <c r="A507" t="s">
        <v>14</v>
      </c>
      <c r="B507" s="1">
        <v>45637</v>
      </c>
      <c r="C507" t="s">
        <v>65</v>
      </c>
      <c r="D507">
        <v>35</v>
      </c>
      <c r="E507" s="2">
        <v>41020</v>
      </c>
      <c r="F507" t="s">
        <v>24</v>
      </c>
      <c r="G507" t="s">
        <v>112</v>
      </c>
      <c r="H507" t="s">
        <v>66</v>
      </c>
      <c r="I507" s="3">
        <v>4.3055555555555555E-2</v>
      </c>
      <c r="J507" t="s">
        <v>19</v>
      </c>
      <c r="K507">
        <v>73</v>
      </c>
      <c r="L507" s="3">
        <v>4.3055555555555555E-2</v>
      </c>
      <c r="M507" t="s">
        <v>26</v>
      </c>
      <c r="N507" t="s">
        <v>204</v>
      </c>
    </row>
    <row r="508" spans="1:14" x14ac:dyDescent="0.35">
      <c r="A508" t="s">
        <v>14</v>
      </c>
      <c r="B508" s="1">
        <v>45637</v>
      </c>
      <c r="C508" t="s">
        <v>75</v>
      </c>
      <c r="D508" t="s">
        <v>62</v>
      </c>
      <c r="E508" s="2">
        <v>41024</v>
      </c>
      <c r="F508" t="s">
        <v>16</v>
      </c>
      <c r="G508" t="s">
        <v>112</v>
      </c>
      <c r="H508" t="s">
        <v>168</v>
      </c>
      <c r="I508" t="s">
        <v>242</v>
      </c>
      <c r="J508" t="s">
        <v>19</v>
      </c>
      <c r="K508">
        <v>6</v>
      </c>
      <c r="L508" s="3">
        <v>4.1666666666666664E-2</v>
      </c>
      <c r="M508" t="s">
        <v>83</v>
      </c>
    </row>
    <row r="509" spans="1:14" x14ac:dyDescent="0.35">
      <c r="A509" t="s">
        <v>14</v>
      </c>
      <c r="B509" s="1">
        <v>45637</v>
      </c>
      <c r="C509" t="s">
        <v>75</v>
      </c>
      <c r="D509" t="s">
        <v>62</v>
      </c>
      <c r="E509" s="2">
        <v>41024</v>
      </c>
      <c r="F509" t="s">
        <v>16</v>
      </c>
      <c r="G509" t="s">
        <v>112</v>
      </c>
      <c r="H509" t="s">
        <v>168</v>
      </c>
      <c r="I509" t="s">
        <v>242</v>
      </c>
      <c r="J509" t="s">
        <v>19</v>
      </c>
      <c r="K509">
        <v>14</v>
      </c>
      <c r="L509" s="3">
        <v>8.3333333333333329E-2</v>
      </c>
      <c r="M509" t="s">
        <v>26</v>
      </c>
      <c r="N509" t="s">
        <v>204</v>
      </c>
    </row>
    <row r="510" spans="1:14" x14ac:dyDescent="0.35">
      <c r="A510" t="s">
        <v>64</v>
      </c>
      <c r="B510" s="1">
        <v>45637</v>
      </c>
      <c r="C510" t="s">
        <v>65</v>
      </c>
      <c r="D510">
        <v>36</v>
      </c>
      <c r="E510" s="2">
        <v>41028</v>
      </c>
      <c r="F510" t="s">
        <v>24</v>
      </c>
      <c r="G510" t="s">
        <v>66</v>
      </c>
      <c r="H510" t="s">
        <v>225</v>
      </c>
      <c r="I510" s="3">
        <v>4.8611111111111112E-3</v>
      </c>
      <c r="J510" t="s">
        <v>68</v>
      </c>
      <c r="K510">
        <v>16</v>
      </c>
      <c r="L510" s="3">
        <v>6.9444444444444447E-4</v>
      </c>
      <c r="M510" t="s">
        <v>31</v>
      </c>
      <c r="N510" t="s">
        <v>186</v>
      </c>
    </row>
    <row r="511" spans="1:14" x14ac:dyDescent="0.35">
      <c r="A511" t="s">
        <v>64</v>
      </c>
      <c r="B511" s="1">
        <v>45637</v>
      </c>
      <c r="C511" t="s">
        <v>65</v>
      </c>
      <c r="D511">
        <v>36</v>
      </c>
      <c r="E511" s="2">
        <v>41028</v>
      </c>
      <c r="F511" t="s">
        <v>24</v>
      </c>
      <c r="G511" t="s">
        <v>66</v>
      </c>
      <c r="H511" t="s">
        <v>225</v>
      </c>
      <c r="I511" s="3">
        <v>4.8611111111111112E-3</v>
      </c>
      <c r="J511" t="s">
        <v>68</v>
      </c>
      <c r="K511">
        <v>88</v>
      </c>
      <c r="L511" s="3">
        <v>4.8611111111111112E-3</v>
      </c>
      <c r="M511" t="s">
        <v>31</v>
      </c>
      <c r="N511" t="s">
        <v>186</v>
      </c>
    </row>
    <row r="512" spans="1:14" x14ac:dyDescent="0.35">
      <c r="A512" t="s">
        <v>14</v>
      </c>
      <c r="B512" s="1">
        <v>45637</v>
      </c>
      <c r="C512" t="s">
        <v>65</v>
      </c>
      <c r="D512">
        <v>36</v>
      </c>
      <c r="E512" s="2">
        <v>41028</v>
      </c>
      <c r="F512" t="s">
        <v>16</v>
      </c>
      <c r="G512" t="s">
        <v>112</v>
      </c>
      <c r="H512" t="s">
        <v>105</v>
      </c>
      <c r="I512" s="3">
        <v>0.125</v>
      </c>
      <c r="J512" t="s">
        <v>19</v>
      </c>
      <c r="K512">
        <v>19</v>
      </c>
      <c r="L512" s="3">
        <v>4.1666666666666664E-2</v>
      </c>
      <c r="M512" t="s">
        <v>26</v>
      </c>
      <c r="N512" t="s">
        <v>183</v>
      </c>
    </row>
    <row r="513" spans="1:14" x14ac:dyDescent="0.35">
      <c r="A513" t="s">
        <v>14</v>
      </c>
      <c r="B513" s="1">
        <v>45637</v>
      </c>
      <c r="C513" t="s">
        <v>65</v>
      </c>
      <c r="D513">
        <v>20</v>
      </c>
      <c r="E513" s="2">
        <v>41031</v>
      </c>
      <c r="F513" t="s">
        <v>24</v>
      </c>
      <c r="G513" t="s">
        <v>112</v>
      </c>
      <c r="H513" t="s">
        <v>86</v>
      </c>
      <c r="I513" s="3">
        <v>2.0833333333333333E-3</v>
      </c>
      <c r="J513" t="s">
        <v>19</v>
      </c>
      <c r="K513">
        <v>49</v>
      </c>
      <c r="L513" s="3">
        <v>2.0833333333333333E-3</v>
      </c>
      <c r="M513" t="s">
        <v>22</v>
      </c>
      <c r="N513" t="s">
        <v>205</v>
      </c>
    </row>
    <row r="514" spans="1:14" x14ac:dyDescent="0.35">
      <c r="A514" t="s">
        <v>64</v>
      </c>
      <c r="B514" s="1">
        <v>45637</v>
      </c>
      <c r="C514" t="s">
        <v>65</v>
      </c>
      <c r="D514">
        <v>20</v>
      </c>
      <c r="E514" s="2">
        <v>41031</v>
      </c>
      <c r="F514" t="s">
        <v>16</v>
      </c>
      <c r="G514" t="s">
        <v>66</v>
      </c>
      <c r="H514" t="s">
        <v>157</v>
      </c>
      <c r="I514" s="3">
        <v>0.1673611111111111</v>
      </c>
      <c r="J514" t="s">
        <v>68</v>
      </c>
      <c r="K514">
        <v>34</v>
      </c>
      <c r="L514" s="3">
        <v>8.4027777777777785E-2</v>
      </c>
      <c r="M514" t="s">
        <v>83</v>
      </c>
    </row>
    <row r="515" spans="1:14" x14ac:dyDescent="0.35">
      <c r="A515" t="s">
        <v>64</v>
      </c>
      <c r="B515" s="1">
        <v>45637</v>
      </c>
      <c r="C515" t="s">
        <v>65</v>
      </c>
      <c r="D515">
        <v>20</v>
      </c>
      <c r="E515" s="2">
        <v>41031</v>
      </c>
      <c r="F515" t="s">
        <v>16</v>
      </c>
      <c r="G515" t="s">
        <v>66</v>
      </c>
      <c r="H515" t="s">
        <v>157</v>
      </c>
      <c r="I515" s="3">
        <v>0.1673611111111111</v>
      </c>
      <c r="J515" t="s">
        <v>68</v>
      </c>
      <c r="K515">
        <v>60</v>
      </c>
      <c r="L515" s="3">
        <v>0.12569444444444444</v>
      </c>
      <c r="M515" t="s">
        <v>83</v>
      </c>
    </row>
    <row r="516" spans="1:14" x14ac:dyDescent="0.35">
      <c r="A516" t="s">
        <v>64</v>
      </c>
      <c r="B516" s="1">
        <v>45637</v>
      </c>
      <c r="C516" t="s">
        <v>65</v>
      </c>
      <c r="D516">
        <v>20</v>
      </c>
      <c r="E516" s="2">
        <v>41031</v>
      </c>
      <c r="F516" t="s">
        <v>16</v>
      </c>
      <c r="G516" t="s">
        <v>66</v>
      </c>
      <c r="H516" t="s">
        <v>157</v>
      </c>
      <c r="I516" s="3">
        <v>0.1673611111111111</v>
      </c>
      <c r="J516" t="s">
        <v>68</v>
      </c>
      <c r="K516">
        <v>63</v>
      </c>
      <c r="L516" s="3">
        <v>0.1673611111111111</v>
      </c>
      <c r="M516" t="s">
        <v>31</v>
      </c>
      <c r="N516" t="s">
        <v>99</v>
      </c>
    </row>
    <row r="517" spans="1:14" x14ac:dyDescent="0.35">
      <c r="A517" t="s">
        <v>64</v>
      </c>
      <c r="B517" s="1">
        <v>45637</v>
      </c>
      <c r="C517" t="s">
        <v>65</v>
      </c>
      <c r="D517">
        <v>37</v>
      </c>
      <c r="E517" s="2">
        <v>41034</v>
      </c>
      <c r="F517" t="s">
        <v>16</v>
      </c>
      <c r="G517" t="s">
        <v>66</v>
      </c>
      <c r="H517" t="s">
        <v>121</v>
      </c>
      <c r="I517" s="3">
        <v>0.16666666666666666</v>
      </c>
      <c r="J517" t="s">
        <v>68</v>
      </c>
      <c r="K517">
        <v>11</v>
      </c>
      <c r="L517" s="3">
        <v>4.1666666666666664E-2</v>
      </c>
      <c r="M517" t="s">
        <v>39</v>
      </c>
    </row>
    <row r="518" spans="1:14" x14ac:dyDescent="0.35">
      <c r="A518" t="s">
        <v>14</v>
      </c>
      <c r="B518" s="1">
        <v>45637</v>
      </c>
      <c r="C518" t="s">
        <v>65</v>
      </c>
      <c r="D518">
        <v>37</v>
      </c>
      <c r="E518" s="2">
        <v>41034</v>
      </c>
      <c r="F518" t="s">
        <v>24</v>
      </c>
      <c r="G518" t="s">
        <v>112</v>
      </c>
      <c r="H518" t="s">
        <v>233</v>
      </c>
      <c r="I518" s="3">
        <v>4.3055555555555555E-2</v>
      </c>
      <c r="J518" t="s">
        <v>19</v>
      </c>
      <c r="K518">
        <v>81</v>
      </c>
      <c r="L518" s="3">
        <v>4.2361111111111113E-2</v>
      </c>
      <c r="M518" t="s">
        <v>83</v>
      </c>
    </row>
    <row r="519" spans="1:14" x14ac:dyDescent="0.35">
      <c r="A519" t="s">
        <v>64</v>
      </c>
      <c r="B519" s="1">
        <v>45637</v>
      </c>
      <c r="C519" t="s">
        <v>65</v>
      </c>
      <c r="D519">
        <v>37</v>
      </c>
      <c r="E519" s="2">
        <v>41034</v>
      </c>
      <c r="F519" t="s">
        <v>16</v>
      </c>
      <c r="G519" t="s">
        <v>66</v>
      </c>
      <c r="H519" t="s">
        <v>121</v>
      </c>
      <c r="I519" s="3">
        <v>0.16666666666666666</v>
      </c>
      <c r="J519" t="s">
        <v>68</v>
      </c>
      <c r="K519">
        <v>78</v>
      </c>
      <c r="L519" s="3">
        <v>0.16666666666666666</v>
      </c>
      <c r="M519" t="s">
        <v>83</v>
      </c>
    </row>
    <row r="520" spans="1:14" x14ac:dyDescent="0.35">
      <c r="A520" t="s">
        <v>64</v>
      </c>
      <c r="B520" s="1">
        <v>45637</v>
      </c>
      <c r="C520" t="s">
        <v>65</v>
      </c>
      <c r="D520">
        <v>37</v>
      </c>
      <c r="E520" s="2">
        <v>41034</v>
      </c>
      <c r="F520" t="s">
        <v>16</v>
      </c>
      <c r="G520" t="s">
        <v>66</v>
      </c>
      <c r="H520" t="s">
        <v>121</v>
      </c>
      <c r="I520" s="3">
        <v>0.16666666666666666</v>
      </c>
      <c r="J520" t="s">
        <v>68</v>
      </c>
      <c r="K520">
        <v>73</v>
      </c>
      <c r="L520" s="3">
        <v>0.125</v>
      </c>
      <c r="M520" t="s">
        <v>31</v>
      </c>
      <c r="N520" t="s">
        <v>215</v>
      </c>
    </row>
    <row r="521" spans="1:14" x14ac:dyDescent="0.35">
      <c r="A521" t="s">
        <v>64</v>
      </c>
      <c r="B521" s="1">
        <v>45637</v>
      </c>
      <c r="C521" t="s">
        <v>65</v>
      </c>
      <c r="D521">
        <v>37</v>
      </c>
      <c r="E521" s="2">
        <v>41034</v>
      </c>
      <c r="F521" t="s">
        <v>16</v>
      </c>
      <c r="G521" t="s">
        <v>66</v>
      </c>
      <c r="H521" t="s">
        <v>121</v>
      </c>
      <c r="I521" s="3">
        <v>0.16666666666666666</v>
      </c>
      <c r="J521" t="s">
        <v>68</v>
      </c>
      <c r="K521">
        <v>63</v>
      </c>
      <c r="L521" s="3">
        <v>8.3333333333333329E-2</v>
      </c>
      <c r="M521" t="s">
        <v>83</v>
      </c>
    </row>
    <row r="522" spans="1:14" x14ac:dyDescent="0.35">
      <c r="A522" t="s">
        <v>14</v>
      </c>
      <c r="B522" s="1">
        <v>45637</v>
      </c>
      <c r="C522" t="s">
        <v>65</v>
      </c>
      <c r="D522">
        <v>38</v>
      </c>
      <c r="E522" s="2">
        <v>41042</v>
      </c>
      <c r="F522" t="s">
        <v>16</v>
      </c>
      <c r="G522" t="s">
        <v>112</v>
      </c>
      <c r="H522" t="s">
        <v>89</v>
      </c>
      <c r="I522" s="3">
        <v>0.1673611111111111</v>
      </c>
      <c r="J522" t="s">
        <v>19</v>
      </c>
      <c r="K522">
        <v>18</v>
      </c>
      <c r="L522" s="3">
        <v>4.1666666666666664E-2</v>
      </c>
      <c r="M522" t="s">
        <v>22</v>
      </c>
      <c r="N522" t="s">
        <v>201</v>
      </c>
    </row>
    <row r="523" spans="1:14" x14ac:dyDescent="0.35">
      <c r="A523" t="s">
        <v>64</v>
      </c>
      <c r="B523" s="1">
        <v>45637</v>
      </c>
      <c r="C523" t="s">
        <v>91</v>
      </c>
      <c r="D523" t="s">
        <v>46</v>
      </c>
      <c r="E523" s="2">
        <v>41054</v>
      </c>
      <c r="F523" t="s">
        <v>16</v>
      </c>
      <c r="G523" t="s">
        <v>66</v>
      </c>
      <c r="H523" t="s">
        <v>86</v>
      </c>
      <c r="I523" s="3">
        <v>0.125</v>
      </c>
      <c r="J523" t="s">
        <v>68</v>
      </c>
      <c r="K523">
        <v>20</v>
      </c>
      <c r="L523" s="3">
        <v>8.3333333333333329E-2</v>
      </c>
      <c r="M523" t="s">
        <v>26</v>
      </c>
      <c r="N523" t="s">
        <v>99</v>
      </c>
    </row>
    <row r="524" spans="1:14" x14ac:dyDescent="0.35">
      <c r="A524" t="s">
        <v>64</v>
      </c>
      <c r="B524" s="4">
        <v>41609</v>
      </c>
      <c r="C524" t="s">
        <v>65</v>
      </c>
      <c r="D524">
        <v>1</v>
      </c>
      <c r="E524" s="2">
        <v>41140</v>
      </c>
      <c r="F524" t="s">
        <v>16</v>
      </c>
      <c r="G524" t="s">
        <v>66</v>
      </c>
      <c r="H524" t="s">
        <v>217</v>
      </c>
      <c r="I524" s="3">
        <v>0.20902777777777778</v>
      </c>
      <c r="J524" t="s">
        <v>68</v>
      </c>
      <c r="K524">
        <v>10</v>
      </c>
      <c r="L524" s="3">
        <v>8.4027777777777785E-2</v>
      </c>
      <c r="M524" t="s">
        <v>31</v>
      </c>
      <c r="N524" t="s">
        <v>186</v>
      </c>
    </row>
    <row r="525" spans="1:14" x14ac:dyDescent="0.35">
      <c r="A525" t="s">
        <v>64</v>
      </c>
      <c r="B525" s="4">
        <v>41609</v>
      </c>
      <c r="C525" t="s">
        <v>65</v>
      </c>
      <c r="D525">
        <v>1</v>
      </c>
      <c r="E525" s="2">
        <v>41140</v>
      </c>
      <c r="F525" t="s">
        <v>16</v>
      </c>
      <c r="G525" t="s">
        <v>66</v>
      </c>
      <c r="H525" t="s">
        <v>217</v>
      </c>
      <c r="I525" s="3">
        <v>0.20902777777777778</v>
      </c>
      <c r="J525" t="s">
        <v>68</v>
      </c>
      <c r="K525">
        <v>15</v>
      </c>
      <c r="L525" s="3">
        <v>0.12569444444444444</v>
      </c>
      <c r="M525" t="s">
        <v>31</v>
      </c>
      <c r="N525" t="s">
        <v>237</v>
      </c>
    </row>
    <row r="526" spans="1:14" x14ac:dyDescent="0.35">
      <c r="A526" t="s">
        <v>64</v>
      </c>
      <c r="B526" s="4">
        <v>41609</v>
      </c>
      <c r="C526" t="s">
        <v>172</v>
      </c>
      <c r="D526" t="s">
        <v>173</v>
      </c>
      <c r="E526" s="2">
        <v>41144</v>
      </c>
      <c r="F526" t="s">
        <v>16</v>
      </c>
      <c r="G526" t="s">
        <v>66</v>
      </c>
      <c r="H526" t="s">
        <v>112</v>
      </c>
      <c r="I526" s="3">
        <v>0.12638888888888888</v>
      </c>
      <c r="J526" t="s">
        <v>68</v>
      </c>
      <c r="K526">
        <v>60</v>
      </c>
      <c r="L526" s="3">
        <v>8.4027777777777785E-2</v>
      </c>
      <c r="M526" t="s">
        <v>83</v>
      </c>
    </row>
    <row r="527" spans="1:14" x14ac:dyDescent="0.35">
      <c r="A527" t="s">
        <v>14</v>
      </c>
      <c r="B527" s="4">
        <v>41609</v>
      </c>
      <c r="C527" t="s">
        <v>172</v>
      </c>
      <c r="D527" t="s">
        <v>173</v>
      </c>
      <c r="E527" s="2">
        <v>41144</v>
      </c>
      <c r="F527" t="s">
        <v>24</v>
      </c>
      <c r="G527" t="s">
        <v>112</v>
      </c>
      <c r="H527" t="s">
        <v>66</v>
      </c>
      <c r="I527" s="3">
        <v>0.12638888888888888</v>
      </c>
      <c r="J527" t="s">
        <v>19</v>
      </c>
      <c r="K527">
        <v>55</v>
      </c>
      <c r="L527" s="3">
        <v>6.9444444444444447E-4</v>
      </c>
      <c r="M527" t="s">
        <v>22</v>
      </c>
      <c r="N527" t="s">
        <v>204</v>
      </c>
    </row>
    <row r="528" spans="1:14" x14ac:dyDescent="0.35">
      <c r="A528" t="s">
        <v>64</v>
      </c>
      <c r="B528" s="4">
        <v>41609</v>
      </c>
      <c r="C528" t="s">
        <v>65</v>
      </c>
      <c r="D528">
        <v>2</v>
      </c>
      <c r="E528" s="2">
        <v>41147</v>
      </c>
      <c r="F528" t="s">
        <v>24</v>
      </c>
      <c r="G528" t="s">
        <v>66</v>
      </c>
      <c r="H528" t="s">
        <v>100</v>
      </c>
      <c r="I528" s="3">
        <v>4.3055555555555555E-2</v>
      </c>
      <c r="J528" t="s">
        <v>68</v>
      </c>
      <c r="K528">
        <v>74</v>
      </c>
      <c r="L528" s="3">
        <v>4.2361111111111113E-2</v>
      </c>
      <c r="M528" t="s">
        <v>31</v>
      </c>
      <c r="N528" t="s">
        <v>234</v>
      </c>
    </row>
    <row r="529" spans="1:14" x14ac:dyDescent="0.35">
      <c r="A529" t="s">
        <v>64</v>
      </c>
      <c r="B529" s="4">
        <v>41609</v>
      </c>
      <c r="C529" t="s">
        <v>65</v>
      </c>
      <c r="D529">
        <v>2</v>
      </c>
      <c r="E529" s="2">
        <v>41147</v>
      </c>
      <c r="F529" t="s">
        <v>24</v>
      </c>
      <c r="G529" t="s">
        <v>66</v>
      </c>
      <c r="H529" t="s">
        <v>100</v>
      </c>
      <c r="I529" s="3">
        <v>4.3055555555555555E-2</v>
      </c>
      <c r="J529" t="s">
        <v>68</v>
      </c>
      <c r="K529">
        <v>79</v>
      </c>
      <c r="L529" s="3">
        <v>4.3055555555555555E-2</v>
      </c>
      <c r="M529" t="s">
        <v>31</v>
      </c>
      <c r="N529" t="s">
        <v>243</v>
      </c>
    </row>
    <row r="530" spans="1:14" x14ac:dyDescent="0.35">
      <c r="A530" t="s">
        <v>14</v>
      </c>
      <c r="B530" s="4">
        <v>41609</v>
      </c>
      <c r="C530" t="s">
        <v>172</v>
      </c>
      <c r="D530" t="s">
        <v>173</v>
      </c>
      <c r="E530" s="2">
        <v>41150</v>
      </c>
      <c r="F530" t="s">
        <v>16</v>
      </c>
      <c r="G530" t="s">
        <v>112</v>
      </c>
      <c r="H530" t="s">
        <v>66</v>
      </c>
      <c r="I530" s="3">
        <v>8.4027777777777785E-2</v>
      </c>
      <c r="J530" t="s">
        <v>19</v>
      </c>
      <c r="K530">
        <v>19</v>
      </c>
      <c r="L530" s="3">
        <v>8.3333333333333329E-2</v>
      </c>
      <c r="M530" t="s">
        <v>26</v>
      </c>
      <c r="N530" t="s">
        <v>219</v>
      </c>
    </row>
    <row r="531" spans="1:14" x14ac:dyDescent="0.35">
      <c r="A531" t="s">
        <v>64</v>
      </c>
      <c r="B531" s="4">
        <v>41609</v>
      </c>
      <c r="C531" t="s">
        <v>172</v>
      </c>
      <c r="D531" t="s">
        <v>173</v>
      </c>
      <c r="E531" s="2">
        <v>41150</v>
      </c>
      <c r="F531" t="s">
        <v>24</v>
      </c>
      <c r="G531" t="s">
        <v>66</v>
      </c>
      <c r="H531" t="s">
        <v>112</v>
      </c>
      <c r="I531" s="3">
        <v>8.4027777777777785E-2</v>
      </c>
      <c r="J531" t="s">
        <v>68</v>
      </c>
      <c r="K531">
        <v>45</v>
      </c>
      <c r="L531" s="3">
        <v>8.4027777777777785E-2</v>
      </c>
      <c r="M531" t="s">
        <v>39</v>
      </c>
    </row>
    <row r="532" spans="1:14" x14ac:dyDescent="0.35">
      <c r="A532" t="s">
        <v>14</v>
      </c>
      <c r="B532" s="4">
        <v>41609</v>
      </c>
      <c r="C532" t="s">
        <v>65</v>
      </c>
      <c r="D532">
        <v>3</v>
      </c>
      <c r="E532" s="2">
        <v>41154</v>
      </c>
      <c r="F532" t="s">
        <v>16</v>
      </c>
      <c r="G532" t="s">
        <v>112</v>
      </c>
      <c r="H532" t="s">
        <v>233</v>
      </c>
      <c r="I532" s="3">
        <v>0.125</v>
      </c>
      <c r="J532" t="s">
        <v>19</v>
      </c>
      <c r="K532">
        <v>25</v>
      </c>
      <c r="L532" s="3">
        <v>4.1666666666666664E-2</v>
      </c>
      <c r="M532" t="s">
        <v>26</v>
      </c>
      <c r="N532" t="s">
        <v>244</v>
      </c>
    </row>
    <row r="533" spans="1:14" x14ac:dyDescent="0.35">
      <c r="A533" t="s">
        <v>14</v>
      </c>
      <c r="B533" s="4">
        <v>41609</v>
      </c>
      <c r="C533" t="s">
        <v>65</v>
      </c>
      <c r="D533">
        <v>3</v>
      </c>
      <c r="E533" s="2">
        <v>41154</v>
      </c>
      <c r="F533" t="s">
        <v>16</v>
      </c>
      <c r="G533" t="s">
        <v>112</v>
      </c>
      <c r="H533" t="s">
        <v>233</v>
      </c>
      <c r="I533" s="3">
        <v>0.125</v>
      </c>
      <c r="J533" t="s">
        <v>19</v>
      </c>
      <c r="K533">
        <v>53</v>
      </c>
      <c r="L533" s="3">
        <v>8.3333333333333329E-2</v>
      </c>
      <c r="M533" t="s">
        <v>31</v>
      </c>
    </row>
    <row r="534" spans="1:14" x14ac:dyDescent="0.35">
      <c r="A534" t="s">
        <v>64</v>
      </c>
      <c r="B534" s="4">
        <v>41609</v>
      </c>
      <c r="C534" t="s">
        <v>65</v>
      </c>
      <c r="D534">
        <v>4</v>
      </c>
      <c r="E534" s="2">
        <v>41167</v>
      </c>
      <c r="F534" t="s">
        <v>24</v>
      </c>
      <c r="G534" t="s">
        <v>66</v>
      </c>
      <c r="H534" t="s">
        <v>117</v>
      </c>
      <c r="I534" s="3">
        <v>4.4444444444444446E-2</v>
      </c>
      <c r="J534" t="s">
        <v>68</v>
      </c>
      <c r="K534">
        <v>78</v>
      </c>
      <c r="L534" s="3">
        <v>2.0833333333333333E-3</v>
      </c>
      <c r="M534" t="s">
        <v>31</v>
      </c>
      <c r="N534" t="s">
        <v>186</v>
      </c>
    </row>
    <row r="535" spans="1:14" x14ac:dyDescent="0.35">
      <c r="A535" t="s">
        <v>64</v>
      </c>
      <c r="B535" s="4">
        <v>41609</v>
      </c>
      <c r="C535" t="s">
        <v>65</v>
      </c>
      <c r="D535">
        <v>4</v>
      </c>
      <c r="E535" s="2">
        <v>41167</v>
      </c>
      <c r="F535" t="s">
        <v>24</v>
      </c>
      <c r="G535" t="s">
        <v>66</v>
      </c>
      <c r="H535" t="s">
        <v>117</v>
      </c>
      <c r="I535" s="3">
        <v>4.4444444444444446E-2</v>
      </c>
      <c r="J535" t="s">
        <v>68</v>
      </c>
      <c r="K535">
        <v>74</v>
      </c>
      <c r="L535" s="3">
        <v>1.3888888888888889E-3</v>
      </c>
      <c r="M535" t="s">
        <v>83</v>
      </c>
    </row>
    <row r="536" spans="1:14" x14ac:dyDescent="0.35">
      <c r="A536" t="s">
        <v>14</v>
      </c>
      <c r="B536" s="4">
        <v>41609</v>
      </c>
      <c r="C536" t="s">
        <v>75</v>
      </c>
      <c r="D536" t="s">
        <v>76</v>
      </c>
      <c r="E536" s="2">
        <v>41170</v>
      </c>
      <c r="F536" t="s">
        <v>16</v>
      </c>
      <c r="G536" t="s">
        <v>112</v>
      </c>
      <c r="H536" t="s">
        <v>41</v>
      </c>
      <c r="I536" s="3">
        <v>0.12638888888888888</v>
      </c>
      <c r="J536" t="s">
        <v>19</v>
      </c>
      <c r="K536">
        <v>90</v>
      </c>
      <c r="L536" s="3">
        <v>0.12638888888888888</v>
      </c>
      <c r="M536" t="s">
        <v>26</v>
      </c>
      <c r="N536" t="s">
        <v>201</v>
      </c>
    </row>
    <row r="537" spans="1:14" x14ac:dyDescent="0.35">
      <c r="A537" t="s">
        <v>64</v>
      </c>
      <c r="B537" s="4">
        <v>41609</v>
      </c>
      <c r="C537" t="s">
        <v>75</v>
      </c>
      <c r="D537" t="s">
        <v>76</v>
      </c>
      <c r="E537" s="2">
        <v>41171</v>
      </c>
      <c r="F537" t="s">
        <v>16</v>
      </c>
      <c r="G537" t="s">
        <v>66</v>
      </c>
      <c r="H537" t="s">
        <v>245</v>
      </c>
      <c r="I537" s="3">
        <v>0.12638888888888888</v>
      </c>
      <c r="J537" t="s">
        <v>68</v>
      </c>
      <c r="K537">
        <v>71</v>
      </c>
      <c r="L537" s="3">
        <v>8.4722222222222227E-2</v>
      </c>
      <c r="M537" t="s">
        <v>31</v>
      </c>
      <c r="N537" t="s">
        <v>237</v>
      </c>
    </row>
    <row r="538" spans="1:14" x14ac:dyDescent="0.35">
      <c r="A538" t="s">
        <v>64</v>
      </c>
      <c r="B538" s="4">
        <v>41609</v>
      </c>
      <c r="C538" t="s">
        <v>75</v>
      </c>
      <c r="D538" t="s">
        <v>76</v>
      </c>
      <c r="E538" s="2">
        <v>41171</v>
      </c>
      <c r="F538" t="s">
        <v>16</v>
      </c>
      <c r="G538" t="s">
        <v>66</v>
      </c>
      <c r="H538" t="s">
        <v>245</v>
      </c>
      <c r="I538" s="3">
        <v>0.12638888888888888</v>
      </c>
      <c r="J538" t="s">
        <v>68</v>
      </c>
      <c r="K538">
        <v>80</v>
      </c>
      <c r="L538" s="3">
        <v>0.12638888888888888</v>
      </c>
      <c r="M538" t="s">
        <v>22</v>
      </c>
      <c r="N538" t="s">
        <v>234</v>
      </c>
    </row>
    <row r="539" spans="1:14" x14ac:dyDescent="0.35">
      <c r="A539" t="s">
        <v>14</v>
      </c>
      <c r="B539" s="4">
        <v>41609</v>
      </c>
      <c r="C539" t="s">
        <v>65</v>
      </c>
      <c r="D539">
        <v>5</v>
      </c>
      <c r="E539" s="2">
        <v>41176</v>
      </c>
      <c r="F539" t="s">
        <v>24</v>
      </c>
      <c r="G539" t="s">
        <v>112</v>
      </c>
      <c r="H539" t="s">
        <v>225</v>
      </c>
      <c r="I539" s="3">
        <v>1.3888888888888889E-3</v>
      </c>
      <c r="J539" t="s">
        <v>19</v>
      </c>
      <c r="K539">
        <v>69</v>
      </c>
      <c r="L539" s="3">
        <v>1.3888888888888889E-3</v>
      </c>
      <c r="M539" t="s">
        <v>83</v>
      </c>
    </row>
    <row r="540" spans="1:14" x14ac:dyDescent="0.35">
      <c r="A540" t="s">
        <v>14</v>
      </c>
      <c r="B540" s="4">
        <v>41609</v>
      </c>
      <c r="C540" t="s">
        <v>65</v>
      </c>
      <c r="D540">
        <v>6</v>
      </c>
      <c r="E540" s="2">
        <v>41182</v>
      </c>
      <c r="F540" t="s">
        <v>16</v>
      </c>
      <c r="G540" t="s">
        <v>112</v>
      </c>
      <c r="H540" t="s">
        <v>175</v>
      </c>
      <c r="I540" s="3">
        <v>0.20902777777777778</v>
      </c>
      <c r="J540" t="s">
        <v>19</v>
      </c>
      <c r="K540">
        <v>23</v>
      </c>
      <c r="L540" s="3">
        <v>4.2361111111111113E-2</v>
      </c>
      <c r="M540" t="s">
        <v>83</v>
      </c>
    </row>
    <row r="541" spans="1:14" x14ac:dyDescent="0.35">
      <c r="A541" t="s">
        <v>14</v>
      </c>
      <c r="B541" s="4">
        <v>41609</v>
      </c>
      <c r="C541" t="s">
        <v>65</v>
      </c>
      <c r="D541">
        <v>6</v>
      </c>
      <c r="E541" s="2">
        <v>41182</v>
      </c>
      <c r="F541" t="s">
        <v>16</v>
      </c>
      <c r="G541" t="s">
        <v>112</v>
      </c>
      <c r="H541" t="s">
        <v>175</v>
      </c>
      <c r="I541" s="3">
        <v>0.20902777777777778</v>
      </c>
      <c r="J541" t="s">
        <v>19</v>
      </c>
      <c r="K541">
        <v>84</v>
      </c>
      <c r="L541" s="3">
        <v>0.20902777777777778</v>
      </c>
      <c r="M541" t="s">
        <v>83</v>
      </c>
    </row>
    <row r="542" spans="1:14" x14ac:dyDescent="0.35">
      <c r="A542" t="s">
        <v>14</v>
      </c>
      <c r="B542" s="4">
        <v>41609</v>
      </c>
      <c r="C542" t="s">
        <v>65</v>
      </c>
      <c r="D542">
        <v>6</v>
      </c>
      <c r="E542" s="2">
        <v>41182</v>
      </c>
      <c r="F542" t="s">
        <v>16</v>
      </c>
      <c r="G542" t="s">
        <v>112</v>
      </c>
      <c r="H542" t="s">
        <v>175</v>
      </c>
      <c r="I542" s="3">
        <v>0.20902777777777778</v>
      </c>
      <c r="J542" t="s">
        <v>19</v>
      </c>
      <c r="K542">
        <v>44</v>
      </c>
      <c r="L542" s="3">
        <v>0.12569444444444444</v>
      </c>
      <c r="M542" t="s">
        <v>22</v>
      </c>
      <c r="N542" t="s">
        <v>202</v>
      </c>
    </row>
    <row r="543" spans="1:14" x14ac:dyDescent="0.35">
      <c r="A543" t="s">
        <v>14</v>
      </c>
      <c r="B543" s="4">
        <v>41609</v>
      </c>
      <c r="C543" t="s">
        <v>75</v>
      </c>
      <c r="D543" t="s">
        <v>76</v>
      </c>
      <c r="E543" s="2">
        <v>41185</v>
      </c>
      <c r="F543" t="s">
        <v>24</v>
      </c>
      <c r="G543" t="s">
        <v>112</v>
      </c>
      <c r="H543" t="s">
        <v>214</v>
      </c>
      <c r="I543" s="3">
        <v>4.4444444444444446E-2</v>
      </c>
      <c r="J543" t="s">
        <v>19</v>
      </c>
      <c r="K543">
        <v>42</v>
      </c>
      <c r="L543" s="3">
        <v>6.9444444444444447E-4</v>
      </c>
      <c r="M543" t="s">
        <v>26</v>
      </c>
      <c r="N543" t="s">
        <v>183</v>
      </c>
    </row>
    <row r="544" spans="1:14" x14ac:dyDescent="0.35">
      <c r="A544" t="s">
        <v>14</v>
      </c>
      <c r="B544" s="4">
        <v>41609</v>
      </c>
      <c r="C544" t="s">
        <v>75</v>
      </c>
      <c r="D544" t="s">
        <v>76</v>
      </c>
      <c r="E544" s="2">
        <v>41185</v>
      </c>
      <c r="F544" t="s">
        <v>24</v>
      </c>
      <c r="G544" t="s">
        <v>112</v>
      </c>
      <c r="H544" t="s">
        <v>214</v>
      </c>
      <c r="I544" s="3">
        <v>4.4444444444444446E-2</v>
      </c>
      <c r="J544" t="s">
        <v>19</v>
      </c>
      <c r="K544">
        <v>79</v>
      </c>
      <c r="L544" s="3">
        <v>4.3749999999999997E-2</v>
      </c>
      <c r="M544" t="s">
        <v>26</v>
      </c>
      <c r="N544" t="s">
        <v>183</v>
      </c>
    </row>
    <row r="545" spans="1:14" x14ac:dyDescent="0.35">
      <c r="A545" t="s">
        <v>14</v>
      </c>
      <c r="B545" s="4">
        <v>41609</v>
      </c>
      <c r="C545" t="s">
        <v>75</v>
      </c>
      <c r="D545" t="s">
        <v>76</v>
      </c>
      <c r="E545" s="2">
        <v>41185</v>
      </c>
      <c r="F545" t="s">
        <v>24</v>
      </c>
      <c r="G545" t="s">
        <v>112</v>
      </c>
      <c r="H545" t="s">
        <v>214</v>
      </c>
      <c r="I545" s="3">
        <v>4.4444444444444446E-2</v>
      </c>
      <c r="J545" t="s">
        <v>19</v>
      </c>
      <c r="K545">
        <v>81</v>
      </c>
      <c r="L545" s="3">
        <v>4.4444444444444446E-2</v>
      </c>
      <c r="M545" t="s">
        <v>31</v>
      </c>
      <c r="N545" t="s">
        <v>219</v>
      </c>
    </row>
    <row r="546" spans="1:14" x14ac:dyDescent="0.35">
      <c r="A546" t="s">
        <v>64</v>
      </c>
      <c r="B546" s="4">
        <v>41609</v>
      </c>
      <c r="C546" t="s">
        <v>65</v>
      </c>
      <c r="D546">
        <v>7</v>
      </c>
      <c r="E546" s="2">
        <v>41189</v>
      </c>
      <c r="F546" t="s">
        <v>16</v>
      </c>
      <c r="G546" t="s">
        <v>66</v>
      </c>
      <c r="H546" t="s">
        <v>112</v>
      </c>
      <c r="I546" s="3">
        <v>8.4722222222222227E-2</v>
      </c>
      <c r="J546" t="s">
        <v>68</v>
      </c>
      <c r="K546">
        <v>31</v>
      </c>
      <c r="L546" s="3">
        <v>4.2361111111111113E-2</v>
      </c>
      <c r="M546" t="s">
        <v>31</v>
      </c>
    </row>
    <row r="547" spans="1:14" x14ac:dyDescent="0.35">
      <c r="A547" t="s">
        <v>14</v>
      </c>
      <c r="B547" s="4">
        <v>41609</v>
      </c>
      <c r="C547" t="s">
        <v>65</v>
      </c>
      <c r="D547">
        <v>7</v>
      </c>
      <c r="E547" s="2">
        <v>41189</v>
      </c>
      <c r="F547" t="s">
        <v>24</v>
      </c>
      <c r="G547" t="s">
        <v>112</v>
      </c>
      <c r="H547" t="s">
        <v>66</v>
      </c>
      <c r="I547" s="3">
        <v>8.4722222222222227E-2</v>
      </c>
      <c r="J547" t="s">
        <v>19</v>
      </c>
      <c r="K547">
        <v>22</v>
      </c>
      <c r="L547" s="3">
        <v>6.9444444444444447E-4</v>
      </c>
      <c r="M547" t="s">
        <v>31</v>
      </c>
      <c r="N547" t="s">
        <v>183</v>
      </c>
    </row>
    <row r="548" spans="1:14" x14ac:dyDescent="0.35">
      <c r="A548" t="s">
        <v>64</v>
      </c>
      <c r="B548" s="4">
        <v>41609</v>
      </c>
      <c r="C548" t="s">
        <v>65</v>
      </c>
      <c r="D548">
        <v>7</v>
      </c>
      <c r="E548" s="2">
        <v>41189</v>
      </c>
      <c r="F548" t="s">
        <v>16</v>
      </c>
      <c r="G548" t="s">
        <v>66</v>
      </c>
      <c r="H548" t="s">
        <v>112</v>
      </c>
      <c r="I548" s="3">
        <v>8.4722222222222227E-2</v>
      </c>
      <c r="J548" t="s">
        <v>68</v>
      </c>
      <c r="K548">
        <v>60</v>
      </c>
      <c r="L548" s="3">
        <v>8.4027777777777785E-2</v>
      </c>
      <c r="M548" t="s">
        <v>39</v>
      </c>
    </row>
    <row r="549" spans="1:14" x14ac:dyDescent="0.35">
      <c r="A549" t="s">
        <v>14</v>
      </c>
      <c r="B549" s="4">
        <v>41609</v>
      </c>
      <c r="C549" t="s">
        <v>65</v>
      </c>
      <c r="D549">
        <v>7</v>
      </c>
      <c r="E549" s="2">
        <v>41189</v>
      </c>
      <c r="F549" t="s">
        <v>24</v>
      </c>
      <c r="G549" t="s">
        <v>112</v>
      </c>
      <c r="H549" t="s">
        <v>66</v>
      </c>
      <c r="I549" s="3">
        <v>8.4722222222222227E-2</v>
      </c>
      <c r="J549" t="s">
        <v>19</v>
      </c>
      <c r="K549">
        <v>66</v>
      </c>
      <c r="L549" s="3">
        <v>8.4722222222222227E-2</v>
      </c>
      <c r="M549" t="s">
        <v>26</v>
      </c>
      <c r="N549" t="s">
        <v>204</v>
      </c>
    </row>
    <row r="550" spans="1:14" x14ac:dyDescent="0.35">
      <c r="A550" t="s">
        <v>64</v>
      </c>
      <c r="B550" s="4">
        <v>41609</v>
      </c>
      <c r="C550" t="s">
        <v>65</v>
      </c>
      <c r="D550">
        <v>8</v>
      </c>
      <c r="E550" s="2">
        <v>41202</v>
      </c>
      <c r="F550" t="s">
        <v>24</v>
      </c>
      <c r="G550" t="s">
        <v>66</v>
      </c>
      <c r="H550" t="s">
        <v>115</v>
      </c>
      <c r="I550" s="3">
        <v>0.1701388888888889</v>
      </c>
      <c r="J550" t="s">
        <v>68</v>
      </c>
      <c r="K550">
        <v>17</v>
      </c>
      <c r="L550" s="3">
        <v>2.0833333333333333E-3</v>
      </c>
      <c r="M550" t="s">
        <v>31</v>
      </c>
      <c r="N550" t="s">
        <v>224</v>
      </c>
    </row>
    <row r="551" spans="1:14" x14ac:dyDescent="0.35">
      <c r="A551" t="s">
        <v>64</v>
      </c>
      <c r="B551" s="4">
        <v>41609</v>
      </c>
      <c r="C551" t="s">
        <v>65</v>
      </c>
      <c r="D551">
        <v>8</v>
      </c>
      <c r="E551" s="2">
        <v>41202</v>
      </c>
      <c r="F551" t="s">
        <v>24</v>
      </c>
      <c r="G551" t="s">
        <v>66</v>
      </c>
      <c r="H551" t="s">
        <v>115</v>
      </c>
      <c r="I551" s="3">
        <v>0.1701388888888889</v>
      </c>
      <c r="J551" t="s">
        <v>68</v>
      </c>
      <c r="K551">
        <v>43</v>
      </c>
      <c r="L551" s="3">
        <v>8.611111111111111E-2</v>
      </c>
      <c r="M551" t="s">
        <v>31</v>
      </c>
      <c r="N551" t="s">
        <v>224</v>
      </c>
    </row>
    <row r="552" spans="1:14" x14ac:dyDescent="0.35">
      <c r="A552" t="s">
        <v>64</v>
      </c>
      <c r="B552" s="4">
        <v>41609</v>
      </c>
      <c r="C552" t="s">
        <v>65</v>
      </c>
      <c r="D552">
        <v>8</v>
      </c>
      <c r="E552" s="2">
        <v>41202</v>
      </c>
      <c r="F552" t="s">
        <v>24</v>
      </c>
      <c r="G552" t="s">
        <v>66</v>
      </c>
      <c r="H552" t="s">
        <v>115</v>
      </c>
      <c r="I552" s="3">
        <v>0.1701388888888889</v>
      </c>
      <c r="J552" t="s">
        <v>68</v>
      </c>
      <c r="K552">
        <v>76</v>
      </c>
      <c r="L552" s="3">
        <v>0.12847222222222221</v>
      </c>
      <c r="M552" t="s">
        <v>31</v>
      </c>
      <c r="N552" t="s">
        <v>106</v>
      </c>
    </row>
    <row r="553" spans="1:14" x14ac:dyDescent="0.35">
      <c r="A553" t="s">
        <v>14</v>
      </c>
      <c r="B553" s="4">
        <v>41609</v>
      </c>
      <c r="C553" t="s">
        <v>65</v>
      </c>
      <c r="D553">
        <v>8</v>
      </c>
      <c r="E553" s="2">
        <v>41202</v>
      </c>
      <c r="F553" t="s">
        <v>16</v>
      </c>
      <c r="G553" t="s">
        <v>112</v>
      </c>
      <c r="H553" t="s">
        <v>98</v>
      </c>
      <c r="I553" s="3">
        <v>8.3333333333333329E-2</v>
      </c>
      <c r="J553" t="s">
        <v>19</v>
      </c>
      <c r="K553">
        <v>67</v>
      </c>
      <c r="L553" s="3">
        <v>8.3333333333333329E-2</v>
      </c>
      <c r="M553" t="s">
        <v>83</v>
      </c>
    </row>
    <row r="554" spans="1:14" x14ac:dyDescent="0.35">
      <c r="A554" t="s">
        <v>14</v>
      </c>
      <c r="B554" s="4">
        <v>41609</v>
      </c>
      <c r="C554" t="s">
        <v>75</v>
      </c>
      <c r="D554" t="s">
        <v>76</v>
      </c>
      <c r="E554" s="2">
        <v>41206</v>
      </c>
      <c r="F554" t="s">
        <v>24</v>
      </c>
      <c r="G554" t="s">
        <v>112</v>
      </c>
      <c r="H554" t="s">
        <v>246</v>
      </c>
      <c r="I554" s="3">
        <v>8.4027777777777785E-2</v>
      </c>
      <c r="J554" t="s">
        <v>19</v>
      </c>
      <c r="K554">
        <v>38</v>
      </c>
      <c r="L554" s="3">
        <v>4.2361111111111113E-2</v>
      </c>
      <c r="M554" t="s">
        <v>26</v>
      </c>
      <c r="N554" t="s">
        <v>204</v>
      </c>
    </row>
    <row r="555" spans="1:14" x14ac:dyDescent="0.35">
      <c r="A555" t="s">
        <v>64</v>
      </c>
      <c r="B555" s="4">
        <v>41609</v>
      </c>
      <c r="C555" t="s">
        <v>65</v>
      </c>
      <c r="D555">
        <v>9</v>
      </c>
      <c r="E555" s="2">
        <v>41209</v>
      </c>
      <c r="F555" t="s">
        <v>24</v>
      </c>
      <c r="G555" t="s">
        <v>66</v>
      </c>
      <c r="H555" t="s">
        <v>225</v>
      </c>
      <c r="I555" s="3">
        <v>3.472222222222222E-3</v>
      </c>
      <c r="J555" t="s">
        <v>68</v>
      </c>
      <c r="K555">
        <v>89</v>
      </c>
      <c r="L555" s="3">
        <v>3.472222222222222E-3</v>
      </c>
      <c r="M555" t="s">
        <v>26</v>
      </c>
      <c r="N555" t="s">
        <v>224</v>
      </c>
    </row>
    <row r="556" spans="1:14" x14ac:dyDescent="0.35">
      <c r="A556" t="s">
        <v>64</v>
      </c>
      <c r="B556" s="4">
        <v>41609</v>
      </c>
      <c r="C556" t="s">
        <v>65</v>
      </c>
      <c r="D556">
        <v>9</v>
      </c>
      <c r="E556" s="2">
        <v>41209</v>
      </c>
      <c r="F556" t="s">
        <v>24</v>
      </c>
      <c r="G556" t="s">
        <v>66</v>
      </c>
      <c r="H556" t="s">
        <v>225</v>
      </c>
      <c r="I556" s="3">
        <v>3.472222222222222E-3</v>
      </c>
      <c r="J556" t="s">
        <v>68</v>
      </c>
      <c r="K556">
        <v>48</v>
      </c>
      <c r="L556" s="3">
        <v>1.3888888888888889E-3</v>
      </c>
      <c r="M556" t="s">
        <v>31</v>
      </c>
      <c r="N556" t="s">
        <v>247</v>
      </c>
    </row>
    <row r="557" spans="1:14" x14ac:dyDescent="0.35">
      <c r="A557" t="s">
        <v>14</v>
      </c>
      <c r="B557" s="4">
        <v>41609</v>
      </c>
      <c r="C557" t="s">
        <v>65</v>
      </c>
      <c r="D557">
        <v>9</v>
      </c>
      <c r="E557" s="2">
        <v>41210</v>
      </c>
      <c r="F557" t="s">
        <v>24</v>
      </c>
      <c r="G557" t="s">
        <v>112</v>
      </c>
      <c r="H557" t="s">
        <v>89</v>
      </c>
      <c r="I557" s="3">
        <v>3.472222222222222E-3</v>
      </c>
      <c r="J557" t="s">
        <v>19</v>
      </c>
      <c r="K557">
        <v>22</v>
      </c>
      <c r="L557" s="3">
        <v>1.3888888888888889E-3</v>
      </c>
      <c r="M557" t="s">
        <v>26</v>
      </c>
      <c r="N557" t="s">
        <v>188</v>
      </c>
    </row>
    <row r="558" spans="1:14" x14ac:dyDescent="0.35">
      <c r="A558" t="s">
        <v>14</v>
      </c>
      <c r="B558" s="4">
        <v>41609</v>
      </c>
      <c r="C558" t="s">
        <v>65</v>
      </c>
      <c r="D558">
        <v>9</v>
      </c>
      <c r="E558" s="2">
        <v>41210</v>
      </c>
      <c r="F558" t="s">
        <v>24</v>
      </c>
      <c r="G558" t="s">
        <v>112</v>
      </c>
      <c r="H558" t="s">
        <v>89</v>
      </c>
      <c r="I558" s="3">
        <v>3.472222222222222E-3</v>
      </c>
      <c r="J558" t="s">
        <v>19</v>
      </c>
      <c r="K558">
        <v>73</v>
      </c>
      <c r="L558" s="3">
        <v>2.7777777777777779E-3</v>
      </c>
      <c r="M558" t="s">
        <v>26</v>
      </c>
      <c r="N558" t="s">
        <v>188</v>
      </c>
    </row>
    <row r="559" spans="1:14" x14ac:dyDescent="0.35">
      <c r="A559" t="s">
        <v>64</v>
      </c>
      <c r="B559" s="4">
        <v>41609</v>
      </c>
      <c r="C559" t="s">
        <v>75</v>
      </c>
      <c r="D559" t="s">
        <v>76</v>
      </c>
      <c r="E559" s="2">
        <v>41220</v>
      </c>
      <c r="F559" t="s">
        <v>24</v>
      </c>
      <c r="G559" t="s">
        <v>66</v>
      </c>
      <c r="H559" t="s">
        <v>144</v>
      </c>
      <c r="I559" s="3">
        <v>8.4027777777777785E-2</v>
      </c>
      <c r="J559" t="s">
        <v>68</v>
      </c>
      <c r="K559" t="s">
        <v>69</v>
      </c>
      <c r="L559" s="3">
        <v>8.4027777777777785E-2</v>
      </c>
      <c r="M559" t="s">
        <v>55</v>
      </c>
    </row>
    <row r="560" spans="1:14" x14ac:dyDescent="0.35">
      <c r="A560" t="s">
        <v>64</v>
      </c>
      <c r="B560" s="4">
        <v>41609</v>
      </c>
      <c r="C560" t="s">
        <v>65</v>
      </c>
      <c r="D560">
        <v>11</v>
      </c>
      <c r="E560" s="2">
        <v>41224</v>
      </c>
      <c r="F560" t="s">
        <v>24</v>
      </c>
      <c r="G560" t="s">
        <v>66</v>
      </c>
      <c r="H560" t="s">
        <v>89</v>
      </c>
      <c r="I560" s="3">
        <v>8.611111111111111E-2</v>
      </c>
      <c r="J560" t="s">
        <v>68</v>
      </c>
      <c r="K560">
        <v>70</v>
      </c>
      <c r="L560" s="3">
        <v>8.611111111111111E-2</v>
      </c>
      <c r="M560" t="s">
        <v>31</v>
      </c>
      <c r="N560" t="s">
        <v>234</v>
      </c>
    </row>
    <row r="561" spans="1:14" x14ac:dyDescent="0.35">
      <c r="A561" t="s">
        <v>14</v>
      </c>
      <c r="B561" s="4">
        <v>41609</v>
      </c>
      <c r="C561" t="s">
        <v>65</v>
      </c>
      <c r="D561">
        <v>11</v>
      </c>
      <c r="E561" s="2">
        <v>41224</v>
      </c>
      <c r="F561" t="s">
        <v>24</v>
      </c>
      <c r="G561" t="s">
        <v>112</v>
      </c>
      <c r="H561" t="s">
        <v>127</v>
      </c>
      <c r="I561" s="3">
        <v>4.3055555555555555E-2</v>
      </c>
      <c r="J561" t="s">
        <v>68</v>
      </c>
      <c r="K561">
        <v>20</v>
      </c>
      <c r="L561" s="3">
        <v>6.9444444444444447E-4</v>
      </c>
      <c r="M561" t="s">
        <v>26</v>
      </c>
    </row>
    <row r="562" spans="1:14" x14ac:dyDescent="0.35">
      <c r="A562" t="s">
        <v>64</v>
      </c>
      <c r="B562" s="4">
        <v>41609</v>
      </c>
      <c r="C562" t="s">
        <v>65</v>
      </c>
      <c r="D562">
        <v>11</v>
      </c>
      <c r="E562" s="2">
        <v>41224</v>
      </c>
      <c r="F562" t="s">
        <v>24</v>
      </c>
      <c r="G562" t="s">
        <v>66</v>
      </c>
      <c r="H562" t="s">
        <v>89</v>
      </c>
      <c r="I562" s="3">
        <v>8.611111111111111E-2</v>
      </c>
      <c r="J562" t="s">
        <v>68</v>
      </c>
      <c r="K562">
        <v>43</v>
      </c>
      <c r="L562" s="3">
        <v>1.3888888888888889E-3</v>
      </c>
      <c r="M562" t="s">
        <v>31</v>
      </c>
      <c r="N562" t="s">
        <v>222</v>
      </c>
    </row>
    <row r="563" spans="1:14" x14ac:dyDescent="0.35">
      <c r="A563" t="s">
        <v>64</v>
      </c>
      <c r="B563" s="4">
        <v>41609</v>
      </c>
      <c r="C563" t="s">
        <v>65</v>
      </c>
      <c r="D563">
        <v>12</v>
      </c>
      <c r="E563" s="2">
        <v>41230</v>
      </c>
      <c r="F563" t="s">
        <v>16</v>
      </c>
      <c r="G563" t="s">
        <v>66</v>
      </c>
      <c r="H563" t="s">
        <v>93</v>
      </c>
      <c r="I563" s="3">
        <v>0.12569444444444444</v>
      </c>
      <c r="J563" t="s">
        <v>68</v>
      </c>
      <c r="K563">
        <v>15</v>
      </c>
      <c r="L563" s="3">
        <v>4.1666666666666664E-2</v>
      </c>
      <c r="M563" t="s">
        <v>31</v>
      </c>
      <c r="N563" t="s">
        <v>243</v>
      </c>
    </row>
    <row r="564" spans="1:14" x14ac:dyDescent="0.35">
      <c r="A564" t="s">
        <v>64</v>
      </c>
      <c r="B564" s="4">
        <v>41609</v>
      </c>
      <c r="C564" t="s">
        <v>65</v>
      </c>
      <c r="D564">
        <v>12</v>
      </c>
      <c r="E564" s="2">
        <v>41230</v>
      </c>
      <c r="F564" t="s">
        <v>16</v>
      </c>
      <c r="G564" t="s">
        <v>66</v>
      </c>
      <c r="H564" t="s">
        <v>93</v>
      </c>
      <c r="I564" s="3">
        <v>0.12569444444444444</v>
      </c>
      <c r="J564" t="s">
        <v>68</v>
      </c>
      <c r="K564">
        <v>60</v>
      </c>
      <c r="L564" s="3">
        <v>0.12569444444444444</v>
      </c>
      <c r="M564" t="s">
        <v>31</v>
      </c>
      <c r="N564" t="s">
        <v>247</v>
      </c>
    </row>
    <row r="565" spans="1:14" x14ac:dyDescent="0.35">
      <c r="A565" t="s">
        <v>64</v>
      </c>
      <c r="B565" s="4">
        <v>41609</v>
      </c>
      <c r="C565" t="s">
        <v>75</v>
      </c>
      <c r="D565" t="s">
        <v>76</v>
      </c>
      <c r="E565" s="2">
        <v>41233</v>
      </c>
      <c r="F565" t="s">
        <v>24</v>
      </c>
      <c r="G565" t="s">
        <v>66</v>
      </c>
      <c r="H565" t="s">
        <v>245</v>
      </c>
      <c r="I565" s="3">
        <v>2.0833333333333333E-3</v>
      </c>
      <c r="J565" t="s">
        <v>68</v>
      </c>
      <c r="K565">
        <v>39</v>
      </c>
      <c r="L565" s="3">
        <v>2.0833333333333333E-3</v>
      </c>
      <c r="M565" t="s">
        <v>31</v>
      </c>
      <c r="N565" t="s">
        <v>186</v>
      </c>
    </row>
    <row r="566" spans="1:14" x14ac:dyDescent="0.35">
      <c r="A566" t="s">
        <v>64</v>
      </c>
      <c r="B566" s="4">
        <v>41609</v>
      </c>
      <c r="C566" t="s">
        <v>75</v>
      </c>
      <c r="D566" t="s">
        <v>76</v>
      </c>
      <c r="E566" s="2">
        <v>41233</v>
      </c>
      <c r="F566" t="s">
        <v>24</v>
      </c>
      <c r="G566" t="s">
        <v>66</v>
      </c>
      <c r="H566" t="s">
        <v>245</v>
      </c>
      <c r="I566" s="3">
        <v>2.0833333333333333E-3</v>
      </c>
      <c r="J566" t="s">
        <v>68</v>
      </c>
      <c r="K566">
        <v>27</v>
      </c>
      <c r="L566" s="3">
        <v>1.3888888888888889E-3</v>
      </c>
      <c r="M566" t="s">
        <v>26</v>
      </c>
    </row>
    <row r="567" spans="1:14" x14ac:dyDescent="0.35">
      <c r="A567" t="s">
        <v>64</v>
      </c>
      <c r="B567" s="4">
        <v>41609</v>
      </c>
      <c r="C567" t="s">
        <v>65</v>
      </c>
      <c r="D567">
        <v>13</v>
      </c>
      <c r="E567" s="2">
        <v>41238</v>
      </c>
      <c r="F567" t="s">
        <v>24</v>
      </c>
      <c r="G567" t="s">
        <v>66</v>
      </c>
      <c r="H567" t="s">
        <v>127</v>
      </c>
      <c r="I567" s="3">
        <v>2.7777777777777779E-3</v>
      </c>
      <c r="J567" t="s">
        <v>68</v>
      </c>
      <c r="K567">
        <v>46</v>
      </c>
      <c r="L567" s="3">
        <v>6.9444444444444447E-4</v>
      </c>
      <c r="M567" t="s">
        <v>31</v>
      </c>
      <c r="N567" t="s">
        <v>99</v>
      </c>
    </row>
    <row r="568" spans="1:14" x14ac:dyDescent="0.35">
      <c r="A568" t="s">
        <v>64</v>
      </c>
      <c r="B568" s="4">
        <v>41609</v>
      </c>
      <c r="C568" t="s">
        <v>65</v>
      </c>
      <c r="D568">
        <v>13</v>
      </c>
      <c r="E568" s="2">
        <v>41238</v>
      </c>
      <c r="F568" t="s">
        <v>24</v>
      </c>
      <c r="G568" t="s">
        <v>66</v>
      </c>
      <c r="H568" t="s">
        <v>127</v>
      </c>
      <c r="I568" s="3">
        <v>2.7777777777777779E-3</v>
      </c>
      <c r="J568" t="s">
        <v>68</v>
      </c>
      <c r="K568">
        <v>51</v>
      </c>
      <c r="L568" s="3">
        <v>1.3888888888888889E-3</v>
      </c>
      <c r="M568" t="s">
        <v>31</v>
      </c>
      <c r="N568" t="s">
        <v>99</v>
      </c>
    </row>
    <row r="569" spans="1:14" x14ac:dyDescent="0.35">
      <c r="A569" t="s">
        <v>64</v>
      </c>
      <c r="B569" s="4">
        <v>41609</v>
      </c>
      <c r="C569" t="s">
        <v>65</v>
      </c>
      <c r="D569">
        <v>14</v>
      </c>
      <c r="E569" s="2">
        <v>41244</v>
      </c>
      <c r="F569" t="s">
        <v>16</v>
      </c>
      <c r="G569" t="s">
        <v>66</v>
      </c>
      <c r="H569" t="s">
        <v>86</v>
      </c>
      <c r="I569" s="3">
        <v>0.20902777777777778</v>
      </c>
      <c r="J569" t="s">
        <v>68</v>
      </c>
      <c r="K569">
        <v>24</v>
      </c>
      <c r="L569" s="3">
        <v>8.3333333333333329E-2</v>
      </c>
      <c r="M569" t="s">
        <v>31</v>
      </c>
      <c r="N569" t="s">
        <v>106</v>
      </c>
    </row>
    <row r="570" spans="1:14" x14ac:dyDescent="0.35">
      <c r="A570" t="s">
        <v>64</v>
      </c>
      <c r="B570" s="4">
        <v>41609</v>
      </c>
      <c r="C570" t="s">
        <v>65</v>
      </c>
      <c r="D570">
        <v>14</v>
      </c>
      <c r="E570" s="2">
        <v>41244</v>
      </c>
      <c r="F570" t="s">
        <v>16</v>
      </c>
      <c r="G570" t="s">
        <v>66</v>
      </c>
      <c r="H570" t="s">
        <v>86</v>
      </c>
      <c r="I570" s="3">
        <v>0.20902777777777778</v>
      </c>
      <c r="J570" t="s">
        <v>68</v>
      </c>
      <c r="K570">
        <v>69</v>
      </c>
      <c r="L570" s="3">
        <v>0.20902777777777778</v>
      </c>
      <c r="M570" t="s">
        <v>26</v>
      </c>
      <c r="N570" t="s">
        <v>186</v>
      </c>
    </row>
    <row r="571" spans="1:14" x14ac:dyDescent="0.35">
      <c r="A571" t="s">
        <v>14</v>
      </c>
      <c r="B571" s="4">
        <v>41609</v>
      </c>
      <c r="C571" t="s">
        <v>65</v>
      </c>
      <c r="D571">
        <v>14</v>
      </c>
      <c r="E571" s="2">
        <v>41244</v>
      </c>
      <c r="F571" t="s">
        <v>16</v>
      </c>
      <c r="G571" t="s">
        <v>112</v>
      </c>
      <c r="H571" t="s">
        <v>119</v>
      </c>
      <c r="I571" s="3">
        <v>8.3333333333333329E-2</v>
      </c>
      <c r="J571" t="s">
        <v>19</v>
      </c>
      <c r="K571">
        <v>16</v>
      </c>
      <c r="L571" s="3">
        <v>4.1666666666666664E-2</v>
      </c>
      <c r="M571" t="s">
        <v>39</v>
      </c>
    </row>
    <row r="572" spans="1:14" x14ac:dyDescent="0.35">
      <c r="A572" t="s">
        <v>14</v>
      </c>
      <c r="B572" s="4">
        <v>41609</v>
      </c>
      <c r="C572" t="s">
        <v>75</v>
      </c>
      <c r="D572" t="s">
        <v>76</v>
      </c>
      <c r="E572" s="2">
        <v>41247</v>
      </c>
      <c r="F572" t="s">
        <v>16</v>
      </c>
      <c r="G572" t="s">
        <v>112</v>
      </c>
      <c r="H572" t="s">
        <v>214</v>
      </c>
      <c r="I572" s="3">
        <v>0.1673611111111111</v>
      </c>
      <c r="J572" t="s">
        <v>19</v>
      </c>
      <c r="K572">
        <v>13</v>
      </c>
      <c r="L572" s="3">
        <v>4.1666666666666664E-2</v>
      </c>
      <c r="M572" t="s">
        <v>26</v>
      </c>
      <c r="N572" t="s">
        <v>183</v>
      </c>
    </row>
    <row r="573" spans="1:14" x14ac:dyDescent="0.35">
      <c r="A573" t="s">
        <v>64</v>
      </c>
      <c r="B573" s="4">
        <v>41609</v>
      </c>
      <c r="C573" t="s">
        <v>65</v>
      </c>
      <c r="D573">
        <v>15</v>
      </c>
      <c r="E573" s="2">
        <v>41252</v>
      </c>
      <c r="F573" t="s">
        <v>24</v>
      </c>
      <c r="G573" t="s">
        <v>66</v>
      </c>
      <c r="H573" t="s">
        <v>95</v>
      </c>
      <c r="I573" s="3">
        <v>4.3055555555555555E-2</v>
      </c>
      <c r="J573" t="s">
        <v>68</v>
      </c>
      <c r="K573">
        <v>16</v>
      </c>
      <c r="L573" s="3">
        <v>6.9444444444444447E-4</v>
      </c>
      <c r="M573" t="s">
        <v>31</v>
      </c>
      <c r="N573" t="s">
        <v>99</v>
      </c>
    </row>
    <row r="574" spans="1:14" x14ac:dyDescent="0.35">
      <c r="A574" t="s">
        <v>64</v>
      </c>
      <c r="B574" s="4">
        <v>41609</v>
      </c>
      <c r="C574" t="s">
        <v>65</v>
      </c>
      <c r="D574">
        <v>15</v>
      </c>
      <c r="E574" s="2">
        <v>41252</v>
      </c>
      <c r="F574" t="s">
        <v>24</v>
      </c>
      <c r="G574" t="s">
        <v>66</v>
      </c>
      <c r="H574" t="s">
        <v>95</v>
      </c>
      <c r="I574" s="3">
        <v>4.3055555555555555E-2</v>
      </c>
      <c r="J574" t="s">
        <v>68</v>
      </c>
      <c r="K574">
        <v>25</v>
      </c>
      <c r="L574" s="3">
        <v>1.3888888888888889E-3</v>
      </c>
      <c r="M574" t="s">
        <v>31</v>
      </c>
      <c r="N574" t="s">
        <v>99</v>
      </c>
    </row>
    <row r="575" spans="1:14" x14ac:dyDescent="0.35">
      <c r="A575" t="s">
        <v>64</v>
      </c>
      <c r="B575" s="4">
        <v>41609</v>
      </c>
      <c r="C575" t="s">
        <v>91</v>
      </c>
      <c r="D575" t="s">
        <v>143</v>
      </c>
      <c r="E575" s="2">
        <v>41255</v>
      </c>
      <c r="F575" t="s">
        <v>24</v>
      </c>
      <c r="G575" t="s">
        <v>66</v>
      </c>
      <c r="H575" t="s">
        <v>248</v>
      </c>
      <c r="I575" s="3">
        <v>1.3888888888888889E-3</v>
      </c>
      <c r="J575" t="s">
        <v>68</v>
      </c>
      <c r="K575">
        <v>10</v>
      </c>
      <c r="L575" s="3">
        <v>6.9444444444444447E-4</v>
      </c>
      <c r="M575" t="s">
        <v>31</v>
      </c>
      <c r="N575" t="s">
        <v>208</v>
      </c>
    </row>
    <row r="576" spans="1:14" x14ac:dyDescent="0.35">
      <c r="A576" t="s">
        <v>64</v>
      </c>
      <c r="B576" s="4">
        <v>41609</v>
      </c>
      <c r="C576" t="s">
        <v>91</v>
      </c>
      <c r="D576" t="s">
        <v>143</v>
      </c>
      <c r="E576" s="2">
        <v>41255</v>
      </c>
      <c r="F576" t="s">
        <v>24</v>
      </c>
      <c r="G576" t="s">
        <v>66</v>
      </c>
      <c r="H576" t="s">
        <v>248</v>
      </c>
      <c r="I576" s="3">
        <v>1.3888888888888889E-3</v>
      </c>
      <c r="J576" t="s">
        <v>68</v>
      </c>
      <c r="K576">
        <v>73</v>
      </c>
      <c r="L576" s="3">
        <v>1.3888888888888889E-3</v>
      </c>
      <c r="M576" t="s">
        <v>31</v>
      </c>
      <c r="N576" t="s">
        <v>234</v>
      </c>
    </row>
    <row r="577" spans="1:14" x14ac:dyDescent="0.35">
      <c r="A577" t="s">
        <v>14</v>
      </c>
      <c r="B577" s="4">
        <v>41609</v>
      </c>
      <c r="C577" t="s">
        <v>91</v>
      </c>
      <c r="D577" t="s">
        <v>143</v>
      </c>
      <c r="E577" s="2">
        <v>41255</v>
      </c>
      <c r="F577" t="s">
        <v>24</v>
      </c>
      <c r="G577" t="s">
        <v>112</v>
      </c>
      <c r="H577" t="s">
        <v>98</v>
      </c>
      <c r="I577" s="3">
        <v>8.4027777777777785E-2</v>
      </c>
      <c r="J577" t="s">
        <v>19</v>
      </c>
      <c r="K577">
        <v>87</v>
      </c>
      <c r="L577" s="3">
        <v>8.4027777777777785E-2</v>
      </c>
      <c r="M577" t="s">
        <v>31</v>
      </c>
      <c r="N577" t="s">
        <v>205</v>
      </c>
    </row>
    <row r="578" spans="1:14" x14ac:dyDescent="0.35">
      <c r="A578" t="s">
        <v>64</v>
      </c>
      <c r="B578" s="4">
        <v>41609</v>
      </c>
      <c r="C578" t="s">
        <v>65</v>
      </c>
      <c r="D578">
        <v>16</v>
      </c>
      <c r="E578" s="2">
        <v>41259</v>
      </c>
      <c r="F578" t="s">
        <v>16</v>
      </c>
      <c r="G578" t="s">
        <v>66</v>
      </c>
      <c r="H578" t="s">
        <v>119</v>
      </c>
      <c r="I578" s="3">
        <v>0.1673611111111111</v>
      </c>
      <c r="J578" t="s">
        <v>68</v>
      </c>
      <c r="K578">
        <v>88</v>
      </c>
      <c r="L578" s="3">
        <v>0.1673611111111111</v>
      </c>
      <c r="M578" t="s">
        <v>31</v>
      </c>
    </row>
    <row r="579" spans="1:14" x14ac:dyDescent="0.35">
      <c r="A579" t="s">
        <v>64</v>
      </c>
      <c r="B579" s="4">
        <v>41609</v>
      </c>
      <c r="C579" t="s">
        <v>65</v>
      </c>
      <c r="D579">
        <v>16</v>
      </c>
      <c r="E579" s="2">
        <v>41259</v>
      </c>
      <c r="F579" t="s">
        <v>16</v>
      </c>
      <c r="G579" t="s">
        <v>66</v>
      </c>
      <c r="H579" t="s">
        <v>119</v>
      </c>
      <c r="I579" s="3">
        <v>0.1673611111111111</v>
      </c>
      <c r="J579" t="s">
        <v>68</v>
      </c>
      <c r="K579">
        <v>58</v>
      </c>
      <c r="L579" s="3">
        <v>0.12569444444444444</v>
      </c>
      <c r="M579" t="s">
        <v>31</v>
      </c>
      <c r="N579" t="s">
        <v>234</v>
      </c>
    </row>
    <row r="580" spans="1:14" x14ac:dyDescent="0.35">
      <c r="A580" t="s">
        <v>14</v>
      </c>
      <c r="B580" s="4">
        <v>41609</v>
      </c>
      <c r="C580" t="s">
        <v>65</v>
      </c>
      <c r="D580">
        <v>16</v>
      </c>
      <c r="E580" s="2">
        <v>41259</v>
      </c>
      <c r="F580" t="s">
        <v>16</v>
      </c>
      <c r="G580" t="s">
        <v>112</v>
      </c>
      <c r="H580" t="s">
        <v>121</v>
      </c>
      <c r="I580" s="3">
        <v>8.4722222222222227E-2</v>
      </c>
      <c r="J580" t="s">
        <v>68</v>
      </c>
      <c r="K580">
        <v>45</v>
      </c>
      <c r="L580" s="3">
        <v>4.2361111111111113E-2</v>
      </c>
      <c r="M580" t="s">
        <v>26</v>
      </c>
      <c r="N580" t="s">
        <v>219</v>
      </c>
    </row>
    <row r="581" spans="1:14" x14ac:dyDescent="0.35">
      <c r="A581" t="s">
        <v>64</v>
      </c>
      <c r="B581" s="4">
        <v>41609</v>
      </c>
      <c r="C581" t="s">
        <v>65</v>
      </c>
      <c r="D581">
        <v>17</v>
      </c>
      <c r="E581" s="2">
        <v>41265</v>
      </c>
      <c r="F581" t="s">
        <v>24</v>
      </c>
      <c r="G581" t="s">
        <v>66</v>
      </c>
      <c r="H581" t="s">
        <v>197</v>
      </c>
      <c r="I581" s="3">
        <v>4.3749999999999997E-2</v>
      </c>
      <c r="J581" t="s">
        <v>68</v>
      </c>
      <c r="K581">
        <v>59</v>
      </c>
      <c r="L581" s="3">
        <v>1.3888888888888889E-3</v>
      </c>
      <c r="M581" t="s">
        <v>31</v>
      </c>
      <c r="N581" t="s">
        <v>106</v>
      </c>
    </row>
    <row r="582" spans="1:14" x14ac:dyDescent="0.35">
      <c r="A582" t="s">
        <v>64</v>
      </c>
      <c r="B582" s="4">
        <v>41609</v>
      </c>
      <c r="C582" t="s">
        <v>65</v>
      </c>
      <c r="D582">
        <v>18</v>
      </c>
      <c r="E582" s="2">
        <v>41280</v>
      </c>
      <c r="F582" t="s">
        <v>16</v>
      </c>
      <c r="G582" t="s">
        <v>66</v>
      </c>
      <c r="H582" t="s">
        <v>121</v>
      </c>
      <c r="I582" s="3">
        <v>0.16666666666666666</v>
      </c>
      <c r="J582" t="s">
        <v>68</v>
      </c>
      <c r="K582">
        <v>28</v>
      </c>
      <c r="L582" s="3">
        <v>0.16666666666666666</v>
      </c>
      <c r="M582" t="s">
        <v>83</v>
      </c>
    </row>
    <row r="583" spans="1:14" x14ac:dyDescent="0.35">
      <c r="A583" t="s">
        <v>14</v>
      </c>
      <c r="B583" s="4">
        <v>41609</v>
      </c>
      <c r="C583" t="s">
        <v>65</v>
      </c>
      <c r="D583">
        <v>18</v>
      </c>
      <c r="E583" s="2">
        <v>41280</v>
      </c>
      <c r="F583" t="s">
        <v>16</v>
      </c>
      <c r="G583" t="s">
        <v>112</v>
      </c>
      <c r="H583" t="s">
        <v>217</v>
      </c>
      <c r="I583" s="3">
        <v>0.16875000000000001</v>
      </c>
      <c r="J583" t="s">
        <v>249</v>
      </c>
      <c r="K583">
        <v>67</v>
      </c>
      <c r="L583" s="3">
        <v>0.12638888888888888</v>
      </c>
      <c r="M583" t="s">
        <v>31</v>
      </c>
      <c r="N583" t="s">
        <v>183</v>
      </c>
    </row>
    <row r="584" spans="1:14" x14ac:dyDescent="0.35">
      <c r="A584" t="s">
        <v>14</v>
      </c>
      <c r="B584" s="4">
        <v>41609</v>
      </c>
      <c r="C584" t="s">
        <v>65</v>
      </c>
      <c r="D584">
        <v>18</v>
      </c>
      <c r="E584" s="2">
        <v>41280</v>
      </c>
      <c r="F584" t="s">
        <v>16</v>
      </c>
      <c r="G584" t="s">
        <v>112</v>
      </c>
      <c r="H584" t="s">
        <v>217</v>
      </c>
      <c r="I584" s="3">
        <v>0.16875000000000001</v>
      </c>
      <c r="J584" t="s">
        <v>249</v>
      </c>
      <c r="K584">
        <v>70</v>
      </c>
      <c r="L584" s="3">
        <v>0.16805555555555557</v>
      </c>
      <c r="M584" t="s">
        <v>39</v>
      </c>
    </row>
    <row r="585" spans="1:14" x14ac:dyDescent="0.35">
      <c r="A585" t="s">
        <v>14</v>
      </c>
      <c r="B585" s="4">
        <v>41609</v>
      </c>
      <c r="C585" t="s">
        <v>91</v>
      </c>
      <c r="D585" t="s">
        <v>143</v>
      </c>
      <c r="E585" s="2">
        <v>41283</v>
      </c>
      <c r="F585" t="s">
        <v>16</v>
      </c>
      <c r="G585" t="s">
        <v>112</v>
      </c>
      <c r="H585" t="s">
        <v>98</v>
      </c>
      <c r="I585" s="3">
        <v>0.16666666666666666</v>
      </c>
      <c r="J585" t="s">
        <v>19</v>
      </c>
      <c r="K585">
        <v>24</v>
      </c>
      <c r="L585" s="3">
        <v>8.3333333333333329E-2</v>
      </c>
      <c r="M585" t="s">
        <v>31</v>
      </c>
      <c r="N585" t="s">
        <v>250</v>
      </c>
    </row>
    <row r="586" spans="1:14" x14ac:dyDescent="0.35">
      <c r="A586" t="s">
        <v>14</v>
      </c>
      <c r="B586" s="4">
        <v>41609</v>
      </c>
      <c r="C586" t="s">
        <v>91</v>
      </c>
      <c r="D586" t="s">
        <v>143</v>
      </c>
      <c r="E586" s="2">
        <v>41283</v>
      </c>
      <c r="F586" t="s">
        <v>16</v>
      </c>
      <c r="G586" t="s">
        <v>112</v>
      </c>
      <c r="H586" t="s">
        <v>98</v>
      </c>
      <c r="I586" s="3">
        <v>0.16666666666666666</v>
      </c>
      <c r="J586" t="s">
        <v>19</v>
      </c>
      <c r="K586">
        <v>87</v>
      </c>
      <c r="L586" s="3">
        <v>0.125</v>
      </c>
      <c r="M586" t="s">
        <v>31</v>
      </c>
      <c r="N586" t="s">
        <v>188</v>
      </c>
    </row>
    <row r="587" spans="1:14" x14ac:dyDescent="0.35">
      <c r="A587" t="s">
        <v>14</v>
      </c>
      <c r="B587" s="4">
        <v>41609</v>
      </c>
      <c r="C587" t="s">
        <v>91</v>
      </c>
      <c r="D587" t="s">
        <v>143</v>
      </c>
      <c r="E587" s="2">
        <v>41283</v>
      </c>
      <c r="F587" t="s">
        <v>16</v>
      </c>
      <c r="G587" t="s">
        <v>112</v>
      </c>
      <c r="H587" t="s">
        <v>98</v>
      </c>
      <c r="I587" s="3">
        <v>0.16666666666666666</v>
      </c>
      <c r="J587" t="s">
        <v>19</v>
      </c>
      <c r="K587">
        <v>2</v>
      </c>
      <c r="L587" s="3">
        <v>4.1666666666666664E-2</v>
      </c>
      <c r="M587" t="s">
        <v>26</v>
      </c>
      <c r="N587" t="s">
        <v>229</v>
      </c>
    </row>
    <row r="588" spans="1:14" x14ac:dyDescent="0.35">
      <c r="A588" t="s">
        <v>64</v>
      </c>
      <c r="B588" s="4">
        <v>41609</v>
      </c>
      <c r="C588" t="s">
        <v>65</v>
      </c>
      <c r="D588">
        <v>19</v>
      </c>
      <c r="E588" s="2">
        <v>41287</v>
      </c>
      <c r="F588" t="s">
        <v>24</v>
      </c>
      <c r="G588" t="s">
        <v>66</v>
      </c>
      <c r="H588" t="s">
        <v>157</v>
      </c>
      <c r="I588" s="3">
        <v>4.3749999999999997E-2</v>
      </c>
      <c r="J588" t="s">
        <v>68</v>
      </c>
      <c r="K588">
        <v>26</v>
      </c>
      <c r="L588" s="3">
        <v>6.9444444444444447E-4</v>
      </c>
      <c r="M588" t="s">
        <v>26</v>
      </c>
    </row>
    <row r="589" spans="1:14" x14ac:dyDescent="0.35">
      <c r="A589" t="s">
        <v>64</v>
      </c>
      <c r="B589" s="4">
        <v>41609</v>
      </c>
      <c r="C589" t="s">
        <v>91</v>
      </c>
      <c r="D589" t="s">
        <v>92</v>
      </c>
      <c r="E589" s="2">
        <v>41290</v>
      </c>
      <c r="F589" t="s">
        <v>16</v>
      </c>
      <c r="G589" t="s">
        <v>66</v>
      </c>
      <c r="H589" t="s">
        <v>157</v>
      </c>
      <c r="I589" s="3">
        <v>8.4722222222222227E-2</v>
      </c>
      <c r="J589" t="s">
        <v>68</v>
      </c>
      <c r="K589">
        <v>29</v>
      </c>
      <c r="L589" s="3">
        <v>4.2361111111111113E-2</v>
      </c>
      <c r="M589" t="s">
        <v>31</v>
      </c>
    </row>
    <row r="590" spans="1:14" x14ac:dyDescent="0.35">
      <c r="A590" t="s">
        <v>64</v>
      </c>
      <c r="B590" s="4">
        <v>41609</v>
      </c>
      <c r="C590" t="s">
        <v>65</v>
      </c>
      <c r="D590">
        <v>20</v>
      </c>
      <c r="E590" s="2">
        <v>41293</v>
      </c>
      <c r="F590" t="s">
        <v>24</v>
      </c>
      <c r="G590" t="s">
        <v>66</v>
      </c>
      <c r="H590" t="s">
        <v>217</v>
      </c>
      <c r="I590" s="3">
        <v>0.12638888888888888</v>
      </c>
      <c r="J590" t="s">
        <v>68</v>
      </c>
      <c r="K590">
        <v>6</v>
      </c>
      <c r="L590" s="3">
        <v>6.9444444444444447E-4</v>
      </c>
      <c r="M590" t="s">
        <v>31</v>
      </c>
      <c r="N590" t="s">
        <v>99</v>
      </c>
    </row>
    <row r="591" spans="1:14" x14ac:dyDescent="0.35">
      <c r="A591" t="s">
        <v>14</v>
      </c>
      <c r="B591" s="4">
        <v>41609</v>
      </c>
      <c r="C591" t="s">
        <v>65</v>
      </c>
      <c r="D591">
        <v>20</v>
      </c>
      <c r="E591" s="2">
        <v>41294</v>
      </c>
      <c r="F591" t="s">
        <v>24</v>
      </c>
      <c r="G591" t="s">
        <v>112</v>
      </c>
      <c r="H591" t="s">
        <v>148</v>
      </c>
      <c r="I591" s="3">
        <v>3.472222222222222E-3</v>
      </c>
      <c r="J591" t="s">
        <v>19</v>
      </c>
      <c r="K591">
        <v>41</v>
      </c>
      <c r="L591" s="3">
        <v>2.7777777777777779E-3</v>
      </c>
      <c r="M591" t="s">
        <v>26</v>
      </c>
      <c r="N591" t="s">
        <v>204</v>
      </c>
    </row>
    <row r="592" spans="1:14" x14ac:dyDescent="0.35">
      <c r="A592" t="s">
        <v>14</v>
      </c>
      <c r="B592" s="4">
        <v>41609</v>
      </c>
      <c r="C592" t="s">
        <v>65</v>
      </c>
      <c r="D592">
        <v>20</v>
      </c>
      <c r="E592" s="2">
        <v>41294</v>
      </c>
      <c r="F592" t="s">
        <v>24</v>
      </c>
      <c r="G592" t="s">
        <v>112</v>
      </c>
      <c r="H592" t="s">
        <v>148</v>
      </c>
      <c r="I592" s="3">
        <v>3.472222222222222E-3</v>
      </c>
      <c r="J592" t="s">
        <v>19</v>
      </c>
      <c r="K592">
        <v>35</v>
      </c>
      <c r="L592" s="3">
        <v>2.0833333333333333E-3</v>
      </c>
      <c r="M592" t="s">
        <v>31</v>
      </c>
      <c r="N592" t="s">
        <v>235</v>
      </c>
    </row>
    <row r="593" spans="1:14" x14ac:dyDescent="0.35">
      <c r="A593" t="s">
        <v>64</v>
      </c>
      <c r="B593" s="4">
        <v>41609</v>
      </c>
      <c r="C593" t="s">
        <v>91</v>
      </c>
      <c r="D593" t="s">
        <v>92</v>
      </c>
      <c r="E593" s="2">
        <v>41298</v>
      </c>
      <c r="F593" t="s">
        <v>24</v>
      </c>
      <c r="G593" t="s">
        <v>66</v>
      </c>
      <c r="H593" t="s">
        <v>157</v>
      </c>
      <c r="I593" s="3">
        <v>8.611111111111111E-2</v>
      </c>
      <c r="J593" t="s">
        <v>68</v>
      </c>
      <c r="K593">
        <v>79</v>
      </c>
      <c r="L593" s="3">
        <v>8.611111111111111E-2</v>
      </c>
      <c r="M593" t="s">
        <v>22</v>
      </c>
      <c r="N593" t="s">
        <v>155</v>
      </c>
    </row>
    <row r="594" spans="1:14" x14ac:dyDescent="0.35">
      <c r="A594" t="s">
        <v>64</v>
      </c>
      <c r="B594" s="4">
        <v>41609</v>
      </c>
      <c r="C594" t="s">
        <v>65</v>
      </c>
      <c r="D594">
        <v>21</v>
      </c>
      <c r="E594" s="2">
        <v>41301</v>
      </c>
      <c r="F594" t="s">
        <v>16</v>
      </c>
      <c r="G594" t="s">
        <v>66</v>
      </c>
      <c r="H594" t="s">
        <v>100</v>
      </c>
      <c r="I594" s="3">
        <v>0.20902777777777778</v>
      </c>
      <c r="J594" t="s">
        <v>68</v>
      </c>
      <c r="K594">
        <v>58</v>
      </c>
      <c r="L594" s="3">
        <v>0.20902777777777778</v>
      </c>
      <c r="M594" t="s">
        <v>31</v>
      </c>
      <c r="N594" t="s">
        <v>215</v>
      </c>
    </row>
    <row r="595" spans="1:14" x14ac:dyDescent="0.35">
      <c r="A595" t="s">
        <v>64</v>
      </c>
      <c r="B595" s="4">
        <v>41609</v>
      </c>
      <c r="C595" t="s">
        <v>65</v>
      </c>
      <c r="D595">
        <v>21</v>
      </c>
      <c r="E595" s="2">
        <v>41301</v>
      </c>
      <c r="F595" t="s">
        <v>16</v>
      </c>
      <c r="G595" t="s">
        <v>66</v>
      </c>
      <c r="H595" t="s">
        <v>100</v>
      </c>
      <c r="I595" s="3">
        <v>0.20902777777777778</v>
      </c>
      <c r="J595" t="s">
        <v>68</v>
      </c>
      <c r="K595">
        <v>28</v>
      </c>
      <c r="L595" s="3">
        <v>8.4027777777777785E-2</v>
      </c>
      <c r="M595" t="s">
        <v>83</v>
      </c>
    </row>
    <row r="596" spans="1:14" x14ac:dyDescent="0.35">
      <c r="A596" t="s">
        <v>14</v>
      </c>
      <c r="B596" s="4">
        <v>41609</v>
      </c>
      <c r="C596" t="s">
        <v>65</v>
      </c>
      <c r="D596">
        <v>21</v>
      </c>
      <c r="E596" s="2">
        <v>41301</v>
      </c>
      <c r="F596" t="s">
        <v>16</v>
      </c>
      <c r="G596" t="s">
        <v>112</v>
      </c>
      <c r="H596" t="s">
        <v>117</v>
      </c>
      <c r="I596" s="3">
        <v>0.16666666666666666</v>
      </c>
      <c r="J596" t="s">
        <v>19</v>
      </c>
      <c r="K596">
        <v>72</v>
      </c>
      <c r="L596" s="3">
        <v>0.16666666666666666</v>
      </c>
      <c r="M596" t="s">
        <v>83</v>
      </c>
    </row>
    <row r="597" spans="1:14" x14ac:dyDescent="0.35">
      <c r="A597" t="s">
        <v>14</v>
      </c>
      <c r="B597" s="4">
        <v>41609</v>
      </c>
      <c r="C597" t="s">
        <v>65</v>
      </c>
      <c r="D597">
        <v>21</v>
      </c>
      <c r="E597" s="2">
        <v>41301</v>
      </c>
      <c r="F597" t="s">
        <v>16</v>
      </c>
      <c r="G597" t="s">
        <v>112</v>
      </c>
      <c r="H597" t="s">
        <v>117</v>
      </c>
      <c r="I597" s="3">
        <v>0.16666666666666666</v>
      </c>
      <c r="J597" t="s">
        <v>19</v>
      </c>
      <c r="K597">
        <v>65</v>
      </c>
      <c r="L597" s="3">
        <v>0.125</v>
      </c>
      <c r="M597" t="s">
        <v>22</v>
      </c>
      <c r="N597" t="s">
        <v>207</v>
      </c>
    </row>
    <row r="598" spans="1:14" x14ac:dyDescent="0.35">
      <c r="A598" t="s">
        <v>14</v>
      </c>
      <c r="B598" s="4">
        <v>41609</v>
      </c>
      <c r="C598" t="s">
        <v>65</v>
      </c>
      <c r="D598">
        <v>21</v>
      </c>
      <c r="E598" s="2">
        <v>41301</v>
      </c>
      <c r="F598" t="s">
        <v>16</v>
      </c>
      <c r="G598" t="s">
        <v>112</v>
      </c>
      <c r="H598" t="s">
        <v>117</v>
      </c>
      <c r="I598" s="3">
        <v>0.16666666666666666</v>
      </c>
      <c r="J598" t="s">
        <v>19</v>
      </c>
      <c r="K598">
        <v>62</v>
      </c>
      <c r="L598" s="3">
        <v>8.3333333333333329E-2</v>
      </c>
      <c r="M598" t="s">
        <v>31</v>
      </c>
      <c r="N598" t="s">
        <v>204</v>
      </c>
    </row>
    <row r="599" spans="1:14" x14ac:dyDescent="0.35">
      <c r="A599" t="s">
        <v>64</v>
      </c>
      <c r="B599" s="4">
        <v>41609</v>
      </c>
      <c r="C599" t="s">
        <v>65</v>
      </c>
      <c r="D599">
        <v>21</v>
      </c>
      <c r="E599" s="2">
        <v>41301</v>
      </c>
      <c r="F599" t="s">
        <v>16</v>
      </c>
      <c r="G599" t="s">
        <v>66</v>
      </c>
      <c r="H599" t="s">
        <v>100</v>
      </c>
      <c r="I599" s="3">
        <v>0.20902777777777778</v>
      </c>
      <c r="J599" t="s">
        <v>68</v>
      </c>
      <c r="K599">
        <v>11</v>
      </c>
      <c r="L599" s="3">
        <v>4.1666666666666664E-2</v>
      </c>
      <c r="M599" t="s">
        <v>26</v>
      </c>
      <c r="N599" t="s">
        <v>106</v>
      </c>
    </row>
    <row r="600" spans="1:14" x14ac:dyDescent="0.35">
      <c r="A600" t="s">
        <v>64</v>
      </c>
      <c r="B600" s="4">
        <v>41609</v>
      </c>
      <c r="C600" t="s">
        <v>65</v>
      </c>
      <c r="D600">
        <v>21</v>
      </c>
      <c r="E600" s="2">
        <v>41301</v>
      </c>
      <c r="F600" t="s">
        <v>16</v>
      </c>
      <c r="G600" t="s">
        <v>66</v>
      </c>
      <c r="H600" t="s">
        <v>100</v>
      </c>
      <c r="I600" s="3">
        <v>0.20902777777777778</v>
      </c>
      <c r="J600" t="s">
        <v>68</v>
      </c>
      <c r="K600">
        <v>56</v>
      </c>
      <c r="L600" s="3">
        <v>0.1673611111111111</v>
      </c>
      <c r="M600" t="s">
        <v>31</v>
      </c>
      <c r="N600" t="s">
        <v>208</v>
      </c>
    </row>
    <row r="601" spans="1:14" x14ac:dyDescent="0.35">
      <c r="A601" t="s">
        <v>64</v>
      </c>
      <c r="B601" s="4">
        <v>41609</v>
      </c>
      <c r="C601" t="s">
        <v>65</v>
      </c>
      <c r="D601">
        <v>22</v>
      </c>
      <c r="E601" s="2">
        <v>41308</v>
      </c>
      <c r="F601" t="s">
        <v>24</v>
      </c>
      <c r="G601" t="s">
        <v>66</v>
      </c>
      <c r="H601" t="s">
        <v>148</v>
      </c>
      <c r="I601" s="3">
        <v>4.2361111111111113E-2</v>
      </c>
      <c r="J601" t="s">
        <v>68</v>
      </c>
      <c r="K601">
        <v>39</v>
      </c>
      <c r="L601" s="3">
        <v>4.2361111111111113E-2</v>
      </c>
      <c r="M601" t="s">
        <v>83</v>
      </c>
    </row>
    <row r="602" spans="1:14" x14ac:dyDescent="0.35">
      <c r="A602" t="s">
        <v>14</v>
      </c>
      <c r="B602" s="4">
        <v>41609</v>
      </c>
      <c r="C602" t="s">
        <v>65</v>
      </c>
      <c r="D602">
        <v>23</v>
      </c>
      <c r="E602" s="2">
        <v>41314</v>
      </c>
      <c r="F602" t="s">
        <v>16</v>
      </c>
      <c r="G602" t="s">
        <v>112</v>
      </c>
      <c r="H602" t="s">
        <v>105</v>
      </c>
      <c r="I602" s="3">
        <v>0.1673611111111111</v>
      </c>
      <c r="J602" t="s">
        <v>19</v>
      </c>
      <c r="K602">
        <v>26</v>
      </c>
      <c r="L602" s="3">
        <v>8.3333333333333329E-2</v>
      </c>
      <c r="M602" t="s">
        <v>31</v>
      </c>
      <c r="N602" t="s">
        <v>198</v>
      </c>
    </row>
    <row r="603" spans="1:14" x14ac:dyDescent="0.35">
      <c r="A603" t="s">
        <v>14</v>
      </c>
      <c r="B603" s="4">
        <v>41609</v>
      </c>
      <c r="C603" t="s">
        <v>65</v>
      </c>
      <c r="D603">
        <v>23</v>
      </c>
      <c r="E603" s="2">
        <v>41314</v>
      </c>
      <c r="F603" t="s">
        <v>16</v>
      </c>
      <c r="G603" t="s">
        <v>112</v>
      </c>
      <c r="H603" t="s">
        <v>105</v>
      </c>
      <c r="I603" s="3">
        <v>0.1673611111111111</v>
      </c>
      <c r="J603" t="s">
        <v>19</v>
      </c>
      <c r="K603">
        <v>59</v>
      </c>
      <c r="L603" s="3">
        <v>0.16666666666666666</v>
      </c>
      <c r="M603" t="s">
        <v>26</v>
      </c>
      <c r="N603" t="s">
        <v>188</v>
      </c>
    </row>
    <row r="604" spans="1:14" x14ac:dyDescent="0.35">
      <c r="A604" t="s">
        <v>14</v>
      </c>
      <c r="B604" s="4">
        <v>41609</v>
      </c>
      <c r="C604" t="s">
        <v>65</v>
      </c>
      <c r="D604">
        <v>23</v>
      </c>
      <c r="E604" s="2">
        <v>41314</v>
      </c>
      <c r="F604" t="s">
        <v>16</v>
      </c>
      <c r="G604" t="s">
        <v>112</v>
      </c>
      <c r="H604" t="s">
        <v>105</v>
      </c>
      <c r="I604" s="3">
        <v>0.1673611111111111</v>
      </c>
      <c r="J604" t="s">
        <v>19</v>
      </c>
      <c r="K604">
        <v>46</v>
      </c>
      <c r="L604" s="3">
        <v>0.125</v>
      </c>
      <c r="M604" t="s">
        <v>31</v>
      </c>
      <c r="N604" t="s">
        <v>229</v>
      </c>
    </row>
    <row r="605" spans="1:14" x14ac:dyDescent="0.35">
      <c r="A605" t="s">
        <v>64</v>
      </c>
      <c r="B605" s="4">
        <v>41609</v>
      </c>
      <c r="C605" t="s">
        <v>65</v>
      </c>
      <c r="D605">
        <v>23</v>
      </c>
      <c r="E605" s="2">
        <v>41315</v>
      </c>
      <c r="F605" t="s">
        <v>16</v>
      </c>
      <c r="G605" t="s">
        <v>66</v>
      </c>
      <c r="H605" t="s">
        <v>117</v>
      </c>
      <c r="I605" s="3">
        <v>0.25069444444444444</v>
      </c>
      <c r="J605" t="s">
        <v>68</v>
      </c>
      <c r="K605">
        <v>13</v>
      </c>
      <c r="L605" s="3">
        <v>8.3333333333333329E-2</v>
      </c>
      <c r="M605" t="s">
        <v>31</v>
      </c>
      <c r="N605" t="s">
        <v>213</v>
      </c>
    </row>
    <row r="606" spans="1:14" x14ac:dyDescent="0.35">
      <c r="A606" t="s">
        <v>14</v>
      </c>
      <c r="B606" s="4">
        <v>41609</v>
      </c>
      <c r="C606" t="s">
        <v>75</v>
      </c>
      <c r="D606" t="s">
        <v>143</v>
      </c>
      <c r="E606" s="2">
        <v>41318</v>
      </c>
      <c r="F606" t="s">
        <v>16</v>
      </c>
      <c r="G606" t="s">
        <v>112</v>
      </c>
      <c r="H606" t="s">
        <v>36</v>
      </c>
      <c r="I606" s="3">
        <v>4.2361111111111113E-2</v>
      </c>
      <c r="J606" t="s">
        <v>19</v>
      </c>
      <c r="K606">
        <v>30</v>
      </c>
      <c r="L606" s="3">
        <v>4.2361111111111113E-2</v>
      </c>
      <c r="M606" t="s">
        <v>22</v>
      </c>
      <c r="N606" t="s">
        <v>207</v>
      </c>
    </row>
    <row r="607" spans="1:14" x14ac:dyDescent="0.35">
      <c r="A607" t="s">
        <v>64</v>
      </c>
      <c r="B607" s="4">
        <v>41609</v>
      </c>
      <c r="C607" t="s">
        <v>65</v>
      </c>
      <c r="D607">
        <v>24</v>
      </c>
      <c r="E607" s="2">
        <v>41321</v>
      </c>
      <c r="F607" t="s">
        <v>24</v>
      </c>
      <c r="G607" t="s">
        <v>66</v>
      </c>
      <c r="H607" t="s">
        <v>233</v>
      </c>
      <c r="I607" s="3">
        <v>4.3055555555555555E-2</v>
      </c>
      <c r="J607" t="s">
        <v>68</v>
      </c>
      <c r="K607">
        <v>49</v>
      </c>
      <c r="L607" s="3">
        <v>4.2361111111111113E-2</v>
      </c>
      <c r="M607" t="s">
        <v>31</v>
      </c>
    </row>
    <row r="608" spans="1:14" x14ac:dyDescent="0.35">
      <c r="A608" t="s">
        <v>64</v>
      </c>
      <c r="B608" s="4">
        <v>41609</v>
      </c>
      <c r="C608" t="s">
        <v>65</v>
      </c>
      <c r="D608">
        <v>24</v>
      </c>
      <c r="E608" s="2">
        <v>41321</v>
      </c>
      <c r="F608" t="s">
        <v>24</v>
      </c>
      <c r="G608" t="s">
        <v>66</v>
      </c>
      <c r="H608" t="s">
        <v>233</v>
      </c>
      <c r="I608" s="3">
        <v>4.3055555555555555E-2</v>
      </c>
      <c r="J608" t="s">
        <v>68</v>
      </c>
      <c r="K608">
        <v>72</v>
      </c>
      <c r="L608" s="3">
        <v>4.3055555555555555E-2</v>
      </c>
      <c r="M608" t="s">
        <v>39</v>
      </c>
    </row>
    <row r="609" spans="1:14" x14ac:dyDescent="0.35">
      <c r="A609" t="s">
        <v>64</v>
      </c>
      <c r="B609" s="4">
        <v>41609</v>
      </c>
      <c r="C609" t="s">
        <v>65</v>
      </c>
      <c r="D609">
        <v>25</v>
      </c>
      <c r="E609" s="2">
        <v>41328</v>
      </c>
      <c r="F609" t="s">
        <v>16</v>
      </c>
      <c r="G609" t="s">
        <v>66</v>
      </c>
      <c r="H609" t="s">
        <v>105</v>
      </c>
      <c r="I609" s="3">
        <v>8.4027777777777785E-2</v>
      </c>
      <c r="J609" t="s">
        <v>68</v>
      </c>
      <c r="K609">
        <v>60</v>
      </c>
      <c r="L609" s="3">
        <v>8.4027777777777785E-2</v>
      </c>
      <c r="M609" t="s">
        <v>31</v>
      </c>
      <c r="N609" t="s">
        <v>237</v>
      </c>
    </row>
    <row r="610" spans="1:14" x14ac:dyDescent="0.35">
      <c r="A610" t="s">
        <v>14</v>
      </c>
      <c r="B610" s="4">
        <v>41609</v>
      </c>
      <c r="C610" t="s">
        <v>91</v>
      </c>
      <c r="D610" t="s">
        <v>62</v>
      </c>
      <c r="E610" s="2">
        <v>41331</v>
      </c>
      <c r="F610" t="s">
        <v>24</v>
      </c>
      <c r="G610" t="s">
        <v>112</v>
      </c>
      <c r="H610" t="s">
        <v>66</v>
      </c>
      <c r="I610" s="3">
        <v>4.3749999999999997E-2</v>
      </c>
      <c r="J610" t="s">
        <v>19</v>
      </c>
      <c r="K610">
        <v>12</v>
      </c>
      <c r="L610" s="3">
        <v>6.9444444444444447E-4</v>
      </c>
      <c r="M610" t="s">
        <v>83</v>
      </c>
    </row>
    <row r="611" spans="1:14" x14ac:dyDescent="0.35">
      <c r="A611" t="s">
        <v>14</v>
      </c>
      <c r="B611" s="4">
        <v>41609</v>
      </c>
      <c r="C611" t="s">
        <v>91</v>
      </c>
      <c r="D611" t="s">
        <v>62</v>
      </c>
      <c r="E611" s="2">
        <v>41331</v>
      </c>
      <c r="F611" t="s">
        <v>24</v>
      </c>
      <c r="G611" t="s">
        <v>112</v>
      </c>
      <c r="H611" t="s">
        <v>66</v>
      </c>
      <c r="I611" s="3">
        <v>4.3749999999999997E-2</v>
      </c>
      <c r="J611" t="s">
        <v>19</v>
      </c>
      <c r="K611">
        <v>57</v>
      </c>
      <c r="L611" s="3">
        <v>1.3888888888888889E-3</v>
      </c>
      <c r="M611" t="s">
        <v>31</v>
      </c>
    </row>
    <row r="612" spans="1:14" x14ac:dyDescent="0.35">
      <c r="A612" t="s">
        <v>64</v>
      </c>
      <c r="B612" s="4">
        <v>41609</v>
      </c>
      <c r="C612" t="s">
        <v>65</v>
      </c>
      <c r="D612">
        <v>26</v>
      </c>
      <c r="E612" s="2">
        <v>41335</v>
      </c>
      <c r="F612" t="s">
        <v>24</v>
      </c>
      <c r="G612" t="s">
        <v>66</v>
      </c>
      <c r="H612" t="s">
        <v>112</v>
      </c>
      <c r="I612" s="3">
        <v>8.4027777777777785E-2</v>
      </c>
      <c r="J612" t="s">
        <v>68</v>
      </c>
      <c r="K612">
        <v>18</v>
      </c>
      <c r="L612" s="3">
        <v>4.2361111111111113E-2</v>
      </c>
      <c r="M612" t="s">
        <v>31</v>
      </c>
      <c r="N612" t="s">
        <v>155</v>
      </c>
    </row>
    <row r="613" spans="1:14" x14ac:dyDescent="0.35">
      <c r="A613" t="s">
        <v>14</v>
      </c>
      <c r="B613" s="4">
        <v>41609</v>
      </c>
      <c r="C613" t="s">
        <v>75</v>
      </c>
      <c r="D613" t="s">
        <v>143</v>
      </c>
      <c r="E613" s="2">
        <v>41338</v>
      </c>
      <c r="F613" t="s">
        <v>24</v>
      </c>
      <c r="G613" t="s">
        <v>112</v>
      </c>
      <c r="H613" t="s">
        <v>36</v>
      </c>
      <c r="I613" s="3">
        <v>4.3055555555555555E-2</v>
      </c>
      <c r="J613" t="s">
        <v>19</v>
      </c>
      <c r="K613">
        <v>69</v>
      </c>
      <c r="L613" s="3">
        <v>4.3055555555555555E-2</v>
      </c>
      <c r="M613" t="s">
        <v>26</v>
      </c>
      <c r="N613" t="s">
        <v>188</v>
      </c>
    </row>
    <row r="614" spans="1:14" x14ac:dyDescent="0.35">
      <c r="A614" t="s">
        <v>64</v>
      </c>
      <c r="B614" s="4">
        <v>41609</v>
      </c>
      <c r="C614" t="s">
        <v>65</v>
      </c>
      <c r="D614">
        <v>27</v>
      </c>
      <c r="E614" s="2">
        <v>41342</v>
      </c>
      <c r="F614" t="s">
        <v>16</v>
      </c>
      <c r="G614" t="s">
        <v>66</v>
      </c>
      <c r="H614" t="s">
        <v>115</v>
      </c>
      <c r="I614" s="3">
        <v>8.3333333333333329E-2</v>
      </c>
      <c r="J614" t="s">
        <v>68</v>
      </c>
      <c r="K614">
        <v>88</v>
      </c>
      <c r="L614" s="3">
        <v>8.3333333333333329E-2</v>
      </c>
      <c r="M614" t="s">
        <v>31</v>
      </c>
      <c r="N614" t="s">
        <v>234</v>
      </c>
    </row>
    <row r="615" spans="1:14" x14ac:dyDescent="0.35">
      <c r="A615" t="s">
        <v>14</v>
      </c>
      <c r="B615" s="4">
        <v>41609</v>
      </c>
      <c r="C615" t="s">
        <v>65</v>
      </c>
      <c r="D615">
        <v>27</v>
      </c>
      <c r="E615" s="2">
        <v>41343</v>
      </c>
      <c r="F615" t="s">
        <v>24</v>
      </c>
      <c r="G615" t="s">
        <v>112</v>
      </c>
      <c r="H615" t="s">
        <v>98</v>
      </c>
      <c r="I615" s="3">
        <v>4.3055555555555555E-2</v>
      </c>
      <c r="J615" t="s">
        <v>19</v>
      </c>
      <c r="K615">
        <v>71</v>
      </c>
      <c r="L615" s="3">
        <v>4.3055555555555555E-2</v>
      </c>
      <c r="M615" t="s">
        <v>83</v>
      </c>
    </row>
    <row r="616" spans="1:14" x14ac:dyDescent="0.35">
      <c r="A616" t="s">
        <v>14</v>
      </c>
      <c r="B616" s="4">
        <v>41609</v>
      </c>
      <c r="C616" t="s">
        <v>65</v>
      </c>
      <c r="D616">
        <v>27</v>
      </c>
      <c r="E616" s="2">
        <v>41343</v>
      </c>
      <c r="F616" t="s">
        <v>24</v>
      </c>
      <c r="G616" t="s">
        <v>112</v>
      </c>
      <c r="H616" t="s">
        <v>98</v>
      </c>
      <c r="I616" s="3">
        <v>4.3055555555555555E-2</v>
      </c>
      <c r="J616" t="s">
        <v>19</v>
      </c>
      <c r="K616">
        <v>61</v>
      </c>
      <c r="L616" s="3">
        <v>6.9444444444444447E-4</v>
      </c>
      <c r="M616" t="s">
        <v>31</v>
      </c>
      <c r="N616" t="s">
        <v>244</v>
      </c>
    </row>
    <row r="617" spans="1:14" x14ac:dyDescent="0.35">
      <c r="A617" t="s">
        <v>64</v>
      </c>
      <c r="B617" s="4">
        <v>41609</v>
      </c>
      <c r="C617" t="s">
        <v>75</v>
      </c>
      <c r="D617" t="s">
        <v>143</v>
      </c>
      <c r="E617" s="2">
        <v>41345</v>
      </c>
      <c r="F617" t="s">
        <v>16</v>
      </c>
      <c r="G617" t="s">
        <v>66</v>
      </c>
      <c r="H617" t="s">
        <v>118</v>
      </c>
      <c r="I617" s="3">
        <v>0.16666666666666666</v>
      </c>
      <c r="J617" t="s">
        <v>68</v>
      </c>
      <c r="K617">
        <v>5</v>
      </c>
      <c r="L617" s="3">
        <v>4.1666666666666664E-2</v>
      </c>
      <c r="M617" t="s">
        <v>31</v>
      </c>
      <c r="N617" t="s">
        <v>106</v>
      </c>
    </row>
    <row r="618" spans="1:14" x14ac:dyDescent="0.35">
      <c r="A618" t="s">
        <v>64</v>
      </c>
      <c r="B618" s="4">
        <v>41609</v>
      </c>
      <c r="C618" t="s">
        <v>75</v>
      </c>
      <c r="D618" t="s">
        <v>143</v>
      </c>
      <c r="E618" s="2">
        <v>41345</v>
      </c>
      <c r="F618" t="s">
        <v>16</v>
      </c>
      <c r="G618" t="s">
        <v>66</v>
      </c>
      <c r="H618" t="s">
        <v>118</v>
      </c>
      <c r="I618" s="3">
        <v>0.16666666666666666</v>
      </c>
      <c r="J618" t="s">
        <v>68</v>
      </c>
      <c r="K618">
        <v>40</v>
      </c>
      <c r="L618" s="3">
        <v>8.3333333333333329E-2</v>
      </c>
      <c r="M618" t="s">
        <v>31</v>
      </c>
      <c r="N618" t="s">
        <v>99</v>
      </c>
    </row>
    <row r="619" spans="1:14" x14ac:dyDescent="0.35">
      <c r="A619" t="s">
        <v>14</v>
      </c>
      <c r="B619" s="4">
        <v>41609</v>
      </c>
      <c r="C619" t="s">
        <v>65</v>
      </c>
      <c r="D619">
        <v>28</v>
      </c>
      <c r="E619" s="2">
        <v>41349</v>
      </c>
      <c r="F619" t="s">
        <v>16</v>
      </c>
      <c r="G619" t="s">
        <v>112</v>
      </c>
      <c r="H619" t="s">
        <v>89</v>
      </c>
      <c r="I619" s="3">
        <v>0.20972222222222223</v>
      </c>
      <c r="J619" t="s">
        <v>19</v>
      </c>
      <c r="K619">
        <v>52</v>
      </c>
      <c r="L619" s="3">
        <v>8.4722222222222227E-2</v>
      </c>
      <c r="M619" t="s">
        <v>22</v>
      </c>
      <c r="N619" t="s">
        <v>204</v>
      </c>
    </row>
    <row r="620" spans="1:14" x14ac:dyDescent="0.35">
      <c r="A620" t="s">
        <v>64</v>
      </c>
      <c r="B620" s="4">
        <v>41609</v>
      </c>
      <c r="C620" t="s">
        <v>65</v>
      </c>
      <c r="D620">
        <v>28</v>
      </c>
      <c r="E620" s="2">
        <v>41350</v>
      </c>
      <c r="F620" t="s">
        <v>16</v>
      </c>
      <c r="G620" t="s">
        <v>66</v>
      </c>
      <c r="H620" t="s">
        <v>225</v>
      </c>
      <c r="I620" s="3">
        <v>0.12569444444444444</v>
      </c>
      <c r="J620" t="s">
        <v>68</v>
      </c>
      <c r="K620">
        <v>40</v>
      </c>
      <c r="L620" s="3">
        <v>8.3333333333333329E-2</v>
      </c>
      <c r="M620" t="s">
        <v>31</v>
      </c>
      <c r="N620" t="s">
        <v>208</v>
      </c>
    </row>
    <row r="621" spans="1:14" x14ac:dyDescent="0.35">
      <c r="A621" t="s">
        <v>64</v>
      </c>
      <c r="B621" s="4">
        <v>41609</v>
      </c>
      <c r="C621" t="s">
        <v>65</v>
      </c>
      <c r="D621">
        <v>28</v>
      </c>
      <c r="E621" s="2">
        <v>41350</v>
      </c>
      <c r="F621" t="s">
        <v>16</v>
      </c>
      <c r="G621" t="s">
        <v>66</v>
      </c>
      <c r="H621" t="s">
        <v>225</v>
      </c>
      <c r="I621" s="3">
        <v>0.12569444444444444</v>
      </c>
      <c r="J621" t="s">
        <v>68</v>
      </c>
      <c r="K621">
        <v>57</v>
      </c>
      <c r="L621" s="3">
        <v>0.125</v>
      </c>
      <c r="M621" t="s">
        <v>31</v>
      </c>
      <c r="N621" t="s">
        <v>208</v>
      </c>
    </row>
    <row r="622" spans="1:14" x14ac:dyDescent="0.35">
      <c r="A622" t="s">
        <v>64</v>
      </c>
      <c r="B622" s="4">
        <v>41609</v>
      </c>
      <c r="C622" t="s">
        <v>65</v>
      </c>
      <c r="D622">
        <v>29</v>
      </c>
      <c r="E622" s="2">
        <v>41363</v>
      </c>
      <c r="F622" t="s">
        <v>24</v>
      </c>
      <c r="G622" t="s">
        <v>66</v>
      </c>
      <c r="H622" t="s">
        <v>98</v>
      </c>
      <c r="I622" s="3">
        <v>8.4722222222222227E-2</v>
      </c>
      <c r="J622" t="s">
        <v>251</v>
      </c>
      <c r="K622">
        <v>73</v>
      </c>
      <c r="L622" s="3">
        <v>4.3055555555555555E-2</v>
      </c>
      <c r="M622" t="s">
        <v>31</v>
      </c>
      <c r="N622" t="s">
        <v>237</v>
      </c>
    </row>
    <row r="623" spans="1:14" x14ac:dyDescent="0.35">
      <c r="A623" t="s">
        <v>14</v>
      </c>
      <c r="B623" s="4">
        <v>41609</v>
      </c>
      <c r="C623" t="s">
        <v>65</v>
      </c>
      <c r="D623">
        <v>29</v>
      </c>
      <c r="E623" s="2">
        <v>41363</v>
      </c>
      <c r="F623" t="s">
        <v>24</v>
      </c>
      <c r="G623" t="s">
        <v>112</v>
      </c>
      <c r="H623" t="s">
        <v>93</v>
      </c>
      <c r="I623" s="3">
        <v>4.2361111111111113E-2</v>
      </c>
      <c r="J623" t="s">
        <v>19</v>
      </c>
      <c r="K623">
        <v>38</v>
      </c>
      <c r="L623" s="3">
        <v>4.2361111111111113E-2</v>
      </c>
      <c r="M623" t="s">
        <v>170</v>
      </c>
    </row>
    <row r="624" spans="1:14" x14ac:dyDescent="0.35">
      <c r="A624" t="s">
        <v>64</v>
      </c>
      <c r="B624" s="4">
        <v>41609</v>
      </c>
      <c r="C624" t="s">
        <v>75</v>
      </c>
      <c r="D624" t="s">
        <v>92</v>
      </c>
      <c r="E624" s="2">
        <v>41366</v>
      </c>
      <c r="F624" t="s">
        <v>24</v>
      </c>
      <c r="G624" t="s">
        <v>66</v>
      </c>
      <c r="H624" t="s">
        <v>252</v>
      </c>
      <c r="I624" s="3">
        <v>8.4722222222222227E-2</v>
      </c>
      <c r="J624" t="s">
        <v>68</v>
      </c>
      <c r="K624">
        <v>38</v>
      </c>
      <c r="L624" s="3">
        <v>6.9444444444444447E-4</v>
      </c>
      <c r="M624" t="s">
        <v>31</v>
      </c>
      <c r="N624" t="s">
        <v>155</v>
      </c>
    </row>
    <row r="625" spans="1:14" x14ac:dyDescent="0.35">
      <c r="A625" t="s">
        <v>14</v>
      </c>
      <c r="B625" s="4">
        <v>41609</v>
      </c>
      <c r="C625" t="s">
        <v>75</v>
      </c>
      <c r="D625" t="s">
        <v>92</v>
      </c>
      <c r="E625" s="2">
        <v>41367</v>
      </c>
      <c r="F625" t="s">
        <v>16</v>
      </c>
      <c r="G625" t="s">
        <v>112</v>
      </c>
      <c r="H625" t="s">
        <v>253</v>
      </c>
      <c r="I625" s="3">
        <v>0.125</v>
      </c>
      <c r="J625" t="s">
        <v>19</v>
      </c>
      <c r="K625">
        <v>9</v>
      </c>
      <c r="L625" s="3">
        <v>4.1666666666666664E-2</v>
      </c>
      <c r="M625" t="s">
        <v>31</v>
      </c>
      <c r="N625" t="s">
        <v>204</v>
      </c>
    </row>
    <row r="626" spans="1:14" x14ac:dyDescent="0.35">
      <c r="A626" t="s">
        <v>14</v>
      </c>
      <c r="B626" s="4">
        <v>41609</v>
      </c>
      <c r="C626" t="s">
        <v>65</v>
      </c>
      <c r="D626">
        <v>30</v>
      </c>
      <c r="E626" s="2">
        <v>41370</v>
      </c>
      <c r="F626" t="s">
        <v>16</v>
      </c>
      <c r="G626" t="s">
        <v>112</v>
      </c>
      <c r="H626" t="s">
        <v>127</v>
      </c>
      <c r="I626" s="3">
        <v>0.20902777777777778</v>
      </c>
      <c r="J626" t="s">
        <v>68</v>
      </c>
      <c r="K626">
        <v>84</v>
      </c>
      <c r="L626" s="3">
        <v>0.12569444444444444</v>
      </c>
      <c r="M626" t="s">
        <v>26</v>
      </c>
      <c r="N626" t="s">
        <v>188</v>
      </c>
    </row>
    <row r="627" spans="1:14" x14ac:dyDescent="0.35">
      <c r="A627" t="s">
        <v>14</v>
      </c>
      <c r="B627" s="4">
        <v>41609</v>
      </c>
      <c r="C627" t="s">
        <v>75</v>
      </c>
      <c r="D627" t="s">
        <v>92</v>
      </c>
      <c r="E627" s="2">
        <v>41373</v>
      </c>
      <c r="F627" t="s">
        <v>24</v>
      </c>
      <c r="G627" t="s">
        <v>112</v>
      </c>
      <c r="H627" t="s">
        <v>253</v>
      </c>
      <c r="I627" s="3">
        <v>0.12638888888888888</v>
      </c>
      <c r="J627" t="s">
        <v>19</v>
      </c>
      <c r="K627" t="s">
        <v>141</v>
      </c>
      <c r="L627" s="3">
        <v>0.12638888888888888</v>
      </c>
      <c r="M627" t="s">
        <v>26</v>
      </c>
      <c r="N627" t="s">
        <v>183</v>
      </c>
    </row>
    <row r="628" spans="1:14" x14ac:dyDescent="0.35">
      <c r="A628" t="s">
        <v>14</v>
      </c>
      <c r="B628" s="4">
        <v>41609</v>
      </c>
      <c r="C628" t="s">
        <v>75</v>
      </c>
      <c r="D628" t="s">
        <v>92</v>
      </c>
      <c r="E628" s="2">
        <v>41373</v>
      </c>
      <c r="F628" t="s">
        <v>24</v>
      </c>
      <c r="G628" t="s">
        <v>112</v>
      </c>
      <c r="H628" t="s">
        <v>253</v>
      </c>
      <c r="I628" s="3">
        <v>0.12638888888888888</v>
      </c>
      <c r="J628" t="s">
        <v>19</v>
      </c>
      <c r="K628">
        <v>8</v>
      </c>
      <c r="L628" s="3">
        <v>6.9444444444444447E-4</v>
      </c>
      <c r="M628" t="s">
        <v>26</v>
      </c>
      <c r="N628" t="s">
        <v>219</v>
      </c>
    </row>
    <row r="629" spans="1:14" x14ac:dyDescent="0.35">
      <c r="A629" t="s">
        <v>14</v>
      </c>
      <c r="B629" s="4">
        <v>41609</v>
      </c>
      <c r="C629" t="s">
        <v>65</v>
      </c>
      <c r="D629">
        <v>31</v>
      </c>
      <c r="E629" s="2">
        <v>41378</v>
      </c>
      <c r="F629" t="s">
        <v>24</v>
      </c>
      <c r="G629" t="s">
        <v>112</v>
      </c>
      <c r="H629" t="s">
        <v>86</v>
      </c>
      <c r="I629" s="3">
        <v>2.0833333333333333E-3</v>
      </c>
      <c r="J629" t="s">
        <v>19</v>
      </c>
      <c r="K629">
        <v>2</v>
      </c>
      <c r="L629" s="3">
        <v>6.9444444444444447E-4</v>
      </c>
      <c r="M629" t="s">
        <v>39</v>
      </c>
    </row>
    <row r="630" spans="1:14" x14ac:dyDescent="0.35">
      <c r="A630" t="s">
        <v>14</v>
      </c>
      <c r="B630" s="4">
        <v>41609</v>
      </c>
      <c r="C630" t="s">
        <v>65</v>
      </c>
      <c r="D630">
        <v>31</v>
      </c>
      <c r="E630" s="2">
        <v>41378</v>
      </c>
      <c r="F630" t="s">
        <v>24</v>
      </c>
      <c r="G630" t="s">
        <v>112</v>
      </c>
      <c r="H630" t="s">
        <v>86</v>
      </c>
      <c r="I630" s="3">
        <v>2.0833333333333333E-3</v>
      </c>
      <c r="J630" t="s">
        <v>19</v>
      </c>
      <c r="K630">
        <v>68</v>
      </c>
      <c r="L630" s="3">
        <v>1.3888888888888889E-3</v>
      </c>
      <c r="M630" t="s">
        <v>22</v>
      </c>
      <c r="N630" t="s">
        <v>205</v>
      </c>
    </row>
    <row r="631" spans="1:14" x14ac:dyDescent="0.35">
      <c r="A631" t="s">
        <v>14</v>
      </c>
      <c r="B631" s="4">
        <v>41609</v>
      </c>
      <c r="C631" t="s">
        <v>75</v>
      </c>
      <c r="D631" t="s">
        <v>62</v>
      </c>
      <c r="E631" s="2">
        <v>41388</v>
      </c>
      <c r="F631" t="s">
        <v>24</v>
      </c>
      <c r="G631" t="s">
        <v>112</v>
      </c>
      <c r="H631" t="s">
        <v>246</v>
      </c>
      <c r="I631" s="3">
        <v>0.1673611111111111</v>
      </c>
      <c r="J631" t="s">
        <v>19</v>
      </c>
      <c r="K631">
        <v>43</v>
      </c>
      <c r="L631" s="3">
        <v>4.2361111111111113E-2</v>
      </c>
      <c r="M631" t="s">
        <v>26</v>
      </c>
      <c r="N631" t="s">
        <v>188</v>
      </c>
    </row>
    <row r="632" spans="1:14" x14ac:dyDescent="0.35">
      <c r="A632" t="s">
        <v>64</v>
      </c>
      <c r="B632" s="4">
        <v>41609</v>
      </c>
      <c r="C632" t="s">
        <v>65</v>
      </c>
      <c r="D632">
        <v>33</v>
      </c>
      <c r="E632" s="2">
        <v>41391</v>
      </c>
      <c r="F632" t="s">
        <v>24</v>
      </c>
      <c r="G632" t="s">
        <v>66</v>
      </c>
      <c r="H632" t="s">
        <v>86</v>
      </c>
      <c r="I632" s="3">
        <v>8.4722222222222227E-2</v>
      </c>
      <c r="J632" t="s">
        <v>68</v>
      </c>
      <c r="K632">
        <v>67</v>
      </c>
      <c r="L632" s="3">
        <v>4.2361111111111113E-2</v>
      </c>
      <c r="M632" t="s">
        <v>31</v>
      </c>
      <c r="N632" t="s">
        <v>213</v>
      </c>
    </row>
    <row r="633" spans="1:14" x14ac:dyDescent="0.35">
      <c r="A633" t="s">
        <v>14</v>
      </c>
      <c r="B633" s="4">
        <v>41609</v>
      </c>
      <c r="C633" t="s">
        <v>65</v>
      </c>
      <c r="D633">
        <v>34</v>
      </c>
      <c r="E633" s="2">
        <v>41398</v>
      </c>
      <c r="F633" t="s">
        <v>16</v>
      </c>
      <c r="G633" t="s">
        <v>112</v>
      </c>
      <c r="H633" t="s">
        <v>197</v>
      </c>
      <c r="I633" s="3">
        <v>0.16875000000000001</v>
      </c>
      <c r="J633" t="s">
        <v>19</v>
      </c>
      <c r="K633">
        <v>32</v>
      </c>
      <c r="L633" s="3">
        <v>8.4027777777777785E-2</v>
      </c>
      <c r="M633" t="s">
        <v>22</v>
      </c>
      <c r="N633" t="s">
        <v>207</v>
      </c>
    </row>
    <row r="634" spans="1:14" x14ac:dyDescent="0.35">
      <c r="A634" t="s">
        <v>14</v>
      </c>
      <c r="B634" s="4">
        <v>41609</v>
      </c>
      <c r="C634" t="s">
        <v>65</v>
      </c>
      <c r="D634">
        <v>34</v>
      </c>
      <c r="E634" s="2">
        <v>41398</v>
      </c>
      <c r="F634" t="s">
        <v>16</v>
      </c>
      <c r="G634" t="s">
        <v>112</v>
      </c>
      <c r="H634" t="s">
        <v>197</v>
      </c>
      <c r="I634" s="3">
        <v>0.16875000000000001</v>
      </c>
      <c r="J634" t="s">
        <v>19</v>
      </c>
      <c r="K634">
        <v>70</v>
      </c>
      <c r="L634" s="3">
        <v>0.16805555555555557</v>
      </c>
      <c r="M634" t="s">
        <v>22</v>
      </c>
      <c r="N634" t="s">
        <v>204</v>
      </c>
    </row>
    <row r="635" spans="1:14" x14ac:dyDescent="0.35">
      <c r="A635" t="s">
        <v>64</v>
      </c>
      <c r="B635" s="4">
        <v>41609</v>
      </c>
      <c r="C635" t="s">
        <v>65</v>
      </c>
      <c r="D635">
        <v>34</v>
      </c>
      <c r="E635" s="2">
        <v>41399</v>
      </c>
      <c r="F635" t="s">
        <v>16</v>
      </c>
      <c r="G635" t="s">
        <v>66</v>
      </c>
      <c r="H635" t="s">
        <v>95</v>
      </c>
      <c r="I635" s="3">
        <v>0.16805555555555557</v>
      </c>
      <c r="J635" t="s">
        <v>68</v>
      </c>
      <c r="K635">
        <v>60</v>
      </c>
      <c r="L635" s="3">
        <v>0.12638888888888888</v>
      </c>
      <c r="M635" t="s">
        <v>39</v>
      </c>
    </row>
    <row r="636" spans="1:14" x14ac:dyDescent="0.35">
      <c r="A636" t="s">
        <v>64</v>
      </c>
      <c r="B636" s="4">
        <v>41609</v>
      </c>
      <c r="C636" t="s">
        <v>65</v>
      </c>
      <c r="D636">
        <v>34</v>
      </c>
      <c r="E636" s="2">
        <v>41399</v>
      </c>
      <c r="F636" t="s">
        <v>16</v>
      </c>
      <c r="G636" t="s">
        <v>66</v>
      </c>
      <c r="H636" t="s">
        <v>95</v>
      </c>
      <c r="I636" s="3">
        <v>0.16805555555555557</v>
      </c>
      <c r="J636" t="s">
        <v>68</v>
      </c>
      <c r="K636">
        <v>71</v>
      </c>
      <c r="L636" s="3">
        <v>0.16805555555555557</v>
      </c>
      <c r="M636" t="s">
        <v>31</v>
      </c>
      <c r="N636" t="s">
        <v>234</v>
      </c>
    </row>
    <row r="637" spans="1:14" x14ac:dyDescent="0.35">
      <c r="A637" t="s">
        <v>14</v>
      </c>
      <c r="B637" s="4">
        <v>41609</v>
      </c>
      <c r="C637" t="s">
        <v>65</v>
      </c>
      <c r="D637">
        <v>36</v>
      </c>
      <c r="E637" s="2">
        <v>41402</v>
      </c>
      <c r="F637" t="s">
        <v>16</v>
      </c>
      <c r="G637" t="s">
        <v>112</v>
      </c>
      <c r="H637" t="s">
        <v>157</v>
      </c>
      <c r="I637" s="3">
        <v>0.25138888888888888</v>
      </c>
      <c r="J637" t="s">
        <v>249</v>
      </c>
      <c r="K637">
        <v>26</v>
      </c>
      <c r="L637" s="3">
        <v>8.4027777777777785E-2</v>
      </c>
      <c r="M637" t="s">
        <v>26</v>
      </c>
      <c r="N637" t="s">
        <v>205</v>
      </c>
    </row>
    <row r="638" spans="1:14" x14ac:dyDescent="0.35">
      <c r="A638" t="s">
        <v>14</v>
      </c>
      <c r="B638" s="4">
        <v>41609</v>
      </c>
      <c r="C638" t="s">
        <v>91</v>
      </c>
      <c r="D638" t="s">
        <v>46</v>
      </c>
      <c r="E638" s="2">
        <v>41411</v>
      </c>
      <c r="F638" t="s">
        <v>24</v>
      </c>
      <c r="G638" t="s">
        <v>112</v>
      </c>
      <c r="H638" t="s">
        <v>119</v>
      </c>
      <c r="I638" t="s">
        <v>254</v>
      </c>
      <c r="J638" t="s">
        <v>19</v>
      </c>
      <c r="K638">
        <v>14</v>
      </c>
      <c r="L638" s="3">
        <v>6.9444444444444447E-4</v>
      </c>
      <c r="M638" t="s">
        <v>22</v>
      </c>
      <c r="N638" t="s">
        <v>250</v>
      </c>
    </row>
    <row r="639" spans="1:14" x14ac:dyDescent="0.35">
      <c r="A639" t="s">
        <v>64</v>
      </c>
      <c r="B639" t="s">
        <v>255</v>
      </c>
      <c r="C639" t="s">
        <v>65</v>
      </c>
      <c r="D639">
        <v>1</v>
      </c>
      <c r="E639" s="2">
        <v>41504</v>
      </c>
      <c r="F639" t="s">
        <v>16</v>
      </c>
      <c r="G639" t="s">
        <v>66</v>
      </c>
      <c r="H639" t="s">
        <v>127</v>
      </c>
      <c r="I639" s="3">
        <v>0.29166666666666669</v>
      </c>
      <c r="J639" t="s">
        <v>68</v>
      </c>
      <c r="K639">
        <v>42</v>
      </c>
      <c r="L639" s="3">
        <v>0.20833333333333334</v>
      </c>
      <c r="M639" t="s">
        <v>83</v>
      </c>
    </row>
    <row r="640" spans="1:14" x14ac:dyDescent="0.35">
      <c r="A640" t="s">
        <v>64</v>
      </c>
      <c r="B640" t="s">
        <v>255</v>
      </c>
      <c r="C640" t="s">
        <v>65</v>
      </c>
      <c r="D640">
        <v>1</v>
      </c>
      <c r="E640" s="2">
        <v>41504</v>
      </c>
      <c r="F640" t="s">
        <v>16</v>
      </c>
      <c r="G640" t="s">
        <v>66</v>
      </c>
      <c r="H640" t="s">
        <v>127</v>
      </c>
      <c r="I640" s="3">
        <v>0.29166666666666669</v>
      </c>
      <c r="J640" t="s">
        <v>68</v>
      </c>
      <c r="K640">
        <v>13</v>
      </c>
      <c r="L640" s="3">
        <v>8.3333333333333329E-2</v>
      </c>
      <c r="M640" t="s">
        <v>31</v>
      </c>
      <c r="N640" t="s">
        <v>186</v>
      </c>
    </row>
    <row r="641" spans="1:14" x14ac:dyDescent="0.35">
      <c r="A641" t="s">
        <v>14</v>
      </c>
      <c r="B641" t="s">
        <v>255</v>
      </c>
      <c r="C641" t="s">
        <v>65</v>
      </c>
      <c r="D641">
        <v>3</v>
      </c>
      <c r="E641" s="2">
        <v>41518</v>
      </c>
      <c r="F641" t="s">
        <v>16</v>
      </c>
      <c r="G641" t="s">
        <v>112</v>
      </c>
      <c r="H641" t="s">
        <v>86</v>
      </c>
      <c r="I641" s="3">
        <v>0.12569444444444444</v>
      </c>
      <c r="J641" t="s">
        <v>19</v>
      </c>
      <c r="K641">
        <v>45</v>
      </c>
      <c r="L641" s="3">
        <v>8.3333333333333329E-2</v>
      </c>
      <c r="M641" t="s">
        <v>22</v>
      </c>
      <c r="N641" t="s">
        <v>207</v>
      </c>
    </row>
    <row r="642" spans="1:14" x14ac:dyDescent="0.35">
      <c r="A642" t="s">
        <v>64</v>
      </c>
      <c r="B642" t="s">
        <v>255</v>
      </c>
      <c r="C642" t="s">
        <v>65</v>
      </c>
      <c r="D642">
        <v>3</v>
      </c>
      <c r="E642" s="2">
        <v>41518</v>
      </c>
      <c r="F642" t="s">
        <v>24</v>
      </c>
      <c r="G642" t="s">
        <v>66</v>
      </c>
      <c r="H642" t="s">
        <v>148</v>
      </c>
      <c r="I642" s="3">
        <v>8.5416666666666669E-2</v>
      </c>
      <c r="J642" t="s">
        <v>68</v>
      </c>
      <c r="K642">
        <v>41</v>
      </c>
      <c r="L642" s="3">
        <v>2.0833333333333333E-3</v>
      </c>
      <c r="M642" t="s">
        <v>31</v>
      </c>
      <c r="N642" t="s">
        <v>256</v>
      </c>
    </row>
    <row r="643" spans="1:14" x14ac:dyDescent="0.35">
      <c r="A643" t="s">
        <v>64</v>
      </c>
      <c r="B643" t="s">
        <v>255</v>
      </c>
      <c r="C643" t="s">
        <v>65</v>
      </c>
      <c r="D643">
        <v>3</v>
      </c>
      <c r="E643" s="2">
        <v>41518</v>
      </c>
      <c r="F643" t="s">
        <v>24</v>
      </c>
      <c r="G643" t="s">
        <v>66</v>
      </c>
      <c r="H643" t="s">
        <v>148</v>
      </c>
      <c r="I643" s="3">
        <v>8.5416666666666669E-2</v>
      </c>
      <c r="J643" t="s">
        <v>68</v>
      </c>
      <c r="K643">
        <v>39</v>
      </c>
      <c r="L643" s="3">
        <v>1.3888888888888889E-3</v>
      </c>
      <c r="M643" t="s">
        <v>26</v>
      </c>
      <c r="N643" t="s">
        <v>224</v>
      </c>
    </row>
    <row r="644" spans="1:14" x14ac:dyDescent="0.35">
      <c r="A644" t="s">
        <v>64</v>
      </c>
      <c r="B644" t="s">
        <v>255</v>
      </c>
      <c r="C644" t="s">
        <v>65</v>
      </c>
      <c r="D644">
        <v>3</v>
      </c>
      <c r="E644" s="2">
        <v>41518</v>
      </c>
      <c r="F644" t="s">
        <v>24</v>
      </c>
      <c r="G644" t="s">
        <v>66</v>
      </c>
      <c r="H644" t="s">
        <v>148</v>
      </c>
      <c r="I644" s="3">
        <v>8.5416666666666669E-2</v>
      </c>
      <c r="J644" t="s">
        <v>68</v>
      </c>
      <c r="K644">
        <v>11</v>
      </c>
      <c r="L644" s="3">
        <v>6.9444444444444447E-4</v>
      </c>
      <c r="M644" t="s">
        <v>31</v>
      </c>
      <c r="N644" t="s">
        <v>224</v>
      </c>
    </row>
    <row r="645" spans="1:14" x14ac:dyDescent="0.35">
      <c r="A645" t="s">
        <v>64</v>
      </c>
      <c r="B645" t="s">
        <v>255</v>
      </c>
      <c r="C645" t="s">
        <v>65</v>
      </c>
      <c r="D645">
        <v>4</v>
      </c>
      <c r="E645" s="2">
        <v>41531</v>
      </c>
      <c r="F645" t="s">
        <v>16</v>
      </c>
      <c r="G645" t="s">
        <v>66</v>
      </c>
      <c r="H645" t="s">
        <v>105</v>
      </c>
      <c r="I645" s="3">
        <v>0.12638888888888888</v>
      </c>
      <c r="J645" t="s">
        <v>68</v>
      </c>
      <c r="K645">
        <v>75</v>
      </c>
      <c r="L645" s="3">
        <v>8.3333333333333329E-2</v>
      </c>
      <c r="M645" t="s">
        <v>31</v>
      </c>
      <c r="N645" t="s">
        <v>256</v>
      </c>
    </row>
    <row r="646" spans="1:14" x14ac:dyDescent="0.35">
      <c r="A646" t="s">
        <v>14</v>
      </c>
      <c r="B646" t="s">
        <v>255</v>
      </c>
      <c r="C646" t="s">
        <v>65</v>
      </c>
      <c r="D646">
        <v>4</v>
      </c>
      <c r="E646" s="2">
        <v>41531</v>
      </c>
      <c r="F646" t="s">
        <v>24</v>
      </c>
      <c r="G646" t="s">
        <v>112</v>
      </c>
      <c r="H646" t="s">
        <v>180</v>
      </c>
      <c r="I646" s="3">
        <v>8.4722222222222227E-2</v>
      </c>
      <c r="J646" t="s">
        <v>19</v>
      </c>
      <c r="K646">
        <v>64</v>
      </c>
      <c r="L646" s="3">
        <v>4.3055555555555555E-2</v>
      </c>
      <c r="M646" t="s">
        <v>26</v>
      </c>
    </row>
    <row r="647" spans="1:14" x14ac:dyDescent="0.35">
      <c r="A647" t="s">
        <v>14</v>
      </c>
      <c r="B647" t="s">
        <v>255</v>
      </c>
      <c r="C647" t="s">
        <v>75</v>
      </c>
      <c r="D647" t="s">
        <v>76</v>
      </c>
      <c r="E647" s="2">
        <v>41534</v>
      </c>
      <c r="F647" t="s">
        <v>24</v>
      </c>
      <c r="G647" t="s">
        <v>112</v>
      </c>
      <c r="H647" t="s">
        <v>253</v>
      </c>
      <c r="I647" s="3">
        <v>4.583333333333333E-2</v>
      </c>
      <c r="J647" t="s">
        <v>19</v>
      </c>
      <c r="K647">
        <v>90</v>
      </c>
      <c r="L647" s="3">
        <v>4.583333333333333E-2</v>
      </c>
      <c r="M647" t="s">
        <v>31</v>
      </c>
      <c r="N647" t="s">
        <v>183</v>
      </c>
    </row>
    <row r="648" spans="1:14" x14ac:dyDescent="0.35">
      <c r="A648" t="s">
        <v>14</v>
      </c>
      <c r="B648" t="s">
        <v>255</v>
      </c>
      <c r="C648" t="s">
        <v>75</v>
      </c>
      <c r="D648" t="s">
        <v>76</v>
      </c>
      <c r="E648" s="2">
        <v>41534</v>
      </c>
      <c r="F648" t="s">
        <v>24</v>
      </c>
      <c r="G648" t="s">
        <v>112</v>
      </c>
      <c r="H648" t="s">
        <v>253</v>
      </c>
      <c r="I648" s="3">
        <v>4.583333333333333E-2</v>
      </c>
      <c r="J648" t="s">
        <v>19</v>
      </c>
      <c r="K648">
        <v>66</v>
      </c>
      <c r="L648" s="3">
        <v>2.7777777777777779E-3</v>
      </c>
      <c r="M648" t="s">
        <v>55</v>
      </c>
      <c r="N648" t="s">
        <v>202</v>
      </c>
    </row>
    <row r="649" spans="1:14" x14ac:dyDescent="0.35">
      <c r="A649" t="s">
        <v>14</v>
      </c>
      <c r="B649" t="s">
        <v>255</v>
      </c>
      <c r="C649" t="s">
        <v>75</v>
      </c>
      <c r="D649" t="s">
        <v>76</v>
      </c>
      <c r="E649" s="2">
        <v>41534</v>
      </c>
      <c r="F649" t="s">
        <v>24</v>
      </c>
      <c r="G649" t="s">
        <v>112</v>
      </c>
      <c r="H649" t="s">
        <v>253</v>
      </c>
      <c r="I649" s="3">
        <v>4.583333333333333E-2</v>
      </c>
      <c r="J649" t="s">
        <v>19</v>
      </c>
      <c r="K649">
        <v>63</v>
      </c>
      <c r="L649" s="3">
        <v>2.0833333333333333E-3</v>
      </c>
      <c r="M649" t="s">
        <v>31</v>
      </c>
      <c r="N649" t="s">
        <v>257</v>
      </c>
    </row>
    <row r="650" spans="1:14" x14ac:dyDescent="0.35">
      <c r="A650" t="s">
        <v>64</v>
      </c>
      <c r="B650" t="s">
        <v>255</v>
      </c>
      <c r="C650" t="s">
        <v>75</v>
      </c>
      <c r="D650" t="s">
        <v>76</v>
      </c>
      <c r="E650" s="2">
        <v>41535</v>
      </c>
      <c r="F650" t="s">
        <v>16</v>
      </c>
      <c r="G650" t="s">
        <v>66</v>
      </c>
      <c r="H650" t="s">
        <v>214</v>
      </c>
      <c r="I650" s="3">
        <v>0.16666666666666666</v>
      </c>
      <c r="J650" t="s">
        <v>68</v>
      </c>
      <c r="K650">
        <v>75</v>
      </c>
      <c r="L650" s="3">
        <v>0.16666666666666666</v>
      </c>
      <c r="M650" t="s">
        <v>31</v>
      </c>
      <c r="N650" t="s">
        <v>106</v>
      </c>
    </row>
    <row r="651" spans="1:14" x14ac:dyDescent="0.35">
      <c r="A651" t="s">
        <v>64</v>
      </c>
      <c r="B651" t="s">
        <v>255</v>
      </c>
      <c r="C651" t="s">
        <v>75</v>
      </c>
      <c r="D651" t="s">
        <v>76</v>
      </c>
      <c r="E651" s="2">
        <v>41535</v>
      </c>
      <c r="F651" t="s">
        <v>16</v>
      </c>
      <c r="G651" t="s">
        <v>66</v>
      </c>
      <c r="H651" t="s">
        <v>214</v>
      </c>
      <c r="I651" s="3">
        <v>0.16666666666666666</v>
      </c>
      <c r="J651" t="s">
        <v>68</v>
      </c>
      <c r="K651">
        <v>55</v>
      </c>
      <c r="L651" s="3">
        <v>8.3333333333333329E-2</v>
      </c>
      <c r="M651" t="s">
        <v>31</v>
      </c>
      <c r="N651" t="s">
        <v>222</v>
      </c>
    </row>
    <row r="652" spans="1:14" x14ac:dyDescent="0.35">
      <c r="A652" t="s">
        <v>64</v>
      </c>
      <c r="B652" t="s">
        <v>255</v>
      </c>
      <c r="C652" t="s">
        <v>75</v>
      </c>
      <c r="D652" t="s">
        <v>76</v>
      </c>
      <c r="E652" s="2">
        <v>41535</v>
      </c>
      <c r="F652" t="s">
        <v>16</v>
      </c>
      <c r="G652" t="s">
        <v>66</v>
      </c>
      <c r="H652" t="s">
        <v>214</v>
      </c>
      <c r="I652" s="3">
        <v>0.16666666666666666</v>
      </c>
      <c r="J652" t="s">
        <v>68</v>
      </c>
      <c r="K652">
        <v>22</v>
      </c>
      <c r="L652" s="3">
        <v>4.1666666666666664E-2</v>
      </c>
      <c r="M652" t="s">
        <v>39</v>
      </c>
    </row>
    <row r="653" spans="1:14" x14ac:dyDescent="0.35">
      <c r="A653" t="s">
        <v>14</v>
      </c>
      <c r="B653" t="s">
        <v>255</v>
      </c>
      <c r="C653" t="s">
        <v>65</v>
      </c>
      <c r="D653">
        <v>5</v>
      </c>
      <c r="E653" s="2">
        <v>41539</v>
      </c>
      <c r="F653" t="s">
        <v>16</v>
      </c>
      <c r="G653" t="s">
        <v>112</v>
      </c>
      <c r="H653" t="s">
        <v>117</v>
      </c>
      <c r="I653" s="3">
        <v>0.1673611111111111</v>
      </c>
      <c r="J653" t="s">
        <v>19</v>
      </c>
      <c r="K653">
        <v>90</v>
      </c>
      <c r="L653" s="3">
        <v>0.1673611111111111</v>
      </c>
      <c r="M653" t="s">
        <v>26</v>
      </c>
      <c r="N653" t="s">
        <v>219</v>
      </c>
    </row>
    <row r="654" spans="1:14" x14ac:dyDescent="0.35">
      <c r="A654" t="s">
        <v>14</v>
      </c>
      <c r="B654" t="s">
        <v>255</v>
      </c>
      <c r="C654" t="s">
        <v>65</v>
      </c>
      <c r="D654">
        <v>5</v>
      </c>
      <c r="E654" s="2">
        <v>41539</v>
      </c>
      <c r="F654" t="s">
        <v>16</v>
      </c>
      <c r="G654" t="s">
        <v>112</v>
      </c>
      <c r="H654" t="s">
        <v>117</v>
      </c>
      <c r="I654" s="3">
        <v>0.1673611111111111</v>
      </c>
      <c r="J654" t="s">
        <v>19</v>
      </c>
      <c r="K654">
        <v>34</v>
      </c>
      <c r="L654" s="3">
        <v>8.4027777777777785E-2</v>
      </c>
      <c r="M654" t="s">
        <v>83</v>
      </c>
    </row>
    <row r="655" spans="1:14" x14ac:dyDescent="0.35">
      <c r="A655" t="s">
        <v>64</v>
      </c>
      <c r="B655" t="s">
        <v>255</v>
      </c>
      <c r="C655" t="s">
        <v>65</v>
      </c>
      <c r="D655">
        <v>6</v>
      </c>
      <c r="E655" s="2">
        <v>41541</v>
      </c>
      <c r="F655" t="s">
        <v>16</v>
      </c>
      <c r="G655" t="s">
        <v>66</v>
      </c>
      <c r="H655" t="s">
        <v>217</v>
      </c>
      <c r="I655" s="3">
        <v>0.1673611111111111</v>
      </c>
      <c r="J655" t="s">
        <v>68</v>
      </c>
      <c r="K655">
        <v>8</v>
      </c>
      <c r="L655" s="3">
        <v>8.3333333333333329E-2</v>
      </c>
      <c r="M655" t="s">
        <v>22</v>
      </c>
      <c r="N655" t="s">
        <v>256</v>
      </c>
    </row>
    <row r="656" spans="1:14" x14ac:dyDescent="0.35">
      <c r="A656" t="s">
        <v>14</v>
      </c>
      <c r="B656" t="s">
        <v>255</v>
      </c>
      <c r="C656" t="s">
        <v>65</v>
      </c>
      <c r="D656">
        <v>6</v>
      </c>
      <c r="E656" s="2">
        <v>41542</v>
      </c>
      <c r="F656" t="s">
        <v>24</v>
      </c>
      <c r="G656" t="s">
        <v>112</v>
      </c>
      <c r="H656" t="s">
        <v>258</v>
      </c>
      <c r="I656" s="3">
        <v>4.3055555555555555E-2</v>
      </c>
      <c r="J656" t="s">
        <v>19</v>
      </c>
      <c r="K656">
        <v>51</v>
      </c>
      <c r="L656" s="3">
        <v>6.9444444444444447E-4</v>
      </c>
      <c r="M656" t="s">
        <v>39</v>
      </c>
    </row>
    <row r="657" spans="1:14" x14ac:dyDescent="0.35">
      <c r="A657" t="s">
        <v>14</v>
      </c>
      <c r="B657" t="s">
        <v>255</v>
      </c>
      <c r="C657" t="s">
        <v>65</v>
      </c>
      <c r="D657">
        <v>6</v>
      </c>
      <c r="E657" s="2">
        <v>41542</v>
      </c>
      <c r="F657" t="s">
        <v>24</v>
      </c>
      <c r="G657" t="s">
        <v>112</v>
      </c>
      <c r="H657" t="s">
        <v>258</v>
      </c>
      <c r="I657" s="3">
        <v>4.3055555555555555E-2</v>
      </c>
      <c r="J657" t="s">
        <v>19</v>
      </c>
      <c r="K657" t="s">
        <v>259</v>
      </c>
      <c r="L657" s="3">
        <v>4.3055555555555555E-2</v>
      </c>
      <c r="M657" t="s">
        <v>83</v>
      </c>
    </row>
    <row r="658" spans="1:14" x14ac:dyDescent="0.35">
      <c r="A658" t="s">
        <v>64</v>
      </c>
      <c r="B658" t="s">
        <v>255</v>
      </c>
      <c r="C658" t="s">
        <v>65</v>
      </c>
      <c r="D658">
        <v>7</v>
      </c>
      <c r="E658" s="2">
        <v>41545</v>
      </c>
      <c r="F658" t="s">
        <v>24</v>
      </c>
      <c r="G658" t="s">
        <v>66</v>
      </c>
      <c r="H658" t="s">
        <v>131</v>
      </c>
      <c r="I658" s="3">
        <v>1.3888888888888889E-3</v>
      </c>
      <c r="J658" t="s">
        <v>68</v>
      </c>
      <c r="K658">
        <v>21</v>
      </c>
      <c r="L658" s="3">
        <v>6.9444444444444447E-4</v>
      </c>
      <c r="M658" t="s">
        <v>31</v>
      </c>
      <c r="N658" t="s">
        <v>186</v>
      </c>
    </row>
    <row r="659" spans="1:14" x14ac:dyDescent="0.35">
      <c r="A659" t="s">
        <v>14</v>
      </c>
      <c r="B659" t="s">
        <v>255</v>
      </c>
      <c r="C659" t="s">
        <v>75</v>
      </c>
      <c r="D659" t="s">
        <v>76</v>
      </c>
      <c r="E659" s="2">
        <v>41549</v>
      </c>
      <c r="F659" t="s">
        <v>16</v>
      </c>
      <c r="G659" t="s">
        <v>112</v>
      </c>
      <c r="H659" t="s">
        <v>206</v>
      </c>
      <c r="I659" s="3">
        <v>0.16666666666666666</v>
      </c>
      <c r="J659" t="s">
        <v>19</v>
      </c>
      <c r="K659">
        <v>21</v>
      </c>
      <c r="L659" s="3">
        <v>4.1666666666666664E-2</v>
      </c>
      <c r="M659" t="s">
        <v>22</v>
      </c>
      <c r="N659" t="s">
        <v>201</v>
      </c>
    </row>
    <row r="660" spans="1:14" x14ac:dyDescent="0.35">
      <c r="A660" t="s">
        <v>14</v>
      </c>
      <c r="B660" t="s">
        <v>255</v>
      </c>
      <c r="C660" t="s">
        <v>75</v>
      </c>
      <c r="D660" t="s">
        <v>76</v>
      </c>
      <c r="E660" s="2">
        <v>41549</v>
      </c>
      <c r="F660" t="s">
        <v>16</v>
      </c>
      <c r="G660" t="s">
        <v>112</v>
      </c>
      <c r="H660" t="s">
        <v>206</v>
      </c>
      <c r="I660" s="3">
        <v>0.16666666666666666</v>
      </c>
      <c r="J660" t="s">
        <v>19</v>
      </c>
      <c r="K660">
        <v>65</v>
      </c>
      <c r="L660" s="3">
        <v>8.3333333333333329E-2</v>
      </c>
      <c r="M660" t="s">
        <v>22</v>
      </c>
      <c r="N660" t="s">
        <v>207</v>
      </c>
    </row>
    <row r="661" spans="1:14" x14ac:dyDescent="0.35">
      <c r="A661" t="s">
        <v>14</v>
      </c>
      <c r="B661" t="s">
        <v>255</v>
      </c>
      <c r="C661" t="s">
        <v>65</v>
      </c>
      <c r="D661">
        <v>8</v>
      </c>
      <c r="E661" s="2">
        <v>41552</v>
      </c>
      <c r="F661" t="s">
        <v>24</v>
      </c>
      <c r="G661" t="s">
        <v>112</v>
      </c>
      <c r="H661" t="s">
        <v>127</v>
      </c>
      <c r="I661" s="3">
        <v>8.5416666666666669E-2</v>
      </c>
      <c r="J661" t="s">
        <v>19</v>
      </c>
      <c r="K661" t="s">
        <v>239</v>
      </c>
      <c r="L661" s="3">
        <v>8.5416666666666669E-2</v>
      </c>
      <c r="M661" t="s">
        <v>26</v>
      </c>
      <c r="N661" t="s">
        <v>250</v>
      </c>
    </row>
    <row r="662" spans="1:14" x14ac:dyDescent="0.35">
      <c r="A662" t="s">
        <v>14</v>
      </c>
      <c r="B662" t="s">
        <v>255</v>
      </c>
      <c r="C662" t="s">
        <v>65</v>
      </c>
      <c r="D662">
        <v>9</v>
      </c>
      <c r="E662" s="2">
        <v>41566</v>
      </c>
      <c r="F662" t="s">
        <v>16</v>
      </c>
      <c r="G662" t="s">
        <v>112</v>
      </c>
      <c r="H662" t="s">
        <v>157</v>
      </c>
      <c r="I662" s="3">
        <v>8.3333333333333329E-2</v>
      </c>
      <c r="J662" t="s">
        <v>19</v>
      </c>
      <c r="K662" t="s">
        <v>69</v>
      </c>
      <c r="L662" s="3">
        <v>8.3333333333333329E-2</v>
      </c>
      <c r="M662" t="s">
        <v>83</v>
      </c>
    </row>
    <row r="663" spans="1:14" x14ac:dyDescent="0.35">
      <c r="A663" t="s">
        <v>64</v>
      </c>
      <c r="B663" t="s">
        <v>255</v>
      </c>
      <c r="C663" t="s">
        <v>75</v>
      </c>
      <c r="D663" t="s">
        <v>76</v>
      </c>
      <c r="E663" s="2">
        <v>41569</v>
      </c>
      <c r="F663" t="s">
        <v>24</v>
      </c>
      <c r="G663" t="s">
        <v>66</v>
      </c>
      <c r="H663" t="s">
        <v>118</v>
      </c>
      <c r="I663" s="3">
        <v>4.2361111111111113E-2</v>
      </c>
      <c r="J663" t="s">
        <v>68</v>
      </c>
      <c r="K663">
        <v>23</v>
      </c>
      <c r="L663" s="3">
        <v>4.2361111111111113E-2</v>
      </c>
      <c r="M663" t="s">
        <v>31</v>
      </c>
      <c r="N663" t="s">
        <v>99</v>
      </c>
    </row>
    <row r="664" spans="1:14" x14ac:dyDescent="0.35">
      <c r="A664" t="s">
        <v>14</v>
      </c>
      <c r="B664" t="s">
        <v>255</v>
      </c>
      <c r="C664" t="s">
        <v>75</v>
      </c>
      <c r="D664" t="s">
        <v>76</v>
      </c>
      <c r="E664" s="2">
        <v>41570</v>
      </c>
      <c r="F664" t="s">
        <v>16</v>
      </c>
      <c r="G664" t="s">
        <v>112</v>
      </c>
      <c r="H664" t="s">
        <v>260</v>
      </c>
      <c r="I664" s="3">
        <v>8.4027777777777785E-2</v>
      </c>
      <c r="J664" t="s">
        <v>19</v>
      </c>
      <c r="K664">
        <v>29</v>
      </c>
      <c r="L664" s="3">
        <v>8.4027777777777785E-2</v>
      </c>
      <c r="M664" t="s">
        <v>83</v>
      </c>
    </row>
    <row r="665" spans="1:14" x14ac:dyDescent="0.35">
      <c r="A665" t="s">
        <v>14</v>
      </c>
      <c r="B665" t="s">
        <v>255</v>
      </c>
      <c r="C665" t="s">
        <v>75</v>
      </c>
      <c r="D665" t="s">
        <v>76</v>
      </c>
      <c r="E665" s="2">
        <v>41570</v>
      </c>
      <c r="F665" t="s">
        <v>16</v>
      </c>
      <c r="G665" t="s">
        <v>112</v>
      </c>
      <c r="H665" t="s">
        <v>260</v>
      </c>
      <c r="I665" s="3">
        <v>8.4027777777777785E-2</v>
      </c>
      <c r="J665" t="s">
        <v>19</v>
      </c>
      <c r="K665">
        <v>4</v>
      </c>
      <c r="L665" s="3">
        <v>4.1666666666666664E-2</v>
      </c>
      <c r="M665" t="s">
        <v>26</v>
      </c>
      <c r="N665" t="s">
        <v>207</v>
      </c>
    </row>
    <row r="666" spans="1:14" x14ac:dyDescent="0.35">
      <c r="A666" t="s">
        <v>14</v>
      </c>
      <c r="B666" t="s">
        <v>255</v>
      </c>
      <c r="C666" t="s">
        <v>65</v>
      </c>
      <c r="D666">
        <v>11</v>
      </c>
      <c r="E666" s="2">
        <v>41577</v>
      </c>
      <c r="F666" t="s">
        <v>16</v>
      </c>
      <c r="G666" t="s">
        <v>112</v>
      </c>
      <c r="H666" t="s">
        <v>105</v>
      </c>
      <c r="I666" s="3">
        <v>0.29375000000000001</v>
      </c>
      <c r="J666" t="s">
        <v>19</v>
      </c>
      <c r="K666">
        <v>71</v>
      </c>
      <c r="L666" s="3">
        <v>0.25208333333333333</v>
      </c>
      <c r="M666" t="s">
        <v>26</v>
      </c>
      <c r="N666" t="s">
        <v>183</v>
      </c>
    </row>
    <row r="667" spans="1:14" x14ac:dyDescent="0.35">
      <c r="A667" t="s">
        <v>14</v>
      </c>
      <c r="B667" t="s">
        <v>255</v>
      </c>
      <c r="C667" t="s">
        <v>65</v>
      </c>
      <c r="D667">
        <v>11</v>
      </c>
      <c r="E667" s="2">
        <v>41577</v>
      </c>
      <c r="F667" t="s">
        <v>16</v>
      </c>
      <c r="G667" t="s">
        <v>112</v>
      </c>
      <c r="H667" t="s">
        <v>105</v>
      </c>
      <c r="I667" s="3">
        <v>0.29375000000000001</v>
      </c>
      <c r="J667" t="s">
        <v>19</v>
      </c>
      <c r="K667">
        <v>31</v>
      </c>
      <c r="L667" s="3">
        <v>0.125</v>
      </c>
      <c r="M667" t="s">
        <v>83</v>
      </c>
    </row>
    <row r="668" spans="1:14" x14ac:dyDescent="0.35">
      <c r="A668" t="s">
        <v>14</v>
      </c>
      <c r="B668" t="s">
        <v>255</v>
      </c>
      <c r="C668" t="s">
        <v>65</v>
      </c>
      <c r="D668">
        <v>11</v>
      </c>
      <c r="E668" s="2">
        <v>41577</v>
      </c>
      <c r="F668" t="s">
        <v>16</v>
      </c>
      <c r="G668" t="s">
        <v>112</v>
      </c>
      <c r="H668" t="s">
        <v>105</v>
      </c>
      <c r="I668" s="3">
        <v>0.29375000000000001</v>
      </c>
      <c r="J668" t="s">
        <v>19</v>
      </c>
      <c r="K668">
        <v>60</v>
      </c>
      <c r="L668" s="3">
        <v>0.20972222222222223</v>
      </c>
      <c r="M668" t="s">
        <v>26</v>
      </c>
      <c r="N668" t="s">
        <v>261</v>
      </c>
    </row>
    <row r="669" spans="1:14" x14ac:dyDescent="0.35">
      <c r="A669" t="s">
        <v>14</v>
      </c>
      <c r="B669" t="s">
        <v>255</v>
      </c>
      <c r="C669" t="s">
        <v>65</v>
      </c>
      <c r="D669">
        <v>12</v>
      </c>
      <c r="E669" s="2">
        <v>41580</v>
      </c>
      <c r="F669" t="s">
        <v>24</v>
      </c>
      <c r="G669" t="s">
        <v>112</v>
      </c>
      <c r="H669" t="s">
        <v>225</v>
      </c>
      <c r="I669" s="3">
        <v>8.5416666666666669E-2</v>
      </c>
      <c r="J669" t="s">
        <v>19</v>
      </c>
      <c r="K669">
        <v>48</v>
      </c>
      <c r="L669" s="3">
        <v>2.0833333333333333E-3</v>
      </c>
      <c r="M669" t="s">
        <v>26</v>
      </c>
      <c r="N669" t="s">
        <v>261</v>
      </c>
    </row>
    <row r="670" spans="1:14" x14ac:dyDescent="0.35">
      <c r="A670" t="s">
        <v>14</v>
      </c>
      <c r="B670" t="s">
        <v>255</v>
      </c>
      <c r="C670" t="s">
        <v>65</v>
      </c>
      <c r="D670">
        <v>12</v>
      </c>
      <c r="E670" s="2">
        <v>41580</v>
      </c>
      <c r="F670" t="s">
        <v>24</v>
      </c>
      <c r="G670" t="s">
        <v>112</v>
      </c>
      <c r="H670" t="s">
        <v>225</v>
      </c>
      <c r="I670" s="3">
        <v>8.5416666666666669E-2</v>
      </c>
      <c r="J670" t="s">
        <v>19</v>
      </c>
      <c r="K670">
        <v>3</v>
      </c>
      <c r="L670" s="3">
        <v>6.9444444444444447E-4</v>
      </c>
      <c r="M670" t="s">
        <v>26</v>
      </c>
      <c r="N670" t="s">
        <v>250</v>
      </c>
    </row>
    <row r="671" spans="1:14" x14ac:dyDescent="0.35">
      <c r="A671" t="s">
        <v>14</v>
      </c>
      <c r="B671" t="s">
        <v>255</v>
      </c>
      <c r="C671" t="s">
        <v>75</v>
      </c>
      <c r="D671" t="s">
        <v>76</v>
      </c>
      <c r="E671" s="2">
        <v>41583</v>
      </c>
      <c r="F671" t="s">
        <v>24</v>
      </c>
      <c r="G671" t="s">
        <v>112</v>
      </c>
      <c r="H671" t="s">
        <v>260</v>
      </c>
      <c r="I671" s="3">
        <v>8.4722222222222227E-2</v>
      </c>
      <c r="J671" t="s">
        <v>19</v>
      </c>
      <c r="K671">
        <v>52</v>
      </c>
      <c r="L671" s="3">
        <v>4.2361111111111113E-2</v>
      </c>
      <c r="M671" t="s">
        <v>26</v>
      </c>
      <c r="N671" t="s">
        <v>183</v>
      </c>
    </row>
    <row r="672" spans="1:14" x14ac:dyDescent="0.35">
      <c r="A672" t="s">
        <v>64</v>
      </c>
      <c r="B672" t="s">
        <v>255</v>
      </c>
      <c r="C672" t="s">
        <v>75</v>
      </c>
      <c r="D672" t="s">
        <v>76</v>
      </c>
      <c r="E672" s="2">
        <v>41584</v>
      </c>
      <c r="F672" t="s">
        <v>16</v>
      </c>
      <c r="G672" t="s">
        <v>66</v>
      </c>
      <c r="H672" t="s">
        <v>118</v>
      </c>
      <c r="I672" s="3">
        <v>0.12569444444444444</v>
      </c>
      <c r="J672" t="s">
        <v>68</v>
      </c>
      <c r="K672">
        <v>83</v>
      </c>
      <c r="L672" s="3">
        <v>0.12569444444444444</v>
      </c>
      <c r="M672" t="s">
        <v>31</v>
      </c>
      <c r="N672" t="s">
        <v>224</v>
      </c>
    </row>
    <row r="673" spans="1:14" x14ac:dyDescent="0.35">
      <c r="A673" t="s">
        <v>64</v>
      </c>
      <c r="B673" t="s">
        <v>255</v>
      </c>
      <c r="C673" t="s">
        <v>75</v>
      </c>
      <c r="D673" t="s">
        <v>76</v>
      </c>
      <c r="E673" s="2">
        <v>41584</v>
      </c>
      <c r="F673" t="s">
        <v>16</v>
      </c>
      <c r="G673" t="s">
        <v>66</v>
      </c>
      <c r="H673" t="s">
        <v>118</v>
      </c>
      <c r="I673" s="3">
        <v>0.12569444444444444</v>
      </c>
      <c r="J673" t="s">
        <v>68</v>
      </c>
      <c r="K673">
        <v>30</v>
      </c>
      <c r="L673" s="3">
        <v>4.1666666666666664E-2</v>
      </c>
      <c r="M673" t="s">
        <v>83</v>
      </c>
    </row>
    <row r="674" spans="1:14" x14ac:dyDescent="0.35">
      <c r="A674" t="s">
        <v>14</v>
      </c>
      <c r="B674" t="s">
        <v>255</v>
      </c>
      <c r="C674" t="s">
        <v>65</v>
      </c>
      <c r="D674">
        <v>13</v>
      </c>
      <c r="E674" s="2">
        <v>41587</v>
      </c>
      <c r="F674" t="s">
        <v>16</v>
      </c>
      <c r="G674" t="s">
        <v>112</v>
      </c>
      <c r="H674" t="s">
        <v>217</v>
      </c>
      <c r="I674" s="3">
        <v>0.20902777777777778</v>
      </c>
      <c r="J674" t="s">
        <v>19</v>
      </c>
      <c r="K674">
        <v>76</v>
      </c>
      <c r="L674" s="3">
        <v>0.20902777777777778</v>
      </c>
      <c r="M674" t="s">
        <v>39</v>
      </c>
    </row>
    <row r="675" spans="1:14" x14ac:dyDescent="0.35">
      <c r="A675" t="s">
        <v>14</v>
      </c>
      <c r="B675" t="s">
        <v>255</v>
      </c>
      <c r="C675" t="s">
        <v>65</v>
      </c>
      <c r="D675">
        <v>13</v>
      </c>
      <c r="E675" s="2">
        <v>41587</v>
      </c>
      <c r="F675" t="s">
        <v>16</v>
      </c>
      <c r="G675" t="s">
        <v>112</v>
      </c>
      <c r="H675" t="s">
        <v>217</v>
      </c>
      <c r="I675" s="3">
        <v>0.20902777777777778</v>
      </c>
      <c r="J675" t="s">
        <v>19</v>
      </c>
      <c r="K675">
        <v>27</v>
      </c>
      <c r="L675" s="3">
        <v>0.125</v>
      </c>
      <c r="M675" t="s">
        <v>83</v>
      </c>
    </row>
    <row r="676" spans="1:14" x14ac:dyDescent="0.35">
      <c r="A676" t="s">
        <v>14</v>
      </c>
      <c r="B676" t="s">
        <v>255</v>
      </c>
      <c r="C676" t="s">
        <v>65</v>
      </c>
      <c r="D676">
        <v>13</v>
      </c>
      <c r="E676" s="2">
        <v>41587</v>
      </c>
      <c r="F676" t="s">
        <v>16</v>
      </c>
      <c r="G676" t="s">
        <v>112</v>
      </c>
      <c r="H676" t="s">
        <v>217</v>
      </c>
      <c r="I676" s="3">
        <v>0.20902777777777778</v>
      </c>
      <c r="J676" t="s">
        <v>19</v>
      </c>
      <c r="K676">
        <v>12</v>
      </c>
      <c r="L676" s="3">
        <v>4.1666666666666664E-2</v>
      </c>
      <c r="M676" t="s">
        <v>26</v>
      </c>
      <c r="N676" t="s">
        <v>183</v>
      </c>
    </row>
    <row r="677" spans="1:14" x14ac:dyDescent="0.35">
      <c r="A677" t="s">
        <v>14</v>
      </c>
      <c r="B677" t="s">
        <v>255</v>
      </c>
      <c r="C677" t="s">
        <v>65</v>
      </c>
      <c r="D677">
        <v>14</v>
      </c>
      <c r="E677" s="2">
        <v>41601</v>
      </c>
      <c r="F677" t="s">
        <v>24</v>
      </c>
      <c r="G677" t="s">
        <v>112</v>
      </c>
      <c r="H677" t="s">
        <v>187</v>
      </c>
      <c r="I677" s="3">
        <v>3.472222222222222E-3</v>
      </c>
      <c r="J677" t="s">
        <v>19</v>
      </c>
      <c r="K677">
        <v>3</v>
      </c>
      <c r="L677" s="3">
        <v>6.9444444444444447E-4</v>
      </c>
      <c r="M677" t="s">
        <v>31</v>
      </c>
      <c r="N677" t="s">
        <v>257</v>
      </c>
    </row>
    <row r="678" spans="1:14" x14ac:dyDescent="0.35">
      <c r="A678" t="s">
        <v>14</v>
      </c>
      <c r="B678" t="s">
        <v>255</v>
      </c>
      <c r="C678" t="s">
        <v>75</v>
      </c>
      <c r="D678" t="s">
        <v>76</v>
      </c>
      <c r="E678" s="2">
        <v>41618</v>
      </c>
      <c r="F678" t="s">
        <v>24</v>
      </c>
      <c r="G678" t="s">
        <v>112</v>
      </c>
      <c r="H678" t="s">
        <v>206</v>
      </c>
      <c r="I678" s="3">
        <v>1.3888888888888889E-3</v>
      </c>
      <c r="J678" t="s">
        <v>19</v>
      </c>
      <c r="K678">
        <v>48</v>
      </c>
      <c r="L678" s="3">
        <v>1.3888888888888889E-3</v>
      </c>
      <c r="M678" t="s">
        <v>26</v>
      </c>
      <c r="N678" t="s">
        <v>182</v>
      </c>
    </row>
    <row r="679" spans="1:14" x14ac:dyDescent="0.35">
      <c r="A679" t="s">
        <v>14</v>
      </c>
      <c r="B679" t="s">
        <v>255</v>
      </c>
      <c r="C679" t="s">
        <v>65</v>
      </c>
      <c r="D679">
        <v>17</v>
      </c>
      <c r="E679" s="2">
        <v>41630</v>
      </c>
      <c r="F679" t="s">
        <v>24</v>
      </c>
      <c r="G679" t="s">
        <v>112</v>
      </c>
      <c r="H679" t="s">
        <v>148</v>
      </c>
      <c r="I679" s="3">
        <v>8.5416666666666669E-2</v>
      </c>
      <c r="J679" t="s">
        <v>19</v>
      </c>
      <c r="K679">
        <v>40</v>
      </c>
      <c r="L679" s="3">
        <v>4.3055555555555555E-2</v>
      </c>
      <c r="M679" t="s">
        <v>22</v>
      </c>
      <c r="N679" t="s">
        <v>207</v>
      </c>
    </row>
    <row r="680" spans="1:14" x14ac:dyDescent="0.35">
      <c r="A680" t="s">
        <v>14</v>
      </c>
      <c r="B680" t="s">
        <v>255</v>
      </c>
      <c r="C680" t="s">
        <v>65</v>
      </c>
      <c r="D680">
        <v>18</v>
      </c>
      <c r="E680" s="2">
        <v>41645</v>
      </c>
      <c r="F680" t="s">
        <v>16</v>
      </c>
      <c r="G680" t="s">
        <v>112</v>
      </c>
      <c r="H680" t="s">
        <v>98</v>
      </c>
      <c r="I680" s="3">
        <v>0.125</v>
      </c>
      <c r="J680" t="s">
        <v>19</v>
      </c>
      <c r="K680">
        <v>82</v>
      </c>
      <c r="L680" s="3">
        <v>8.3333333333333329E-2</v>
      </c>
      <c r="M680" t="s">
        <v>26</v>
      </c>
      <c r="N680" t="s">
        <v>262</v>
      </c>
    </row>
    <row r="681" spans="1:14" x14ac:dyDescent="0.35">
      <c r="A681" t="s">
        <v>14</v>
      </c>
      <c r="B681" t="s">
        <v>255</v>
      </c>
      <c r="C681" t="s">
        <v>65</v>
      </c>
      <c r="D681">
        <v>18</v>
      </c>
      <c r="E681" s="2">
        <v>41645</v>
      </c>
      <c r="F681" t="s">
        <v>16</v>
      </c>
      <c r="G681" t="s">
        <v>112</v>
      </c>
      <c r="H681" t="s">
        <v>98</v>
      </c>
      <c r="I681" s="3">
        <v>0.125</v>
      </c>
      <c r="J681" t="s">
        <v>19</v>
      </c>
      <c r="K681">
        <v>90</v>
      </c>
      <c r="L681" s="3">
        <v>0.125</v>
      </c>
      <c r="M681" t="s">
        <v>26</v>
      </c>
      <c r="N681" t="s">
        <v>261</v>
      </c>
    </row>
    <row r="682" spans="1:14" x14ac:dyDescent="0.35">
      <c r="A682" t="s">
        <v>64</v>
      </c>
      <c r="B682" t="s">
        <v>255</v>
      </c>
      <c r="C682" t="s">
        <v>91</v>
      </c>
      <c r="D682" t="s">
        <v>143</v>
      </c>
      <c r="E682" s="2">
        <v>41647</v>
      </c>
      <c r="F682" t="s">
        <v>16</v>
      </c>
      <c r="G682" t="s">
        <v>66</v>
      </c>
      <c r="H682" t="s">
        <v>117</v>
      </c>
      <c r="I682" s="3">
        <v>0.16666666666666666</v>
      </c>
      <c r="J682" t="s">
        <v>68</v>
      </c>
      <c r="K682">
        <v>90</v>
      </c>
      <c r="L682" s="3">
        <v>0.125</v>
      </c>
      <c r="M682" t="s">
        <v>31</v>
      </c>
      <c r="N682" t="s">
        <v>247</v>
      </c>
    </row>
    <row r="683" spans="1:14" x14ac:dyDescent="0.35">
      <c r="A683" t="s">
        <v>64</v>
      </c>
      <c r="B683" t="s">
        <v>255</v>
      </c>
      <c r="C683" t="s">
        <v>91</v>
      </c>
      <c r="D683" t="s">
        <v>143</v>
      </c>
      <c r="E683" s="2">
        <v>41647</v>
      </c>
      <c r="F683" t="s">
        <v>16</v>
      </c>
      <c r="G683" t="s">
        <v>66</v>
      </c>
      <c r="H683" t="s">
        <v>117</v>
      </c>
      <c r="I683" s="3">
        <v>0.16666666666666666</v>
      </c>
      <c r="J683" t="s">
        <v>68</v>
      </c>
      <c r="K683" t="s">
        <v>141</v>
      </c>
      <c r="L683" s="3">
        <v>0.16666666666666666</v>
      </c>
      <c r="M683" t="s">
        <v>31</v>
      </c>
      <c r="N683" t="s">
        <v>263</v>
      </c>
    </row>
    <row r="684" spans="1:14" x14ac:dyDescent="0.35">
      <c r="A684" t="s">
        <v>14</v>
      </c>
      <c r="B684" t="s">
        <v>255</v>
      </c>
      <c r="C684" t="s">
        <v>91</v>
      </c>
      <c r="D684" t="s">
        <v>143</v>
      </c>
      <c r="E684" s="2">
        <v>41654</v>
      </c>
      <c r="F684" t="s">
        <v>24</v>
      </c>
      <c r="G684" t="s">
        <v>112</v>
      </c>
      <c r="H684" t="s">
        <v>100</v>
      </c>
      <c r="I684" s="3">
        <v>1.3888888888888889E-3</v>
      </c>
      <c r="J684" t="s">
        <v>19</v>
      </c>
      <c r="K684">
        <v>22</v>
      </c>
      <c r="L684" s="3">
        <v>6.9444444444444447E-4</v>
      </c>
      <c r="M684" t="s">
        <v>39</v>
      </c>
    </row>
    <row r="685" spans="1:14" x14ac:dyDescent="0.35">
      <c r="A685" t="s">
        <v>64</v>
      </c>
      <c r="B685" t="s">
        <v>255</v>
      </c>
      <c r="C685" t="s">
        <v>91</v>
      </c>
      <c r="D685" t="s">
        <v>143</v>
      </c>
      <c r="E685" s="2">
        <v>41655</v>
      </c>
      <c r="F685" t="s">
        <v>24</v>
      </c>
      <c r="G685" t="s">
        <v>66</v>
      </c>
      <c r="H685" t="s">
        <v>117</v>
      </c>
      <c r="I685" s="3">
        <v>1.3888888888888889E-3</v>
      </c>
      <c r="J685" t="s">
        <v>68</v>
      </c>
      <c r="K685">
        <v>43</v>
      </c>
      <c r="L685" s="3">
        <v>6.9444444444444447E-4</v>
      </c>
      <c r="M685" t="s">
        <v>26</v>
      </c>
      <c r="N685" t="s">
        <v>237</v>
      </c>
    </row>
    <row r="686" spans="1:14" x14ac:dyDescent="0.35">
      <c r="A686" t="s">
        <v>64</v>
      </c>
      <c r="B686" t="s">
        <v>255</v>
      </c>
      <c r="C686" t="s">
        <v>91</v>
      </c>
      <c r="D686" t="s">
        <v>143</v>
      </c>
      <c r="E686" s="2">
        <v>41655</v>
      </c>
      <c r="F686" t="s">
        <v>24</v>
      </c>
      <c r="G686" t="s">
        <v>66</v>
      </c>
      <c r="H686" t="s">
        <v>117</v>
      </c>
      <c r="I686" s="3">
        <v>1.3888888888888889E-3</v>
      </c>
      <c r="J686" t="s">
        <v>68</v>
      </c>
      <c r="K686">
        <v>63</v>
      </c>
      <c r="L686" s="3">
        <v>1.3888888888888889E-3</v>
      </c>
      <c r="M686" t="s">
        <v>31</v>
      </c>
    </row>
    <row r="687" spans="1:14" x14ac:dyDescent="0.35">
      <c r="A687" t="s">
        <v>14</v>
      </c>
      <c r="B687" t="s">
        <v>255</v>
      </c>
      <c r="C687" t="s">
        <v>65</v>
      </c>
      <c r="D687">
        <v>20</v>
      </c>
      <c r="E687" s="2">
        <v>41657</v>
      </c>
      <c r="F687" t="s">
        <v>24</v>
      </c>
      <c r="G687" t="s">
        <v>112</v>
      </c>
      <c r="H687" t="s">
        <v>95</v>
      </c>
      <c r="I687" s="3">
        <v>3.472222222222222E-3</v>
      </c>
      <c r="J687" t="s">
        <v>19</v>
      </c>
      <c r="K687">
        <v>10</v>
      </c>
      <c r="L687" s="3">
        <v>6.9444444444444447E-4</v>
      </c>
      <c r="M687" t="s">
        <v>26</v>
      </c>
      <c r="N687" t="s">
        <v>207</v>
      </c>
    </row>
    <row r="688" spans="1:14" x14ac:dyDescent="0.35">
      <c r="A688" t="s">
        <v>14</v>
      </c>
      <c r="B688" t="s">
        <v>255</v>
      </c>
      <c r="C688" t="s">
        <v>65</v>
      </c>
      <c r="D688">
        <v>21</v>
      </c>
      <c r="E688" s="2">
        <v>41664</v>
      </c>
      <c r="F688" t="s">
        <v>16</v>
      </c>
      <c r="G688" t="s">
        <v>112</v>
      </c>
      <c r="H688" t="s">
        <v>233</v>
      </c>
      <c r="I688" s="3">
        <v>8.3333333333333329E-2</v>
      </c>
      <c r="J688" t="s">
        <v>19</v>
      </c>
      <c r="K688">
        <v>57</v>
      </c>
      <c r="L688" s="3">
        <v>4.1666666666666664E-2</v>
      </c>
      <c r="M688" t="s">
        <v>26</v>
      </c>
      <c r="N688" t="s">
        <v>250</v>
      </c>
    </row>
    <row r="689" spans="1:14" x14ac:dyDescent="0.35">
      <c r="A689" t="s">
        <v>64</v>
      </c>
      <c r="B689" t="s">
        <v>255</v>
      </c>
      <c r="C689" t="s">
        <v>65</v>
      </c>
      <c r="D689">
        <v>22</v>
      </c>
      <c r="E689" s="2">
        <v>41671</v>
      </c>
      <c r="F689" t="s">
        <v>16</v>
      </c>
      <c r="G689" t="s">
        <v>66</v>
      </c>
      <c r="H689" t="s">
        <v>148</v>
      </c>
      <c r="I689" s="3">
        <v>8.5416666666666669E-2</v>
      </c>
      <c r="J689" t="s">
        <v>68</v>
      </c>
      <c r="K689">
        <v>54</v>
      </c>
      <c r="L689" s="3">
        <v>8.4722222222222227E-2</v>
      </c>
      <c r="M689" t="s">
        <v>83</v>
      </c>
    </row>
    <row r="690" spans="1:14" x14ac:dyDescent="0.35">
      <c r="A690" t="s">
        <v>64</v>
      </c>
      <c r="B690" t="s">
        <v>255</v>
      </c>
      <c r="C690" t="s">
        <v>65</v>
      </c>
      <c r="D690">
        <v>23</v>
      </c>
      <c r="E690" s="2">
        <v>41679</v>
      </c>
      <c r="F690" t="s">
        <v>24</v>
      </c>
      <c r="G690" t="s">
        <v>66</v>
      </c>
      <c r="H690" t="s">
        <v>105</v>
      </c>
      <c r="I690" s="3">
        <v>4.4444444444444446E-2</v>
      </c>
      <c r="J690" t="s">
        <v>68</v>
      </c>
      <c r="K690">
        <v>44</v>
      </c>
      <c r="L690" s="3">
        <v>4.3055555555555555E-2</v>
      </c>
      <c r="M690" t="s">
        <v>31</v>
      </c>
      <c r="N690" t="s">
        <v>186</v>
      </c>
    </row>
    <row r="691" spans="1:14" x14ac:dyDescent="0.35">
      <c r="A691" t="s">
        <v>64</v>
      </c>
      <c r="B691" t="s">
        <v>255</v>
      </c>
      <c r="C691" t="s">
        <v>65</v>
      </c>
      <c r="D691">
        <v>23</v>
      </c>
      <c r="E691" s="2">
        <v>41679</v>
      </c>
      <c r="F691" t="s">
        <v>24</v>
      </c>
      <c r="G691" t="s">
        <v>66</v>
      </c>
      <c r="H691" t="s">
        <v>105</v>
      </c>
      <c r="I691" s="3">
        <v>4.4444444444444446E-2</v>
      </c>
      <c r="J691" t="s">
        <v>68</v>
      </c>
      <c r="K691">
        <v>56</v>
      </c>
      <c r="L691" s="3">
        <v>4.3749999999999997E-2</v>
      </c>
      <c r="M691" t="s">
        <v>31</v>
      </c>
      <c r="N691" t="s">
        <v>99</v>
      </c>
    </row>
    <row r="692" spans="1:14" x14ac:dyDescent="0.35">
      <c r="A692" t="s">
        <v>14</v>
      </c>
      <c r="B692" t="s">
        <v>255</v>
      </c>
      <c r="C692" t="s">
        <v>91</v>
      </c>
      <c r="D692" t="s">
        <v>62</v>
      </c>
      <c r="E692" s="2">
        <v>41681</v>
      </c>
      <c r="F692" t="s">
        <v>24</v>
      </c>
      <c r="G692" t="s">
        <v>112</v>
      </c>
      <c r="H692" t="s">
        <v>119</v>
      </c>
      <c r="I692" s="3">
        <v>1.3888888888888889E-3</v>
      </c>
      <c r="J692" t="s">
        <v>19</v>
      </c>
      <c r="K692">
        <v>15</v>
      </c>
      <c r="L692" s="3">
        <v>1.3888888888888889E-3</v>
      </c>
      <c r="M692" t="s">
        <v>83</v>
      </c>
    </row>
    <row r="693" spans="1:14" x14ac:dyDescent="0.35">
      <c r="A693" t="s">
        <v>14</v>
      </c>
      <c r="B693" t="s">
        <v>255</v>
      </c>
      <c r="C693" t="s">
        <v>91</v>
      </c>
      <c r="D693" t="s">
        <v>62</v>
      </c>
      <c r="E693" s="2">
        <v>41681</v>
      </c>
      <c r="F693" t="s">
        <v>24</v>
      </c>
      <c r="G693" t="s">
        <v>112</v>
      </c>
      <c r="H693" t="s">
        <v>119</v>
      </c>
      <c r="I693" s="3">
        <v>1.3888888888888889E-3</v>
      </c>
      <c r="J693" t="s">
        <v>19</v>
      </c>
      <c r="K693">
        <v>6</v>
      </c>
      <c r="L693" s="3">
        <v>6.9444444444444447E-4</v>
      </c>
      <c r="M693" t="s">
        <v>83</v>
      </c>
    </row>
    <row r="694" spans="1:14" x14ac:dyDescent="0.35">
      <c r="A694" t="s">
        <v>64</v>
      </c>
      <c r="B694" t="s">
        <v>255</v>
      </c>
      <c r="C694" t="s">
        <v>91</v>
      </c>
      <c r="D694" t="s">
        <v>62</v>
      </c>
      <c r="E694" s="2">
        <v>41682</v>
      </c>
      <c r="F694" t="s">
        <v>24</v>
      </c>
      <c r="G694" t="s">
        <v>66</v>
      </c>
      <c r="H694" t="s">
        <v>217</v>
      </c>
      <c r="I694" s="3">
        <v>4.2361111111111113E-2</v>
      </c>
      <c r="J694" t="s">
        <v>68</v>
      </c>
      <c r="K694">
        <v>26</v>
      </c>
      <c r="L694" s="3">
        <v>6.9444444444444447E-4</v>
      </c>
      <c r="M694" t="s">
        <v>20</v>
      </c>
    </row>
    <row r="695" spans="1:14" x14ac:dyDescent="0.35">
      <c r="A695" t="s">
        <v>64</v>
      </c>
      <c r="B695" t="s">
        <v>255</v>
      </c>
      <c r="C695" t="s">
        <v>65</v>
      </c>
      <c r="D695">
        <v>24</v>
      </c>
      <c r="E695" s="2">
        <v>41685</v>
      </c>
      <c r="F695" t="s">
        <v>16</v>
      </c>
      <c r="G695" t="s">
        <v>66</v>
      </c>
      <c r="H695" t="s">
        <v>225</v>
      </c>
      <c r="I695" s="3">
        <v>0.25</v>
      </c>
      <c r="J695" t="s">
        <v>68</v>
      </c>
      <c r="K695">
        <v>36</v>
      </c>
      <c r="L695" s="3">
        <v>8.3333333333333329E-2</v>
      </c>
      <c r="M695" t="s">
        <v>31</v>
      </c>
      <c r="N695" t="s">
        <v>224</v>
      </c>
    </row>
    <row r="696" spans="1:14" x14ac:dyDescent="0.35">
      <c r="A696" t="s">
        <v>64</v>
      </c>
      <c r="B696" t="s">
        <v>255</v>
      </c>
      <c r="C696" t="s">
        <v>65</v>
      </c>
      <c r="D696">
        <v>24</v>
      </c>
      <c r="E696" s="2">
        <v>41685</v>
      </c>
      <c r="F696" t="s">
        <v>16</v>
      </c>
      <c r="G696" t="s">
        <v>66</v>
      </c>
      <c r="H696" t="s">
        <v>225</v>
      </c>
      <c r="I696" s="3">
        <v>0.25</v>
      </c>
      <c r="J696" t="s">
        <v>68</v>
      </c>
      <c r="K696">
        <v>68</v>
      </c>
      <c r="L696" s="3">
        <v>0.20833333333333334</v>
      </c>
      <c r="M696" t="s">
        <v>31</v>
      </c>
      <c r="N696" t="s">
        <v>234</v>
      </c>
    </row>
    <row r="697" spans="1:14" x14ac:dyDescent="0.35">
      <c r="A697" t="s">
        <v>64</v>
      </c>
      <c r="B697" t="s">
        <v>255</v>
      </c>
      <c r="C697" t="s">
        <v>75</v>
      </c>
      <c r="D697" t="s">
        <v>143</v>
      </c>
      <c r="E697" s="2">
        <v>41688</v>
      </c>
      <c r="F697" t="s">
        <v>24</v>
      </c>
      <c r="G697" t="s">
        <v>66</v>
      </c>
      <c r="H697" t="s">
        <v>41</v>
      </c>
      <c r="I697" s="3">
        <v>1.3888888888888889E-3</v>
      </c>
      <c r="J697" t="s">
        <v>68</v>
      </c>
      <c r="K697">
        <v>54</v>
      </c>
      <c r="L697" s="3">
        <v>6.9444444444444447E-4</v>
      </c>
      <c r="M697" t="s">
        <v>83</v>
      </c>
    </row>
    <row r="698" spans="1:14" x14ac:dyDescent="0.35">
      <c r="A698" t="s">
        <v>64</v>
      </c>
      <c r="B698" t="s">
        <v>255</v>
      </c>
      <c r="C698" t="s">
        <v>65</v>
      </c>
      <c r="D698">
        <v>25</v>
      </c>
      <c r="E698" s="2">
        <v>41692</v>
      </c>
      <c r="F698" t="s">
        <v>24</v>
      </c>
      <c r="G698" t="s">
        <v>66</v>
      </c>
      <c r="H698" t="s">
        <v>217</v>
      </c>
      <c r="I698" s="3">
        <v>0.12569444444444444</v>
      </c>
      <c r="J698" t="s">
        <v>68</v>
      </c>
      <c r="K698">
        <v>36</v>
      </c>
      <c r="L698" s="3">
        <v>4.2361111111111113E-2</v>
      </c>
      <c r="M698" t="s">
        <v>31</v>
      </c>
      <c r="N698" t="s">
        <v>247</v>
      </c>
    </row>
    <row r="699" spans="1:14" x14ac:dyDescent="0.35">
      <c r="A699" t="s">
        <v>14</v>
      </c>
      <c r="B699" t="s">
        <v>255</v>
      </c>
      <c r="C699" t="s">
        <v>75</v>
      </c>
      <c r="D699" t="s">
        <v>143</v>
      </c>
      <c r="E699" s="2">
        <v>41696</v>
      </c>
      <c r="F699" t="s">
        <v>24</v>
      </c>
      <c r="G699" t="s">
        <v>112</v>
      </c>
      <c r="H699" t="s">
        <v>264</v>
      </c>
      <c r="I699" s="3">
        <v>4.583333333333333E-2</v>
      </c>
      <c r="J699" t="s">
        <v>19</v>
      </c>
      <c r="K699">
        <v>52</v>
      </c>
      <c r="L699" s="3">
        <v>2.0833333333333333E-3</v>
      </c>
      <c r="M699" t="s">
        <v>31</v>
      </c>
      <c r="N699" t="s">
        <v>261</v>
      </c>
    </row>
    <row r="700" spans="1:14" x14ac:dyDescent="0.35">
      <c r="A700" t="s">
        <v>14</v>
      </c>
      <c r="B700" t="s">
        <v>255</v>
      </c>
      <c r="C700" t="s">
        <v>75</v>
      </c>
      <c r="D700" t="s">
        <v>143</v>
      </c>
      <c r="E700" s="2">
        <v>41696</v>
      </c>
      <c r="F700" t="s">
        <v>24</v>
      </c>
      <c r="G700" t="s">
        <v>112</v>
      </c>
      <c r="H700" t="s">
        <v>264</v>
      </c>
      <c r="I700" s="3">
        <v>4.583333333333333E-2</v>
      </c>
      <c r="J700" t="s">
        <v>19</v>
      </c>
      <c r="K700">
        <v>89</v>
      </c>
      <c r="L700" s="3">
        <v>4.1666666666666666E-3</v>
      </c>
      <c r="M700" t="s">
        <v>26</v>
      </c>
      <c r="N700" t="s">
        <v>183</v>
      </c>
    </row>
    <row r="701" spans="1:14" x14ac:dyDescent="0.35">
      <c r="A701" t="s">
        <v>64</v>
      </c>
      <c r="B701" t="s">
        <v>255</v>
      </c>
      <c r="C701" t="s">
        <v>65</v>
      </c>
      <c r="D701">
        <v>26</v>
      </c>
      <c r="E701" s="2">
        <v>41700</v>
      </c>
      <c r="F701" t="s">
        <v>16</v>
      </c>
      <c r="G701" t="s">
        <v>66</v>
      </c>
      <c r="H701" t="s">
        <v>131</v>
      </c>
      <c r="I701" s="3">
        <v>0.1673611111111111</v>
      </c>
      <c r="J701" t="s">
        <v>68</v>
      </c>
      <c r="K701">
        <v>24</v>
      </c>
      <c r="L701" s="3">
        <v>8.3333333333333329E-2</v>
      </c>
      <c r="M701" t="s">
        <v>39</v>
      </c>
    </row>
    <row r="702" spans="1:14" x14ac:dyDescent="0.35">
      <c r="A702" t="s">
        <v>14</v>
      </c>
      <c r="B702" t="s">
        <v>255</v>
      </c>
      <c r="C702" t="s">
        <v>65</v>
      </c>
      <c r="D702">
        <v>26</v>
      </c>
      <c r="E702" s="2">
        <v>41700</v>
      </c>
      <c r="F702" t="s">
        <v>24</v>
      </c>
      <c r="G702" t="s">
        <v>112</v>
      </c>
      <c r="H702" t="s">
        <v>119</v>
      </c>
      <c r="I702" s="3">
        <v>8.4722222222222227E-2</v>
      </c>
      <c r="J702" t="s">
        <v>19</v>
      </c>
      <c r="K702">
        <v>82</v>
      </c>
      <c r="L702" s="3">
        <v>8.4722222222222227E-2</v>
      </c>
      <c r="M702" t="s">
        <v>26</v>
      </c>
      <c r="N702" t="s">
        <v>261</v>
      </c>
    </row>
    <row r="703" spans="1:14" x14ac:dyDescent="0.35">
      <c r="A703" t="s">
        <v>14</v>
      </c>
      <c r="B703" t="s">
        <v>255</v>
      </c>
      <c r="C703" t="s">
        <v>65</v>
      </c>
      <c r="D703">
        <v>27</v>
      </c>
      <c r="E703" s="2">
        <v>41707</v>
      </c>
      <c r="F703" t="s">
        <v>16</v>
      </c>
      <c r="G703" t="s">
        <v>112</v>
      </c>
      <c r="H703" t="s">
        <v>127</v>
      </c>
      <c r="I703" s="3">
        <v>0.125</v>
      </c>
      <c r="J703" t="s">
        <v>19</v>
      </c>
      <c r="K703">
        <v>11</v>
      </c>
      <c r="L703" s="3">
        <v>4.1666666666666664E-2</v>
      </c>
      <c r="M703" t="s">
        <v>22</v>
      </c>
      <c r="N703" t="s">
        <v>207</v>
      </c>
    </row>
    <row r="704" spans="1:14" x14ac:dyDescent="0.35">
      <c r="A704" t="s">
        <v>64</v>
      </c>
      <c r="B704" t="s">
        <v>255</v>
      </c>
      <c r="C704" t="s">
        <v>75</v>
      </c>
      <c r="D704" t="s">
        <v>143</v>
      </c>
      <c r="E704" s="2">
        <v>41710</v>
      </c>
      <c r="F704" t="s">
        <v>16</v>
      </c>
      <c r="G704" t="s">
        <v>66</v>
      </c>
      <c r="H704" t="s">
        <v>41</v>
      </c>
      <c r="I704" s="3">
        <v>8.4027777777777785E-2</v>
      </c>
      <c r="J704" t="s">
        <v>68</v>
      </c>
      <c r="K704">
        <v>67</v>
      </c>
      <c r="L704" s="3">
        <v>4.1666666666666664E-2</v>
      </c>
      <c r="M704" t="s">
        <v>31</v>
      </c>
    </row>
    <row r="705" spans="1:14" x14ac:dyDescent="0.35">
      <c r="A705" t="s">
        <v>14</v>
      </c>
      <c r="B705" t="s">
        <v>255</v>
      </c>
      <c r="C705" t="s">
        <v>65</v>
      </c>
      <c r="D705">
        <v>28</v>
      </c>
      <c r="E705" s="2">
        <v>41713</v>
      </c>
      <c r="F705" t="s">
        <v>24</v>
      </c>
      <c r="G705" t="s">
        <v>112</v>
      </c>
      <c r="H705" t="s">
        <v>157</v>
      </c>
      <c r="I705" s="3">
        <v>6.9444444444444447E-4</v>
      </c>
      <c r="J705" t="s">
        <v>19</v>
      </c>
      <c r="K705">
        <v>23</v>
      </c>
      <c r="L705" s="3">
        <v>6.9444444444444447E-4</v>
      </c>
      <c r="M705" t="s">
        <v>26</v>
      </c>
      <c r="N705" t="s">
        <v>261</v>
      </c>
    </row>
    <row r="706" spans="1:14" x14ac:dyDescent="0.35">
      <c r="A706" t="s">
        <v>64</v>
      </c>
      <c r="B706" t="s">
        <v>255</v>
      </c>
      <c r="C706" t="s">
        <v>65</v>
      </c>
      <c r="D706">
        <v>28</v>
      </c>
      <c r="E706" s="2">
        <v>41714</v>
      </c>
      <c r="F706" t="s">
        <v>16</v>
      </c>
      <c r="G706" t="s">
        <v>66</v>
      </c>
      <c r="H706" t="s">
        <v>100</v>
      </c>
      <c r="I706" s="3">
        <v>0.29166666666666669</v>
      </c>
      <c r="J706" t="s">
        <v>68</v>
      </c>
      <c r="K706">
        <v>18</v>
      </c>
      <c r="L706" s="3">
        <v>4.1666666666666664E-2</v>
      </c>
      <c r="M706" t="s">
        <v>31</v>
      </c>
      <c r="N706" t="s">
        <v>234</v>
      </c>
    </row>
    <row r="707" spans="1:14" x14ac:dyDescent="0.35">
      <c r="A707" t="s">
        <v>64</v>
      </c>
      <c r="B707" t="s">
        <v>255</v>
      </c>
      <c r="C707" t="s">
        <v>65</v>
      </c>
      <c r="D707">
        <v>28</v>
      </c>
      <c r="E707" s="2">
        <v>41714</v>
      </c>
      <c r="F707" t="s">
        <v>16</v>
      </c>
      <c r="G707" t="s">
        <v>66</v>
      </c>
      <c r="H707" t="s">
        <v>100</v>
      </c>
      <c r="I707" s="3">
        <v>0.29166666666666669</v>
      </c>
      <c r="J707" t="s">
        <v>68</v>
      </c>
      <c r="K707">
        <v>63</v>
      </c>
      <c r="L707" s="3">
        <v>0.16666666666666666</v>
      </c>
      <c r="M707" t="s">
        <v>31</v>
      </c>
      <c r="N707" t="s">
        <v>99</v>
      </c>
    </row>
    <row r="708" spans="1:14" x14ac:dyDescent="0.35">
      <c r="A708" t="s">
        <v>64</v>
      </c>
      <c r="B708" t="s">
        <v>255</v>
      </c>
      <c r="C708" t="s">
        <v>65</v>
      </c>
      <c r="D708">
        <v>28</v>
      </c>
      <c r="E708" s="2">
        <v>41714</v>
      </c>
      <c r="F708" t="s">
        <v>16</v>
      </c>
      <c r="G708" t="s">
        <v>66</v>
      </c>
      <c r="H708" t="s">
        <v>100</v>
      </c>
      <c r="I708" s="3">
        <v>0.29166666666666669</v>
      </c>
      <c r="J708" t="s">
        <v>68</v>
      </c>
      <c r="K708">
        <v>88</v>
      </c>
      <c r="L708" s="3">
        <v>0.25</v>
      </c>
      <c r="M708" t="s">
        <v>26</v>
      </c>
      <c r="N708" t="s">
        <v>155</v>
      </c>
    </row>
    <row r="709" spans="1:14" x14ac:dyDescent="0.35">
      <c r="A709" t="s">
        <v>14</v>
      </c>
      <c r="B709" t="s">
        <v>255</v>
      </c>
      <c r="C709" t="s">
        <v>75</v>
      </c>
      <c r="D709" t="s">
        <v>143</v>
      </c>
      <c r="E709" s="2">
        <v>41716</v>
      </c>
      <c r="F709" t="s">
        <v>16</v>
      </c>
      <c r="G709" t="s">
        <v>112</v>
      </c>
      <c r="H709" t="s">
        <v>264</v>
      </c>
      <c r="I709" s="3">
        <v>0.12569444444444444</v>
      </c>
      <c r="J709" t="s">
        <v>19</v>
      </c>
      <c r="K709">
        <v>74</v>
      </c>
      <c r="L709" s="3">
        <v>8.4027777777777785E-2</v>
      </c>
      <c r="M709" t="s">
        <v>26</v>
      </c>
    </row>
    <row r="710" spans="1:14" x14ac:dyDescent="0.35">
      <c r="A710" t="s">
        <v>14</v>
      </c>
      <c r="B710" t="s">
        <v>255</v>
      </c>
      <c r="C710" t="s">
        <v>75</v>
      </c>
      <c r="D710" t="s">
        <v>143</v>
      </c>
      <c r="E710" s="2">
        <v>41716</v>
      </c>
      <c r="F710" t="s">
        <v>16</v>
      </c>
      <c r="G710" t="s">
        <v>112</v>
      </c>
      <c r="H710" t="s">
        <v>264</v>
      </c>
      <c r="I710" s="3">
        <v>0.12569444444444444</v>
      </c>
      <c r="J710" t="s">
        <v>19</v>
      </c>
      <c r="K710">
        <v>22</v>
      </c>
      <c r="L710" s="3">
        <v>4.1666666666666664E-2</v>
      </c>
      <c r="M710" t="s">
        <v>26</v>
      </c>
      <c r="N710" t="s">
        <v>261</v>
      </c>
    </row>
    <row r="711" spans="1:14" x14ac:dyDescent="0.35">
      <c r="A711" t="s">
        <v>14</v>
      </c>
      <c r="B711" t="s">
        <v>255</v>
      </c>
      <c r="C711" t="s">
        <v>65</v>
      </c>
      <c r="D711">
        <v>29</v>
      </c>
      <c r="E711" s="2">
        <v>41721</v>
      </c>
      <c r="F711" t="s">
        <v>16</v>
      </c>
      <c r="G711" t="s">
        <v>112</v>
      </c>
      <c r="H711" t="s">
        <v>66</v>
      </c>
      <c r="I711" s="3">
        <v>0.12777777777777777</v>
      </c>
      <c r="J711" t="s">
        <v>19</v>
      </c>
      <c r="K711">
        <v>55</v>
      </c>
      <c r="L711" s="3">
        <v>0.12638888888888888</v>
      </c>
      <c r="M711" t="s">
        <v>83</v>
      </c>
    </row>
    <row r="712" spans="1:14" x14ac:dyDescent="0.35">
      <c r="A712" t="s">
        <v>64</v>
      </c>
      <c r="B712" t="s">
        <v>255</v>
      </c>
      <c r="C712" t="s">
        <v>65</v>
      </c>
      <c r="D712">
        <v>29</v>
      </c>
      <c r="E712" s="2">
        <v>41721</v>
      </c>
      <c r="F712" t="s">
        <v>24</v>
      </c>
      <c r="G712" t="s">
        <v>66</v>
      </c>
      <c r="H712" t="s">
        <v>112</v>
      </c>
      <c r="I712" s="3">
        <v>0.12777777777777777</v>
      </c>
      <c r="J712" t="s">
        <v>68</v>
      </c>
      <c r="K712">
        <v>42</v>
      </c>
      <c r="L712" s="3">
        <v>8.4722222222222227E-2</v>
      </c>
      <c r="M712" t="s">
        <v>31</v>
      </c>
      <c r="N712" t="s">
        <v>256</v>
      </c>
    </row>
    <row r="713" spans="1:14" x14ac:dyDescent="0.35">
      <c r="A713" t="s">
        <v>64</v>
      </c>
      <c r="B713" t="s">
        <v>255</v>
      </c>
      <c r="C713" t="s">
        <v>65</v>
      </c>
      <c r="D713">
        <v>29</v>
      </c>
      <c r="E713" s="2">
        <v>41721</v>
      </c>
      <c r="F713" t="s">
        <v>24</v>
      </c>
      <c r="G713" t="s">
        <v>66</v>
      </c>
      <c r="H713" t="s">
        <v>112</v>
      </c>
      <c r="I713" s="3">
        <v>0.12777777777777777</v>
      </c>
      <c r="J713" t="s">
        <v>68</v>
      </c>
      <c r="K713">
        <v>84</v>
      </c>
      <c r="L713" s="3">
        <v>0.12777777777777777</v>
      </c>
      <c r="M713" t="s">
        <v>83</v>
      </c>
    </row>
    <row r="714" spans="1:14" x14ac:dyDescent="0.35">
      <c r="A714" t="s">
        <v>64</v>
      </c>
      <c r="B714" t="s">
        <v>255</v>
      </c>
      <c r="C714" t="s">
        <v>65</v>
      </c>
      <c r="D714">
        <v>29</v>
      </c>
      <c r="E714" s="2">
        <v>41721</v>
      </c>
      <c r="F714" t="s">
        <v>24</v>
      </c>
      <c r="G714" t="s">
        <v>66</v>
      </c>
      <c r="H714" t="s">
        <v>112</v>
      </c>
      <c r="I714" s="3">
        <v>0.12777777777777777</v>
      </c>
      <c r="J714" t="s">
        <v>68</v>
      </c>
      <c r="K714">
        <v>65</v>
      </c>
      <c r="L714" s="3">
        <v>0.12708333333333333</v>
      </c>
      <c r="M714" t="s">
        <v>83</v>
      </c>
    </row>
    <row r="715" spans="1:14" x14ac:dyDescent="0.35">
      <c r="A715" t="s">
        <v>64</v>
      </c>
      <c r="B715" t="s">
        <v>255</v>
      </c>
      <c r="C715" t="s">
        <v>65</v>
      </c>
      <c r="D715">
        <v>30</v>
      </c>
      <c r="E715" s="2">
        <v>41724</v>
      </c>
      <c r="F715" t="s">
        <v>16</v>
      </c>
      <c r="G715" t="s">
        <v>66</v>
      </c>
      <c r="H715" t="s">
        <v>98</v>
      </c>
      <c r="I715" s="3">
        <v>0.125</v>
      </c>
      <c r="J715" t="s">
        <v>68</v>
      </c>
      <c r="K715">
        <v>30</v>
      </c>
      <c r="L715" s="3">
        <v>8.3333333333333329E-2</v>
      </c>
      <c r="M715" t="s">
        <v>26</v>
      </c>
      <c r="N715" t="s">
        <v>99</v>
      </c>
    </row>
    <row r="716" spans="1:14" x14ac:dyDescent="0.35">
      <c r="A716" t="s">
        <v>14</v>
      </c>
      <c r="B716" t="s">
        <v>255</v>
      </c>
      <c r="C716" t="s">
        <v>65</v>
      </c>
      <c r="D716">
        <v>30</v>
      </c>
      <c r="E716" s="2">
        <v>41724</v>
      </c>
      <c r="F716" t="s">
        <v>24</v>
      </c>
      <c r="G716" t="s">
        <v>112</v>
      </c>
      <c r="H716" t="s">
        <v>105</v>
      </c>
      <c r="I716" s="3">
        <v>8.4027777777777785E-2</v>
      </c>
      <c r="J716" t="s">
        <v>19</v>
      </c>
      <c r="K716">
        <v>14</v>
      </c>
      <c r="L716" s="3">
        <v>6.9444444444444447E-4</v>
      </c>
      <c r="M716" t="s">
        <v>39</v>
      </c>
    </row>
    <row r="717" spans="1:14" x14ac:dyDescent="0.35">
      <c r="A717" t="s">
        <v>64</v>
      </c>
      <c r="B717" t="s">
        <v>255</v>
      </c>
      <c r="C717" t="s">
        <v>65</v>
      </c>
      <c r="D717">
        <v>31</v>
      </c>
      <c r="E717" s="2">
        <v>41727</v>
      </c>
      <c r="F717" t="s">
        <v>24</v>
      </c>
      <c r="G717" t="s">
        <v>66</v>
      </c>
      <c r="H717" t="s">
        <v>121</v>
      </c>
      <c r="I717" s="3">
        <v>6.9444444444444447E-4</v>
      </c>
      <c r="J717" t="s">
        <v>68</v>
      </c>
      <c r="K717">
        <v>77</v>
      </c>
      <c r="L717" s="3">
        <v>6.9444444444444447E-4</v>
      </c>
      <c r="M717" t="s">
        <v>83</v>
      </c>
    </row>
    <row r="718" spans="1:14" x14ac:dyDescent="0.35">
      <c r="A718" t="s">
        <v>14</v>
      </c>
      <c r="B718" t="s">
        <v>255</v>
      </c>
      <c r="C718" t="s">
        <v>65</v>
      </c>
      <c r="D718">
        <v>31</v>
      </c>
      <c r="E718" s="2">
        <v>41727</v>
      </c>
      <c r="F718" t="s">
        <v>16</v>
      </c>
      <c r="G718" t="s">
        <v>112</v>
      </c>
      <c r="H718" t="s">
        <v>225</v>
      </c>
      <c r="I718" s="3">
        <v>0.20833333333333334</v>
      </c>
      <c r="J718" t="s">
        <v>19</v>
      </c>
      <c r="K718">
        <v>15</v>
      </c>
      <c r="L718" s="3">
        <v>4.1666666666666664E-2</v>
      </c>
      <c r="M718" t="s">
        <v>26</v>
      </c>
      <c r="N718" t="s">
        <v>261</v>
      </c>
    </row>
    <row r="719" spans="1:14" x14ac:dyDescent="0.35">
      <c r="A719" t="s">
        <v>14</v>
      </c>
      <c r="B719" t="s">
        <v>255</v>
      </c>
      <c r="C719" t="s">
        <v>75</v>
      </c>
      <c r="D719" t="s">
        <v>92</v>
      </c>
      <c r="E719" s="2">
        <v>41731</v>
      </c>
      <c r="F719" t="s">
        <v>16</v>
      </c>
      <c r="G719" t="s">
        <v>112</v>
      </c>
      <c r="H719" t="s">
        <v>246</v>
      </c>
      <c r="I719" s="3">
        <v>0.125</v>
      </c>
      <c r="J719" t="s">
        <v>19</v>
      </c>
      <c r="K719">
        <v>57</v>
      </c>
      <c r="L719" s="3">
        <v>0.125</v>
      </c>
      <c r="M719" t="s">
        <v>31</v>
      </c>
      <c r="N719" t="s">
        <v>250</v>
      </c>
    </row>
    <row r="720" spans="1:14" x14ac:dyDescent="0.35">
      <c r="A720" t="s">
        <v>64</v>
      </c>
      <c r="B720" t="s">
        <v>255</v>
      </c>
      <c r="C720" t="s">
        <v>65</v>
      </c>
      <c r="D720">
        <v>32</v>
      </c>
      <c r="E720" s="2">
        <v>41734</v>
      </c>
      <c r="F720" t="s">
        <v>16</v>
      </c>
      <c r="G720" t="s">
        <v>66</v>
      </c>
      <c r="H720" t="s">
        <v>95</v>
      </c>
      <c r="I720" s="3">
        <v>0.12569444444444444</v>
      </c>
      <c r="J720" t="s">
        <v>68</v>
      </c>
      <c r="K720">
        <v>86</v>
      </c>
      <c r="L720" s="3">
        <v>0.12569444444444444</v>
      </c>
      <c r="M720" t="s">
        <v>107</v>
      </c>
      <c r="N720" t="s">
        <v>265</v>
      </c>
    </row>
    <row r="721" spans="1:14" x14ac:dyDescent="0.35">
      <c r="A721" t="s">
        <v>64</v>
      </c>
      <c r="B721" t="s">
        <v>255</v>
      </c>
      <c r="C721" t="s">
        <v>65</v>
      </c>
      <c r="D721">
        <v>32</v>
      </c>
      <c r="E721" s="2">
        <v>41734</v>
      </c>
      <c r="F721" t="s">
        <v>16</v>
      </c>
      <c r="G721" t="s">
        <v>66</v>
      </c>
      <c r="H721" t="s">
        <v>95</v>
      </c>
      <c r="I721" s="3">
        <v>0.12569444444444444</v>
      </c>
      <c r="J721" t="s">
        <v>68</v>
      </c>
      <c r="K721">
        <v>15</v>
      </c>
      <c r="L721" s="3">
        <v>4.1666666666666664E-2</v>
      </c>
      <c r="M721" t="s">
        <v>83</v>
      </c>
    </row>
    <row r="722" spans="1:14" x14ac:dyDescent="0.35">
      <c r="A722" t="s">
        <v>64</v>
      </c>
      <c r="B722" t="s">
        <v>255</v>
      </c>
      <c r="C722" t="s">
        <v>65</v>
      </c>
      <c r="D722">
        <v>34</v>
      </c>
      <c r="E722" s="2">
        <v>41749</v>
      </c>
      <c r="F722" t="s">
        <v>16</v>
      </c>
      <c r="G722" t="s">
        <v>66</v>
      </c>
      <c r="H722" t="s">
        <v>86</v>
      </c>
      <c r="I722" s="3">
        <v>8.4027777777777785E-2</v>
      </c>
      <c r="J722" t="s">
        <v>68</v>
      </c>
      <c r="K722">
        <v>74</v>
      </c>
      <c r="L722" s="3">
        <v>8.4027777777777785E-2</v>
      </c>
      <c r="M722" t="s">
        <v>39</v>
      </c>
    </row>
    <row r="723" spans="1:14" x14ac:dyDescent="0.35">
      <c r="A723" t="s">
        <v>14</v>
      </c>
      <c r="B723" t="s">
        <v>255</v>
      </c>
      <c r="C723" t="s">
        <v>65</v>
      </c>
      <c r="D723">
        <v>35</v>
      </c>
      <c r="E723" s="2">
        <v>41755</v>
      </c>
      <c r="F723" t="s">
        <v>16</v>
      </c>
      <c r="G723" t="s">
        <v>112</v>
      </c>
      <c r="H723" t="s">
        <v>100</v>
      </c>
      <c r="I723" s="3">
        <v>0.16666666666666666</v>
      </c>
      <c r="J723" t="s">
        <v>19</v>
      </c>
      <c r="K723">
        <v>6</v>
      </c>
      <c r="L723" s="3">
        <v>4.1666666666666664E-2</v>
      </c>
      <c r="M723" t="s">
        <v>170</v>
      </c>
      <c r="N723" t="s">
        <v>207</v>
      </c>
    </row>
    <row r="724" spans="1:14" x14ac:dyDescent="0.35">
      <c r="A724" t="s">
        <v>14</v>
      </c>
      <c r="B724" t="s">
        <v>255</v>
      </c>
      <c r="C724" t="s">
        <v>65</v>
      </c>
      <c r="D724">
        <v>35</v>
      </c>
      <c r="E724" s="2">
        <v>41755</v>
      </c>
      <c r="F724" t="s">
        <v>16</v>
      </c>
      <c r="G724" t="s">
        <v>112</v>
      </c>
      <c r="H724" t="s">
        <v>100</v>
      </c>
      <c r="I724" s="3">
        <v>0.16666666666666666</v>
      </c>
      <c r="J724" t="s">
        <v>19</v>
      </c>
      <c r="K724">
        <v>52</v>
      </c>
      <c r="L724" s="3">
        <v>8.3333333333333329E-2</v>
      </c>
      <c r="M724" t="s">
        <v>170</v>
      </c>
      <c r="N724" t="s">
        <v>257</v>
      </c>
    </row>
    <row r="725" spans="1:14" x14ac:dyDescent="0.35">
      <c r="A725" t="s">
        <v>64</v>
      </c>
      <c r="B725" t="s">
        <v>255</v>
      </c>
      <c r="C725" t="s">
        <v>65</v>
      </c>
      <c r="D725">
        <v>35</v>
      </c>
      <c r="E725" s="2">
        <v>41756</v>
      </c>
      <c r="F725" t="s">
        <v>24</v>
      </c>
      <c r="G725" t="s">
        <v>66</v>
      </c>
      <c r="H725" t="s">
        <v>180</v>
      </c>
      <c r="I725" s="3">
        <v>8.5416666666666669E-2</v>
      </c>
      <c r="J725" t="s">
        <v>68</v>
      </c>
      <c r="K725">
        <v>83</v>
      </c>
      <c r="L725" s="3">
        <v>8.5416666666666669E-2</v>
      </c>
      <c r="M725" t="s">
        <v>26</v>
      </c>
      <c r="N725" t="s">
        <v>224</v>
      </c>
    </row>
    <row r="726" spans="1:14" x14ac:dyDescent="0.35">
      <c r="A726" t="s">
        <v>14</v>
      </c>
      <c r="B726" t="s">
        <v>255</v>
      </c>
      <c r="C726" t="s">
        <v>75</v>
      </c>
      <c r="D726" t="s">
        <v>62</v>
      </c>
      <c r="E726" s="2">
        <v>41758</v>
      </c>
      <c r="F726" t="s">
        <v>24</v>
      </c>
      <c r="G726" t="s">
        <v>112</v>
      </c>
      <c r="H726" t="s">
        <v>168</v>
      </c>
      <c r="I726" s="3">
        <v>2.7777777777777779E-3</v>
      </c>
      <c r="J726" t="s">
        <v>19</v>
      </c>
      <c r="K726">
        <v>90</v>
      </c>
      <c r="L726" s="3">
        <v>2.7777777777777779E-3</v>
      </c>
      <c r="M726" t="s">
        <v>39</v>
      </c>
    </row>
    <row r="727" spans="1:14" x14ac:dyDescent="0.35">
      <c r="A727" t="s">
        <v>14</v>
      </c>
      <c r="B727" t="s">
        <v>255</v>
      </c>
      <c r="C727" t="s">
        <v>75</v>
      </c>
      <c r="D727" t="s">
        <v>62</v>
      </c>
      <c r="E727" s="2">
        <v>41758</v>
      </c>
      <c r="F727" t="s">
        <v>24</v>
      </c>
      <c r="G727" t="s">
        <v>112</v>
      </c>
      <c r="H727" t="s">
        <v>168</v>
      </c>
      <c r="I727" s="3">
        <v>2.7777777777777779E-3</v>
      </c>
      <c r="J727" t="s">
        <v>19</v>
      </c>
      <c r="K727">
        <v>34</v>
      </c>
      <c r="L727" s="3">
        <v>2.0833333333333333E-3</v>
      </c>
      <c r="M727" t="s">
        <v>162</v>
      </c>
      <c r="N727" t="s">
        <v>261</v>
      </c>
    </row>
    <row r="728" spans="1:14" x14ac:dyDescent="0.35">
      <c r="A728" t="s">
        <v>64</v>
      </c>
      <c r="B728" t="s">
        <v>255</v>
      </c>
      <c r="C728" t="s">
        <v>65</v>
      </c>
      <c r="D728">
        <v>36</v>
      </c>
      <c r="E728" s="2">
        <v>41762</v>
      </c>
      <c r="F728" t="s">
        <v>16</v>
      </c>
      <c r="G728" t="s">
        <v>66</v>
      </c>
      <c r="H728" t="s">
        <v>117</v>
      </c>
      <c r="I728" s="3">
        <v>8.4722222222222227E-2</v>
      </c>
      <c r="J728" t="s">
        <v>68</v>
      </c>
      <c r="K728">
        <v>23</v>
      </c>
      <c r="L728" s="3">
        <v>4.1666666666666664E-2</v>
      </c>
      <c r="M728" t="s">
        <v>31</v>
      </c>
      <c r="N728" t="s">
        <v>155</v>
      </c>
    </row>
    <row r="729" spans="1:14" x14ac:dyDescent="0.35">
      <c r="A729" t="s">
        <v>14</v>
      </c>
      <c r="B729" t="s">
        <v>255</v>
      </c>
      <c r="C729" t="s">
        <v>65</v>
      </c>
      <c r="D729">
        <v>36</v>
      </c>
      <c r="E729" s="2">
        <v>41763</v>
      </c>
      <c r="F729" t="s">
        <v>16</v>
      </c>
      <c r="G729" t="s">
        <v>112</v>
      </c>
      <c r="H729" t="s">
        <v>148</v>
      </c>
      <c r="I729" s="3">
        <v>8.4722222222222227E-2</v>
      </c>
      <c r="J729" t="s">
        <v>19</v>
      </c>
      <c r="K729">
        <v>90</v>
      </c>
      <c r="L729" s="3">
        <v>8.4722222222222227E-2</v>
      </c>
      <c r="M729" t="s">
        <v>26</v>
      </c>
      <c r="N729" t="s">
        <v>207</v>
      </c>
    </row>
    <row r="730" spans="1:14" x14ac:dyDescent="0.35">
      <c r="A730" t="s">
        <v>14</v>
      </c>
      <c r="B730" t="s">
        <v>255</v>
      </c>
      <c r="C730" t="s">
        <v>75</v>
      </c>
      <c r="D730" t="s">
        <v>46</v>
      </c>
      <c r="E730" s="2">
        <v>41783</v>
      </c>
      <c r="F730" t="s">
        <v>16</v>
      </c>
      <c r="G730" t="s">
        <v>112</v>
      </c>
      <c r="H730" t="s">
        <v>119</v>
      </c>
      <c r="I730" t="s">
        <v>266</v>
      </c>
      <c r="J730" t="s">
        <v>19</v>
      </c>
      <c r="K730">
        <v>120</v>
      </c>
      <c r="L730" s="3">
        <v>0.1673611111111111</v>
      </c>
      <c r="M730" t="s">
        <v>83</v>
      </c>
    </row>
    <row r="731" spans="1:14" x14ac:dyDescent="0.35">
      <c r="A731" t="s">
        <v>14</v>
      </c>
      <c r="B731" t="s">
        <v>267</v>
      </c>
      <c r="C731" t="s">
        <v>223</v>
      </c>
      <c r="D731" t="s">
        <v>46</v>
      </c>
      <c r="E731" s="2">
        <v>41863</v>
      </c>
      <c r="F731" t="s">
        <v>16</v>
      </c>
      <c r="G731" t="s">
        <v>112</v>
      </c>
      <c r="H731" t="s">
        <v>105</v>
      </c>
      <c r="I731" s="3">
        <v>8.3333333333333329E-2</v>
      </c>
      <c r="J731" t="s">
        <v>19</v>
      </c>
      <c r="K731">
        <v>30</v>
      </c>
      <c r="L731" s="3">
        <v>4.1666666666666664E-2</v>
      </c>
      <c r="M731" t="s">
        <v>26</v>
      </c>
      <c r="N731" t="s">
        <v>261</v>
      </c>
    </row>
    <row r="732" spans="1:14" x14ac:dyDescent="0.35">
      <c r="A732" t="s">
        <v>14</v>
      </c>
      <c r="B732" t="s">
        <v>267</v>
      </c>
      <c r="C732" t="s">
        <v>223</v>
      </c>
      <c r="D732" t="s">
        <v>46</v>
      </c>
      <c r="E732" s="2">
        <v>41863</v>
      </c>
      <c r="F732" t="s">
        <v>16</v>
      </c>
      <c r="G732" t="s">
        <v>112</v>
      </c>
      <c r="H732" t="s">
        <v>105</v>
      </c>
      <c r="I732" s="3">
        <v>8.3333333333333329E-2</v>
      </c>
      <c r="J732" t="s">
        <v>19</v>
      </c>
      <c r="K732">
        <v>49</v>
      </c>
      <c r="L732" s="3">
        <v>8.3333333333333329E-2</v>
      </c>
      <c r="M732" t="s">
        <v>31</v>
      </c>
      <c r="N732" t="s">
        <v>183</v>
      </c>
    </row>
    <row r="733" spans="1:14" x14ac:dyDescent="0.35">
      <c r="A733" t="s">
        <v>64</v>
      </c>
      <c r="B733" t="s">
        <v>267</v>
      </c>
      <c r="C733" t="s">
        <v>65</v>
      </c>
      <c r="D733">
        <v>1</v>
      </c>
      <c r="E733" s="2">
        <v>41875</v>
      </c>
      <c r="F733" t="s">
        <v>16</v>
      </c>
      <c r="G733" t="s">
        <v>66</v>
      </c>
      <c r="H733" t="s">
        <v>258</v>
      </c>
      <c r="I733" s="3">
        <v>0.125</v>
      </c>
      <c r="J733" t="s">
        <v>68</v>
      </c>
      <c r="K733">
        <v>64</v>
      </c>
      <c r="L733" s="3">
        <v>0.125</v>
      </c>
      <c r="M733" t="s">
        <v>31</v>
      </c>
    </row>
    <row r="734" spans="1:14" x14ac:dyDescent="0.35">
      <c r="A734" t="s">
        <v>64</v>
      </c>
      <c r="B734" t="s">
        <v>267</v>
      </c>
      <c r="C734" t="s">
        <v>65</v>
      </c>
      <c r="D734">
        <v>1</v>
      </c>
      <c r="E734" s="2">
        <v>41875</v>
      </c>
      <c r="F734" t="s">
        <v>16</v>
      </c>
      <c r="G734" t="s">
        <v>66</v>
      </c>
      <c r="H734" t="s">
        <v>258</v>
      </c>
      <c r="I734" s="3">
        <v>0.125</v>
      </c>
      <c r="J734" t="s">
        <v>68</v>
      </c>
      <c r="K734">
        <v>42</v>
      </c>
      <c r="L734" s="3">
        <v>4.1666666666666664E-2</v>
      </c>
      <c r="M734" t="s">
        <v>31</v>
      </c>
      <c r="N734" t="s">
        <v>222</v>
      </c>
    </row>
    <row r="735" spans="1:14" x14ac:dyDescent="0.35">
      <c r="A735" t="s">
        <v>14</v>
      </c>
      <c r="B735" t="s">
        <v>267</v>
      </c>
      <c r="C735" t="s">
        <v>65</v>
      </c>
      <c r="D735">
        <v>1</v>
      </c>
      <c r="E735" s="2">
        <v>41876</v>
      </c>
      <c r="F735" t="s">
        <v>16</v>
      </c>
      <c r="G735" t="s">
        <v>112</v>
      </c>
      <c r="H735" t="s">
        <v>248</v>
      </c>
      <c r="I735" s="3">
        <v>8.3333333333333329E-2</v>
      </c>
      <c r="J735" t="s">
        <v>19</v>
      </c>
      <c r="K735">
        <v>90</v>
      </c>
      <c r="L735" s="3">
        <v>8.3333333333333329E-2</v>
      </c>
      <c r="M735" t="s">
        <v>26</v>
      </c>
      <c r="N735" t="s">
        <v>257</v>
      </c>
    </row>
    <row r="736" spans="1:14" x14ac:dyDescent="0.35">
      <c r="A736" t="s">
        <v>14</v>
      </c>
      <c r="B736" t="s">
        <v>267</v>
      </c>
      <c r="C736" t="s">
        <v>65</v>
      </c>
      <c r="D736">
        <v>3</v>
      </c>
      <c r="E736" s="2">
        <v>41895</v>
      </c>
      <c r="F736" t="s">
        <v>16</v>
      </c>
      <c r="G736" t="s">
        <v>112</v>
      </c>
      <c r="H736" t="s">
        <v>119</v>
      </c>
      <c r="I736" s="3">
        <v>4.3055555555555555E-2</v>
      </c>
      <c r="J736" t="s">
        <v>19</v>
      </c>
      <c r="K736">
        <v>25</v>
      </c>
      <c r="L736" s="3">
        <v>4.2361111111111113E-2</v>
      </c>
      <c r="M736" t="s">
        <v>83</v>
      </c>
    </row>
    <row r="737" spans="1:14" x14ac:dyDescent="0.35">
      <c r="A737" t="s">
        <v>14</v>
      </c>
      <c r="B737" t="s">
        <v>267</v>
      </c>
      <c r="C737" t="s">
        <v>75</v>
      </c>
      <c r="D737" t="s">
        <v>76</v>
      </c>
      <c r="E737" s="2">
        <v>41898</v>
      </c>
      <c r="F737" t="s">
        <v>16</v>
      </c>
      <c r="G737" t="s">
        <v>112</v>
      </c>
      <c r="H737" t="s">
        <v>154</v>
      </c>
      <c r="I737" s="3">
        <v>0.20902777777777778</v>
      </c>
      <c r="J737" t="s">
        <v>19</v>
      </c>
      <c r="K737">
        <v>31</v>
      </c>
      <c r="L737" s="3">
        <v>0.125</v>
      </c>
      <c r="M737" t="s">
        <v>26</v>
      </c>
      <c r="N737" t="s">
        <v>261</v>
      </c>
    </row>
    <row r="738" spans="1:14" x14ac:dyDescent="0.35">
      <c r="A738" t="s">
        <v>14</v>
      </c>
      <c r="B738" t="s">
        <v>267</v>
      </c>
      <c r="C738" t="s">
        <v>65</v>
      </c>
      <c r="D738">
        <v>4</v>
      </c>
      <c r="E738" s="2">
        <v>41902</v>
      </c>
      <c r="F738" t="s">
        <v>24</v>
      </c>
      <c r="G738" t="s">
        <v>112</v>
      </c>
      <c r="H738" t="s">
        <v>175</v>
      </c>
      <c r="I738" s="3">
        <v>8.8888888888888892E-2</v>
      </c>
      <c r="J738" t="s">
        <v>38</v>
      </c>
      <c r="K738">
        <v>29</v>
      </c>
      <c r="L738" s="3">
        <v>6.9444444444444447E-4</v>
      </c>
      <c r="M738" t="s">
        <v>22</v>
      </c>
      <c r="N738" t="s">
        <v>229</v>
      </c>
    </row>
    <row r="739" spans="1:14" x14ac:dyDescent="0.35">
      <c r="A739" t="s">
        <v>14</v>
      </c>
      <c r="B739" t="s">
        <v>267</v>
      </c>
      <c r="C739" t="s">
        <v>65</v>
      </c>
      <c r="D739">
        <v>4</v>
      </c>
      <c r="E739" s="2">
        <v>41902</v>
      </c>
      <c r="F739" t="s">
        <v>24</v>
      </c>
      <c r="G739" t="s">
        <v>112</v>
      </c>
      <c r="H739" t="s">
        <v>175</v>
      </c>
      <c r="I739" s="3">
        <v>8.8888888888888892E-2</v>
      </c>
      <c r="J739" t="s">
        <v>38</v>
      </c>
      <c r="K739">
        <v>41</v>
      </c>
      <c r="L739" s="3">
        <v>2.0833333333333333E-3</v>
      </c>
      <c r="M739" t="s">
        <v>31</v>
      </c>
      <c r="N739" t="s">
        <v>183</v>
      </c>
    </row>
    <row r="740" spans="1:14" x14ac:dyDescent="0.35">
      <c r="A740" t="s">
        <v>14</v>
      </c>
      <c r="B740" t="s">
        <v>267</v>
      </c>
      <c r="C740" t="s">
        <v>65</v>
      </c>
      <c r="D740">
        <v>4</v>
      </c>
      <c r="E740" s="2">
        <v>41902</v>
      </c>
      <c r="F740" t="s">
        <v>24</v>
      </c>
      <c r="G740" t="s">
        <v>112</v>
      </c>
      <c r="H740" t="s">
        <v>175</v>
      </c>
      <c r="I740" s="3">
        <v>8.8888888888888892E-2</v>
      </c>
      <c r="J740" t="s">
        <v>38</v>
      </c>
      <c r="K740">
        <v>78</v>
      </c>
      <c r="L740" s="3">
        <v>4.583333333333333E-2</v>
      </c>
      <c r="M740" t="s">
        <v>31</v>
      </c>
      <c r="N740" t="s">
        <v>268</v>
      </c>
    </row>
    <row r="741" spans="1:14" x14ac:dyDescent="0.35">
      <c r="A741" t="s">
        <v>64</v>
      </c>
      <c r="B741" t="s">
        <v>267</v>
      </c>
      <c r="C741" t="s">
        <v>65</v>
      </c>
      <c r="D741">
        <v>4</v>
      </c>
      <c r="E741" s="2">
        <v>41903</v>
      </c>
      <c r="F741" t="s">
        <v>24</v>
      </c>
      <c r="G741" t="s">
        <v>66</v>
      </c>
      <c r="H741" t="s">
        <v>127</v>
      </c>
      <c r="I741" s="3">
        <v>3.472222222222222E-3</v>
      </c>
      <c r="J741" t="s">
        <v>68</v>
      </c>
      <c r="K741">
        <v>77</v>
      </c>
      <c r="L741" s="3">
        <v>3.472222222222222E-3</v>
      </c>
      <c r="M741" t="s">
        <v>26</v>
      </c>
    </row>
    <row r="742" spans="1:14" x14ac:dyDescent="0.35">
      <c r="A742" t="s">
        <v>14</v>
      </c>
      <c r="B742" t="s">
        <v>267</v>
      </c>
      <c r="C742" t="s">
        <v>65</v>
      </c>
      <c r="D742">
        <v>5</v>
      </c>
      <c r="E742" s="2">
        <v>41905</v>
      </c>
      <c r="F742" t="s">
        <v>16</v>
      </c>
      <c r="G742" t="s">
        <v>112</v>
      </c>
      <c r="H742" t="s">
        <v>258</v>
      </c>
      <c r="I742" s="3">
        <v>0.20902777777777778</v>
      </c>
      <c r="J742" t="s">
        <v>68</v>
      </c>
      <c r="K742">
        <v>28</v>
      </c>
      <c r="L742" s="3">
        <v>8.4027777777777785E-2</v>
      </c>
      <c r="M742" t="s">
        <v>83</v>
      </c>
    </row>
    <row r="743" spans="1:14" x14ac:dyDescent="0.35">
      <c r="A743" t="s">
        <v>14</v>
      </c>
      <c r="B743" t="s">
        <v>267</v>
      </c>
      <c r="C743" t="s">
        <v>65</v>
      </c>
      <c r="D743">
        <v>5</v>
      </c>
      <c r="E743" s="2">
        <v>41905</v>
      </c>
      <c r="F743" t="s">
        <v>16</v>
      </c>
      <c r="G743" t="s">
        <v>112</v>
      </c>
      <c r="H743" t="s">
        <v>258</v>
      </c>
      <c r="I743" s="3">
        <v>0.20902777777777778</v>
      </c>
      <c r="J743" t="s">
        <v>68</v>
      </c>
      <c r="K743">
        <v>90</v>
      </c>
      <c r="L743" s="3">
        <v>0.20902777777777778</v>
      </c>
      <c r="M743" t="s">
        <v>26</v>
      </c>
      <c r="N743" t="s">
        <v>261</v>
      </c>
    </row>
    <row r="744" spans="1:14" x14ac:dyDescent="0.35">
      <c r="A744" t="s">
        <v>14</v>
      </c>
      <c r="B744" t="s">
        <v>267</v>
      </c>
      <c r="C744" t="s">
        <v>65</v>
      </c>
      <c r="D744">
        <v>5</v>
      </c>
      <c r="E744" s="2">
        <v>41905</v>
      </c>
      <c r="F744" t="s">
        <v>16</v>
      </c>
      <c r="G744" t="s">
        <v>112</v>
      </c>
      <c r="H744" t="s">
        <v>258</v>
      </c>
      <c r="I744" s="3">
        <v>0.20902777777777778</v>
      </c>
      <c r="J744" t="s">
        <v>68</v>
      </c>
      <c r="K744">
        <v>80</v>
      </c>
      <c r="L744" s="3">
        <v>0.1673611111111111</v>
      </c>
      <c r="M744" t="s">
        <v>83</v>
      </c>
    </row>
    <row r="745" spans="1:14" x14ac:dyDescent="0.35">
      <c r="A745" t="s">
        <v>14</v>
      </c>
      <c r="B745" t="s">
        <v>267</v>
      </c>
      <c r="C745" t="s">
        <v>65</v>
      </c>
      <c r="D745">
        <v>5</v>
      </c>
      <c r="E745" s="2">
        <v>41905</v>
      </c>
      <c r="F745" t="s">
        <v>16</v>
      </c>
      <c r="G745" t="s">
        <v>112</v>
      </c>
      <c r="H745" t="s">
        <v>258</v>
      </c>
      <c r="I745" s="3">
        <v>0.20902777777777778</v>
      </c>
      <c r="J745" t="s">
        <v>68</v>
      </c>
      <c r="K745">
        <v>32</v>
      </c>
      <c r="L745" s="3">
        <v>0.12569444444444444</v>
      </c>
      <c r="M745" t="s">
        <v>22</v>
      </c>
      <c r="N745" t="s">
        <v>201</v>
      </c>
    </row>
    <row r="746" spans="1:14" x14ac:dyDescent="0.35">
      <c r="A746" t="s">
        <v>14</v>
      </c>
      <c r="B746" t="s">
        <v>267</v>
      </c>
      <c r="C746" t="s">
        <v>65</v>
      </c>
      <c r="D746">
        <v>6</v>
      </c>
      <c r="E746" s="2">
        <v>41909</v>
      </c>
      <c r="F746" t="s">
        <v>24</v>
      </c>
      <c r="G746" t="s">
        <v>112</v>
      </c>
      <c r="H746" t="s">
        <v>180</v>
      </c>
      <c r="I746" s="3">
        <v>1.3888888888888889E-3</v>
      </c>
      <c r="J746" t="s">
        <v>68</v>
      </c>
      <c r="K746">
        <v>40</v>
      </c>
      <c r="L746" s="3">
        <v>1.3888888888888889E-3</v>
      </c>
      <c r="M746" t="s">
        <v>26</v>
      </c>
      <c r="N746" t="s">
        <v>183</v>
      </c>
    </row>
    <row r="747" spans="1:14" x14ac:dyDescent="0.35">
      <c r="A747" t="s">
        <v>64</v>
      </c>
      <c r="B747" t="s">
        <v>267</v>
      </c>
      <c r="C747" t="s">
        <v>65</v>
      </c>
      <c r="D747">
        <v>6</v>
      </c>
      <c r="E747" s="2">
        <v>41909</v>
      </c>
      <c r="F747" t="s">
        <v>16</v>
      </c>
      <c r="G747" t="s">
        <v>66</v>
      </c>
      <c r="H747" t="s">
        <v>233</v>
      </c>
      <c r="I747" s="3">
        <v>0.25</v>
      </c>
      <c r="J747" t="s">
        <v>68</v>
      </c>
      <c r="K747">
        <v>62</v>
      </c>
      <c r="L747" s="3">
        <v>0.16666666666666666</v>
      </c>
      <c r="M747" t="s">
        <v>22</v>
      </c>
      <c r="N747" t="s">
        <v>155</v>
      </c>
    </row>
    <row r="748" spans="1:14" x14ac:dyDescent="0.35">
      <c r="A748" t="s">
        <v>64</v>
      </c>
      <c r="B748" t="s">
        <v>267</v>
      </c>
      <c r="C748" t="s">
        <v>65</v>
      </c>
      <c r="D748">
        <v>6</v>
      </c>
      <c r="E748" s="2">
        <v>41909</v>
      </c>
      <c r="F748" t="s">
        <v>16</v>
      </c>
      <c r="G748" t="s">
        <v>66</v>
      </c>
      <c r="H748" t="s">
        <v>233</v>
      </c>
      <c r="I748" s="3">
        <v>0.25</v>
      </c>
      <c r="J748" t="s">
        <v>68</v>
      </c>
      <c r="K748">
        <v>82</v>
      </c>
      <c r="L748" s="3">
        <v>0.25</v>
      </c>
      <c r="M748" t="s">
        <v>26</v>
      </c>
    </row>
    <row r="749" spans="1:14" x14ac:dyDescent="0.35">
      <c r="A749" t="s">
        <v>64</v>
      </c>
      <c r="B749" t="s">
        <v>267</v>
      </c>
      <c r="C749" t="s">
        <v>75</v>
      </c>
      <c r="D749" t="s">
        <v>76</v>
      </c>
      <c r="E749" s="2">
        <v>41912</v>
      </c>
      <c r="F749" t="s">
        <v>24</v>
      </c>
      <c r="G749" t="s">
        <v>66</v>
      </c>
      <c r="H749" t="s">
        <v>252</v>
      </c>
      <c r="I749" s="3">
        <v>0.12638888888888888</v>
      </c>
      <c r="J749" t="s">
        <v>38</v>
      </c>
      <c r="K749">
        <v>12</v>
      </c>
      <c r="L749" s="3">
        <v>4.2361111111111113E-2</v>
      </c>
      <c r="M749" t="s">
        <v>31</v>
      </c>
      <c r="N749" t="s">
        <v>99</v>
      </c>
    </row>
    <row r="750" spans="1:14" x14ac:dyDescent="0.35">
      <c r="A750" t="s">
        <v>14</v>
      </c>
      <c r="B750" t="s">
        <v>267</v>
      </c>
      <c r="C750" t="s">
        <v>75</v>
      </c>
      <c r="D750" t="s">
        <v>76</v>
      </c>
      <c r="E750" s="2">
        <v>41913</v>
      </c>
      <c r="F750" t="s">
        <v>24</v>
      </c>
      <c r="G750" t="s">
        <v>112</v>
      </c>
      <c r="H750" t="s">
        <v>269</v>
      </c>
      <c r="I750" s="3">
        <v>4.3055555555555555E-2</v>
      </c>
      <c r="J750" t="s">
        <v>68</v>
      </c>
      <c r="K750">
        <v>25</v>
      </c>
      <c r="L750" s="3">
        <v>4.2361111111111113E-2</v>
      </c>
      <c r="M750" t="s">
        <v>83</v>
      </c>
    </row>
    <row r="751" spans="1:14" x14ac:dyDescent="0.35">
      <c r="A751" t="s">
        <v>64</v>
      </c>
      <c r="B751" t="s">
        <v>267</v>
      </c>
      <c r="C751" t="s">
        <v>65</v>
      </c>
      <c r="D751">
        <v>7</v>
      </c>
      <c r="E751" s="2">
        <v>41916</v>
      </c>
      <c r="F751" t="s">
        <v>24</v>
      </c>
      <c r="G751" t="s">
        <v>66</v>
      </c>
      <c r="H751" t="s">
        <v>225</v>
      </c>
      <c r="I751" s="3">
        <v>1.3888888888888889E-3</v>
      </c>
      <c r="J751" t="s">
        <v>68</v>
      </c>
      <c r="K751">
        <v>35</v>
      </c>
      <c r="L751" s="3">
        <v>6.9444444444444447E-4</v>
      </c>
      <c r="M751" t="s">
        <v>31</v>
      </c>
      <c r="N751" t="s">
        <v>166</v>
      </c>
    </row>
    <row r="752" spans="1:14" x14ac:dyDescent="0.35">
      <c r="A752" t="s">
        <v>14</v>
      </c>
      <c r="B752" t="s">
        <v>267</v>
      </c>
      <c r="C752" t="s">
        <v>65</v>
      </c>
      <c r="D752">
        <v>7</v>
      </c>
      <c r="E752" s="2">
        <v>41917</v>
      </c>
      <c r="F752" t="s">
        <v>16</v>
      </c>
      <c r="G752" t="s">
        <v>112</v>
      </c>
      <c r="H752" t="s">
        <v>86</v>
      </c>
      <c r="I752" s="3">
        <v>0.20833333333333334</v>
      </c>
      <c r="J752" t="s">
        <v>19</v>
      </c>
      <c r="K752">
        <v>89</v>
      </c>
      <c r="L752" s="3">
        <v>0.20833333333333334</v>
      </c>
      <c r="M752" t="s">
        <v>129</v>
      </c>
      <c r="N752" t="s">
        <v>182</v>
      </c>
    </row>
    <row r="753" spans="1:14" x14ac:dyDescent="0.35">
      <c r="A753" t="s">
        <v>14</v>
      </c>
      <c r="B753" t="s">
        <v>267</v>
      </c>
      <c r="C753" t="s">
        <v>65</v>
      </c>
      <c r="D753">
        <v>7</v>
      </c>
      <c r="E753" s="2">
        <v>41917</v>
      </c>
      <c r="F753" t="s">
        <v>16</v>
      </c>
      <c r="G753" t="s">
        <v>112</v>
      </c>
      <c r="H753" t="s">
        <v>86</v>
      </c>
      <c r="I753" s="3">
        <v>0.20833333333333334</v>
      </c>
      <c r="J753" t="s">
        <v>19</v>
      </c>
      <c r="K753">
        <v>3</v>
      </c>
      <c r="L753" s="3">
        <v>4.1666666666666664E-2</v>
      </c>
      <c r="M753" t="s">
        <v>22</v>
      </c>
      <c r="N753" t="s">
        <v>261</v>
      </c>
    </row>
    <row r="754" spans="1:14" x14ac:dyDescent="0.35">
      <c r="A754" t="s">
        <v>14</v>
      </c>
      <c r="B754" t="s">
        <v>267</v>
      </c>
      <c r="C754" t="s">
        <v>65</v>
      </c>
      <c r="D754">
        <v>7</v>
      </c>
      <c r="E754" s="2">
        <v>41917</v>
      </c>
      <c r="F754" t="s">
        <v>16</v>
      </c>
      <c r="G754" t="s">
        <v>112</v>
      </c>
      <c r="H754" t="s">
        <v>86</v>
      </c>
      <c r="I754" s="3">
        <v>0.20833333333333334</v>
      </c>
      <c r="J754" t="s">
        <v>19</v>
      </c>
      <c r="K754">
        <v>55</v>
      </c>
      <c r="L754" s="3">
        <v>0.125</v>
      </c>
      <c r="M754" t="s">
        <v>26</v>
      </c>
      <c r="N754" t="s">
        <v>261</v>
      </c>
    </row>
    <row r="755" spans="1:14" x14ac:dyDescent="0.35">
      <c r="A755" t="s">
        <v>64</v>
      </c>
      <c r="B755" t="s">
        <v>267</v>
      </c>
      <c r="C755" t="s">
        <v>65</v>
      </c>
      <c r="D755">
        <v>8</v>
      </c>
      <c r="E755" s="2">
        <v>41930</v>
      </c>
      <c r="F755" t="s">
        <v>16</v>
      </c>
      <c r="G755" t="s">
        <v>66</v>
      </c>
      <c r="H755" t="s">
        <v>270</v>
      </c>
      <c r="I755" s="3">
        <v>0.125</v>
      </c>
      <c r="J755" t="s">
        <v>68</v>
      </c>
      <c r="K755">
        <v>74</v>
      </c>
      <c r="L755" s="3">
        <v>0.125</v>
      </c>
      <c r="M755" t="s">
        <v>31</v>
      </c>
      <c r="N755" t="s">
        <v>256</v>
      </c>
    </row>
    <row r="756" spans="1:14" x14ac:dyDescent="0.35">
      <c r="A756" t="s">
        <v>14</v>
      </c>
      <c r="B756" t="s">
        <v>267</v>
      </c>
      <c r="C756" t="s">
        <v>65</v>
      </c>
      <c r="D756">
        <v>8</v>
      </c>
      <c r="E756" s="2">
        <v>41930</v>
      </c>
      <c r="F756" t="s">
        <v>24</v>
      </c>
      <c r="G756" t="s">
        <v>112</v>
      </c>
      <c r="H756" t="s">
        <v>127</v>
      </c>
      <c r="I756" s="3">
        <v>3.472222222222222E-3</v>
      </c>
      <c r="J756" t="s">
        <v>68</v>
      </c>
      <c r="K756">
        <v>13</v>
      </c>
      <c r="L756" s="3">
        <v>6.9444444444444447E-4</v>
      </c>
      <c r="M756" t="s">
        <v>83</v>
      </c>
    </row>
    <row r="757" spans="1:14" x14ac:dyDescent="0.35">
      <c r="A757" t="s">
        <v>14</v>
      </c>
      <c r="B757" t="s">
        <v>267</v>
      </c>
      <c r="C757" t="s">
        <v>65</v>
      </c>
      <c r="D757">
        <v>8</v>
      </c>
      <c r="E757" s="2">
        <v>41930</v>
      </c>
      <c r="F757" t="s">
        <v>24</v>
      </c>
      <c r="G757" t="s">
        <v>112</v>
      </c>
      <c r="H757" t="s">
        <v>127</v>
      </c>
      <c r="I757" s="3">
        <v>3.472222222222222E-3</v>
      </c>
      <c r="J757" t="s">
        <v>68</v>
      </c>
      <c r="K757">
        <v>61</v>
      </c>
      <c r="L757" s="3">
        <v>2.0833333333333333E-3</v>
      </c>
      <c r="M757" t="s">
        <v>26</v>
      </c>
      <c r="N757" t="s">
        <v>257</v>
      </c>
    </row>
    <row r="758" spans="1:14" x14ac:dyDescent="0.35">
      <c r="A758" t="s">
        <v>64</v>
      </c>
      <c r="B758" t="s">
        <v>267</v>
      </c>
      <c r="C758" t="s">
        <v>75</v>
      </c>
      <c r="D758" t="s">
        <v>76</v>
      </c>
      <c r="E758" s="2">
        <v>41933</v>
      </c>
      <c r="F758" t="s">
        <v>16</v>
      </c>
      <c r="G758" t="s">
        <v>66</v>
      </c>
      <c r="H758" t="s">
        <v>214</v>
      </c>
      <c r="I758" s="3">
        <v>0.12569444444444444</v>
      </c>
      <c r="J758" t="s">
        <v>68</v>
      </c>
      <c r="K758">
        <v>24</v>
      </c>
      <c r="L758" s="3">
        <v>8.3333333333333329E-2</v>
      </c>
      <c r="M758" t="s">
        <v>31</v>
      </c>
      <c r="N758" t="s">
        <v>99</v>
      </c>
    </row>
    <row r="759" spans="1:14" x14ac:dyDescent="0.35">
      <c r="A759" t="s">
        <v>14</v>
      </c>
      <c r="B759" t="s">
        <v>267</v>
      </c>
      <c r="C759" t="s">
        <v>75</v>
      </c>
      <c r="D759" t="s">
        <v>76</v>
      </c>
      <c r="E759" s="2">
        <v>41934</v>
      </c>
      <c r="F759" t="s">
        <v>24</v>
      </c>
      <c r="G759" t="s">
        <v>112</v>
      </c>
      <c r="H759" t="s">
        <v>145</v>
      </c>
      <c r="I759" s="3">
        <v>2.0833333333333333E-3</v>
      </c>
      <c r="J759" t="s">
        <v>68</v>
      </c>
      <c r="K759">
        <v>23</v>
      </c>
      <c r="L759" s="3">
        <v>6.9444444444444447E-4</v>
      </c>
      <c r="M759" t="s">
        <v>26</v>
      </c>
      <c r="N759" t="s">
        <v>268</v>
      </c>
    </row>
    <row r="760" spans="1:14" x14ac:dyDescent="0.35">
      <c r="A760" t="s">
        <v>14</v>
      </c>
      <c r="B760" t="s">
        <v>267</v>
      </c>
      <c r="C760" t="s">
        <v>65</v>
      </c>
      <c r="D760">
        <v>9</v>
      </c>
      <c r="E760" s="2">
        <v>41937</v>
      </c>
      <c r="F760" t="s">
        <v>16</v>
      </c>
      <c r="G760" t="s">
        <v>112</v>
      </c>
      <c r="H760" t="s">
        <v>66</v>
      </c>
      <c r="I760" s="3">
        <v>0.12569444444444444</v>
      </c>
      <c r="J760" t="s">
        <v>68</v>
      </c>
      <c r="K760">
        <v>35</v>
      </c>
      <c r="L760" s="3">
        <v>4.2361111111111113E-2</v>
      </c>
      <c r="M760" t="s">
        <v>83</v>
      </c>
    </row>
    <row r="761" spans="1:14" x14ac:dyDescent="0.35">
      <c r="A761" t="s">
        <v>14</v>
      </c>
      <c r="B761" t="s">
        <v>267</v>
      </c>
      <c r="C761" t="s">
        <v>65</v>
      </c>
      <c r="D761">
        <v>10</v>
      </c>
      <c r="E761" s="2">
        <v>41944</v>
      </c>
      <c r="F761" t="s">
        <v>24</v>
      </c>
      <c r="G761" t="s">
        <v>112</v>
      </c>
      <c r="H761" t="s">
        <v>233</v>
      </c>
      <c r="I761" s="3">
        <v>2.7777777777777779E-3</v>
      </c>
      <c r="J761" t="s">
        <v>68</v>
      </c>
      <c r="K761">
        <v>2</v>
      </c>
      <c r="L761" s="3">
        <v>6.9444444444444447E-4</v>
      </c>
      <c r="M761" t="s">
        <v>26</v>
      </c>
      <c r="N761" t="s">
        <v>183</v>
      </c>
    </row>
    <row r="762" spans="1:14" x14ac:dyDescent="0.35">
      <c r="A762" t="s">
        <v>64</v>
      </c>
      <c r="B762" t="s">
        <v>267</v>
      </c>
      <c r="C762" t="s">
        <v>75</v>
      </c>
      <c r="D762" t="s">
        <v>76</v>
      </c>
      <c r="E762" s="2">
        <v>41948</v>
      </c>
      <c r="F762" t="s">
        <v>24</v>
      </c>
      <c r="G762" t="s">
        <v>66</v>
      </c>
      <c r="H762" t="s">
        <v>214</v>
      </c>
      <c r="I762" s="3">
        <v>1.3888888888888889E-3</v>
      </c>
      <c r="J762" t="s">
        <v>38</v>
      </c>
      <c r="K762">
        <v>36</v>
      </c>
      <c r="L762" s="3">
        <v>6.9444444444444447E-4</v>
      </c>
      <c r="M762" t="s">
        <v>22</v>
      </c>
      <c r="N762" t="s">
        <v>271</v>
      </c>
    </row>
    <row r="763" spans="1:14" x14ac:dyDescent="0.35">
      <c r="A763" t="s">
        <v>64</v>
      </c>
      <c r="B763" t="s">
        <v>267</v>
      </c>
      <c r="C763" t="s">
        <v>75</v>
      </c>
      <c r="D763" t="s">
        <v>76</v>
      </c>
      <c r="E763" s="2">
        <v>41948</v>
      </c>
      <c r="F763" t="s">
        <v>24</v>
      </c>
      <c r="G763" t="s">
        <v>66</v>
      </c>
      <c r="H763" t="s">
        <v>214</v>
      </c>
      <c r="I763" s="3">
        <v>1.3888888888888889E-3</v>
      </c>
      <c r="J763" t="s">
        <v>38</v>
      </c>
      <c r="K763">
        <v>76</v>
      </c>
      <c r="L763" s="3">
        <v>1.3888888888888889E-3</v>
      </c>
      <c r="M763" t="s">
        <v>31</v>
      </c>
      <c r="N763" t="s">
        <v>186</v>
      </c>
    </row>
    <row r="764" spans="1:14" x14ac:dyDescent="0.35">
      <c r="A764" t="s">
        <v>14</v>
      </c>
      <c r="B764" t="s">
        <v>267</v>
      </c>
      <c r="C764" t="s">
        <v>65</v>
      </c>
      <c r="D764">
        <v>11</v>
      </c>
      <c r="E764" s="2">
        <v>41951</v>
      </c>
      <c r="F764" t="s">
        <v>16</v>
      </c>
      <c r="G764" t="s">
        <v>112</v>
      </c>
      <c r="H764" t="s">
        <v>225</v>
      </c>
      <c r="I764" s="3">
        <v>0.20902777777777778</v>
      </c>
      <c r="J764" t="s">
        <v>68</v>
      </c>
      <c r="K764">
        <v>83</v>
      </c>
      <c r="L764" s="3">
        <v>0.20902777777777778</v>
      </c>
      <c r="M764" t="s">
        <v>26</v>
      </c>
      <c r="N764" t="s">
        <v>257</v>
      </c>
    </row>
    <row r="765" spans="1:14" x14ac:dyDescent="0.35">
      <c r="A765" t="s">
        <v>14</v>
      </c>
      <c r="B765" t="s">
        <v>267</v>
      </c>
      <c r="C765" t="s">
        <v>65</v>
      </c>
      <c r="D765">
        <v>12</v>
      </c>
      <c r="E765" s="2">
        <v>41965</v>
      </c>
      <c r="F765" t="s">
        <v>24</v>
      </c>
      <c r="G765" t="s">
        <v>112</v>
      </c>
      <c r="H765" t="s">
        <v>270</v>
      </c>
      <c r="I765" s="3">
        <v>2.7777777777777779E-3</v>
      </c>
      <c r="J765" t="s">
        <v>68</v>
      </c>
      <c r="K765">
        <v>83</v>
      </c>
      <c r="L765" s="3">
        <v>2.7777777777777779E-3</v>
      </c>
      <c r="M765" t="s">
        <v>83</v>
      </c>
    </row>
    <row r="766" spans="1:14" x14ac:dyDescent="0.35">
      <c r="A766" t="s">
        <v>64</v>
      </c>
      <c r="B766" t="s">
        <v>267</v>
      </c>
      <c r="C766" t="s">
        <v>65</v>
      </c>
      <c r="D766">
        <v>12</v>
      </c>
      <c r="E766" s="2">
        <v>41965</v>
      </c>
      <c r="F766" t="s">
        <v>16</v>
      </c>
      <c r="G766" t="s">
        <v>66</v>
      </c>
      <c r="H766" t="s">
        <v>105</v>
      </c>
      <c r="I766" s="3">
        <v>0.20902777777777778</v>
      </c>
      <c r="J766" t="s">
        <v>38</v>
      </c>
      <c r="K766">
        <v>78</v>
      </c>
      <c r="L766" s="3">
        <v>0.20902777777777778</v>
      </c>
      <c r="M766" t="s">
        <v>31</v>
      </c>
      <c r="N766" t="s">
        <v>256</v>
      </c>
    </row>
    <row r="767" spans="1:14" x14ac:dyDescent="0.35">
      <c r="A767" t="s">
        <v>64</v>
      </c>
      <c r="B767" t="s">
        <v>267</v>
      </c>
      <c r="C767" t="s">
        <v>65</v>
      </c>
      <c r="D767">
        <v>12</v>
      </c>
      <c r="E767" s="2">
        <v>41965</v>
      </c>
      <c r="F767" t="s">
        <v>16</v>
      </c>
      <c r="G767" t="s">
        <v>66</v>
      </c>
      <c r="H767" t="s">
        <v>105</v>
      </c>
      <c r="I767" s="3">
        <v>0.20902777777777778</v>
      </c>
      <c r="J767" t="s">
        <v>38</v>
      </c>
      <c r="K767">
        <v>73</v>
      </c>
      <c r="L767" s="3">
        <v>0.1673611111111111</v>
      </c>
      <c r="M767" t="s">
        <v>55</v>
      </c>
      <c r="N767" t="s">
        <v>256</v>
      </c>
    </row>
    <row r="768" spans="1:14" x14ac:dyDescent="0.35">
      <c r="A768" t="s">
        <v>64</v>
      </c>
      <c r="B768" t="s">
        <v>267</v>
      </c>
      <c r="C768" t="s">
        <v>65</v>
      </c>
      <c r="D768">
        <v>12</v>
      </c>
      <c r="E768" s="2">
        <v>41965</v>
      </c>
      <c r="F768" t="s">
        <v>16</v>
      </c>
      <c r="G768" t="s">
        <v>66</v>
      </c>
      <c r="H768" t="s">
        <v>105</v>
      </c>
      <c r="I768" s="3">
        <v>0.20902777777777778</v>
      </c>
      <c r="J768" t="s">
        <v>38</v>
      </c>
      <c r="K768">
        <v>21</v>
      </c>
      <c r="L768" s="3">
        <v>4.1666666666666664E-2</v>
      </c>
      <c r="M768" t="s">
        <v>39</v>
      </c>
    </row>
    <row r="769" spans="1:14" x14ac:dyDescent="0.35">
      <c r="A769" t="s">
        <v>14</v>
      </c>
      <c r="B769" t="s">
        <v>267</v>
      </c>
      <c r="C769" t="s">
        <v>65</v>
      </c>
      <c r="D769">
        <v>12</v>
      </c>
      <c r="E769" s="2">
        <v>41965</v>
      </c>
      <c r="F769" t="s">
        <v>24</v>
      </c>
      <c r="G769" t="s">
        <v>112</v>
      </c>
      <c r="H769" t="s">
        <v>270</v>
      </c>
      <c r="I769" s="3">
        <v>2.7777777777777779E-3</v>
      </c>
      <c r="J769" t="s">
        <v>68</v>
      </c>
      <c r="K769">
        <v>43</v>
      </c>
      <c r="L769" s="3">
        <v>1.3888888888888889E-3</v>
      </c>
      <c r="M769" t="s">
        <v>26</v>
      </c>
      <c r="N769" t="s">
        <v>262</v>
      </c>
    </row>
    <row r="770" spans="1:14" x14ac:dyDescent="0.35">
      <c r="A770" t="s">
        <v>64</v>
      </c>
      <c r="B770" t="s">
        <v>267</v>
      </c>
      <c r="C770" t="s">
        <v>75</v>
      </c>
      <c r="D770" t="s">
        <v>76</v>
      </c>
      <c r="E770" s="2">
        <v>41968</v>
      </c>
      <c r="F770" t="s">
        <v>24</v>
      </c>
      <c r="G770" t="s">
        <v>66</v>
      </c>
      <c r="H770" t="s">
        <v>241</v>
      </c>
      <c r="I770" s="3">
        <v>2.7777777777777779E-3</v>
      </c>
      <c r="J770" t="s">
        <v>251</v>
      </c>
      <c r="K770">
        <v>87</v>
      </c>
      <c r="L770" s="3">
        <v>2.7777777777777779E-3</v>
      </c>
      <c r="M770" t="s">
        <v>26</v>
      </c>
      <c r="N770" t="s">
        <v>186</v>
      </c>
    </row>
    <row r="771" spans="1:14" x14ac:dyDescent="0.35">
      <c r="A771" t="s">
        <v>64</v>
      </c>
      <c r="B771" t="s">
        <v>267</v>
      </c>
      <c r="C771" t="s">
        <v>75</v>
      </c>
      <c r="D771" t="s">
        <v>76</v>
      </c>
      <c r="E771" s="2">
        <v>41968</v>
      </c>
      <c r="F771" t="s">
        <v>24</v>
      </c>
      <c r="G771" t="s">
        <v>66</v>
      </c>
      <c r="H771" t="s">
        <v>241</v>
      </c>
      <c r="I771" s="3">
        <v>2.7777777777777779E-3</v>
      </c>
      <c r="J771" t="s">
        <v>251</v>
      </c>
      <c r="K771">
        <v>58</v>
      </c>
      <c r="L771" s="3">
        <v>2.0833333333333333E-3</v>
      </c>
      <c r="M771" t="s">
        <v>26</v>
      </c>
      <c r="N771" t="s">
        <v>155</v>
      </c>
    </row>
    <row r="772" spans="1:14" x14ac:dyDescent="0.35">
      <c r="A772" t="s">
        <v>64</v>
      </c>
      <c r="B772" t="s">
        <v>267</v>
      </c>
      <c r="C772" t="s">
        <v>75</v>
      </c>
      <c r="D772" t="s">
        <v>76</v>
      </c>
      <c r="E772" s="2">
        <v>41968</v>
      </c>
      <c r="F772" t="s">
        <v>24</v>
      </c>
      <c r="G772" t="s">
        <v>66</v>
      </c>
      <c r="H772" t="s">
        <v>241</v>
      </c>
      <c r="I772" s="3">
        <v>2.7777777777777779E-3</v>
      </c>
      <c r="J772" t="s">
        <v>251</v>
      </c>
      <c r="K772">
        <v>38</v>
      </c>
      <c r="L772" s="3">
        <v>1.3888888888888889E-3</v>
      </c>
      <c r="M772" t="s">
        <v>26</v>
      </c>
      <c r="N772" t="s">
        <v>272</v>
      </c>
    </row>
    <row r="773" spans="1:14" x14ac:dyDescent="0.35">
      <c r="A773" t="s">
        <v>14</v>
      </c>
      <c r="B773" t="s">
        <v>267</v>
      </c>
      <c r="C773" t="s">
        <v>75</v>
      </c>
      <c r="D773" t="s">
        <v>76</v>
      </c>
      <c r="E773" s="2">
        <v>41969</v>
      </c>
      <c r="F773" t="s">
        <v>24</v>
      </c>
      <c r="G773" t="s">
        <v>112</v>
      </c>
      <c r="H773" t="s">
        <v>154</v>
      </c>
      <c r="I773" s="3">
        <v>6.9444444444444447E-4</v>
      </c>
      <c r="J773" t="s">
        <v>19</v>
      </c>
      <c r="K773">
        <v>35</v>
      </c>
      <c r="L773" s="3">
        <v>6.9444444444444447E-4</v>
      </c>
      <c r="M773" t="s">
        <v>31</v>
      </c>
      <c r="N773" t="s">
        <v>183</v>
      </c>
    </row>
    <row r="774" spans="1:14" x14ac:dyDescent="0.35">
      <c r="A774" t="s">
        <v>14</v>
      </c>
      <c r="B774" t="s">
        <v>267</v>
      </c>
      <c r="C774" t="s">
        <v>65</v>
      </c>
      <c r="D774">
        <v>14</v>
      </c>
      <c r="E774" s="2">
        <v>41979</v>
      </c>
      <c r="F774" t="s">
        <v>16</v>
      </c>
      <c r="G774" t="s">
        <v>112</v>
      </c>
      <c r="H774" t="s">
        <v>98</v>
      </c>
      <c r="I774" s="3">
        <v>0.125</v>
      </c>
      <c r="J774" t="s">
        <v>68</v>
      </c>
      <c r="K774">
        <v>65</v>
      </c>
      <c r="L774" s="3">
        <v>8.3333333333333329E-2</v>
      </c>
      <c r="M774" t="s">
        <v>26</v>
      </c>
    </row>
    <row r="775" spans="1:14" x14ac:dyDescent="0.35">
      <c r="A775" t="s">
        <v>14</v>
      </c>
      <c r="B775" t="s">
        <v>267</v>
      </c>
      <c r="C775" t="s">
        <v>65</v>
      </c>
      <c r="D775">
        <v>14</v>
      </c>
      <c r="E775" s="2">
        <v>41979</v>
      </c>
      <c r="F775" t="s">
        <v>16</v>
      </c>
      <c r="G775" t="s">
        <v>112</v>
      </c>
      <c r="H775" t="s">
        <v>98</v>
      </c>
      <c r="I775" s="3">
        <v>0.125</v>
      </c>
      <c r="J775" t="s">
        <v>68</v>
      </c>
      <c r="K775">
        <v>81</v>
      </c>
      <c r="L775" s="3">
        <v>0.125</v>
      </c>
      <c r="M775" t="s">
        <v>31</v>
      </c>
      <c r="N775" t="s">
        <v>201</v>
      </c>
    </row>
    <row r="776" spans="1:14" x14ac:dyDescent="0.35">
      <c r="A776" t="s">
        <v>14</v>
      </c>
      <c r="B776" t="s">
        <v>267</v>
      </c>
      <c r="C776" t="s">
        <v>65</v>
      </c>
      <c r="D776">
        <v>14</v>
      </c>
      <c r="E776" s="2">
        <v>41979</v>
      </c>
      <c r="F776" t="s">
        <v>16</v>
      </c>
      <c r="G776" t="s">
        <v>112</v>
      </c>
      <c r="H776" t="s">
        <v>98</v>
      </c>
      <c r="I776" s="3">
        <v>0.125</v>
      </c>
      <c r="J776" t="s">
        <v>68</v>
      </c>
      <c r="K776">
        <v>36</v>
      </c>
      <c r="L776" s="3">
        <v>4.1666666666666664E-2</v>
      </c>
      <c r="M776" t="s">
        <v>83</v>
      </c>
    </row>
    <row r="777" spans="1:14" x14ac:dyDescent="0.35">
      <c r="A777" t="s">
        <v>64</v>
      </c>
      <c r="B777" t="s">
        <v>267</v>
      </c>
      <c r="C777" t="s">
        <v>65</v>
      </c>
      <c r="D777">
        <v>14</v>
      </c>
      <c r="E777" s="2">
        <v>41980</v>
      </c>
      <c r="F777" t="s">
        <v>16</v>
      </c>
      <c r="G777" t="s">
        <v>66</v>
      </c>
      <c r="H777" t="s">
        <v>121</v>
      </c>
      <c r="I777" s="3">
        <v>0.20902777777777778</v>
      </c>
      <c r="J777" t="s">
        <v>38</v>
      </c>
      <c r="K777" t="s">
        <v>58</v>
      </c>
      <c r="L777" s="3">
        <v>4.2361111111111113E-2</v>
      </c>
      <c r="M777" t="s">
        <v>31</v>
      </c>
      <c r="N777" t="s">
        <v>106</v>
      </c>
    </row>
    <row r="778" spans="1:14" x14ac:dyDescent="0.35">
      <c r="A778" t="s">
        <v>64</v>
      </c>
      <c r="B778" t="s">
        <v>267</v>
      </c>
      <c r="C778" t="s">
        <v>65</v>
      </c>
      <c r="D778">
        <v>14</v>
      </c>
      <c r="E778" s="2">
        <v>41980</v>
      </c>
      <c r="F778" t="s">
        <v>16</v>
      </c>
      <c r="G778" t="s">
        <v>66</v>
      </c>
      <c r="H778" t="s">
        <v>121</v>
      </c>
      <c r="I778" s="3">
        <v>0.20902777777777778</v>
      </c>
      <c r="J778" t="s">
        <v>38</v>
      </c>
      <c r="K778">
        <v>50</v>
      </c>
      <c r="L778" s="3">
        <v>8.4027777777777785E-2</v>
      </c>
      <c r="M778" t="s">
        <v>26</v>
      </c>
      <c r="N778" t="s">
        <v>273</v>
      </c>
    </row>
    <row r="779" spans="1:14" x14ac:dyDescent="0.35">
      <c r="A779" t="s">
        <v>64</v>
      </c>
      <c r="B779" t="s">
        <v>267</v>
      </c>
      <c r="C779" t="s">
        <v>65</v>
      </c>
      <c r="D779">
        <v>14</v>
      </c>
      <c r="E779" s="2">
        <v>41980</v>
      </c>
      <c r="F779" t="s">
        <v>16</v>
      </c>
      <c r="G779" t="s">
        <v>66</v>
      </c>
      <c r="H779" t="s">
        <v>121</v>
      </c>
      <c r="I779" s="3">
        <v>0.20902777777777778</v>
      </c>
      <c r="J779" t="s">
        <v>38</v>
      </c>
      <c r="K779">
        <v>81</v>
      </c>
      <c r="L779" s="3">
        <v>0.20902777777777778</v>
      </c>
      <c r="M779" t="s">
        <v>26</v>
      </c>
      <c r="N779" t="s">
        <v>186</v>
      </c>
    </row>
    <row r="780" spans="1:14" x14ac:dyDescent="0.35">
      <c r="A780" t="s">
        <v>14</v>
      </c>
      <c r="B780" t="s">
        <v>267</v>
      </c>
      <c r="C780" t="s">
        <v>75</v>
      </c>
      <c r="D780" t="s">
        <v>76</v>
      </c>
      <c r="E780" s="2">
        <v>41982</v>
      </c>
      <c r="F780" t="s">
        <v>16</v>
      </c>
      <c r="G780" t="s">
        <v>112</v>
      </c>
      <c r="H780" t="s">
        <v>269</v>
      </c>
      <c r="I780" s="3">
        <v>0.16666666666666666</v>
      </c>
      <c r="J780" t="s">
        <v>251</v>
      </c>
      <c r="K780">
        <v>20</v>
      </c>
      <c r="L780" s="3">
        <v>4.1666666666666664E-2</v>
      </c>
      <c r="M780" t="s">
        <v>83</v>
      </c>
    </row>
    <row r="781" spans="1:14" x14ac:dyDescent="0.35">
      <c r="A781" t="s">
        <v>64</v>
      </c>
      <c r="B781" t="s">
        <v>267</v>
      </c>
      <c r="C781" t="s">
        <v>75</v>
      </c>
      <c r="D781" t="s">
        <v>76</v>
      </c>
      <c r="E781" s="2">
        <v>41983</v>
      </c>
      <c r="F781" t="s">
        <v>16</v>
      </c>
      <c r="G781" t="s">
        <v>66</v>
      </c>
      <c r="H781" t="s">
        <v>252</v>
      </c>
      <c r="I781" s="3">
        <v>0.12569444444444444</v>
      </c>
      <c r="J781" t="s">
        <v>274</v>
      </c>
      <c r="K781">
        <v>19</v>
      </c>
      <c r="L781" s="3">
        <v>4.2361111111111113E-2</v>
      </c>
      <c r="M781" t="s">
        <v>26</v>
      </c>
      <c r="N781" t="s">
        <v>273</v>
      </c>
    </row>
    <row r="782" spans="1:14" x14ac:dyDescent="0.35">
      <c r="A782" t="s">
        <v>14</v>
      </c>
      <c r="B782" t="s">
        <v>267</v>
      </c>
      <c r="C782" t="s">
        <v>65</v>
      </c>
      <c r="D782">
        <v>15</v>
      </c>
      <c r="E782" s="2">
        <v>41985</v>
      </c>
      <c r="F782" t="s">
        <v>24</v>
      </c>
      <c r="G782" t="s">
        <v>112</v>
      </c>
      <c r="H782" t="s">
        <v>187</v>
      </c>
      <c r="I782" s="3">
        <v>4.4444444444444446E-2</v>
      </c>
      <c r="J782" t="s">
        <v>68</v>
      </c>
      <c r="K782">
        <v>81</v>
      </c>
      <c r="L782" s="3">
        <v>4.3749999999999997E-2</v>
      </c>
      <c r="M782" t="s">
        <v>26</v>
      </c>
      <c r="N782" t="s">
        <v>183</v>
      </c>
    </row>
    <row r="783" spans="1:14" x14ac:dyDescent="0.35">
      <c r="A783" t="s">
        <v>14</v>
      </c>
      <c r="B783" t="s">
        <v>267</v>
      </c>
      <c r="C783" t="s">
        <v>65</v>
      </c>
      <c r="D783">
        <v>15</v>
      </c>
      <c r="E783" s="2">
        <v>41985</v>
      </c>
      <c r="F783" t="s">
        <v>24</v>
      </c>
      <c r="G783" t="s">
        <v>112</v>
      </c>
      <c r="H783" t="s">
        <v>187</v>
      </c>
      <c r="I783" s="3">
        <v>4.4444444444444446E-2</v>
      </c>
      <c r="J783" t="s">
        <v>68</v>
      </c>
      <c r="K783">
        <v>89</v>
      </c>
      <c r="L783" s="3">
        <v>4.4444444444444446E-2</v>
      </c>
      <c r="M783" t="s">
        <v>26</v>
      </c>
      <c r="N783" t="s">
        <v>262</v>
      </c>
    </row>
    <row r="784" spans="1:14" x14ac:dyDescent="0.35">
      <c r="A784" t="s">
        <v>64</v>
      </c>
      <c r="B784" t="s">
        <v>267</v>
      </c>
      <c r="C784" t="s">
        <v>65</v>
      </c>
      <c r="D784">
        <v>16</v>
      </c>
      <c r="E784" s="2">
        <v>41993</v>
      </c>
      <c r="F784" t="s">
        <v>16</v>
      </c>
      <c r="G784" t="s">
        <v>66</v>
      </c>
      <c r="H784" t="s">
        <v>248</v>
      </c>
      <c r="I784" s="3">
        <v>0.20833333333333334</v>
      </c>
      <c r="J784" t="s">
        <v>38</v>
      </c>
      <c r="K784">
        <v>82</v>
      </c>
      <c r="L784" s="3">
        <v>0.16666666666666666</v>
      </c>
      <c r="M784" t="s">
        <v>26</v>
      </c>
    </row>
    <row r="785" spans="1:14" x14ac:dyDescent="0.35">
      <c r="A785" t="s">
        <v>64</v>
      </c>
      <c r="B785" t="s">
        <v>267</v>
      </c>
      <c r="C785" t="s">
        <v>65</v>
      </c>
      <c r="D785">
        <v>16</v>
      </c>
      <c r="E785" s="2">
        <v>41993</v>
      </c>
      <c r="F785" t="s">
        <v>16</v>
      </c>
      <c r="G785" t="s">
        <v>66</v>
      </c>
      <c r="H785" t="s">
        <v>248</v>
      </c>
      <c r="I785" s="3">
        <v>0.20833333333333334</v>
      </c>
      <c r="J785" t="s">
        <v>38</v>
      </c>
      <c r="K785">
        <v>90</v>
      </c>
      <c r="L785" s="3">
        <v>0.20833333333333334</v>
      </c>
      <c r="M785" t="s">
        <v>26</v>
      </c>
    </row>
    <row r="786" spans="1:14" x14ac:dyDescent="0.35">
      <c r="A786" t="s">
        <v>14</v>
      </c>
      <c r="B786" t="s">
        <v>267</v>
      </c>
      <c r="C786" t="s">
        <v>65</v>
      </c>
      <c r="D786">
        <v>17</v>
      </c>
      <c r="E786" s="2">
        <v>42008</v>
      </c>
      <c r="F786" t="s">
        <v>24</v>
      </c>
      <c r="G786" t="s">
        <v>112</v>
      </c>
      <c r="H786" t="s">
        <v>148</v>
      </c>
      <c r="I786" s="3">
        <v>8.4027777777777785E-2</v>
      </c>
      <c r="J786" t="s">
        <v>19</v>
      </c>
      <c r="K786">
        <v>14</v>
      </c>
      <c r="L786" s="3">
        <v>6.9444444444444447E-4</v>
      </c>
      <c r="M786" t="s">
        <v>83</v>
      </c>
    </row>
    <row r="787" spans="1:14" x14ac:dyDescent="0.35">
      <c r="A787" t="s">
        <v>64</v>
      </c>
      <c r="B787" t="s">
        <v>267</v>
      </c>
      <c r="C787" t="s">
        <v>91</v>
      </c>
      <c r="D787" t="s">
        <v>143</v>
      </c>
      <c r="E787" s="2">
        <v>42012</v>
      </c>
      <c r="F787" t="s">
        <v>16</v>
      </c>
      <c r="G787" t="s">
        <v>66</v>
      </c>
      <c r="H787" t="s">
        <v>258</v>
      </c>
      <c r="I787" s="3">
        <v>0.20833333333333334</v>
      </c>
      <c r="J787" t="s">
        <v>275</v>
      </c>
      <c r="K787">
        <v>45</v>
      </c>
      <c r="L787" s="3">
        <v>0.125</v>
      </c>
      <c r="M787" t="s">
        <v>83</v>
      </c>
    </row>
    <row r="788" spans="1:14" x14ac:dyDescent="0.35">
      <c r="A788" t="s">
        <v>64</v>
      </c>
      <c r="B788" t="s">
        <v>267</v>
      </c>
      <c r="C788" t="s">
        <v>65</v>
      </c>
      <c r="D788">
        <v>18</v>
      </c>
      <c r="E788" s="2">
        <v>42015</v>
      </c>
      <c r="F788" t="s">
        <v>16</v>
      </c>
      <c r="G788" t="s">
        <v>66</v>
      </c>
      <c r="H788" t="s">
        <v>119</v>
      </c>
      <c r="I788" s="3">
        <v>0.12569444444444444</v>
      </c>
      <c r="J788" t="s">
        <v>38</v>
      </c>
      <c r="K788">
        <v>87</v>
      </c>
      <c r="L788" s="3">
        <v>0.12569444444444444</v>
      </c>
      <c r="M788" t="s">
        <v>31</v>
      </c>
    </row>
    <row r="789" spans="1:14" x14ac:dyDescent="0.35">
      <c r="A789" t="s">
        <v>14</v>
      </c>
      <c r="B789" t="s">
        <v>267</v>
      </c>
      <c r="C789" t="s">
        <v>91</v>
      </c>
      <c r="D789" t="s">
        <v>143</v>
      </c>
      <c r="E789" s="2">
        <v>42019</v>
      </c>
      <c r="F789" t="s">
        <v>16</v>
      </c>
      <c r="G789" t="s">
        <v>112</v>
      </c>
      <c r="H789" t="s">
        <v>119</v>
      </c>
      <c r="I789" s="3">
        <v>8.4722222222222227E-2</v>
      </c>
      <c r="J789" t="s">
        <v>68</v>
      </c>
      <c r="K789">
        <v>54</v>
      </c>
      <c r="L789" s="3">
        <v>8.4722222222222227E-2</v>
      </c>
      <c r="M789" t="s">
        <v>22</v>
      </c>
      <c r="N789" t="s">
        <v>261</v>
      </c>
    </row>
    <row r="790" spans="1:14" x14ac:dyDescent="0.35">
      <c r="A790" t="s">
        <v>14</v>
      </c>
      <c r="B790" t="s">
        <v>267</v>
      </c>
      <c r="C790" t="s">
        <v>65</v>
      </c>
      <c r="D790">
        <v>19</v>
      </c>
      <c r="E790" s="2">
        <v>42022</v>
      </c>
      <c r="F790" t="s">
        <v>24</v>
      </c>
      <c r="G790" t="s">
        <v>112</v>
      </c>
      <c r="H790" t="s">
        <v>117</v>
      </c>
      <c r="I790" s="3">
        <v>2.0833333333333333E-3</v>
      </c>
      <c r="J790" t="s">
        <v>19</v>
      </c>
      <c r="K790">
        <v>63</v>
      </c>
      <c r="L790" s="3">
        <v>6.9444444444444447E-4</v>
      </c>
      <c r="M790" t="s">
        <v>31</v>
      </c>
      <c r="N790" t="s">
        <v>183</v>
      </c>
    </row>
    <row r="791" spans="1:14" x14ac:dyDescent="0.35">
      <c r="A791" t="s">
        <v>14</v>
      </c>
      <c r="B791" t="s">
        <v>267</v>
      </c>
      <c r="C791" t="s">
        <v>65</v>
      </c>
      <c r="D791">
        <v>19</v>
      </c>
      <c r="E791" s="2">
        <v>42022</v>
      </c>
      <c r="F791" t="s">
        <v>24</v>
      </c>
      <c r="G791" t="s">
        <v>112</v>
      </c>
      <c r="H791" t="s">
        <v>117</v>
      </c>
      <c r="I791" s="3">
        <v>2.0833333333333333E-3</v>
      </c>
      <c r="J791" t="s">
        <v>19</v>
      </c>
      <c r="K791">
        <v>79</v>
      </c>
      <c r="L791" s="3">
        <v>2.0833333333333333E-3</v>
      </c>
      <c r="M791" t="s">
        <v>22</v>
      </c>
      <c r="N791" t="s">
        <v>268</v>
      </c>
    </row>
    <row r="792" spans="1:14" x14ac:dyDescent="0.35">
      <c r="A792" t="s">
        <v>64</v>
      </c>
      <c r="B792" t="s">
        <v>267</v>
      </c>
      <c r="C792" t="s">
        <v>65</v>
      </c>
      <c r="D792">
        <v>19</v>
      </c>
      <c r="E792" s="2">
        <v>42022</v>
      </c>
      <c r="F792" t="s">
        <v>24</v>
      </c>
      <c r="G792" t="s">
        <v>66</v>
      </c>
      <c r="H792" t="s">
        <v>115</v>
      </c>
      <c r="I792" s="3">
        <v>2.7777777777777779E-3</v>
      </c>
      <c r="J792" t="s">
        <v>38</v>
      </c>
      <c r="K792">
        <v>11</v>
      </c>
      <c r="L792" s="3">
        <v>6.9444444444444447E-4</v>
      </c>
      <c r="M792" t="s">
        <v>22</v>
      </c>
      <c r="N792" t="s">
        <v>276</v>
      </c>
    </row>
    <row r="793" spans="1:14" x14ac:dyDescent="0.35">
      <c r="A793" t="s">
        <v>64</v>
      </c>
      <c r="B793" t="s">
        <v>267</v>
      </c>
      <c r="C793" t="s">
        <v>65</v>
      </c>
      <c r="D793">
        <v>19</v>
      </c>
      <c r="E793" s="2">
        <v>42022</v>
      </c>
      <c r="F793" t="s">
        <v>24</v>
      </c>
      <c r="G793" t="s">
        <v>66</v>
      </c>
      <c r="H793" t="s">
        <v>115</v>
      </c>
      <c r="I793" s="3">
        <v>2.7777777777777779E-3</v>
      </c>
      <c r="J793" t="s">
        <v>38</v>
      </c>
      <c r="K793">
        <v>33</v>
      </c>
      <c r="L793" s="3">
        <v>1.3888888888888889E-3</v>
      </c>
      <c r="M793" t="s">
        <v>31</v>
      </c>
      <c r="N793" t="s">
        <v>273</v>
      </c>
    </row>
    <row r="794" spans="1:14" x14ac:dyDescent="0.35">
      <c r="A794" t="s">
        <v>64</v>
      </c>
      <c r="B794" t="s">
        <v>267</v>
      </c>
      <c r="C794" t="s">
        <v>65</v>
      </c>
      <c r="D794">
        <v>19</v>
      </c>
      <c r="E794" s="2">
        <v>42022</v>
      </c>
      <c r="F794" t="s">
        <v>24</v>
      </c>
      <c r="G794" t="s">
        <v>66</v>
      </c>
      <c r="H794" t="s">
        <v>115</v>
      </c>
      <c r="I794" s="3">
        <v>2.7777777777777779E-3</v>
      </c>
      <c r="J794" t="s">
        <v>38</v>
      </c>
      <c r="K794">
        <v>62</v>
      </c>
      <c r="L794" s="3">
        <v>2.0833333333333333E-3</v>
      </c>
      <c r="M794" t="s">
        <v>31</v>
      </c>
      <c r="N794" t="s">
        <v>276</v>
      </c>
    </row>
    <row r="795" spans="1:14" x14ac:dyDescent="0.35">
      <c r="A795" t="s">
        <v>64</v>
      </c>
      <c r="B795" t="s">
        <v>267</v>
      </c>
      <c r="C795" t="s">
        <v>91</v>
      </c>
      <c r="D795" t="s">
        <v>92</v>
      </c>
      <c r="E795" s="2">
        <v>42025</v>
      </c>
      <c r="F795" t="s">
        <v>16</v>
      </c>
      <c r="G795" t="s">
        <v>66</v>
      </c>
      <c r="H795" t="s">
        <v>119</v>
      </c>
      <c r="I795" s="3">
        <v>4.1666666666666664E-2</v>
      </c>
      <c r="J795" t="s">
        <v>275</v>
      </c>
      <c r="K795">
        <v>85</v>
      </c>
      <c r="L795" s="3">
        <v>4.1666666666666664E-2</v>
      </c>
      <c r="M795" t="s">
        <v>107</v>
      </c>
    </row>
    <row r="796" spans="1:14" x14ac:dyDescent="0.35">
      <c r="A796" t="s">
        <v>64</v>
      </c>
      <c r="B796" t="s">
        <v>267</v>
      </c>
      <c r="C796" t="s">
        <v>65</v>
      </c>
      <c r="D796">
        <v>20</v>
      </c>
      <c r="E796" s="2">
        <v>42028</v>
      </c>
      <c r="F796" t="s">
        <v>24</v>
      </c>
      <c r="G796" t="s">
        <v>66</v>
      </c>
      <c r="H796" t="s">
        <v>258</v>
      </c>
      <c r="I796" s="3">
        <v>4.1666666666666666E-3</v>
      </c>
      <c r="J796" t="s">
        <v>68</v>
      </c>
      <c r="K796">
        <v>88</v>
      </c>
      <c r="L796" s="3">
        <v>3.472222222222222E-3</v>
      </c>
      <c r="M796" t="s">
        <v>31</v>
      </c>
      <c r="N796" t="s">
        <v>271</v>
      </c>
    </row>
    <row r="797" spans="1:14" x14ac:dyDescent="0.35">
      <c r="A797" t="s">
        <v>64</v>
      </c>
      <c r="B797" t="s">
        <v>267</v>
      </c>
      <c r="C797" t="s">
        <v>65</v>
      </c>
      <c r="D797">
        <v>20</v>
      </c>
      <c r="E797" s="2">
        <v>42028</v>
      </c>
      <c r="F797" t="s">
        <v>24</v>
      </c>
      <c r="G797" t="s">
        <v>66</v>
      </c>
      <c r="H797" t="s">
        <v>258</v>
      </c>
      <c r="I797" s="3">
        <v>4.1666666666666666E-3</v>
      </c>
      <c r="J797" t="s">
        <v>68</v>
      </c>
      <c r="K797">
        <v>55</v>
      </c>
      <c r="L797" s="3">
        <v>1.3888888888888889E-3</v>
      </c>
      <c r="M797" t="s">
        <v>83</v>
      </c>
    </row>
    <row r="798" spans="1:14" x14ac:dyDescent="0.35">
      <c r="A798" t="s">
        <v>64</v>
      </c>
      <c r="B798" t="s">
        <v>267</v>
      </c>
      <c r="C798" t="s">
        <v>65</v>
      </c>
      <c r="D798">
        <v>21</v>
      </c>
      <c r="E798" s="2">
        <v>42036</v>
      </c>
      <c r="F798" t="s">
        <v>16</v>
      </c>
      <c r="G798" t="s">
        <v>66</v>
      </c>
      <c r="H798" t="s">
        <v>180</v>
      </c>
      <c r="I798" s="3">
        <v>0.12638888888888888</v>
      </c>
      <c r="J798" t="s">
        <v>38</v>
      </c>
      <c r="K798">
        <v>55</v>
      </c>
      <c r="L798" s="3">
        <v>0.12638888888888888</v>
      </c>
      <c r="M798" t="s">
        <v>26</v>
      </c>
      <c r="N798" t="s">
        <v>273</v>
      </c>
    </row>
    <row r="799" spans="1:14" x14ac:dyDescent="0.35">
      <c r="A799" t="s">
        <v>64</v>
      </c>
      <c r="B799" t="s">
        <v>267</v>
      </c>
      <c r="C799" t="s">
        <v>65</v>
      </c>
      <c r="D799">
        <v>22</v>
      </c>
      <c r="E799" s="2">
        <v>42043</v>
      </c>
      <c r="F799" t="s">
        <v>24</v>
      </c>
      <c r="G799" t="s">
        <v>66</v>
      </c>
      <c r="H799" t="s">
        <v>86</v>
      </c>
      <c r="I799" s="3">
        <v>8.6805555555555552E-2</v>
      </c>
      <c r="J799" t="s">
        <v>38</v>
      </c>
      <c r="K799">
        <v>15</v>
      </c>
      <c r="L799" s="3">
        <v>6.9444444444444447E-4</v>
      </c>
      <c r="M799" t="s">
        <v>39</v>
      </c>
    </row>
    <row r="800" spans="1:14" x14ac:dyDescent="0.35">
      <c r="A800" t="s">
        <v>64</v>
      </c>
      <c r="B800" t="s">
        <v>267</v>
      </c>
      <c r="C800" t="s">
        <v>91</v>
      </c>
      <c r="D800" t="s">
        <v>62</v>
      </c>
      <c r="E800" s="2">
        <v>42046</v>
      </c>
      <c r="F800" t="s">
        <v>16</v>
      </c>
      <c r="G800" t="s">
        <v>66</v>
      </c>
      <c r="H800" t="s">
        <v>180</v>
      </c>
      <c r="I800" s="3">
        <v>0.12569444444444444</v>
      </c>
      <c r="J800" t="s">
        <v>38</v>
      </c>
      <c r="K800">
        <v>41</v>
      </c>
      <c r="L800" s="3">
        <v>4.1666666666666664E-2</v>
      </c>
      <c r="M800" t="s">
        <v>31</v>
      </c>
      <c r="N800" t="s">
        <v>273</v>
      </c>
    </row>
    <row r="801" spans="1:14" x14ac:dyDescent="0.35">
      <c r="A801" t="s">
        <v>64</v>
      </c>
      <c r="B801" t="s">
        <v>267</v>
      </c>
      <c r="C801" t="s">
        <v>65</v>
      </c>
      <c r="D801">
        <v>23</v>
      </c>
      <c r="E801" s="2">
        <v>42050</v>
      </c>
      <c r="F801" t="s">
        <v>16</v>
      </c>
      <c r="G801" t="s">
        <v>66</v>
      </c>
      <c r="H801" t="s">
        <v>127</v>
      </c>
      <c r="I801" s="3">
        <v>0.20833333333333334</v>
      </c>
      <c r="J801" t="s">
        <v>68</v>
      </c>
      <c r="K801">
        <v>38</v>
      </c>
      <c r="L801" s="3">
        <v>8.3333333333333329E-2</v>
      </c>
      <c r="M801" t="s">
        <v>26</v>
      </c>
      <c r="N801" t="s">
        <v>271</v>
      </c>
    </row>
    <row r="802" spans="1:14" x14ac:dyDescent="0.35">
      <c r="A802" t="s">
        <v>64</v>
      </c>
      <c r="B802" t="s">
        <v>267</v>
      </c>
      <c r="C802" t="s">
        <v>65</v>
      </c>
      <c r="D802">
        <v>23</v>
      </c>
      <c r="E802" s="2">
        <v>42050</v>
      </c>
      <c r="F802" t="s">
        <v>16</v>
      </c>
      <c r="G802" t="s">
        <v>66</v>
      </c>
      <c r="H802" t="s">
        <v>127</v>
      </c>
      <c r="I802" s="3">
        <v>0.20833333333333334</v>
      </c>
      <c r="J802" t="s">
        <v>68</v>
      </c>
      <c r="K802">
        <v>59</v>
      </c>
      <c r="L802" s="3">
        <v>0.125</v>
      </c>
      <c r="M802" t="s">
        <v>26</v>
      </c>
      <c r="N802" t="s">
        <v>186</v>
      </c>
    </row>
    <row r="803" spans="1:14" x14ac:dyDescent="0.35">
      <c r="A803" t="s">
        <v>64</v>
      </c>
      <c r="B803" t="s">
        <v>267</v>
      </c>
      <c r="C803" t="s">
        <v>65</v>
      </c>
      <c r="D803">
        <v>23</v>
      </c>
      <c r="E803" s="2">
        <v>42050</v>
      </c>
      <c r="F803" t="s">
        <v>16</v>
      </c>
      <c r="G803" t="s">
        <v>66</v>
      </c>
      <c r="H803" t="s">
        <v>127</v>
      </c>
      <c r="I803" s="3">
        <v>0.20833333333333334</v>
      </c>
      <c r="J803" t="s">
        <v>68</v>
      </c>
      <c r="K803">
        <v>65</v>
      </c>
      <c r="L803" s="3">
        <v>0.16666666666666666</v>
      </c>
      <c r="M803" t="s">
        <v>83</v>
      </c>
    </row>
    <row r="804" spans="1:14" x14ac:dyDescent="0.35">
      <c r="A804" t="s">
        <v>14</v>
      </c>
      <c r="B804" t="s">
        <v>267</v>
      </c>
      <c r="C804" t="s">
        <v>75</v>
      </c>
      <c r="D804" t="s">
        <v>143</v>
      </c>
      <c r="E804" s="2">
        <v>42053</v>
      </c>
      <c r="F804" t="s">
        <v>24</v>
      </c>
      <c r="G804" t="s">
        <v>112</v>
      </c>
      <c r="H804" t="s">
        <v>264</v>
      </c>
      <c r="I804" s="3">
        <v>1.3888888888888889E-3</v>
      </c>
      <c r="J804" t="s">
        <v>19</v>
      </c>
      <c r="K804">
        <v>26</v>
      </c>
      <c r="L804" s="3">
        <v>6.9444444444444447E-4</v>
      </c>
      <c r="M804" t="s">
        <v>22</v>
      </c>
      <c r="N804" t="s">
        <v>262</v>
      </c>
    </row>
    <row r="805" spans="1:14" x14ac:dyDescent="0.35">
      <c r="A805" t="s">
        <v>14</v>
      </c>
      <c r="B805" t="s">
        <v>267</v>
      </c>
      <c r="C805" t="s">
        <v>65</v>
      </c>
      <c r="D805">
        <v>24</v>
      </c>
      <c r="E805" s="2">
        <v>42057</v>
      </c>
      <c r="F805" t="s">
        <v>24</v>
      </c>
      <c r="G805" t="s">
        <v>112</v>
      </c>
      <c r="H805" t="s">
        <v>258</v>
      </c>
      <c r="I805" s="3">
        <v>1.3888888888888889E-3</v>
      </c>
      <c r="J805" t="s">
        <v>68</v>
      </c>
      <c r="K805">
        <v>69</v>
      </c>
      <c r="L805" s="3">
        <v>1.3888888888888889E-3</v>
      </c>
      <c r="M805" t="s">
        <v>22</v>
      </c>
      <c r="N805" t="s">
        <v>257</v>
      </c>
    </row>
    <row r="806" spans="1:14" x14ac:dyDescent="0.35">
      <c r="A806" t="s">
        <v>64</v>
      </c>
      <c r="B806" t="s">
        <v>267</v>
      </c>
      <c r="C806" t="s">
        <v>65</v>
      </c>
      <c r="D806">
        <v>25</v>
      </c>
      <c r="E806" s="2">
        <v>42063</v>
      </c>
      <c r="F806" t="s">
        <v>24</v>
      </c>
      <c r="G806" t="s">
        <v>66</v>
      </c>
      <c r="H806" t="s">
        <v>233</v>
      </c>
      <c r="I806" s="3">
        <v>4.3749999999999997E-2</v>
      </c>
      <c r="J806" t="s">
        <v>38</v>
      </c>
      <c r="K806">
        <v>70</v>
      </c>
      <c r="L806" s="3">
        <v>4.3749999999999997E-2</v>
      </c>
      <c r="M806" t="s">
        <v>26</v>
      </c>
      <c r="N806" t="s">
        <v>273</v>
      </c>
    </row>
    <row r="807" spans="1:14" x14ac:dyDescent="0.35">
      <c r="A807" t="s">
        <v>14</v>
      </c>
      <c r="B807" t="s">
        <v>267</v>
      </c>
      <c r="C807" t="s">
        <v>65</v>
      </c>
      <c r="D807">
        <v>25</v>
      </c>
      <c r="E807" s="2">
        <v>42064</v>
      </c>
      <c r="F807" t="s">
        <v>16</v>
      </c>
      <c r="G807" t="s">
        <v>112</v>
      </c>
      <c r="H807" t="s">
        <v>180</v>
      </c>
      <c r="I807" s="3">
        <v>4.2361111111111113E-2</v>
      </c>
      <c r="J807" t="s">
        <v>68</v>
      </c>
      <c r="K807">
        <v>52</v>
      </c>
      <c r="L807" s="3">
        <v>4.1666666666666664E-2</v>
      </c>
      <c r="M807" t="s">
        <v>83</v>
      </c>
    </row>
    <row r="808" spans="1:14" x14ac:dyDescent="0.35">
      <c r="A808" t="s">
        <v>64</v>
      </c>
      <c r="B808" t="s">
        <v>267</v>
      </c>
      <c r="C808" t="s">
        <v>65</v>
      </c>
      <c r="D808">
        <v>26</v>
      </c>
      <c r="E808" s="2">
        <v>42071</v>
      </c>
      <c r="F808" t="s">
        <v>16</v>
      </c>
      <c r="G808" t="s">
        <v>66</v>
      </c>
      <c r="H808" t="s">
        <v>225</v>
      </c>
      <c r="I808" s="3">
        <v>0.25069444444444444</v>
      </c>
      <c r="J808" t="s">
        <v>38</v>
      </c>
      <c r="K808">
        <v>56</v>
      </c>
      <c r="L808" s="3">
        <v>0.125</v>
      </c>
      <c r="M808" t="s">
        <v>83</v>
      </c>
    </row>
    <row r="809" spans="1:14" x14ac:dyDescent="0.35">
      <c r="A809" t="s">
        <v>64</v>
      </c>
      <c r="B809" t="s">
        <v>267</v>
      </c>
      <c r="C809" t="s">
        <v>65</v>
      </c>
      <c r="D809">
        <v>26</v>
      </c>
      <c r="E809" s="2">
        <v>42071</v>
      </c>
      <c r="F809" t="s">
        <v>16</v>
      </c>
      <c r="G809" t="s">
        <v>66</v>
      </c>
      <c r="H809" t="s">
        <v>225</v>
      </c>
      <c r="I809" s="3">
        <v>0.25069444444444444</v>
      </c>
      <c r="J809" t="s">
        <v>38</v>
      </c>
      <c r="K809">
        <v>68</v>
      </c>
      <c r="L809" s="3">
        <v>0.20833333333333334</v>
      </c>
      <c r="M809" t="s">
        <v>31</v>
      </c>
      <c r="N809" t="s">
        <v>186</v>
      </c>
    </row>
    <row r="810" spans="1:14" x14ac:dyDescent="0.35">
      <c r="A810" t="s">
        <v>64</v>
      </c>
      <c r="B810" t="s">
        <v>267</v>
      </c>
      <c r="C810" t="s">
        <v>65</v>
      </c>
      <c r="D810">
        <v>26</v>
      </c>
      <c r="E810" s="2">
        <v>42071</v>
      </c>
      <c r="F810" t="s">
        <v>16</v>
      </c>
      <c r="G810" t="s">
        <v>66</v>
      </c>
      <c r="H810" t="s">
        <v>225</v>
      </c>
      <c r="I810" s="3">
        <v>0.25069444444444444</v>
      </c>
      <c r="J810" t="s">
        <v>38</v>
      </c>
      <c r="K810">
        <v>63</v>
      </c>
      <c r="L810" s="3">
        <v>0.16666666666666666</v>
      </c>
      <c r="M810" t="s">
        <v>55</v>
      </c>
    </row>
    <row r="811" spans="1:14" x14ac:dyDescent="0.35">
      <c r="A811" t="s">
        <v>14</v>
      </c>
      <c r="B811" t="s">
        <v>267</v>
      </c>
      <c r="C811" t="s">
        <v>75</v>
      </c>
      <c r="D811" t="s">
        <v>143</v>
      </c>
      <c r="E811" s="2">
        <v>42073</v>
      </c>
      <c r="F811" t="s">
        <v>16</v>
      </c>
      <c r="G811" t="s">
        <v>112</v>
      </c>
      <c r="H811" t="s">
        <v>264</v>
      </c>
      <c r="I811" s="3">
        <v>0.12777777777777777</v>
      </c>
      <c r="J811" t="s">
        <v>68</v>
      </c>
      <c r="K811">
        <v>45</v>
      </c>
      <c r="L811" s="3">
        <v>8.4722222222222227E-2</v>
      </c>
      <c r="M811" t="s">
        <v>22</v>
      </c>
      <c r="N811" t="s">
        <v>235</v>
      </c>
    </row>
    <row r="812" spans="1:14" x14ac:dyDescent="0.35">
      <c r="A812" t="s">
        <v>14</v>
      </c>
      <c r="B812" t="s">
        <v>267</v>
      </c>
      <c r="C812" t="s">
        <v>75</v>
      </c>
      <c r="D812" t="s">
        <v>143</v>
      </c>
      <c r="E812" s="2">
        <v>42073</v>
      </c>
      <c r="F812" t="s">
        <v>16</v>
      </c>
      <c r="G812" t="s">
        <v>112</v>
      </c>
      <c r="H812" t="s">
        <v>264</v>
      </c>
      <c r="I812" s="3">
        <v>0.12777777777777777</v>
      </c>
      <c r="J812" t="s">
        <v>68</v>
      </c>
      <c r="K812">
        <v>25</v>
      </c>
      <c r="L812" s="3">
        <v>4.2361111111111113E-2</v>
      </c>
      <c r="M812" t="s">
        <v>22</v>
      </c>
      <c r="N812" t="s">
        <v>277</v>
      </c>
    </row>
    <row r="813" spans="1:14" x14ac:dyDescent="0.35">
      <c r="A813" t="s">
        <v>64</v>
      </c>
      <c r="B813" t="s">
        <v>267</v>
      </c>
      <c r="C813" t="s">
        <v>65</v>
      </c>
      <c r="D813">
        <v>27</v>
      </c>
      <c r="E813" s="2">
        <v>42077</v>
      </c>
      <c r="F813" t="s">
        <v>24</v>
      </c>
      <c r="G813" t="s">
        <v>66</v>
      </c>
      <c r="H813" t="s">
        <v>270</v>
      </c>
      <c r="I813" s="3">
        <v>1.3888888888888889E-3</v>
      </c>
      <c r="J813" t="s">
        <v>275</v>
      </c>
      <c r="K813">
        <v>55</v>
      </c>
      <c r="L813" s="3">
        <v>1.3888888888888889E-3</v>
      </c>
      <c r="M813" t="s">
        <v>22</v>
      </c>
      <c r="N813" t="s">
        <v>276</v>
      </c>
    </row>
    <row r="814" spans="1:14" x14ac:dyDescent="0.35">
      <c r="A814" t="s">
        <v>64</v>
      </c>
      <c r="B814" t="s">
        <v>267</v>
      </c>
      <c r="C814" t="s">
        <v>65</v>
      </c>
      <c r="D814">
        <v>27</v>
      </c>
      <c r="E814" s="2">
        <v>42077</v>
      </c>
      <c r="F814" t="s">
        <v>24</v>
      </c>
      <c r="G814" t="s">
        <v>66</v>
      </c>
      <c r="H814" t="s">
        <v>270</v>
      </c>
      <c r="I814" s="3">
        <v>1.3888888888888889E-3</v>
      </c>
      <c r="J814" t="s">
        <v>275</v>
      </c>
      <c r="K814">
        <v>31</v>
      </c>
      <c r="L814" s="3">
        <v>6.9444444444444447E-4</v>
      </c>
      <c r="M814" t="s">
        <v>83</v>
      </c>
    </row>
    <row r="815" spans="1:14" x14ac:dyDescent="0.35">
      <c r="A815" t="s">
        <v>14</v>
      </c>
      <c r="B815" t="s">
        <v>267</v>
      </c>
      <c r="C815" t="s">
        <v>65</v>
      </c>
      <c r="D815">
        <v>28</v>
      </c>
      <c r="E815" s="2">
        <v>42085</v>
      </c>
      <c r="F815" t="s">
        <v>24</v>
      </c>
      <c r="G815" t="s">
        <v>112</v>
      </c>
      <c r="H815" t="s">
        <v>66</v>
      </c>
      <c r="I815" s="3">
        <v>8.4027777777777785E-2</v>
      </c>
      <c r="J815" t="s">
        <v>19</v>
      </c>
      <c r="K815">
        <v>31</v>
      </c>
      <c r="L815" s="3">
        <v>4.2361111111111113E-2</v>
      </c>
      <c r="M815" t="s">
        <v>26</v>
      </c>
      <c r="N815" t="s">
        <v>183</v>
      </c>
    </row>
    <row r="816" spans="1:14" x14ac:dyDescent="0.35">
      <c r="A816" t="s">
        <v>14</v>
      </c>
      <c r="B816" t="s">
        <v>267</v>
      </c>
      <c r="C816" t="s">
        <v>65</v>
      </c>
      <c r="D816">
        <v>29</v>
      </c>
      <c r="E816" s="2">
        <v>42099</v>
      </c>
      <c r="F816" t="s">
        <v>16</v>
      </c>
      <c r="G816" t="s">
        <v>112</v>
      </c>
      <c r="H816" t="s">
        <v>233</v>
      </c>
      <c r="I816" s="3">
        <v>0.37569444444444444</v>
      </c>
      <c r="J816" t="s">
        <v>68</v>
      </c>
      <c r="K816">
        <v>38</v>
      </c>
      <c r="L816" s="3">
        <v>0.16666666666666666</v>
      </c>
      <c r="M816" t="s">
        <v>170</v>
      </c>
      <c r="N816" t="s">
        <v>261</v>
      </c>
    </row>
    <row r="817" spans="1:14" x14ac:dyDescent="0.35">
      <c r="A817" t="s">
        <v>14</v>
      </c>
      <c r="B817" t="s">
        <v>267</v>
      </c>
      <c r="C817" t="s">
        <v>65</v>
      </c>
      <c r="D817">
        <v>29</v>
      </c>
      <c r="E817" s="2">
        <v>42099</v>
      </c>
      <c r="F817" t="s">
        <v>16</v>
      </c>
      <c r="G817" t="s">
        <v>112</v>
      </c>
      <c r="H817" t="s">
        <v>233</v>
      </c>
      <c r="I817" s="3">
        <v>0.37569444444444444</v>
      </c>
      <c r="J817" t="s">
        <v>68</v>
      </c>
      <c r="K817">
        <v>90</v>
      </c>
      <c r="L817" s="3">
        <v>0.37569444444444444</v>
      </c>
      <c r="M817" t="s">
        <v>22</v>
      </c>
      <c r="N817" t="s">
        <v>250</v>
      </c>
    </row>
    <row r="818" spans="1:14" x14ac:dyDescent="0.35">
      <c r="A818" t="s">
        <v>14</v>
      </c>
      <c r="B818" t="s">
        <v>267</v>
      </c>
      <c r="C818" t="s">
        <v>65</v>
      </c>
      <c r="D818">
        <v>29</v>
      </c>
      <c r="E818" s="2">
        <v>42099</v>
      </c>
      <c r="F818" t="s">
        <v>16</v>
      </c>
      <c r="G818" t="s">
        <v>112</v>
      </c>
      <c r="H818" t="s">
        <v>233</v>
      </c>
      <c r="I818" s="3">
        <v>0.37569444444444444</v>
      </c>
      <c r="J818" t="s">
        <v>68</v>
      </c>
      <c r="K818">
        <v>30</v>
      </c>
      <c r="L818" s="3">
        <v>8.3333333333333329E-2</v>
      </c>
      <c r="M818" t="s">
        <v>26</v>
      </c>
      <c r="N818" t="s">
        <v>268</v>
      </c>
    </row>
    <row r="819" spans="1:14" x14ac:dyDescent="0.35">
      <c r="A819" t="s">
        <v>14</v>
      </c>
      <c r="B819" t="s">
        <v>267</v>
      </c>
      <c r="C819" t="s">
        <v>65</v>
      </c>
      <c r="D819">
        <v>29</v>
      </c>
      <c r="E819" s="2">
        <v>42099</v>
      </c>
      <c r="F819" t="s">
        <v>16</v>
      </c>
      <c r="G819" t="s">
        <v>112</v>
      </c>
      <c r="H819" t="s">
        <v>233</v>
      </c>
      <c r="I819" s="3">
        <v>0.37569444444444444</v>
      </c>
      <c r="J819" t="s">
        <v>68</v>
      </c>
      <c r="K819">
        <v>36</v>
      </c>
      <c r="L819" s="3">
        <v>0.125</v>
      </c>
      <c r="M819" t="s">
        <v>26</v>
      </c>
    </row>
    <row r="820" spans="1:14" x14ac:dyDescent="0.35">
      <c r="A820" t="s">
        <v>14</v>
      </c>
      <c r="B820" t="s">
        <v>267</v>
      </c>
      <c r="C820" t="s">
        <v>65</v>
      </c>
      <c r="D820">
        <v>29</v>
      </c>
      <c r="E820" s="2">
        <v>42099</v>
      </c>
      <c r="F820" t="s">
        <v>16</v>
      </c>
      <c r="G820" t="s">
        <v>112</v>
      </c>
      <c r="H820" t="s">
        <v>233</v>
      </c>
      <c r="I820" s="3">
        <v>0.37569444444444444</v>
      </c>
      <c r="J820" t="s">
        <v>68</v>
      </c>
      <c r="K820">
        <v>54</v>
      </c>
      <c r="L820" s="3">
        <v>0.25</v>
      </c>
      <c r="M820" t="s">
        <v>22</v>
      </c>
      <c r="N820" t="s">
        <v>261</v>
      </c>
    </row>
    <row r="821" spans="1:14" x14ac:dyDescent="0.35">
      <c r="A821" t="s">
        <v>14</v>
      </c>
      <c r="B821" t="s">
        <v>267</v>
      </c>
      <c r="C821" t="s">
        <v>65</v>
      </c>
      <c r="D821">
        <v>30</v>
      </c>
      <c r="E821" s="2">
        <v>42102</v>
      </c>
      <c r="F821" t="s">
        <v>24</v>
      </c>
      <c r="G821" t="s">
        <v>112</v>
      </c>
      <c r="H821" t="s">
        <v>225</v>
      </c>
      <c r="I821" s="3">
        <v>1.3888888888888889E-3</v>
      </c>
      <c r="J821" t="s">
        <v>19</v>
      </c>
      <c r="K821">
        <v>68</v>
      </c>
      <c r="L821" s="3">
        <v>6.9444444444444447E-4</v>
      </c>
      <c r="M821" t="s">
        <v>22</v>
      </c>
      <c r="N821" t="s">
        <v>262</v>
      </c>
    </row>
    <row r="822" spans="1:14" x14ac:dyDescent="0.35">
      <c r="A822" t="s">
        <v>64</v>
      </c>
      <c r="B822" t="s">
        <v>267</v>
      </c>
      <c r="C822" t="s">
        <v>65</v>
      </c>
      <c r="D822">
        <v>30</v>
      </c>
      <c r="E822" s="2">
        <v>42102</v>
      </c>
      <c r="F822" t="s">
        <v>16</v>
      </c>
      <c r="G822" t="s">
        <v>66</v>
      </c>
      <c r="H822" t="s">
        <v>131</v>
      </c>
      <c r="I822" s="3">
        <v>0.16666666666666666</v>
      </c>
      <c r="J822" t="s">
        <v>38</v>
      </c>
      <c r="K822">
        <v>33</v>
      </c>
      <c r="L822" s="3">
        <v>4.1666666666666664E-2</v>
      </c>
      <c r="M822" t="s">
        <v>31</v>
      </c>
      <c r="N822" t="s">
        <v>271</v>
      </c>
    </row>
    <row r="823" spans="1:14" x14ac:dyDescent="0.35">
      <c r="A823" t="s">
        <v>64</v>
      </c>
      <c r="B823" t="s">
        <v>267</v>
      </c>
      <c r="C823" t="s">
        <v>65</v>
      </c>
      <c r="D823">
        <v>31</v>
      </c>
      <c r="E823" s="2">
        <v>42105</v>
      </c>
      <c r="F823" t="s">
        <v>24</v>
      </c>
      <c r="G823" t="s">
        <v>66</v>
      </c>
      <c r="H823" t="s">
        <v>105</v>
      </c>
      <c r="I823" s="3">
        <v>8.4722222222222227E-2</v>
      </c>
      <c r="J823" t="s">
        <v>38</v>
      </c>
      <c r="K823">
        <v>15</v>
      </c>
      <c r="L823" s="3">
        <v>6.9444444444444447E-4</v>
      </c>
      <c r="M823" t="s">
        <v>31</v>
      </c>
      <c r="N823" t="s">
        <v>256</v>
      </c>
    </row>
    <row r="824" spans="1:14" x14ac:dyDescent="0.35">
      <c r="A824" t="s">
        <v>14</v>
      </c>
      <c r="B824" t="s">
        <v>267</v>
      </c>
      <c r="C824" t="s">
        <v>65</v>
      </c>
      <c r="D824">
        <v>31</v>
      </c>
      <c r="E824" s="2">
        <v>42105</v>
      </c>
      <c r="F824" t="s">
        <v>16</v>
      </c>
      <c r="G824" t="s">
        <v>112</v>
      </c>
      <c r="H824" t="s">
        <v>270</v>
      </c>
      <c r="I824" s="3">
        <v>0.125</v>
      </c>
      <c r="J824" t="s">
        <v>19</v>
      </c>
      <c r="K824">
        <v>21</v>
      </c>
      <c r="L824" s="3">
        <v>4.1666666666666664E-2</v>
      </c>
      <c r="M824" t="s">
        <v>39</v>
      </c>
    </row>
    <row r="825" spans="1:14" x14ac:dyDescent="0.35">
      <c r="A825" t="s">
        <v>64</v>
      </c>
      <c r="B825" t="s">
        <v>267</v>
      </c>
      <c r="C825" t="s">
        <v>65</v>
      </c>
      <c r="D825">
        <v>32</v>
      </c>
      <c r="E825" s="2">
        <v>42112</v>
      </c>
      <c r="F825" t="s">
        <v>16</v>
      </c>
      <c r="G825" t="s">
        <v>66</v>
      </c>
      <c r="H825" t="s">
        <v>148</v>
      </c>
      <c r="I825" s="3">
        <v>8.3333333333333329E-2</v>
      </c>
      <c r="J825" t="s">
        <v>38</v>
      </c>
      <c r="K825" t="s">
        <v>239</v>
      </c>
      <c r="L825" s="3">
        <v>8.3333333333333329E-2</v>
      </c>
      <c r="M825" t="s">
        <v>31</v>
      </c>
    </row>
    <row r="826" spans="1:14" x14ac:dyDescent="0.35">
      <c r="A826" t="s">
        <v>14</v>
      </c>
      <c r="B826" t="s">
        <v>267</v>
      </c>
      <c r="C826" t="s">
        <v>65</v>
      </c>
      <c r="D826">
        <v>32</v>
      </c>
      <c r="E826" s="2">
        <v>42112</v>
      </c>
      <c r="F826" t="s">
        <v>16</v>
      </c>
      <c r="G826" t="s">
        <v>112</v>
      </c>
      <c r="H826" t="s">
        <v>157</v>
      </c>
      <c r="I826" s="3">
        <v>0.12569444444444444</v>
      </c>
      <c r="J826" t="s">
        <v>68</v>
      </c>
      <c r="K826" t="s">
        <v>141</v>
      </c>
      <c r="L826" s="3">
        <v>0.12569444444444444</v>
      </c>
      <c r="M826" t="s">
        <v>31</v>
      </c>
      <c r="N826" t="s">
        <v>278</v>
      </c>
    </row>
    <row r="827" spans="1:14" x14ac:dyDescent="0.35">
      <c r="A827" t="s">
        <v>64</v>
      </c>
      <c r="B827" t="s">
        <v>267</v>
      </c>
      <c r="C827" t="s">
        <v>65</v>
      </c>
      <c r="D827">
        <v>33</v>
      </c>
      <c r="E827" s="2">
        <v>42119</v>
      </c>
      <c r="F827" t="s">
        <v>24</v>
      </c>
      <c r="G827" t="s">
        <v>66</v>
      </c>
      <c r="H827" t="s">
        <v>121</v>
      </c>
      <c r="I827" s="3">
        <v>1.3888888888888889E-3</v>
      </c>
      <c r="J827" t="s">
        <v>38</v>
      </c>
      <c r="K827">
        <v>25</v>
      </c>
      <c r="L827" s="3">
        <v>1.3888888888888889E-3</v>
      </c>
      <c r="M827" t="s">
        <v>31</v>
      </c>
      <c r="N827" t="s">
        <v>273</v>
      </c>
    </row>
    <row r="828" spans="1:14" x14ac:dyDescent="0.35">
      <c r="A828" t="s">
        <v>64</v>
      </c>
      <c r="B828" t="s">
        <v>267</v>
      </c>
      <c r="C828" t="s">
        <v>65</v>
      </c>
      <c r="D828">
        <v>34</v>
      </c>
      <c r="E828" s="2">
        <v>42122</v>
      </c>
      <c r="F828" t="s">
        <v>16</v>
      </c>
      <c r="G828" t="s">
        <v>66</v>
      </c>
      <c r="H828" t="s">
        <v>117</v>
      </c>
      <c r="I828" s="3">
        <v>0.25</v>
      </c>
      <c r="J828" t="s">
        <v>38</v>
      </c>
      <c r="K828">
        <v>47</v>
      </c>
      <c r="L828" s="3">
        <v>0.25</v>
      </c>
      <c r="M828" t="s">
        <v>31</v>
      </c>
      <c r="N828" t="s">
        <v>273</v>
      </c>
    </row>
    <row r="829" spans="1:14" x14ac:dyDescent="0.35">
      <c r="A829" t="s">
        <v>64</v>
      </c>
      <c r="B829" t="s">
        <v>267</v>
      </c>
      <c r="C829" t="s">
        <v>65</v>
      </c>
      <c r="D829">
        <v>34</v>
      </c>
      <c r="E829" s="2">
        <v>42122</v>
      </c>
      <c r="F829" t="s">
        <v>16</v>
      </c>
      <c r="G829" t="s">
        <v>66</v>
      </c>
      <c r="H829" t="s">
        <v>117</v>
      </c>
      <c r="I829" s="3">
        <v>0.25</v>
      </c>
      <c r="J829" t="s">
        <v>38</v>
      </c>
      <c r="K829">
        <v>9</v>
      </c>
      <c r="L829" s="3">
        <v>4.1666666666666664E-2</v>
      </c>
      <c r="M829" t="s">
        <v>83</v>
      </c>
    </row>
    <row r="830" spans="1:14" x14ac:dyDescent="0.35">
      <c r="A830" t="s">
        <v>14</v>
      </c>
      <c r="B830" t="s">
        <v>267</v>
      </c>
      <c r="C830" t="s">
        <v>65</v>
      </c>
      <c r="D830">
        <v>35</v>
      </c>
      <c r="E830" s="2">
        <v>42126</v>
      </c>
      <c r="F830" t="s">
        <v>24</v>
      </c>
      <c r="G830" t="s">
        <v>112</v>
      </c>
      <c r="H830" t="s">
        <v>105</v>
      </c>
      <c r="I830" s="3">
        <v>8.5416666666666669E-2</v>
      </c>
      <c r="J830" t="s">
        <v>68</v>
      </c>
      <c r="K830">
        <v>69</v>
      </c>
      <c r="L830" s="3">
        <v>4.3749999999999997E-2</v>
      </c>
      <c r="M830" t="s">
        <v>22</v>
      </c>
      <c r="N830" t="s">
        <v>261</v>
      </c>
    </row>
    <row r="831" spans="1:14" x14ac:dyDescent="0.35">
      <c r="A831" t="s">
        <v>14</v>
      </c>
      <c r="B831" t="s">
        <v>267</v>
      </c>
      <c r="C831" t="s">
        <v>65</v>
      </c>
      <c r="D831">
        <v>35</v>
      </c>
      <c r="E831" s="2">
        <v>42126</v>
      </c>
      <c r="F831" t="s">
        <v>24</v>
      </c>
      <c r="G831" t="s">
        <v>112</v>
      </c>
      <c r="H831" t="s">
        <v>105</v>
      </c>
      <c r="I831" s="3">
        <v>8.5416666666666669E-2</v>
      </c>
      <c r="J831" t="s">
        <v>68</v>
      </c>
      <c r="K831">
        <v>37</v>
      </c>
      <c r="L831" s="3">
        <v>1.3888888888888889E-3</v>
      </c>
      <c r="M831" t="s">
        <v>26</v>
      </c>
      <c r="N831" t="s">
        <v>278</v>
      </c>
    </row>
    <row r="832" spans="1:14" x14ac:dyDescent="0.35">
      <c r="A832" t="s">
        <v>64</v>
      </c>
      <c r="B832" t="s">
        <v>267</v>
      </c>
      <c r="C832" t="s">
        <v>65</v>
      </c>
      <c r="D832">
        <v>35</v>
      </c>
      <c r="E832" s="2">
        <v>42126</v>
      </c>
      <c r="F832" t="s">
        <v>24</v>
      </c>
      <c r="G832" t="s">
        <v>66</v>
      </c>
      <c r="H832" t="s">
        <v>248</v>
      </c>
      <c r="I832" s="3">
        <v>5.5555555555555558E-3</v>
      </c>
      <c r="J832" t="s">
        <v>38</v>
      </c>
      <c r="K832">
        <v>80</v>
      </c>
      <c r="L832" s="3">
        <v>4.1666666666666666E-3</v>
      </c>
      <c r="M832" t="s">
        <v>31</v>
      </c>
      <c r="N832" t="s">
        <v>273</v>
      </c>
    </row>
    <row r="833" spans="1:14" x14ac:dyDescent="0.35">
      <c r="A833" t="s">
        <v>64</v>
      </c>
      <c r="B833" t="s">
        <v>267</v>
      </c>
      <c r="C833" t="s">
        <v>65</v>
      </c>
      <c r="D833">
        <v>35</v>
      </c>
      <c r="E833" s="2">
        <v>42126</v>
      </c>
      <c r="F833" t="s">
        <v>24</v>
      </c>
      <c r="G833" t="s">
        <v>66</v>
      </c>
      <c r="H833" t="s">
        <v>248</v>
      </c>
      <c r="I833" s="3">
        <v>5.5555555555555558E-3</v>
      </c>
      <c r="J833" t="s">
        <v>38</v>
      </c>
      <c r="K833">
        <v>47</v>
      </c>
      <c r="L833" s="3">
        <v>2.0833333333333333E-3</v>
      </c>
      <c r="M833" t="s">
        <v>22</v>
      </c>
      <c r="N833" t="s">
        <v>155</v>
      </c>
    </row>
    <row r="834" spans="1:14" x14ac:dyDescent="0.35">
      <c r="A834" t="s">
        <v>14</v>
      </c>
      <c r="B834" t="s">
        <v>267</v>
      </c>
      <c r="C834" t="s">
        <v>65</v>
      </c>
      <c r="D834">
        <v>35</v>
      </c>
      <c r="E834" s="2">
        <v>42126</v>
      </c>
      <c r="F834" t="s">
        <v>24</v>
      </c>
      <c r="G834" t="s">
        <v>112</v>
      </c>
      <c r="H834" t="s">
        <v>105</v>
      </c>
      <c r="I834" s="3">
        <v>8.5416666666666669E-2</v>
      </c>
      <c r="J834" t="s">
        <v>68</v>
      </c>
      <c r="K834">
        <v>36</v>
      </c>
      <c r="L834" s="3">
        <v>6.9444444444444447E-4</v>
      </c>
      <c r="M834" t="s">
        <v>22</v>
      </c>
      <c r="N834" t="s">
        <v>257</v>
      </c>
    </row>
    <row r="835" spans="1:14" x14ac:dyDescent="0.35">
      <c r="A835" t="s">
        <v>14</v>
      </c>
      <c r="B835" t="s">
        <v>267</v>
      </c>
      <c r="C835" t="s">
        <v>75</v>
      </c>
      <c r="D835" t="s">
        <v>62</v>
      </c>
      <c r="E835" s="2">
        <v>42129</v>
      </c>
      <c r="F835" t="s">
        <v>24</v>
      </c>
      <c r="G835" t="s">
        <v>112</v>
      </c>
      <c r="H835" t="s">
        <v>260</v>
      </c>
      <c r="I835" s="3">
        <v>8.4027777777777785E-2</v>
      </c>
      <c r="J835" t="s">
        <v>68</v>
      </c>
      <c r="K835">
        <v>27</v>
      </c>
      <c r="L835" s="3">
        <v>4.2361111111111113E-2</v>
      </c>
      <c r="M835" t="s">
        <v>22</v>
      </c>
      <c r="N835" t="s">
        <v>268</v>
      </c>
    </row>
    <row r="836" spans="1:14" x14ac:dyDescent="0.35">
      <c r="A836" t="s">
        <v>64</v>
      </c>
      <c r="B836" t="s">
        <v>267</v>
      </c>
      <c r="C836" t="s">
        <v>75</v>
      </c>
      <c r="D836" t="s">
        <v>62</v>
      </c>
      <c r="E836" s="2">
        <v>42130</v>
      </c>
      <c r="F836" t="s">
        <v>16</v>
      </c>
      <c r="G836" t="s">
        <v>66</v>
      </c>
      <c r="H836" t="s">
        <v>168</v>
      </c>
      <c r="I836" s="3">
        <v>0.125</v>
      </c>
      <c r="J836" t="s">
        <v>38</v>
      </c>
      <c r="K836">
        <v>80</v>
      </c>
      <c r="L836" s="3">
        <v>8.3333333333333329E-2</v>
      </c>
      <c r="M836" t="s">
        <v>26</v>
      </c>
      <c r="N836" t="s">
        <v>276</v>
      </c>
    </row>
    <row r="837" spans="1:14" x14ac:dyDescent="0.35">
      <c r="A837" t="s">
        <v>64</v>
      </c>
      <c r="B837" t="s">
        <v>267</v>
      </c>
      <c r="C837" t="s">
        <v>75</v>
      </c>
      <c r="D837" t="s">
        <v>62</v>
      </c>
      <c r="E837" s="2">
        <v>42130</v>
      </c>
      <c r="F837" t="s">
        <v>16</v>
      </c>
      <c r="G837" t="s">
        <v>66</v>
      </c>
      <c r="H837" t="s">
        <v>168</v>
      </c>
      <c r="I837" s="3">
        <v>0.125</v>
      </c>
      <c r="J837" t="s">
        <v>38</v>
      </c>
      <c r="K837">
        <v>77</v>
      </c>
      <c r="L837" s="3">
        <v>4.1666666666666664E-2</v>
      </c>
      <c r="M837" t="s">
        <v>31</v>
      </c>
      <c r="N837" t="s">
        <v>155</v>
      </c>
    </row>
    <row r="838" spans="1:14" x14ac:dyDescent="0.35">
      <c r="A838" t="s">
        <v>14</v>
      </c>
      <c r="B838" t="s">
        <v>267</v>
      </c>
      <c r="C838" t="s">
        <v>75</v>
      </c>
      <c r="D838" t="s">
        <v>62</v>
      </c>
      <c r="E838" s="2">
        <v>42137</v>
      </c>
      <c r="F838" t="s">
        <v>16</v>
      </c>
      <c r="G838" t="s">
        <v>112</v>
      </c>
      <c r="H838" t="s">
        <v>260</v>
      </c>
      <c r="I838" s="3">
        <v>4.2361111111111113E-2</v>
      </c>
      <c r="J838" t="s">
        <v>19</v>
      </c>
      <c r="K838">
        <v>23</v>
      </c>
      <c r="L838" s="3">
        <v>4.1666666666666664E-2</v>
      </c>
      <c r="M838" t="s">
        <v>83</v>
      </c>
    </row>
    <row r="839" spans="1:14" x14ac:dyDescent="0.35">
      <c r="A839" t="s">
        <v>14</v>
      </c>
      <c r="B839" t="s">
        <v>267</v>
      </c>
      <c r="C839" t="s">
        <v>65</v>
      </c>
      <c r="D839">
        <v>37</v>
      </c>
      <c r="E839" s="2">
        <v>42141</v>
      </c>
      <c r="F839" t="s">
        <v>24</v>
      </c>
      <c r="G839" t="s">
        <v>112</v>
      </c>
      <c r="H839" t="s">
        <v>121</v>
      </c>
      <c r="I839" s="3">
        <v>4.4444444444444446E-2</v>
      </c>
      <c r="J839" t="s">
        <v>19</v>
      </c>
      <c r="K839">
        <v>59</v>
      </c>
      <c r="L839" s="3">
        <v>6.9444444444444447E-4</v>
      </c>
      <c r="M839" t="s">
        <v>31</v>
      </c>
      <c r="N839" t="s">
        <v>183</v>
      </c>
    </row>
    <row r="840" spans="1:14" x14ac:dyDescent="0.35">
      <c r="A840" t="s">
        <v>14</v>
      </c>
      <c r="B840" t="s">
        <v>267</v>
      </c>
      <c r="C840" t="s">
        <v>65</v>
      </c>
      <c r="D840">
        <v>37</v>
      </c>
      <c r="E840" s="2">
        <v>42141</v>
      </c>
      <c r="F840" t="s">
        <v>24</v>
      </c>
      <c r="G840" t="s">
        <v>112</v>
      </c>
      <c r="H840" t="s">
        <v>121</v>
      </c>
      <c r="I840" s="3">
        <v>4.4444444444444446E-2</v>
      </c>
      <c r="J840" t="s">
        <v>19</v>
      </c>
      <c r="K840">
        <v>83</v>
      </c>
      <c r="L840" s="3">
        <v>4.3749999999999997E-2</v>
      </c>
      <c r="M840" t="s">
        <v>26</v>
      </c>
      <c r="N840" t="s">
        <v>278</v>
      </c>
    </row>
    <row r="841" spans="1:14" x14ac:dyDescent="0.35">
      <c r="A841" t="s">
        <v>14</v>
      </c>
      <c r="B841" t="s">
        <v>267</v>
      </c>
      <c r="C841" t="s">
        <v>65</v>
      </c>
      <c r="D841">
        <v>37</v>
      </c>
      <c r="E841" s="2">
        <v>42141</v>
      </c>
      <c r="F841" t="s">
        <v>24</v>
      </c>
      <c r="G841" t="s">
        <v>112</v>
      </c>
      <c r="H841" t="s">
        <v>121</v>
      </c>
      <c r="I841" s="3">
        <v>4.4444444444444446E-2</v>
      </c>
      <c r="J841" t="s">
        <v>19</v>
      </c>
      <c r="K841" t="s">
        <v>69</v>
      </c>
      <c r="L841" s="3">
        <v>4.4444444444444446E-2</v>
      </c>
      <c r="M841" t="s">
        <v>22</v>
      </c>
      <c r="N841" t="s">
        <v>268</v>
      </c>
    </row>
    <row r="842" spans="1:14" x14ac:dyDescent="0.35">
      <c r="A842" t="s">
        <v>64</v>
      </c>
      <c r="B842" t="s">
        <v>267</v>
      </c>
      <c r="C842" t="s">
        <v>65</v>
      </c>
      <c r="D842">
        <v>37</v>
      </c>
      <c r="E842" s="2">
        <v>42141</v>
      </c>
      <c r="F842" t="s">
        <v>24</v>
      </c>
      <c r="G842" t="s">
        <v>66</v>
      </c>
      <c r="H842" t="s">
        <v>119</v>
      </c>
      <c r="I842" s="3">
        <v>6.9444444444444447E-4</v>
      </c>
      <c r="J842" t="s">
        <v>38</v>
      </c>
      <c r="K842">
        <v>65</v>
      </c>
      <c r="L842" s="3">
        <v>6.9444444444444447E-4</v>
      </c>
      <c r="M842" t="s">
        <v>31</v>
      </c>
      <c r="N842" t="s">
        <v>186</v>
      </c>
    </row>
    <row r="843" spans="1:14" x14ac:dyDescent="0.35">
      <c r="A843" t="s">
        <v>14</v>
      </c>
      <c r="B843" t="s">
        <v>267</v>
      </c>
      <c r="C843" t="s">
        <v>65</v>
      </c>
      <c r="D843">
        <v>38</v>
      </c>
      <c r="E843" s="2">
        <v>42147</v>
      </c>
      <c r="F843" t="s">
        <v>16</v>
      </c>
      <c r="G843" t="s">
        <v>112</v>
      </c>
      <c r="H843" t="s">
        <v>117</v>
      </c>
      <c r="I843" s="3">
        <v>0.29375000000000001</v>
      </c>
      <c r="J843" t="s">
        <v>19</v>
      </c>
      <c r="K843">
        <v>32</v>
      </c>
      <c r="L843" s="3">
        <v>8.4722222222222227E-2</v>
      </c>
      <c r="M843" t="s">
        <v>39</v>
      </c>
    </row>
    <row r="844" spans="1:14" x14ac:dyDescent="0.35">
      <c r="A844" t="s">
        <v>14</v>
      </c>
      <c r="B844" t="s">
        <v>267</v>
      </c>
      <c r="C844" t="s">
        <v>65</v>
      </c>
      <c r="D844">
        <v>38</v>
      </c>
      <c r="E844" s="2">
        <v>42147</v>
      </c>
      <c r="F844" t="s">
        <v>16</v>
      </c>
      <c r="G844" t="s">
        <v>112</v>
      </c>
      <c r="H844" t="s">
        <v>117</v>
      </c>
      <c r="I844" s="3">
        <v>0.29375000000000001</v>
      </c>
      <c r="J844" t="s">
        <v>19</v>
      </c>
      <c r="K844">
        <v>34</v>
      </c>
      <c r="L844" s="3">
        <v>0.12638888888888888</v>
      </c>
      <c r="M844" t="s">
        <v>83</v>
      </c>
    </row>
    <row r="845" spans="1:14" x14ac:dyDescent="0.35">
      <c r="A845" t="s">
        <v>64</v>
      </c>
      <c r="B845" t="s">
        <v>267</v>
      </c>
      <c r="C845" t="s">
        <v>65</v>
      </c>
      <c r="D845">
        <v>38</v>
      </c>
      <c r="E845" s="2">
        <v>42147</v>
      </c>
      <c r="F845" t="s">
        <v>16</v>
      </c>
      <c r="G845" t="s">
        <v>66</v>
      </c>
      <c r="H845" t="s">
        <v>115</v>
      </c>
      <c r="I845" s="3">
        <v>8.4722222222222227E-2</v>
      </c>
      <c r="J845" t="s">
        <v>38</v>
      </c>
      <c r="K845">
        <v>59</v>
      </c>
      <c r="L845" s="3">
        <v>8.3333333333333329E-2</v>
      </c>
      <c r="M845" t="s">
        <v>26</v>
      </c>
      <c r="N845" t="s">
        <v>256</v>
      </c>
    </row>
    <row r="846" spans="1:14" x14ac:dyDescent="0.35">
      <c r="A846" t="s">
        <v>64</v>
      </c>
      <c r="B846" t="s">
        <v>267</v>
      </c>
      <c r="C846" t="s">
        <v>65</v>
      </c>
      <c r="D846">
        <v>38</v>
      </c>
      <c r="E846" s="2">
        <v>42147</v>
      </c>
      <c r="F846" t="s">
        <v>16</v>
      </c>
      <c r="G846" t="s">
        <v>66</v>
      </c>
      <c r="H846" t="s">
        <v>115</v>
      </c>
      <c r="I846" s="3">
        <v>8.4722222222222227E-2</v>
      </c>
      <c r="J846" t="s">
        <v>38</v>
      </c>
      <c r="K846">
        <v>5</v>
      </c>
      <c r="L846" s="3">
        <v>4.1666666666666664E-2</v>
      </c>
      <c r="M846" t="s">
        <v>22</v>
      </c>
      <c r="N846" t="s">
        <v>272</v>
      </c>
    </row>
    <row r="847" spans="1:14" x14ac:dyDescent="0.35">
      <c r="A847" t="s">
        <v>14</v>
      </c>
      <c r="B847" t="s">
        <v>267</v>
      </c>
      <c r="C847" t="s">
        <v>65</v>
      </c>
      <c r="D847">
        <v>38</v>
      </c>
      <c r="E847" s="2">
        <v>42147</v>
      </c>
      <c r="F847" t="s">
        <v>16</v>
      </c>
      <c r="G847" t="s">
        <v>112</v>
      </c>
      <c r="H847" t="s">
        <v>117</v>
      </c>
      <c r="I847" s="3">
        <v>0.29375000000000001</v>
      </c>
      <c r="J847" t="s">
        <v>19</v>
      </c>
      <c r="K847">
        <v>13</v>
      </c>
      <c r="L847" s="3">
        <v>4.1666666666666664E-2</v>
      </c>
      <c r="M847" t="s">
        <v>22</v>
      </c>
      <c r="N847" t="s">
        <v>201</v>
      </c>
    </row>
    <row r="848" spans="1:14" x14ac:dyDescent="0.35">
      <c r="A848" t="s">
        <v>64</v>
      </c>
      <c r="B848" t="s">
        <v>267</v>
      </c>
      <c r="C848" t="s">
        <v>91</v>
      </c>
      <c r="D848" t="s">
        <v>46</v>
      </c>
      <c r="E848" s="2">
        <v>42154</v>
      </c>
      <c r="F848" t="s">
        <v>24</v>
      </c>
      <c r="G848" t="s">
        <v>66</v>
      </c>
      <c r="H848" t="s">
        <v>86</v>
      </c>
      <c r="I848" s="3">
        <v>4.3749999999999997E-2</v>
      </c>
      <c r="J848" t="s">
        <v>38</v>
      </c>
      <c r="K848">
        <v>74</v>
      </c>
      <c r="L848" s="3">
        <v>2.0833333333333333E-3</v>
      </c>
      <c r="M848" t="s">
        <v>31</v>
      </c>
      <c r="N848" t="s">
        <v>155</v>
      </c>
    </row>
    <row r="849" spans="1:14" x14ac:dyDescent="0.35">
      <c r="A849" t="s">
        <v>64</v>
      </c>
      <c r="B849" t="s">
        <v>267</v>
      </c>
      <c r="C849" t="s">
        <v>91</v>
      </c>
      <c r="D849" t="s">
        <v>46</v>
      </c>
      <c r="E849" s="2">
        <v>42154</v>
      </c>
      <c r="F849" t="s">
        <v>24</v>
      </c>
      <c r="G849" t="s">
        <v>66</v>
      </c>
      <c r="H849" t="s">
        <v>86</v>
      </c>
      <c r="I849" s="3">
        <v>4.3749999999999997E-2</v>
      </c>
      <c r="J849" t="s">
        <v>38</v>
      </c>
      <c r="K849">
        <v>20</v>
      </c>
      <c r="L849" s="3">
        <v>6.9444444444444447E-4</v>
      </c>
      <c r="M849" t="s">
        <v>20</v>
      </c>
    </row>
    <row r="850" spans="1:14" x14ac:dyDescent="0.35">
      <c r="A850" t="s">
        <v>64</v>
      </c>
      <c r="B850" t="s">
        <v>279</v>
      </c>
      <c r="C850" t="s">
        <v>223</v>
      </c>
      <c r="D850" t="s">
        <v>46</v>
      </c>
      <c r="E850" s="2">
        <v>42227</v>
      </c>
      <c r="F850" t="s">
        <v>16</v>
      </c>
      <c r="G850" t="s">
        <v>66</v>
      </c>
      <c r="H850" t="s">
        <v>105</v>
      </c>
      <c r="I850" t="s">
        <v>280</v>
      </c>
      <c r="J850" t="s">
        <v>38</v>
      </c>
      <c r="K850">
        <v>16</v>
      </c>
      <c r="L850" s="3">
        <v>8.4027777777777785E-2</v>
      </c>
      <c r="M850" t="s">
        <v>39</v>
      </c>
    </row>
    <row r="851" spans="1:14" x14ac:dyDescent="0.35">
      <c r="A851" t="s">
        <v>64</v>
      </c>
      <c r="B851" t="s">
        <v>279</v>
      </c>
      <c r="C851" t="s">
        <v>223</v>
      </c>
      <c r="D851" t="s">
        <v>46</v>
      </c>
      <c r="E851" s="2">
        <v>42227</v>
      </c>
      <c r="F851" t="s">
        <v>16</v>
      </c>
      <c r="G851" t="s">
        <v>66</v>
      </c>
      <c r="H851" t="s">
        <v>105</v>
      </c>
      <c r="I851" t="s">
        <v>280</v>
      </c>
      <c r="J851" t="s">
        <v>38</v>
      </c>
      <c r="K851">
        <v>7</v>
      </c>
      <c r="L851" s="3">
        <v>4.2361111111111113E-2</v>
      </c>
      <c r="M851" t="s">
        <v>39</v>
      </c>
    </row>
    <row r="852" spans="1:14" x14ac:dyDescent="0.35">
      <c r="A852" t="s">
        <v>64</v>
      </c>
      <c r="B852" t="s">
        <v>279</v>
      </c>
      <c r="C852" t="s">
        <v>172</v>
      </c>
      <c r="D852" t="s">
        <v>173</v>
      </c>
      <c r="E852" s="2">
        <v>42233</v>
      </c>
      <c r="F852" t="s">
        <v>16</v>
      </c>
      <c r="G852" t="s">
        <v>66</v>
      </c>
      <c r="H852" t="s">
        <v>86</v>
      </c>
      <c r="I852" s="3">
        <v>4.2361111111111113E-2</v>
      </c>
      <c r="J852" t="s">
        <v>38</v>
      </c>
      <c r="K852">
        <v>43</v>
      </c>
      <c r="L852" s="3">
        <v>4.1666666666666664E-2</v>
      </c>
      <c r="M852" t="s">
        <v>31</v>
      </c>
      <c r="N852" t="s">
        <v>273</v>
      </c>
    </row>
    <row r="853" spans="1:14" x14ac:dyDescent="0.35">
      <c r="A853" t="s">
        <v>14</v>
      </c>
      <c r="B853" t="s">
        <v>279</v>
      </c>
      <c r="C853" t="s">
        <v>65</v>
      </c>
      <c r="D853">
        <v>3</v>
      </c>
      <c r="E853" s="2">
        <v>42259</v>
      </c>
      <c r="F853" t="s">
        <v>24</v>
      </c>
      <c r="G853" t="s">
        <v>112</v>
      </c>
      <c r="H853" t="s">
        <v>121</v>
      </c>
      <c r="I853" s="3">
        <v>4.1666666666666666E-3</v>
      </c>
      <c r="J853" t="s">
        <v>19</v>
      </c>
      <c r="K853">
        <v>17</v>
      </c>
      <c r="L853" s="3">
        <v>1.3888888888888889E-3</v>
      </c>
      <c r="M853" t="s">
        <v>83</v>
      </c>
    </row>
    <row r="854" spans="1:14" x14ac:dyDescent="0.35">
      <c r="A854" t="s">
        <v>14</v>
      </c>
      <c r="B854" t="s">
        <v>279</v>
      </c>
      <c r="C854" t="s">
        <v>65</v>
      </c>
      <c r="D854">
        <v>3</v>
      </c>
      <c r="E854" s="2">
        <v>42259</v>
      </c>
      <c r="F854" t="s">
        <v>24</v>
      </c>
      <c r="G854" t="s">
        <v>112</v>
      </c>
      <c r="H854" t="s">
        <v>121</v>
      </c>
      <c r="I854" s="3">
        <v>4.1666666666666666E-3</v>
      </c>
      <c r="J854" t="s">
        <v>19</v>
      </c>
      <c r="K854">
        <v>81</v>
      </c>
      <c r="L854" s="3">
        <v>4.1666666666666666E-3</v>
      </c>
      <c r="M854" t="s">
        <v>26</v>
      </c>
      <c r="N854" t="s">
        <v>281</v>
      </c>
    </row>
    <row r="855" spans="1:14" x14ac:dyDescent="0.35">
      <c r="A855" t="s">
        <v>14</v>
      </c>
      <c r="B855" t="s">
        <v>279</v>
      </c>
      <c r="C855" t="s">
        <v>65</v>
      </c>
      <c r="D855">
        <v>3</v>
      </c>
      <c r="E855" s="2">
        <v>42259</v>
      </c>
      <c r="F855" t="s">
        <v>24</v>
      </c>
      <c r="G855" t="s">
        <v>112</v>
      </c>
      <c r="H855" t="s">
        <v>121</v>
      </c>
      <c r="I855" s="3">
        <v>4.1666666666666666E-3</v>
      </c>
      <c r="J855" t="s">
        <v>19</v>
      </c>
      <c r="K855">
        <v>62</v>
      </c>
      <c r="L855" s="3">
        <v>3.472222222222222E-3</v>
      </c>
      <c r="M855" t="s">
        <v>26</v>
      </c>
      <c r="N855" t="s">
        <v>261</v>
      </c>
    </row>
    <row r="856" spans="1:14" x14ac:dyDescent="0.35">
      <c r="A856" t="s">
        <v>14</v>
      </c>
      <c r="B856" t="s">
        <v>279</v>
      </c>
      <c r="C856" t="s">
        <v>65</v>
      </c>
      <c r="D856">
        <v>3</v>
      </c>
      <c r="E856" s="2">
        <v>42259</v>
      </c>
      <c r="F856" t="s">
        <v>24</v>
      </c>
      <c r="G856" t="s">
        <v>112</v>
      </c>
      <c r="H856" t="s">
        <v>121</v>
      </c>
      <c r="I856" s="3">
        <v>4.1666666666666666E-3</v>
      </c>
      <c r="J856" t="s">
        <v>19</v>
      </c>
      <c r="K856">
        <v>20</v>
      </c>
      <c r="L856" s="3">
        <v>2.0833333333333333E-3</v>
      </c>
      <c r="M856" t="s">
        <v>31</v>
      </c>
      <c r="N856" t="s">
        <v>261</v>
      </c>
    </row>
    <row r="857" spans="1:14" x14ac:dyDescent="0.35">
      <c r="A857" t="s">
        <v>14</v>
      </c>
      <c r="B857" t="s">
        <v>279</v>
      </c>
      <c r="C857" t="s">
        <v>65</v>
      </c>
      <c r="D857">
        <v>3</v>
      </c>
      <c r="E857" s="2">
        <v>42259</v>
      </c>
      <c r="F857" t="s">
        <v>24</v>
      </c>
      <c r="G857" t="s">
        <v>112</v>
      </c>
      <c r="H857" t="s">
        <v>121</v>
      </c>
      <c r="I857" s="3">
        <v>4.1666666666666666E-3</v>
      </c>
      <c r="J857" t="s">
        <v>19</v>
      </c>
      <c r="K857">
        <v>7</v>
      </c>
      <c r="L857" s="3">
        <v>6.9444444444444447E-4</v>
      </c>
      <c r="M857" t="s">
        <v>26</v>
      </c>
      <c r="N857" t="s">
        <v>250</v>
      </c>
    </row>
    <row r="858" spans="1:14" x14ac:dyDescent="0.35">
      <c r="A858" t="s">
        <v>64</v>
      </c>
      <c r="B858" t="s">
        <v>279</v>
      </c>
      <c r="C858" t="s">
        <v>65</v>
      </c>
      <c r="D858">
        <v>3</v>
      </c>
      <c r="E858" s="2">
        <v>42259</v>
      </c>
      <c r="F858" t="s">
        <v>24</v>
      </c>
      <c r="G858" t="s">
        <v>66</v>
      </c>
      <c r="H858" t="s">
        <v>119</v>
      </c>
      <c r="I858" s="3">
        <v>4.3055555555555555E-2</v>
      </c>
      <c r="J858" t="s">
        <v>38</v>
      </c>
      <c r="K858">
        <v>77</v>
      </c>
      <c r="L858" s="3">
        <v>4.3055555555555555E-2</v>
      </c>
      <c r="M858" t="s">
        <v>31</v>
      </c>
      <c r="N858" t="s">
        <v>273</v>
      </c>
    </row>
    <row r="859" spans="1:14" x14ac:dyDescent="0.35">
      <c r="A859" t="s">
        <v>14</v>
      </c>
      <c r="B859" t="s">
        <v>279</v>
      </c>
      <c r="C859" t="s">
        <v>75</v>
      </c>
      <c r="D859" t="s">
        <v>76</v>
      </c>
      <c r="E859" s="2">
        <v>42262</v>
      </c>
      <c r="F859" t="s">
        <v>16</v>
      </c>
      <c r="G859" t="s">
        <v>112</v>
      </c>
      <c r="H859" t="s">
        <v>152</v>
      </c>
      <c r="I859" s="3">
        <v>0.16666666666666666</v>
      </c>
      <c r="J859" t="s">
        <v>19</v>
      </c>
      <c r="K859">
        <v>64</v>
      </c>
      <c r="L859" s="3">
        <v>0.125</v>
      </c>
      <c r="M859" t="s">
        <v>83</v>
      </c>
    </row>
    <row r="860" spans="1:14" x14ac:dyDescent="0.35">
      <c r="A860" t="s">
        <v>14</v>
      </c>
      <c r="B860" t="s">
        <v>279</v>
      </c>
      <c r="C860" t="s">
        <v>75</v>
      </c>
      <c r="D860" t="s">
        <v>76</v>
      </c>
      <c r="E860" s="2">
        <v>42262</v>
      </c>
      <c r="F860" t="s">
        <v>16</v>
      </c>
      <c r="G860" t="s">
        <v>112</v>
      </c>
      <c r="H860" t="s">
        <v>152</v>
      </c>
      <c r="I860" s="3">
        <v>0.16666666666666666</v>
      </c>
      <c r="J860" t="s">
        <v>19</v>
      </c>
      <c r="K860">
        <v>56</v>
      </c>
      <c r="L860" s="3">
        <v>8.3333333333333329E-2</v>
      </c>
      <c r="M860" t="s">
        <v>83</v>
      </c>
    </row>
    <row r="861" spans="1:14" x14ac:dyDescent="0.35">
      <c r="A861" t="s">
        <v>14</v>
      </c>
      <c r="B861" t="s">
        <v>279</v>
      </c>
      <c r="C861" t="s">
        <v>75</v>
      </c>
      <c r="D861" t="s">
        <v>76</v>
      </c>
      <c r="E861" s="2">
        <v>42262</v>
      </c>
      <c r="F861" t="s">
        <v>16</v>
      </c>
      <c r="G861" t="s">
        <v>112</v>
      </c>
      <c r="H861" t="s">
        <v>152</v>
      </c>
      <c r="I861" s="3">
        <v>0.16666666666666666</v>
      </c>
      <c r="J861" t="s">
        <v>19</v>
      </c>
      <c r="K861">
        <v>82</v>
      </c>
      <c r="L861" s="3">
        <v>0.16666666666666666</v>
      </c>
      <c r="M861" t="s">
        <v>22</v>
      </c>
    </row>
    <row r="862" spans="1:14" x14ac:dyDescent="0.35">
      <c r="A862" t="s">
        <v>64</v>
      </c>
      <c r="B862" t="s">
        <v>279</v>
      </c>
      <c r="C862" t="s">
        <v>65</v>
      </c>
      <c r="D862">
        <v>4</v>
      </c>
      <c r="E862" s="2">
        <v>42267</v>
      </c>
      <c r="F862" t="s">
        <v>16</v>
      </c>
      <c r="G862" t="s">
        <v>66</v>
      </c>
      <c r="H862" t="s">
        <v>127</v>
      </c>
      <c r="I862" s="3">
        <v>0.1673611111111111</v>
      </c>
      <c r="J862" t="s">
        <v>282</v>
      </c>
      <c r="K862">
        <v>61</v>
      </c>
      <c r="L862" s="3">
        <v>0.125</v>
      </c>
      <c r="M862" t="s">
        <v>83</v>
      </c>
    </row>
    <row r="863" spans="1:14" x14ac:dyDescent="0.35">
      <c r="A863" t="s">
        <v>64</v>
      </c>
      <c r="B863" t="s">
        <v>279</v>
      </c>
      <c r="C863" t="s">
        <v>65</v>
      </c>
      <c r="D863">
        <v>4</v>
      </c>
      <c r="E863" s="2">
        <v>42267</v>
      </c>
      <c r="F863" t="s">
        <v>16</v>
      </c>
      <c r="G863" t="s">
        <v>66</v>
      </c>
      <c r="H863" t="s">
        <v>127</v>
      </c>
      <c r="I863" s="3">
        <v>0.1673611111111111</v>
      </c>
      <c r="J863" t="s">
        <v>282</v>
      </c>
      <c r="K863">
        <v>90</v>
      </c>
      <c r="L863" s="3">
        <v>0.1673611111111111</v>
      </c>
      <c r="M863" t="s">
        <v>31</v>
      </c>
      <c r="N863" t="s">
        <v>271</v>
      </c>
    </row>
    <row r="864" spans="1:14" x14ac:dyDescent="0.35">
      <c r="A864" t="s">
        <v>14</v>
      </c>
      <c r="B864" t="s">
        <v>279</v>
      </c>
      <c r="C864" t="s">
        <v>75</v>
      </c>
      <c r="D864" t="s">
        <v>76</v>
      </c>
      <c r="E864" s="2">
        <v>42277</v>
      </c>
      <c r="F864" t="s">
        <v>24</v>
      </c>
      <c r="G864" t="s">
        <v>112</v>
      </c>
      <c r="H864" t="s">
        <v>283</v>
      </c>
      <c r="I864" s="3">
        <v>1.3888888888888889E-3</v>
      </c>
      <c r="J864" t="s">
        <v>249</v>
      </c>
      <c r="K864">
        <v>90</v>
      </c>
      <c r="L864" s="3">
        <v>1.3888888888888889E-3</v>
      </c>
      <c r="M864" t="s">
        <v>31</v>
      </c>
      <c r="N864" t="s">
        <v>281</v>
      </c>
    </row>
    <row r="865" spans="1:14" x14ac:dyDescent="0.35">
      <c r="A865" t="s">
        <v>14</v>
      </c>
      <c r="B865" t="s">
        <v>279</v>
      </c>
      <c r="C865" t="s">
        <v>75</v>
      </c>
      <c r="D865" t="s">
        <v>76</v>
      </c>
      <c r="E865" s="2">
        <v>42277</v>
      </c>
      <c r="F865" t="s">
        <v>24</v>
      </c>
      <c r="G865" t="s">
        <v>112</v>
      </c>
      <c r="H865" t="s">
        <v>283</v>
      </c>
      <c r="I865" s="3">
        <v>1.3888888888888889E-3</v>
      </c>
      <c r="J865" t="s">
        <v>249</v>
      </c>
      <c r="K865">
        <v>29</v>
      </c>
      <c r="L865" s="3">
        <v>6.9444444444444447E-4</v>
      </c>
      <c r="M865" t="s">
        <v>26</v>
      </c>
      <c r="N865" t="s">
        <v>257</v>
      </c>
    </row>
    <row r="866" spans="1:14" x14ac:dyDescent="0.35">
      <c r="A866" t="s">
        <v>14</v>
      </c>
      <c r="B866" t="s">
        <v>279</v>
      </c>
      <c r="C866" t="s">
        <v>65</v>
      </c>
      <c r="D866">
        <v>8</v>
      </c>
      <c r="E866" s="2">
        <v>42294</v>
      </c>
      <c r="F866" t="s">
        <v>16</v>
      </c>
      <c r="G866" t="s">
        <v>112</v>
      </c>
      <c r="H866" t="s">
        <v>127</v>
      </c>
      <c r="I866" s="3">
        <v>0.125</v>
      </c>
      <c r="J866" t="s">
        <v>68</v>
      </c>
      <c r="K866">
        <v>30</v>
      </c>
      <c r="L866" s="3">
        <v>8.3333333333333329E-2</v>
      </c>
      <c r="M866" t="s">
        <v>26</v>
      </c>
      <c r="N866" t="s">
        <v>277</v>
      </c>
    </row>
    <row r="867" spans="1:14" x14ac:dyDescent="0.35">
      <c r="A867" t="s">
        <v>14</v>
      </c>
      <c r="B867" t="s">
        <v>279</v>
      </c>
      <c r="C867" t="s">
        <v>65</v>
      </c>
      <c r="D867">
        <v>9</v>
      </c>
      <c r="E867" s="2">
        <v>42301</v>
      </c>
      <c r="F867" t="s">
        <v>24</v>
      </c>
      <c r="G867" t="s">
        <v>112</v>
      </c>
      <c r="H867" t="s">
        <v>98</v>
      </c>
      <c r="I867" s="3">
        <v>4.3749999999999997E-2</v>
      </c>
      <c r="J867" t="s">
        <v>68</v>
      </c>
      <c r="K867">
        <v>8</v>
      </c>
      <c r="L867" s="3">
        <v>6.9444444444444447E-4</v>
      </c>
      <c r="M867" t="s">
        <v>26</v>
      </c>
      <c r="N867" t="s">
        <v>281</v>
      </c>
    </row>
    <row r="868" spans="1:14" x14ac:dyDescent="0.35">
      <c r="A868" t="s">
        <v>14</v>
      </c>
      <c r="B868" t="s">
        <v>279</v>
      </c>
      <c r="C868" t="s">
        <v>65</v>
      </c>
      <c r="D868">
        <v>10</v>
      </c>
      <c r="E868" s="2">
        <v>42308</v>
      </c>
      <c r="F868" t="s">
        <v>16</v>
      </c>
      <c r="G868" t="s">
        <v>112</v>
      </c>
      <c r="H868" t="s">
        <v>284</v>
      </c>
      <c r="I868" s="3">
        <v>0.12569444444444444</v>
      </c>
      <c r="J868" t="s">
        <v>68</v>
      </c>
      <c r="K868">
        <v>14</v>
      </c>
      <c r="L868" s="3">
        <v>8.3333333333333329E-2</v>
      </c>
      <c r="M868" t="s">
        <v>22</v>
      </c>
      <c r="N868" t="s">
        <v>201</v>
      </c>
    </row>
    <row r="869" spans="1:14" x14ac:dyDescent="0.35">
      <c r="A869" t="s">
        <v>64</v>
      </c>
      <c r="B869" t="s">
        <v>279</v>
      </c>
      <c r="C869" t="s">
        <v>75</v>
      </c>
      <c r="D869" t="s">
        <v>76</v>
      </c>
      <c r="E869" s="2">
        <v>42332</v>
      </c>
      <c r="F869" t="s">
        <v>16</v>
      </c>
      <c r="G869" t="s">
        <v>66</v>
      </c>
      <c r="H869" t="s">
        <v>116</v>
      </c>
      <c r="I869" s="3">
        <v>0.25069444444444444</v>
      </c>
      <c r="J869" t="s">
        <v>275</v>
      </c>
      <c r="K869">
        <v>60</v>
      </c>
      <c r="L869" s="3">
        <v>0.20833333333333334</v>
      </c>
      <c r="M869" t="s">
        <v>55</v>
      </c>
    </row>
    <row r="870" spans="1:14" x14ac:dyDescent="0.35">
      <c r="A870" t="s">
        <v>64</v>
      </c>
      <c r="B870" t="s">
        <v>279</v>
      </c>
      <c r="C870" t="s">
        <v>75</v>
      </c>
      <c r="D870" t="s">
        <v>76</v>
      </c>
      <c r="E870" s="2">
        <v>42332</v>
      </c>
      <c r="F870" t="s">
        <v>16</v>
      </c>
      <c r="G870" t="s">
        <v>66</v>
      </c>
      <c r="H870" t="s">
        <v>116</v>
      </c>
      <c r="I870" s="3">
        <v>0.25069444444444444</v>
      </c>
      <c r="J870" t="s">
        <v>275</v>
      </c>
      <c r="K870">
        <v>18</v>
      </c>
      <c r="L870" s="3">
        <v>8.3333333333333329E-2</v>
      </c>
      <c r="M870" t="s">
        <v>31</v>
      </c>
      <c r="N870" t="s">
        <v>273</v>
      </c>
    </row>
    <row r="871" spans="1:14" x14ac:dyDescent="0.35">
      <c r="A871" t="s">
        <v>14</v>
      </c>
      <c r="B871" t="s">
        <v>279</v>
      </c>
      <c r="C871" t="s">
        <v>75</v>
      </c>
      <c r="D871" t="s">
        <v>76</v>
      </c>
      <c r="E871" s="2">
        <v>42333</v>
      </c>
      <c r="F871" t="s">
        <v>24</v>
      </c>
      <c r="G871" t="s">
        <v>112</v>
      </c>
      <c r="H871" t="s">
        <v>152</v>
      </c>
      <c r="I871" s="3">
        <v>0.12777777777777777</v>
      </c>
      <c r="J871" t="s">
        <v>68</v>
      </c>
      <c r="K871">
        <v>70</v>
      </c>
      <c r="L871" s="3">
        <v>2.7777777777777779E-3</v>
      </c>
      <c r="M871" t="s">
        <v>26</v>
      </c>
      <c r="N871" t="s">
        <v>261</v>
      </c>
    </row>
    <row r="872" spans="1:14" x14ac:dyDescent="0.35">
      <c r="A872" t="s">
        <v>14</v>
      </c>
      <c r="B872" t="s">
        <v>279</v>
      </c>
      <c r="C872" t="s">
        <v>75</v>
      </c>
      <c r="D872" t="s">
        <v>76</v>
      </c>
      <c r="E872" s="2">
        <v>42333</v>
      </c>
      <c r="F872" t="s">
        <v>24</v>
      </c>
      <c r="G872" t="s">
        <v>112</v>
      </c>
      <c r="H872" t="s">
        <v>152</v>
      </c>
      <c r="I872" s="3">
        <v>0.12777777777777777</v>
      </c>
      <c r="J872" t="s">
        <v>68</v>
      </c>
      <c r="K872">
        <v>18</v>
      </c>
      <c r="L872" s="3">
        <v>6.9444444444444447E-4</v>
      </c>
      <c r="M872" t="s">
        <v>22</v>
      </c>
      <c r="N872" t="s">
        <v>261</v>
      </c>
    </row>
    <row r="873" spans="1:14" x14ac:dyDescent="0.35">
      <c r="A873" t="s">
        <v>64</v>
      </c>
      <c r="B873" t="s">
        <v>279</v>
      </c>
      <c r="C873" t="s">
        <v>65</v>
      </c>
      <c r="D873">
        <v>13</v>
      </c>
      <c r="E873" s="2">
        <v>42336</v>
      </c>
      <c r="F873" t="s">
        <v>16</v>
      </c>
      <c r="G873" t="s">
        <v>66</v>
      </c>
      <c r="H873" t="s">
        <v>217</v>
      </c>
      <c r="I873" s="3">
        <v>0.16666666666666666</v>
      </c>
      <c r="J873" t="s">
        <v>38</v>
      </c>
      <c r="K873" t="s">
        <v>69</v>
      </c>
      <c r="L873" s="3">
        <v>0.16666666666666666</v>
      </c>
      <c r="M873" t="s">
        <v>31</v>
      </c>
      <c r="N873" t="s">
        <v>256</v>
      </c>
    </row>
    <row r="874" spans="1:14" x14ac:dyDescent="0.35">
      <c r="A874" t="s">
        <v>14</v>
      </c>
      <c r="B874" t="s">
        <v>279</v>
      </c>
      <c r="C874" t="s">
        <v>65</v>
      </c>
      <c r="D874">
        <v>13</v>
      </c>
      <c r="E874" s="2">
        <v>42337</v>
      </c>
      <c r="F874" t="s">
        <v>24</v>
      </c>
      <c r="G874" t="s">
        <v>112</v>
      </c>
      <c r="H874" t="s">
        <v>270</v>
      </c>
      <c r="I874" s="3">
        <v>1.3888888888888889E-3</v>
      </c>
      <c r="J874" t="s">
        <v>68</v>
      </c>
      <c r="K874">
        <v>82</v>
      </c>
      <c r="L874" s="3">
        <v>1.3888888888888889E-3</v>
      </c>
      <c r="M874" t="s">
        <v>83</v>
      </c>
    </row>
    <row r="875" spans="1:14" x14ac:dyDescent="0.35">
      <c r="A875" t="s">
        <v>14</v>
      </c>
      <c r="B875" t="s">
        <v>279</v>
      </c>
      <c r="C875" t="s">
        <v>65</v>
      </c>
      <c r="D875">
        <v>14</v>
      </c>
      <c r="E875" s="2">
        <v>42343</v>
      </c>
      <c r="F875" t="s">
        <v>16</v>
      </c>
      <c r="G875" t="s">
        <v>112</v>
      </c>
      <c r="H875" t="s">
        <v>117</v>
      </c>
      <c r="I875" s="3">
        <v>0.1673611111111111</v>
      </c>
      <c r="J875" t="s">
        <v>19</v>
      </c>
      <c r="K875">
        <v>38</v>
      </c>
      <c r="L875" s="3">
        <v>0.16666666666666666</v>
      </c>
      <c r="M875" t="s">
        <v>26</v>
      </c>
      <c r="N875" t="s">
        <v>277</v>
      </c>
    </row>
    <row r="876" spans="1:14" x14ac:dyDescent="0.35">
      <c r="A876" t="s">
        <v>14</v>
      </c>
      <c r="B876" t="s">
        <v>279</v>
      </c>
      <c r="C876" t="s">
        <v>75</v>
      </c>
      <c r="D876" t="s">
        <v>76</v>
      </c>
      <c r="E876" s="2">
        <v>42346</v>
      </c>
      <c r="F876" t="s">
        <v>16</v>
      </c>
      <c r="G876" t="s">
        <v>112</v>
      </c>
      <c r="H876" t="s">
        <v>283</v>
      </c>
      <c r="I876" s="3">
        <v>0.33333333333333331</v>
      </c>
      <c r="J876" t="s">
        <v>19</v>
      </c>
      <c r="K876">
        <v>59</v>
      </c>
      <c r="L876" s="3">
        <v>0.25</v>
      </c>
      <c r="M876" t="s">
        <v>26</v>
      </c>
      <c r="N876" t="s">
        <v>257</v>
      </c>
    </row>
    <row r="877" spans="1:14" x14ac:dyDescent="0.35">
      <c r="A877" t="s">
        <v>14</v>
      </c>
      <c r="B877" t="s">
        <v>279</v>
      </c>
      <c r="C877" t="s">
        <v>75</v>
      </c>
      <c r="D877" t="s">
        <v>76</v>
      </c>
      <c r="E877" s="2">
        <v>42346</v>
      </c>
      <c r="F877" t="s">
        <v>16</v>
      </c>
      <c r="G877" t="s">
        <v>112</v>
      </c>
      <c r="H877" t="s">
        <v>283</v>
      </c>
      <c r="I877" s="3">
        <v>0.33333333333333331</v>
      </c>
      <c r="J877" t="s">
        <v>19</v>
      </c>
      <c r="K877">
        <v>50</v>
      </c>
      <c r="L877" s="3">
        <v>0.20833333333333334</v>
      </c>
      <c r="M877" t="s">
        <v>26</v>
      </c>
      <c r="N877" t="s">
        <v>285</v>
      </c>
    </row>
    <row r="878" spans="1:14" x14ac:dyDescent="0.35">
      <c r="A878" t="s">
        <v>14</v>
      </c>
      <c r="B878" t="s">
        <v>279</v>
      </c>
      <c r="C878" t="s">
        <v>75</v>
      </c>
      <c r="D878" t="s">
        <v>76</v>
      </c>
      <c r="E878" s="2">
        <v>42346</v>
      </c>
      <c r="F878" t="s">
        <v>16</v>
      </c>
      <c r="G878" t="s">
        <v>112</v>
      </c>
      <c r="H878" t="s">
        <v>283</v>
      </c>
      <c r="I878" s="3">
        <v>0.33333333333333331</v>
      </c>
      <c r="J878" t="s">
        <v>19</v>
      </c>
      <c r="K878">
        <v>47</v>
      </c>
      <c r="L878" s="3">
        <v>0.16666666666666666</v>
      </c>
      <c r="M878" t="s">
        <v>55</v>
      </c>
    </row>
    <row r="879" spans="1:14" x14ac:dyDescent="0.35">
      <c r="A879" t="s">
        <v>14</v>
      </c>
      <c r="B879" t="s">
        <v>279</v>
      </c>
      <c r="C879" t="s">
        <v>75</v>
      </c>
      <c r="D879" t="s">
        <v>76</v>
      </c>
      <c r="E879" s="2">
        <v>42346</v>
      </c>
      <c r="F879" t="s">
        <v>16</v>
      </c>
      <c r="G879" t="s">
        <v>112</v>
      </c>
      <c r="H879" t="s">
        <v>283</v>
      </c>
      <c r="I879" s="3">
        <v>0.33333333333333331</v>
      </c>
      <c r="J879" t="s">
        <v>19</v>
      </c>
      <c r="K879">
        <v>39</v>
      </c>
      <c r="L879" s="3">
        <v>0.125</v>
      </c>
      <c r="M879" t="s">
        <v>39</v>
      </c>
    </row>
    <row r="880" spans="1:14" x14ac:dyDescent="0.35">
      <c r="A880" t="s">
        <v>64</v>
      </c>
      <c r="B880" t="s">
        <v>279</v>
      </c>
      <c r="C880" t="s">
        <v>75</v>
      </c>
      <c r="D880" t="s">
        <v>76</v>
      </c>
      <c r="E880" s="2">
        <v>42347</v>
      </c>
      <c r="F880" t="s">
        <v>24</v>
      </c>
      <c r="G880" t="s">
        <v>66</v>
      </c>
      <c r="H880" t="s">
        <v>236</v>
      </c>
      <c r="I880" s="3">
        <v>4.2361111111111113E-2</v>
      </c>
      <c r="J880" t="s">
        <v>251</v>
      </c>
      <c r="K880">
        <v>20</v>
      </c>
      <c r="L880" s="3">
        <v>6.9444444444444447E-4</v>
      </c>
      <c r="M880" t="s">
        <v>26</v>
      </c>
      <c r="N880" t="s">
        <v>276</v>
      </c>
    </row>
    <row r="881" spans="1:14" x14ac:dyDescent="0.35">
      <c r="A881" t="s">
        <v>64</v>
      </c>
      <c r="B881" t="s">
        <v>279</v>
      </c>
      <c r="C881" t="s">
        <v>65</v>
      </c>
      <c r="D881">
        <v>15</v>
      </c>
      <c r="E881" s="2">
        <v>42350</v>
      </c>
      <c r="F881" t="s">
        <v>16</v>
      </c>
      <c r="G881" t="s">
        <v>66</v>
      </c>
      <c r="H881" t="s">
        <v>115</v>
      </c>
      <c r="I881" s="3">
        <v>8.4722222222222227E-2</v>
      </c>
      <c r="J881" t="s">
        <v>38</v>
      </c>
      <c r="K881">
        <v>39</v>
      </c>
      <c r="L881" s="3">
        <v>4.1666666666666664E-2</v>
      </c>
      <c r="M881" t="s">
        <v>39</v>
      </c>
    </row>
    <row r="882" spans="1:14" x14ac:dyDescent="0.35">
      <c r="A882" t="s">
        <v>14</v>
      </c>
      <c r="B882" t="s">
        <v>279</v>
      </c>
      <c r="C882" t="s">
        <v>65</v>
      </c>
      <c r="D882">
        <v>16</v>
      </c>
      <c r="E882" s="2">
        <v>42358</v>
      </c>
      <c r="F882" t="s">
        <v>16</v>
      </c>
      <c r="G882" t="s">
        <v>112</v>
      </c>
      <c r="H882" t="s">
        <v>225</v>
      </c>
      <c r="I882" s="3">
        <v>0.41805555555555557</v>
      </c>
      <c r="J882" t="s">
        <v>19</v>
      </c>
      <c r="K882">
        <v>54</v>
      </c>
      <c r="L882" s="3">
        <v>0.25138888888888888</v>
      </c>
      <c r="M882" t="s">
        <v>22</v>
      </c>
      <c r="N882" t="s">
        <v>268</v>
      </c>
    </row>
    <row r="883" spans="1:14" x14ac:dyDescent="0.35">
      <c r="A883" t="s">
        <v>14</v>
      </c>
      <c r="B883" t="s">
        <v>279</v>
      </c>
      <c r="C883" t="s">
        <v>65</v>
      </c>
      <c r="D883">
        <v>16</v>
      </c>
      <c r="E883" s="2">
        <v>42358</v>
      </c>
      <c r="F883" t="s">
        <v>16</v>
      </c>
      <c r="G883" t="s">
        <v>112</v>
      </c>
      <c r="H883" t="s">
        <v>225</v>
      </c>
      <c r="I883" s="3">
        <v>0.41805555555555557</v>
      </c>
      <c r="J883" t="s">
        <v>19</v>
      </c>
      <c r="K883">
        <v>30</v>
      </c>
      <c r="L883" s="3">
        <v>0.12638888888888888</v>
      </c>
      <c r="M883" t="s">
        <v>83</v>
      </c>
    </row>
    <row r="884" spans="1:14" x14ac:dyDescent="0.35">
      <c r="A884" t="s">
        <v>64</v>
      </c>
      <c r="B884" t="s">
        <v>279</v>
      </c>
      <c r="C884" t="s">
        <v>163</v>
      </c>
      <c r="D884" t="s">
        <v>46</v>
      </c>
      <c r="E884" s="2">
        <v>42358</v>
      </c>
      <c r="F884" t="s">
        <v>24</v>
      </c>
      <c r="G884" t="s">
        <v>66</v>
      </c>
      <c r="H884" t="s">
        <v>286</v>
      </c>
      <c r="I884" s="3">
        <v>2.0833333333333333E-3</v>
      </c>
      <c r="J884" t="s">
        <v>38</v>
      </c>
      <c r="K884">
        <v>36</v>
      </c>
      <c r="L884" s="3">
        <v>6.9444444444444447E-4</v>
      </c>
      <c r="M884" t="s">
        <v>31</v>
      </c>
      <c r="N884" t="s">
        <v>256</v>
      </c>
    </row>
    <row r="885" spans="1:14" x14ac:dyDescent="0.35">
      <c r="A885" t="s">
        <v>14</v>
      </c>
      <c r="B885" t="s">
        <v>279</v>
      </c>
      <c r="C885" t="s">
        <v>65</v>
      </c>
      <c r="D885">
        <v>17</v>
      </c>
      <c r="E885" s="2">
        <v>42368</v>
      </c>
      <c r="F885" t="s">
        <v>16</v>
      </c>
      <c r="G885" t="s">
        <v>112</v>
      </c>
      <c r="H885" t="s">
        <v>217</v>
      </c>
      <c r="I885" s="3">
        <v>0.12569444444444444</v>
      </c>
      <c r="J885" t="s">
        <v>19</v>
      </c>
      <c r="K885">
        <v>68</v>
      </c>
      <c r="L885" s="3">
        <v>8.4027777777777785E-2</v>
      </c>
      <c r="M885" t="s">
        <v>31</v>
      </c>
      <c r="N885" t="s">
        <v>201</v>
      </c>
    </row>
    <row r="886" spans="1:14" x14ac:dyDescent="0.35">
      <c r="A886" t="s">
        <v>14</v>
      </c>
      <c r="B886" t="s">
        <v>279</v>
      </c>
      <c r="C886" t="s">
        <v>65</v>
      </c>
      <c r="D886">
        <v>17</v>
      </c>
      <c r="E886" s="2">
        <v>42368</v>
      </c>
      <c r="F886" t="s">
        <v>16</v>
      </c>
      <c r="G886" t="s">
        <v>112</v>
      </c>
      <c r="H886" t="s">
        <v>217</v>
      </c>
      <c r="I886" s="3">
        <v>0.12569444444444444</v>
      </c>
      <c r="J886" t="s">
        <v>19</v>
      </c>
      <c r="K886">
        <v>42</v>
      </c>
      <c r="L886" s="3">
        <v>4.1666666666666664E-2</v>
      </c>
      <c r="M886" t="s">
        <v>83</v>
      </c>
    </row>
    <row r="887" spans="1:14" x14ac:dyDescent="0.35">
      <c r="A887" t="s">
        <v>64</v>
      </c>
      <c r="B887" t="s">
        <v>279</v>
      </c>
      <c r="C887" t="s">
        <v>65</v>
      </c>
      <c r="D887">
        <v>17</v>
      </c>
      <c r="E887" s="2">
        <v>42368</v>
      </c>
      <c r="F887" t="s">
        <v>16</v>
      </c>
      <c r="G887" t="s">
        <v>66</v>
      </c>
      <c r="H887" t="s">
        <v>95</v>
      </c>
      <c r="I887" s="3">
        <v>0.16666666666666666</v>
      </c>
      <c r="J887" t="s">
        <v>275</v>
      </c>
      <c r="K887">
        <v>33</v>
      </c>
      <c r="L887" s="3">
        <v>8.3333333333333329E-2</v>
      </c>
      <c r="M887" t="s">
        <v>26</v>
      </c>
      <c r="N887" t="s">
        <v>256</v>
      </c>
    </row>
    <row r="888" spans="1:14" x14ac:dyDescent="0.35">
      <c r="A888" t="s">
        <v>64</v>
      </c>
      <c r="B888" t="s">
        <v>279</v>
      </c>
      <c r="C888" t="s">
        <v>91</v>
      </c>
      <c r="D888" t="s">
        <v>143</v>
      </c>
      <c r="E888" s="2">
        <v>42375</v>
      </c>
      <c r="F888" t="s">
        <v>16</v>
      </c>
      <c r="G888" t="s">
        <v>66</v>
      </c>
      <c r="H888" t="s">
        <v>121</v>
      </c>
      <c r="I888" s="3">
        <v>0.1673611111111111</v>
      </c>
      <c r="J888" t="s">
        <v>38</v>
      </c>
      <c r="K888">
        <v>44</v>
      </c>
      <c r="L888" s="3">
        <v>8.4027777777777785E-2</v>
      </c>
      <c r="M888" t="s">
        <v>39</v>
      </c>
    </row>
    <row r="889" spans="1:14" x14ac:dyDescent="0.35">
      <c r="A889" t="s">
        <v>64</v>
      </c>
      <c r="B889" t="s">
        <v>279</v>
      </c>
      <c r="C889" t="s">
        <v>91</v>
      </c>
      <c r="D889" t="s">
        <v>143</v>
      </c>
      <c r="E889" s="2">
        <v>42375</v>
      </c>
      <c r="F889" t="s">
        <v>16</v>
      </c>
      <c r="G889" t="s">
        <v>66</v>
      </c>
      <c r="H889" t="s">
        <v>121</v>
      </c>
      <c r="I889" s="3">
        <v>0.1673611111111111</v>
      </c>
      <c r="J889" t="s">
        <v>38</v>
      </c>
      <c r="K889">
        <v>13</v>
      </c>
      <c r="L889" s="3">
        <v>4.2361111111111113E-2</v>
      </c>
      <c r="M889" t="s">
        <v>31</v>
      </c>
      <c r="N889" t="s">
        <v>99</v>
      </c>
    </row>
    <row r="890" spans="1:14" x14ac:dyDescent="0.35">
      <c r="A890" t="s">
        <v>64</v>
      </c>
      <c r="B890" t="s">
        <v>279</v>
      </c>
      <c r="C890" t="s">
        <v>65</v>
      </c>
      <c r="D890">
        <v>19</v>
      </c>
      <c r="E890" s="2">
        <v>42378</v>
      </c>
      <c r="F890" t="s">
        <v>16</v>
      </c>
      <c r="G890" t="s">
        <v>66</v>
      </c>
      <c r="H890" t="s">
        <v>233</v>
      </c>
      <c r="I890" s="3">
        <v>0.16666666666666666</v>
      </c>
      <c r="J890" t="s">
        <v>275</v>
      </c>
      <c r="K890">
        <v>8</v>
      </c>
      <c r="L890" s="3">
        <v>4.1666666666666664E-2</v>
      </c>
      <c r="M890" t="s">
        <v>31</v>
      </c>
      <c r="N890" t="s">
        <v>287</v>
      </c>
    </row>
    <row r="891" spans="1:14" x14ac:dyDescent="0.35">
      <c r="A891" t="s">
        <v>64</v>
      </c>
      <c r="B891" t="s">
        <v>279</v>
      </c>
      <c r="C891" t="s">
        <v>65</v>
      </c>
      <c r="D891">
        <v>19</v>
      </c>
      <c r="E891" s="2">
        <v>42378</v>
      </c>
      <c r="F891" t="s">
        <v>16</v>
      </c>
      <c r="G891" t="s">
        <v>66</v>
      </c>
      <c r="H891" t="s">
        <v>233</v>
      </c>
      <c r="I891" s="3">
        <v>0.16666666666666666</v>
      </c>
      <c r="J891" t="s">
        <v>275</v>
      </c>
      <c r="K891">
        <v>58</v>
      </c>
      <c r="L891" s="3">
        <v>0.125</v>
      </c>
      <c r="M891" t="s">
        <v>55</v>
      </c>
    </row>
    <row r="892" spans="1:14" x14ac:dyDescent="0.35">
      <c r="A892" t="s">
        <v>64</v>
      </c>
      <c r="B892" t="s">
        <v>279</v>
      </c>
      <c r="C892" t="s">
        <v>65</v>
      </c>
      <c r="D892">
        <v>19</v>
      </c>
      <c r="E892" s="2">
        <v>42378</v>
      </c>
      <c r="F892" t="s">
        <v>16</v>
      </c>
      <c r="G892" t="s">
        <v>66</v>
      </c>
      <c r="H892" t="s">
        <v>233</v>
      </c>
      <c r="I892" s="3">
        <v>0.16666666666666666</v>
      </c>
      <c r="J892" t="s">
        <v>275</v>
      </c>
      <c r="K892">
        <v>14</v>
      </c>
      <c r="L892" s="3">
        <v>8.3333333333333329E-2</v>
      </c>
      <c r="M892" t="s">
        <v>31</v>
      </c>
      <c r="N892" t="s">
        <v>273</v>
      </c>
    </row>
    <row r="893" spans="1:14" x14ac:dyDescent="0.35">
      <c r="A893" t="s">
        <v>14</v>
      </c>
      <c r="B893" t="s">
        <v>279</v>
      </c>
      <c r="C893" t="s">
        <v>65</v>
      </c>
      <c r="D893">
        <v>20</v>
      </c>
      <c r="E893" s="2">
        <v>42386</v>
      </c>
      <c r="F893" t="s">
        <v>16</v>
      </c>
      <c r="G893" t="s">
        <v>112</v>
      </c>
      <c r="H893" t="s">
        <v>151</v>
      </c>
      <c r="I893" s="3">
        <v>0.20902777777777778</v>
      </c>
      <c r="J893" t="s">
        <v>19</v>
      </c>
      <c r="K893">
        <v>18</v>
      </c>
      <c r="L893" s="3">
        <v>0.16666666666666666</v>
      </c>
      <c r="M893" t="s">
        <v>31</v>
      </c>
      <c r="N893" t="s">
        <v>262</v>
      </c>
    </row>
    <row r="894" spans="1:14" x14ac:dyDescent="0.35">
      <c r="A894" t="s">
        <v>14</v>
      </c>
      <c r="B894" t="s">
        <v>279</v>
      </c>
      <c r="C894" t="s">
        <v>65</v>
      </c>
      <c r="D894">
        <v>20</v>
      </c>
      <c r="E894" s="2">
        <v>42386</v>
      </c>
      <c r="F894" t="s">
        <v>16</v>
      </c>
      <c r="G894" t="s">
        <v>112</v>
      </c>
      <c r="H894" t="s">
        <v>151</v>
      </c>
      <c r="I894" s="3">
        <v>0.20902777777777778</v>
      </c>
      <c r="J894" t="s">
        <v>19</v>
      </c>
      <c r="K894">
        <v>9</v>
      </c>
      <c r="L894" s="3">
        <v>8.3333333333333329E-2</v>
      </c>
      <c r="M894" t="s">
        <v>31</v>
      </c>
      <c r="N894" t="s">
        <v>183</v>
      </c>
    </row>
    <row r="895" spans="1:14" x14ac:dyDescent="0.35">
      <c r="A895" t="s">
        <v>64</v>
      </c>
      <c r="B895" t="s">
        <v>279</v>
      </c>
      <c r="C895" t="s">
        <v>65</v>
      </c>
      <c r="D895">
        <v>20</v>
      </c>
      <c r="E895" s="2">
        <v>42386</v>
      </c>
      <c r="F895" t="s">
        <v>16</v>
      </c>
      <c r="G895" t="s">
        <v>66</v>
      </c>
      <c r="H895" t="s">
        <v>86</v>
      </c>
      <c r="I895" s="3">
        <v>0.25</v>
      </c>
      <c r="J895" t="s">
        <v>38</v>
      </c>
      <c r="K895">
        <v>7</v>
      </c>
      <c r="L895" s="3">
        <v>4.1666666666666664E-2</v>
      </c>
      <c r="M895" t="s">
        <v>83</v>
      </c>
    </row>
    <row r="896" spans="1:14" x14ac:dyDescent="0.35">
      <c r="A896" t="s">
        <v>64</v>
      </c>
      <c r="B896" t="s">
        <v>279</v>
      </c>
      <c r="C896" t="s">
        <v>65</v>
      </c>
      <c r="D896">
        <v>21</v>
      </c>
      <c r="E896" s="2">
        <v>42392</v>
      </c>
      <c r="F896" t="s">
        <v>24</v>
      </c>
      <c r="G896" t="s">
        <v>66</v>
      </c>
      <c r="H896" t="s">
        <v>157</v>
      </c>
      <c r="I896" s="3">
        <v>4.3055555555555555E-2</v>
      </c>
      <c r="J896" t="s">
        <v>38</v>
      </c>
      <c r="K896">
        <v>51</v>
      </c>
      <c r="L896" s="3">
        <v>4.3055555555555555E-2</v>
      </c>
      <c r="M896" t="s">
        <v>31</v>
      </c>
      <c r="N896" t="s">
        <v>215</v>
      </c>
    </row>
    <row r="897" spans="1:14" x14ac:dyDescent="0.35">
      <c r="A897" t="s">
        <v>64</v>
      </c>
      <c r="B897" t="s">
        <v>279</v>
      </c>
      <c r="C897" t="s">
        <v>65</v>
      </c>
      <c r="D897">
        <v>22</v>
      </c>
      <c r="E897" s="2">
        <v>42399</v>
      </c>
      <c r="F897" t="s">
        <v>16</v>
      </c>
      <c r="G897" t="s">
        <v>66</v>
      </c>
      <c r="H897" t="s">
        <v>119</v>
      </c>
      <c r="I897" s="3">
        <v>8.4027777777777785E-2</v>
      </c>
      <c r="J897" t="s">
        <v>38</v>
      </c>
      <c r="K897">
        <v>30</v>
      </c>
      <c r="L897" s="3">
        <v>4.2361111111111113E-2</v>
      </c>
      <c r="M897" t="s">
        <v>31</v>
      </c>
      <c r="N897" t="s">
        <v>243</v>
      </c>
    </row>
    <row r="898" spans="1:14" x14ac:dyDescent="0.35">
      <c r="A898" t="s">
        <v>14</v>
      </c>
      <c r="B898" t="s">
        <v>279</v>
      </c>
      <c r="C898" t="s">
        <v>65</v>
      </c>
      <c r="D898">
        <v>22</v>
      </c>
      <c r="E898" s="2">
        <v>42400</v>
      </c>
      <c r="F898" t="s">
        <v>16</v>
      </c>
      <c r="G898" t="s">
        <v>112</v>
      </c>
      <c r="H898" t="s">
        <v>121</v>
      </c>
      <c r="I898" s="3">
        <v>0.25</v>
      </c>
      <c r="J898" t="s">
        <v>19</v>
      </c>
      <c r="K898">
        <v>82</v>
      </c>
      <c r="L898" s="3">
        <v>0.20833333333333334</v>
      </c>
      <c r="M898" t="s">
        <v>22</v>
      </c>
      <c r="N898" t="s">
        <v>288</v>
      </c>
    </row>
    <row r="899" spans="1:14" x14ac:dyDescent="0.35">
      <c r="A899" t="s">
        <v>14</v>
      </c>
      <c r="B899" t="s">
        <v>279</v>
      </c>
      <c r="C899" t="s">
        <v>65</v>
      </c>
      <c r="D899">
        <v>22</v>
      </c>
      <c r="E899" s="2">
        <v>42400</v>
      </c>
      <c r="F899" t="s">
        <v>16</v>
      </c>
      <c r="G899" t="s">
        <v>112</v>
      </c>
      <c r="H899" t="s">
        <v>121</v>
      </c>
      <c r="I899" s="3">
        <v>0.25</v>
      </c>
      <c r="J899" t="s">
        <v>19</v>
      </c>
      <c r="K899">
        <v>12</v>
      </c>
      <c r="L899" s="3">
        <v>8.3333333333333329E-2</v>
      </c>
      <c r="M899" t="s">
        <v>83</v>
      </c>
    </row>
    <row r="900" spans="1:14" x14ac:dyDescent="0.35">
      <c r="A900" t="s">
        <v>14</v>
      </c>
      <c r="B900" t="s">
        <v>279</v>
      </c>
      <c r="C900" t="s">
        <v>65</v>
      </c>
      <c r="D900">
        <v>22</v>
      </c>
      <c r="E900" s="2">
        <v>42400</v>
      </c>
      <c r="F900" t="s">
        <v>16</v>
      </c>
      <c r="G900" t="s">
        <v>112</v>
      </c>
      <c r="H900" t="s">
        <v>121</v>
      </c>
      <c r="I900" s="3">
        <v>0.25</v>
      </c>
      <c r="J900" t="s">
        <v>19</v>
      </c>
      <c r="K900">
        <v>45</v>
      </c>
      <c r="L900" s="3">
        <v>0.16666666666666666</v>
      </c>
      <c r="M900" t="s">
        <v>31</v>
      </c>
    </row>
    <row r="901" spans="1:14" x14ac:dyDescent="0.35">
      <c r="A901" t="s">
        <v>64</v>
      </c>
      <c r="B901" t="s">
        <v>279</v>
      </c>
      <c r="C901" t="s">
        <v>91</v>
      </c>
      <c r="D901" t="s">
        <v>62</v>
      </c>
      <c r="E901" s="2">
        <v>42403</v>
      </c>
      <c r="F901" t="s">
        <v>16</v>
      </c>
      <c r="G901" t="s">
        <v>66</v>
      </c>
      <c r="H901" t="s">
        <v>148</v>
      </c>
      <c r="I901" s="3">
        <v>0.29166666666666669</v>
      </c>
      <c r="J901" t="s">
        <v>38</v>
      </c>
      <c r="K901">
        <v>59</v>
      </c>
      <c r="L901" s="3">
        <v>0.16666666666666666</v>
      </c>
      <c r="M901" t="s">
        <v>31</v>
      </c>
      <c r="N901" t="s">
        <v>273</v>
      </c>
    </row>
    <row r="902" spans="1:14" x14ac:dyDescent="0.35">
      <c r="A902" t="s">
        <v>64</v>
      </c>
      <c r="B902" t="s">
        <v>279</v>
      </c>
      <c r="C902" t="s">
        <v>91</v>
      </c>
      <c r="D902" t="s">
        <v>62</v>
      </c>
      <c r="E902" s="2">
        <v>42403</v>
      </c>
      <c r="F902" t="s">
        <v>16</v>
      </c>
      <c r="G902" t="s">
        <v>66</v>
      </c>
      <c r="H902" t="s">
        <v>148</v>
      </c>
      <c r="I902" s="3">
        <v>0.29166666666666669</v>
      </c>
      <c r="J902" t="s">
        <v>38</v>
      </c>
      <c r="K902">
        <v>74</v>
      </c>
      <c r="L902" s="3">
        <v>0.20833333333333334</v>
      </c>
      <c r="M902" t="s">
        <v>31</v>
      </c>
    </row>
    <row r="903" spans="1:14" x14ac:dyDescent="0.35">
      <c r="A903" t="s">
        <v>64</v>
      </c>
      <c r="B903" t="s">
        <v>279</v>
      </c>
      <c r="C903" t="s">
        <v>91</v>
      </c>
      <c r="D903" t="s">
        <v>62</v>
      </c>
      <c r="E903" s="2">
        <v>42403</v>
      </c>
      <c r="F903" t="s">
        <v>16</v>
      </c>
      <c r="G903" t="s">
        <v>66</v>
      </c>
      <c r="H903" t="s">
        <v>148</v>
      </c>
      <c r="I903" s="3">
        <v>0.29166666666666669</v>
      </c>
      <c r="J903" t="s">
        <v>38</v>
      </c>
      <c r="K903">
        <v>29</v>
      </c>
      <c r="L903" s="3">
        <v>0.125</v>
      </c>
      <c r="M903" t="s">
        <v>31</v>
      </c>
      <c r="N903" t="s">
        <v>256</v>
      </c>
    </row>
    <row r="904" spans="1:14" x14ac:dyDescent="0.35">
      <c r="A904" t="s">
        <v>14</v>
      </c>
      <c r="B904" t="s">
        <v>279</v>
      </c>
      <c r="C904" t="s">
        <v>65</v>
      </c>
      <c r="D904">
        <v>24</v>
      </c>
      <c r="E904" s="2">
        <v>42413</v>
      </c>
      <c r="F904" t="s">
        <v>16</v>
      </c>
      <c r="G904" t="s">
        <v>112</v>
      </c>
      <c r="H904" t="s">
        <v>86</v>
      </c>
      <c r="I904" s="3">
        <v>0.16805555555555557</v>
      </c>
      <c r="J904" t="s">
        <v>19</v>
      </c>
      <c r="K904">
        <v>87</v>
      </c>
      <c r="L904" s="3">
        <v>0.1673611111111111</v>
      </c>
      <c r="M904" t="s">
        <v>26</v>
      </c>
      <c r="N904" t="s">
        <v>281</v>
      </c>
    </row>
    <row r="905" spans="1:14" x14ac:dyDescent="0.35">
      <c r="A905" t="s">
        <v>14</v>
      </c>
      <c r="B905" t="s">
        <v>279</v>
      </c>
      <c r="C905" t="s">
        <v>65</v>
      </c>
      <c r="D905">
        <v>24</v>
      </c>
      <c r="E905" s="2">
        <v>42413</v>
      </c>
      <c r="F905" t="s">
        <v>16</v>
      </c>
      <c r="G905" t="s">
        <v>112</v>
      </c>
      <c r="H905" t="s">
        <v>86</v>
      </c>
      <c r="I905" s="3">
        <v>0.16805555555555557</v>
      </c>
      <c r="J905" t="s">
        <v>19</v>
      </c>
      <c r="K905">
        <v>3</v>
      </c>
      <c r="L905" s="3">
        <v>4.1666666666666664E-2</v>
      </c>
      <c r="M905" t="s">
        <v>26</v>
      </c>
      <c r="N905" t="s">
        <v>183</v>
      </c>
    </row>
    <row r="906" spans="1:14" x14ac:dyDescent="0.35">
      <c r="A906" t="s">
        <v>64</v>
      </c>
      <c r="B906" t="s">
        <v>279</v>
      </c>
      <c r="C906" t="s">
        <v>65</v>
      </c>
      <c r="D906">
        <v>24</v>
      </c>
      <c r="E906" s="2">
        <v>42414</v>
      </c>
      <c r="F906" t="s">
        <v>16</v>
      </c>
      <c r="G906" t="s">
        <v>66</v>
      </c>
      <c r="H906" t="s">
        <v>98</v>
      </c>
      <c r="I906" s="3">
        <v>0.25069444444444444</v>
      </c>
      <c r="J906" t="s">
        <v>38</v>
      </c>
      <c r="K906">
        <v>28</v>
      </c>
      <c r="L906" s="3">
        <v>4.1666666666666664E-2</v>
      </c>
      <c r="M906" t="s">
        <v>39</v>
      </c>
    </row>
    <row r="907" spans="1:14" x14ac:dyDescent="0.35">
      <c r="A907" t="s">
        <v>64</v>
      </c>
      <c r="B907" t="s">
        <v>279</v>
      </c>
      <c r="C907" t="s">
        <v>65</v>
      </c>
      <c r="D907">
        <v>16</v>
      </c>
      <c r="E907" s="2">
        <v>42417</v>
      </c>
      <c r="F907" t="s">
        <v>24</v>
      </c>
      <c r="G907" t="s">
        <v>66</v>
      </c>
      <c r="H907" t="s">
        <v>151</v>
      </c>
      <c r="I907" s="3">
        <v>4.3749999999999997E-2</v>
      </c>
      <c r="J907" t="s">
        <v>275</v>
      </c>
      <c r="K907">
        <v>25</v>
      </c>
      <c r="L907" s="3">
        <v>6.9444444444444447E-4</v>
      </c>
      <c r="M907" t="s">
        <v>31</v>
      </c>
      <c r="N907" t="s">
        <v>273</v>
      </c>
    </row>
    <row r="908" spans="1:14" x14ac:dyDescent="0.35">
      <c r="A908" t="s">
        <v>64</v>
      </c>
      <c r="B908" t="s">
        <v>279</v>
      </c>
      <c r="C908" t="s">
        <v>65</v>
      </c>
      <c r="D908">
        <v>16</v>
      </c>
      <c r="E908" s="2">
        <v>42417</v>
      </c>
      <c r="F908" t="s">
        <v>24</v>
      </c>
      <c r="G908" t="s">
        <v>66</v>
      </c>
      <c r="H908" t="s">
        <v>151</v>
      </c>
      <c r="I908" s="3">
        <v>4.3749999999999997E-2</v>
      </c>
      <c r="J908" t="s">
        <v>275</v>
      </c>
      <c r="K908">
        <v>31</v>
      </c>
      <c r="L908" s="3">
        <v>4.3055555555555555E-2</v>
      </c>
      <c r="M908" t="s">
        <v>31</v>
      </c>
      <c r="N908" t="s">
        <v>273</v>
      </c>
    </row>
    <row r="909" spans="1:14" x14ac:dyDescent="0.35">
      <c r="A909" t="s">
        <v>14</v>
      </c>
      <c r="B909" t="s">
        <v>279</v>
      </c>
      <c r="C909" t="s">
        <v>75</v>
      </c>
      <c r="D909" t="s">
        <v>143</v>
      </c>
      <c r="E909" s="2">
        <v>42417</v>
      </c>
      <c r="F909" t="s">
        <v>24</v>
      </c>
      <c r="G909" t="s">
        <v>112</v>
      </c>
      <c r="H909" t="s">
        <v>116</v>
      </c>
      <c r="I909" s="3">
        <v>1.3888888888888889E-3</v>
      </c>
      <c r="J909" t="s">
        <v>19</v>
      </c>
      <c r="K909">
        <v>57</v>
      </c>
      <c r="L909" s="3">
        <v>6.9444444444444447E-4</v>
      </c>
      <c r="M909" t="s">
        <v>26</v>
      </c>
      <c r="N909" t="s">
        <v>201</v>
      </c>
    </row>
    <row r="910" spans="1:14" x14ac:dyDescent="0.35">
      <c r="A910" t="s">
        <v>14</v>
      </c>
      <c r="B910" t="s">
        <v>279</v>
      </c>
      <c r="C910" t="s">
        <v>65</v>
      </c>
      <c r="D910">
        <v>25</v>
      </c>
      <c r="E910" s="2">
        <v>42421</v>
      </c>
      <c r="F910" t="s">
        <v>24</v>
      </c>
      <c r="G910" t="s">
        <v>112</v>
      </c>
      <c r="H910" t="s">
        <v>157</v>
      </c>
      <c r="I910" s="3">
        <v>4.2361111111111113E-2</v>
      </c>
      <c r="J910" t="s">
        <v>19</v>
      </c>
      <c r="K910">
        <v>33</v>
      </c>
      <c r="L910" s="3">
        <v>6.9444444444444447E-4</v>
      </c>
      <c r="M910" t="s">
        <v>22</v>
      </c>
      <c r="N910" t="s">
        <v>277</v>
      </c>
    </row>
    <row r="911" spans="1:14" x14ac:dyDescent="0.35">
      <c r="A911" t="s">
        <v>64</v>
      </c>
      <c r="B911" t="s">
        <v>279</v>
      </c>
      <c r="C911" t="s">
        <v>75</v>
      </c>
      <c r="D911" t="s">
        <v>143</v>
      </c>
      <c r="E911" s="2">
        <v>42423</v>
      </c>
      <c r="F911" t="s">
        <v>24</v>
      </c>
      <c r="G911" t="s">
        <v>66</v>
      </c>
      <c r="H911" t="s">
        <v>54</v>
      </c>
      <c r="I911" s="3">
        <v>1.3888888888888889E-3</v>
      </c>
      <c r="J911" t="s">
        <v>38</v>
      </c>
      <c r="K911">
        <v>71</v>
      </c>
      <c r="L911" s="3">
        <v>6.9444444444444447E-4</v>
      </c>
      <c r="M911" t="s">
        <v>31</v>
      </c>
      <c r="N911" t="s">
        <v>256</v>
      </c>
    </row>
    <row r="912" spans="1:14" x14ac:dyDescent="0.35">
      <c r="A912" t="s">
        <v>64</v>
      </c>
      <c r="B912" t="s">
        <v>279</v>
      </c>
      <c r="C912" t="s">
        <v>75</v>
      </c>
      <c r="D912" t="s">
        <v>143</v>
      </c>
      <c r="E912" s="2">
        <v>42423</v>
      </c>
      <c r="F912" t="s">
        <v>24</v>
      </c>
      <c r="G912" t="s">
        <v>66</v>
      </c>
      <c r="H912" t="s">
        <v>54</v>
      </c>
      <c r="I912" s="3">
        <v>1.3888888888888889E-3</v>
      </c>
      <c r="J912" t="s">
        <v>38</v>
      </c>
      <c r="K912">
        <v>83</v>
      </c>
      <c r="L912" s="3">
        <v>1.3888888888888889E-3</v>
      </c>
      <c r="M912" t="s">
        <v>83</v>
      </c>
    </row>
    <row r="913" spans="1:14" x14ac:dyDescent="0.35">
      <c r="A913" t="s">
        <v>64</v>
      </c>
      <c r="B913" t="s">
        <v>279</v>
      </c>
      <c r="C913" t="s">
        <v>65</v>
      </c>
      <c r="D913">
        <v>26</v>
      </c>
      <c r="E913" s="2">
        <v>42428</v>
      </c>
      <c r="F913" t="s">
        <v>16</v>
      </c>
      <c r="G913" t="s">
        <v>66</v>
      </c>
      <c r="H913" t="s">
        <v>105</v>
      </c>
      <c r="I913" s="3">
        <v>8.4027777777777785E-2</v>
      </c>
      <c r="J913" t="s">
        <v>275</v>
      </c>
      <c r="K913">
        <v>31</v>
      </c>
      <c r="L913" s="3">
        <v>4.2361111111111113E-2</v>
      </c>
      <c r="M913" t="s">
        <v>39</v>
      </c>
    </row>
    <row r="914" spans="1:14" x14ac:dyDescent="0.35">
      <c r="A914" t="s">
        <v>14</v>
      </c>
      <c r="B914" t="s">
        <v>279</v>
      </c>
      <c r="C914" t="s">
        <v>65</v>
      </c>
      <c r="D914">
        <v>27</v>
      </c>
      <c r="E914" s="2">
        <v>42431</v>
      </c>
      <c r="F914" t="s">
        <v>24</v>
      </c>
      <c r="G914" t="s">
        <v>112</v>
      </c>
      <c r="H914" t="s">
        <v>127</v>
      </c>
      <c r="I914" s="3">
        <v>4.3749999999999997E-2</v>
      </c>
      <c r="J914" t="s">
        <v>19</v>
      </c>
      <c r="K914">
        <v>34</v>
      </c>
      <c r="L914" s="3">
        <v>6.9444444444444447E-4</v>
      </c>
      <c r="M914" t="s">
        <v>83</v>
      </c>
    </row>
    <row r="915" spans="1:14" x14ac:dyDescent="0.35">
      <c r="A915" t="s">
        <v>64</v>
      </c>
      <c r="B915" t="s">
        <v>279</v>
      </c>
      <c r="C915" t="s">
        <v>65</v>
      </c>
      <c r="D915">
        <v>27</v>
      </c>
      <c r="E915" s="2">
        <v>42432</v>
      </c>
      <c r="F915" t="s">
        <v>24</v>
      </c>
      <c r="G915" t="s">
        <v>66</v>
      </c>
      <c r="H915" t="s">
        <v>225</v>
      </c>
      <c r="I915" s="3">
        <v>4.5138888888888888E-2</v>
      </c>
      <c r="J915" t="s">
        <v>38</v>
      </c>
      <c r="K915">
        <v>72</v>
      </c>
      <c r="L915" s="3">
        <v>4.4444444444444446E-2</v>
      </c>
      <c r="M915" t="s">
        <v>31</v>
      </c>
      <c r="N915" t="s">
        <v>222</v>
      </c>
    </row>
    <row r="916" spans="1:14" x14ac:dyDescent="0.35">
      <c r="A916" t="s">
        <v>64</v>
      </c>
      <c r="B916" t="s">
        <v>279</v>
      </c>
      <c r="C916" t="s">
        <v>65</v>
      </c>
      <c r="D916">
        <v>27</v>
      </c>
      <c r="E916" s="2">
        <v>42432</v>
      </c>
      <c r="F916" t="s">
        <v>24</v>
      </c>
      <c r="G916" t="s">
        <v>66</v>
      </c>
      <c r="H916" t="s">
        <v>225</v>
      </c>
      <c r="I916" s="3">
        <v>4.5138888888888888E-2</v>
      </c>
      <c r="J916" t="s">
        <v>38</v>
      </c>
      <c r="K916">
        <v>53</v>
      </c>
      <c r="L916" s="3">
        <v>2.0833333333333333E-3</v>
      </c>
      <c r="M916" t="s">
        <v>31</v>
      </c>
    </row>
    <row r="917" spans="1:14" x14ac:dyDescent="0.35">
      <c r="A917" t="s">
        <v>64</v>
      </c>
      <c r="B917" t="s">
        <v>279</v>
      </c>
      <c r="C917" t="s">
        <v>65</v>
      </c>
      <c r="D917">
        <v>27</v>
      </c>
      <c r="E917" s="2">
        <v>42432</v>
      </c>
      <c r="F917" t="s">
        <v>24</v>
      </c>
      <c r="G917" t="s">
        <v>66</v>
      </c>
      <c r="H917" t="s">
        <v>225</v>
      </c>
      <c r="I917" s="3">
        <v>4.5138888888888888E-2</v>
      </c>
      <c r="J917" t="s">
        <v>38</v>
      </c>
      <c r="K917">
        <v>23</v>
      </c>
      <c r="L917" s="3">
        <v>1.3888888888888889E-3</v>
      </c>
      <c r="M917" t="s">
        <v>31</v>
      </c>
      <c r="N917" t="s">
        <v>256</v>
      </c>
    </row>
    <row r="918" spans="1:14" x14ac:dyDescent="0.35">
      <c r="A918" t="s">
        <v>14</v>
      </c>
      <c r="B918" t="s">
        <v>279</v>
      </c>
      <c r="C918" t="s">
        <v>65</v>
      </c>
      <c r="D918">
        <v>28</v>
      </c>
      <c r="E918" s="2">
        <v>42434</v>
      </c>
      <c r="F918" t="s">
        <v>16</v>
      </c>
      <c r="G918" t="s">
        <v>112</v>
      </c>
      <c r="H918" t="s">
        <v>98</v>
      </c>
      <c r="I918" s="3">
        <v>0.29236111111111113</v>
      </c>
      <c r="J918" t="s">
        <v>19</v>
      </c>
      <c r="K918">
        <v>50</v>
      </c>
      <c r="L918" s="3">
        <v>8.3333333333333329E-2</v>
      </c>
      <c r="M918" t="s">
        <v>170</v>
      </c>
      <c r="N918" t="s">
        <v>202</v>
      </c>
    </row>
    <row r="919" spans="1:14" x14ac:dyDescent="0.35">
      <c r="A919" t="s">
        <v>14</v>
      </c>
      <c r="B919" t="s">
        <v>279</v>
      </c>
      <c r="C919" t="s">
        <v>65</v>
      </c>
      <c r="D919">
        <v>28</v>
      </c>
      <c r="E919" s="2">
        <v>42434</v>
      </c>
      <c r="F919" t="s">
        <v>16</v>
      </c>
      <c r="G919" t="s">
        <v>112</v>
      </c>
      <c r="H919" t="s">
        <v>98</v>
      </c>
      <c r="I919" s="3">
        <v>0.29236111111111113</v>
      </c>
      <c r="J919" t="s">
        <v>19</v>
      </c>
      <c r="K919">
        <v>58</v>
      </c>
      <c r="L919" s="3">
        <v>0.125</v>
      </c>
      <c r="M919" t="s">
        <v>39</v>
      </c>
    </row>
    <row r="920" spans="1:14" x14ac:dyDescent="0.35">
      <c r="A920" t="s">
        <v>14</v>
      </c>
      <c r="B920" t="s">
        <v>279</v>
      </c>
      <c r="C920" t="s">
        <v>65</v>
      </c>
      <c r="D920">
        <v>28</v>
      </c>
      <c r="E920" s="2">
        <v>42434</v>
      </c>
      <c r="F920" t="s">
        <v>16</v>
      </c>
      <c r="G920" t="s">
        <v>112</v>
      </c>
      <c r="H920" t="s">
        <v>98</v>
      </c>
      <c r="I920" s="3">
        <v>0.29236111111111113</v>
      </c>
      <c r="J920" t="s">
        <v>19</v>
      </c>
      <c r="K920">
        <v>64</v>
      </c>
      <c r="L920" s="3">
        <v>0.1673611111111111</v>
      </c>
      <c r="M920" t="s">
        <v>26</v>
      </c>
      <c r="N920" t="s">
        <v>257</v>
      </c>
    </row>
    <row r="921" spans="1:14" x14ac:dyDescent="0.35">
      <c r="A921" t="s">
        <v>14</v>
      </c>
      <c r="B921" t="s">
        <v>279</v>
      </c>
      <c r="C921" t="s">
        <v>65</v>
      </c>
      <c r="D921">
        <v>28</v>
      </c>
      <c r="E921" s="2">
        <v>42434</v>
      </c>
      <c r="F921" t="s">
        <v>16</v>
      </c>
      <c r="G921" t="s">
        <v>112</v>
      </c>
      <c r="H921" t="s">
        <v>98</v>
      </c>
      <c r="I921" s="3">
        <v>0.29236111111111113</v>
      </c>
      <c r="J921" t="s">
        <v>19</v>
      </c>
      <c r="K921">
        <v>76</v>
      </c>
      <c r="L921" s="3">
        <v>0.20902777777777778</v>
      </c>
      <c r="M921" t="s">
        <v>22</v>
      </c>
      <c r="N921" t="s">
        <v>288</v>
      </c>
    </row>
    <row r="922" spans="1:14" x14ac:dyDescent="0.35">
      <c r="A922" t="s">
        <v>64</v>
      </c>
      <c r="B922" t="s">
        <v>279</v>
      </c>
      <c r="C922" t="s">
        <v>65</v>
      </c>
      <c r="D922">
        <v>28</v>
      </c>
      <c r="E922" s="2">
        <v>42435</v>
      </c>
      <c r="F922" t="s">
        <v>24</v>
      </c>
      <c r="G922" t="s">
        <v>66</v>
      </c>
      <c r="H922" t="s">
        <v>270</v>
      </c>
      <c r="I922" s="3">
        <v>2.7777777777777779E-3</v>
      </c>
      <c r="J922" t="s">
        <v>275</v>
      </c>
      <c r="K922">
        <v>42</v>
      </c>
      <c r="L922" s="3">
        <v>1.3888888888888889E-3</v>
      </c>
      <c r="M922" t="s">
        <v>31</v>
      </c>
      <c r="N922" t="s">
        <v>289</v>
      </c>
    </row>
    <row r="923" spans="1:14" x14ac:dyDescent="0.35">
      <c r="A923" t="s">
        <v>64</v>
      </c>
      <c r="B923" t="s">
        <v>279</v>
      </c>
      <c r="C923" t="s">
        <v>65</v>
      </c>
      <c r="D923">
        <v>28</v>
      </c>
      <c r="E923" s="2">
        <v>42435</v>
      </c>
      <c r="F923" t="s">
        <v>24</v>
      </c>
      <c r="G923" t="s">
        <v>66</v>
      </c>
      <c r="H923" t="s">
        <v>270</v>
      </c>
      <c r="I923" s="3">
        <v>2.7777777777777779E-3</v>
      </c>
      <c r="J923" t="s">
        <v>275</v>
      </c>
      <c r="K923">
        <v>76</v>
      </c>
      <c r="L923" s="3">
        <v>2.0833333333333333E-3</v>
      </c>
      <c r="M923" t="s">
        <v>83</v>
      </c>
    </row>
    <row r="924" spans="1:14" x14ac:dyDescent="0.35">
      <c r="A924" t="s">
        <v>14</v>
      </c>
      <c r="B924" t="s">
        <v>279</v>
      </c>
      <c r="C924" t="s">
        <v>75</v>
      </c>
      <c r="D924" t="s">
        <v>143</v>
      </c>
      <c r="E924" s="2">
        <v>42437</v>
      </c>
      <c r="F924" t="s">
        <v>16</v>
      </c>
      <c r="G924" t="s">
        <v>112</v>
      </c>
      <c r="H924" t="s">
        <v>116</v>
      </c>
      <c r="I924" s="3">
        <v>8.3333333333333329E-2</v>
      </c>
      <c r="J924" t="s">
        <v>68</v>
      </c>
      <c r="K924">
        <v>64</v>
      </c>
      <c r="L924" s="3">
        <v>4.1666666666666664E-2</v>
      </c>
      <c r="M924" t="s">
        <v>26</v>
      </c>
      <c r="N924" t="s">
        <v>281</v>
      </c>
    </row>
    <row r="925" spans="1:14" x14ac:dyDescent="0.35">
      <c r="A925" t="s">
        <v>64</v>
      </c>
      <c r="B925" t="s">
        <v>279</v>
      </c>
      <c r="C925" t="s">
        <v>65</v>
      </c>
      <c r="D925">
        <v>29</v>
      </c>
      <c r="E925" s="2">
        <v>42441</v>
      </c>
      <c r="F925" t="s">
        <v>16</v>
      </c>
      <c r="G925" t="s">
        <v>66</v>
      </c>
      <c r="H925" t="s">
        <v>117</v>
      </c>
      <c r="I925" s="3">
        <v>0.25</v>
      </c>
      <c r="J925" t="s">
        <v>68</v>
      </c>
      <c r="K925">
        <v>41</v>
      </c>
      <c r="L925" s="3">
        <v>0.16666666666666666</v>
      </c>
      <c r="M925" t="s">
        <v>31</v>
      </c>
      <c r="N925" t="s">
        <v>287</v>
      </c>
    </row>
    <row r="926" spans="1:14" x14ac:dyDescent="0.35">
      <c r="A926" t="s">
        <v>64</v>
      </c>
      <c r="B926" t="s">
        <v>279</v>
      </c>
      <c r="C926" t="s">
        <v>75</v>
      </c>
      <c r="D926" t="s">
        <v>143</v>
      </c>
      <c r="E926" s="2">
        <v>42445</v>
      </c>
      <c r="F926" t="s">
        <v>16</v>
      </c>
      <c r="G926" t="s">
        <v>66</v>
      </c>
      <c r="H926" t="s">
        <v>54</v>
      </c>
      <c r="I926" s="3">
        <v>0.12569444444444444</v>
      </c>
      <c r="J926" t="s">
        <v>38</v>
      </c>
      <c r="K926">
        <v>86</v>
      </c>
      <c r="L926" s="3">
        <v>0.12569444444444444</v>
      </c>
      <c r="M926" t="s">
        <v>31</v>
      </c>
      <c r="N926" t="s">
        <v>256</v>
      </c>
    </row>
    <row r="927" spans="1:14" x14ac:dyDescent="0.35">
      <c r="A927" t="s">
        <v>14</v>
      </c>
      <c r="B927" t="s">
        <v>279</v>
      </c>
      <c r="C927" t="s">
        <v>65</v>
      </c>
      <c r="D927">
        <v>30</v>
      </c>
      <c r="E927" s="2">
        <v>42449</v>
      </c>
      <c r="F927" t="s">
        <v>16</v>
      </c>
      <c r="G927" t="s">
        <v>112</v>
      </c>
      <c r="H927" t="s">
        <v>105</v>
      </c>
      <c r="I927" s="3">
        <v>0.16666666666666666</v>
      </c>
      <c r="J927" t="s">
        <v>19</v>
      </c>
      <c r="K927">
        <v>64</v>
      </c>
      <c r="L927" s="3">
        <v>8.3333333333333329E-2</v>
      </c>
      <c r="M927" t="s">
        <v>31</v>
      </c>
      <c r="N927" t="s">
        <v>285</v>
      </c>
    </row>
    <row r="928" spans="1:14" x14ac:dyDescent="0.35">
      <c r="A928" t="s">
        <v>14</v>
      </c>
      <c r="B928" t="s">
        <v>279</v>
      </c>
      <c r="C928" t="s">
        <v>65</v>
      </c>
      <c r="D928">
        <v>31</v>
      </c>
      <c r="E928" s="2">
        <v>42462</v>
      </c>
      <c r="F928" t="s">
        <v>24</v>
      </c>
      <c r="G928" t="s">
        <v>112</v>
      </c>
      <c r="H928" t="s">
        <v>66</v>
      </c>
      <c r="I928" s="3">
        <v>4.3055555555555555E-2</v>
      </c>
      <c r="J928" t="s">
        <v>19</v>
      </c>
      <c r="K928">
        <v>85</v>
      </c>
      <c r="L928" s="3">
        <v>4.3055555555555555E-2</v>
      </c>
      <c r="M928" t="s">
        <v>26</v>
      </c>
      <c r="N928" t="s">
        <v>261</v>
      </c>
    </row>
    <row r="929" spans="1:14" x14ac:dyDescent="0.35">
      <c r="A929" t="s">
        <v>14</v>
      </c>
      <c r="B929" t="s">
        <v>279</v>
      </c>
      <c r="C929" t="s">
        <v>65</v>
      </c>
      <c r="D929">
        <v>32</v>
      </c>
      <c r="E929" s="2">
        <v>42469</v>
      </c>
      <c r="F929" t="s">
        <v>16</v>
      </c>
      <c r="G929" t="s">
        <v>112</v>
      </c>
      <c r="H929" t="s">
        <v>270</v>
      </c>
      <c r="I929" s="3">
        <v>0.16666666666666666</v>
      </c>
      <c r="J929" t="s">
        <v>68</v>
      </c>
      <c r="K929">
        <v>19</v>
      </c>
      <c r="L929" s="3">
        <v>0.125</v>
      </c>
      <c r="M929" t="s">
        <v>26</v>
      </c>
      <c r="N929" t="s">
        <v>288</v>
      </c>
    </row>
    <row r="930" spans="1:14" x14ac:dyDescent="0.35">
      <c r="A930" t="s">
        <v>14</v>
      </c>
      <c r="B930" t="s">
        <v>279</v>
      </c>
      <c r="C930" t="s">
        <v>75</v>
      </c>
      <c r="D930" t="s">
        <v>92</v>
      </c>
      <c r="E930" s="2">
        <v>42472</v>
      </c>
      <c r="F930" t="s">
        <v>16</v>
      </c>
      <c r="G930" t="s">
        <v>112</v>
      </c>
      <c r="H930" t="s">
        <v>290</v>
      </c>
      <c r="I930" s="3">
        <v>0.125</v>
      </c>
      <c r="J930" t="s">
        <v>19</v>
      </c>
      <c r="K930">
        <v>17</v>
      </c>
      <c r="L930" s="3">
        <v>8.3333333333333329E-2</v>
      </c>
      <c r="M930" t="s">
        <v>22</v>
      </c>
      <c r="N930" t="s">
        <v>277</v>
      </c>
    </row>
    <row r="931" spans="1:14" x14ac:dyDescent="0.35">
      <c r="A931" t="s">
        <v>14</v>
      </c>
      <c r="B931" t="s">
        <v>279</v>
      </c>
      <c r="C931" t="s">
        <v>75</v>
      </c>
      <c r="D931" t="s">
        <v>92</v>
      </c>
      <c r="E931" s="2">
        <v>42472</v>
      </c>
      <c r="F931" t="s">
        <v>16</v>
      </c>
      <c r="G931" t="s">
        <v>112</v>
      </c>
      <c r="H931" t="s">
        <v>290</v>
      </c>
      <c r="I931" s="3">
        <v>0.125</v>
      </c>
      <c r="J931" t="s">
        <v>19</v>
      </c>
      <c r="K931">
        <v>77</v>
      </c>
      <c r="L931" s="3">
        <v>0.125</v>
      </c>
      <c r="M931" t="s">
        <v>39</v>
      </c>
    </row>
    <row r="932" spans="1:14" x14ac:dyDescent="0.35">
      <c r="A932" t="s">
        <v>14</v>
      </c>
      <c r="B932" t="s">
        <v>279</v>
      </c>
      <c r="C932" t="s">
        <v>75</v>
      </c>
      <c r="D932" t="s">
        <v>92</v>
      </c>
      <c r="E932" s="2">
        <v>42472</v>
      </c>
      <c r="F932" t="s">
        <v>16</v>
      </c>
      <c r="G932" t="s">
        <v>112</v>
      </c>
      <c r="H932" t="s">
        <v>290</v>
      </c>
      <c r="I932" s="3">
        <v>0.125</v>
      </c>
      <c r="J932" t="s">
        <v>19</v>
      </c>
      <c r="K932">
        <v>16</v>
      </c>
      <c r="L932" s="3">
        <v>4.1666666666666664E-2</v>
      </c>
      <c r="M932" t="s">
        <v>26</v>
      </c>
      <c r="N932" t="s">
        <v>262</v>
      </c>
    </row>
    <row r="933" spans="1:14" x14ac:dyDescent="0.35">
      <c r="A933" t="s">
        <v>14</v>
      </c>
      <c r="B933" t="s">
        <v>279</v>
      </c>
      <c r="C933" t="s">
        <v>65</v>
      </c>
      <c r="D933">
        <v>33</v>
      </c>
      <c r="E933" s="2">
        <v>42476</v>
      </c>
      <c r="F933" t="s">
        <v>24</v>
      </c>
      <c r="G933" t="s">
        <v>112</v>
      </c>
      <c r="H933" t="s">
        <v>117</v>
      </c>
      <c r="I933" s="3">
        <v>4.5138888888888888E-2</v>
      </c>
      <c r="J933" t="s">
        <v>19</v>
      </c>
      <c r="K933" t="s">
        <v>141</v>
      </c>
      <c r="L933" s="3">
        <v>4.5138888888888888E-2</v>
      </c>
      <c r="M933" t="s">
        <v>31</v>
      </c>
      <c r="N933" t="s">
        <v>288</v>
      </c>
    </row>
    <row r="934" spans="1:14" x14ac:dyDescent="0.35">
      <c r="A934" t="s">
        <v>64</v>
      </c>
      <c r="B934" t="s">
        <v>279</v>
      </c>
      <c r="C934" t="s">
        <v>65</v>
      </c>
      <c r="D934">
        <v>33</v>
      </c>
      <c r="E934" s="2">
        <v>42477</v>
      </c>
      <c r="F934" t="s">
        <v>16</v>
      </c>
      <c r="G934" t="s">
        <v>66</v>
      </c>
      <c r="H934" t="s">
        <v>148</v>
      </c>
      <c r="I934" s="3">
        <v>4.3055555555555555E-2</v>
      </c>
      <c r="J934" t="s">
        <v>38</v>
      </c>
      <c r="K934">
        <v>63</v>
      </c>
      <c r="L934" s="3">
        <v>4.3055555555555555E-2</v>
      </c>
      <c r="M934" t="s">
        <v>31</v>
      </c>
      <c r="N934" t="s">
        <v>243</v>
      </c>
    </row>
    <row r="935" spans="1:14" x14ac:dyDescent="0.35">
      <c r="A935" t="s">
        <v>64</v>
      </c>
      <c r="B935" t="s">
        <v>279</v>
      </c>
      <c r="C935" t="s">
        <v>65</v>
      </c>
      <c r="D935">
        <v>34</v>
      </c>
      <c r="E935" s="2">
        <v>42480</v>
      </c>
      <c r="F935" t="s">
        <v>24</v>
      </c>
      <c r="G935" t="s">
        <v>66</v>
      </c>
      <c r="H935" t="s">
        <v>115</v>
      </c>
      <c r="I935" s="3">
        <v>5.5555555555555558E-3</v>
      </c>
      <c r="J935" t="s">
        <v>38</v>
      </c>
      <c r="K935">
        <v>73</v>
      </c>
      <c r="L935" s="3">
        <v>4.1666666666666666E-3</v>
      </c>
      <c r="M935" t="s">
        <v>31</v>
      </c>
      <c r="N935" t="s">
        <v>273</v>
      </c>
    </row>
    <row r="936" spans="1:14" x14ac:dyDescent="0.35">
      <c r="A936" t="s">
        <v>64</v>
      </c>
      <c r="B936" t="s">
        <v>279</v>
      </c>
      <c r="C936" t="s">
        <v>65</v>
      </c>
      <c r="D936">
        <v>35</v>
      </c>
      <c r="E936" s="2">
        <v>42483</v>
      </c>
      <c r="F936" t="s">
        <v>16</v>
      </c>
      <c r="G936" t="s">
        <v>66</v>
      </c>
      <c r="H936" t="s">
        <v>151</v>
      </c>
      <c r="I936" s="3">
        <v>0.25</v>
      </c>
      <c r="J936" t="s">
        <v>38</v>
      </c>
      <c r="K936">
        <v>13</v>
      </c>
      <c r="L936" s="3">
        <v>4.1666666666666664E-2</v>
      </c>
      <c r="M936" t="s">
        <v>22</v>
      </c>
    </row>
    <row r="937" spans="1:14" x14ac:dyDescent="0.35">
      <c r="A937" t="s">
        <v>64</v>
      </c>
      <c r="B937" t="s">
        <v>279</v>
      </c>
      <c r="C937" t="s">
        <v>65</v>
      </c>
      <c r="D937">
        <v>37</v>
      </c>
      <c r="E937" s="2">
        <v>42498</v>
      </c>
      <c r="F937" t="s">
        <v>16</v>
      </c>
      <c r="G937" t="s">
        <v>66</v>
      </c>
      <c r="H937" t="s">
        <v>121</v>
      </c>
      <c r="I937" s="3">
        <v>0.20833333333333334</v>
      </c>
      <c r="J937" t="s">
        <v>38</v>
      </c>
      <c r="K937">
        <v>8</v>
      </c>
      <c r="L937" s="3">
        <v>4.1666666666666664E-2</v>
      </c>
      <c r="M937" t="s">
        <v>39</v>
      </c>
    </row>
    <row r="938" spans="1:14" x14ac:dyDescent="0.35">
      <c r="A938" t="s">
        <v>14</v>
      </c>
      <c r="B938" t="s">
        <v>279</v>
      </c>
      <c r="C938" t="s">
        <v>65</v>
      </c>
      <c r="D938">
        <v>37</v>
      </c>
      <c r="E938" s="2">
        <v>42498</v>
      </c>
      <c r="F938" t="s">
        <v>16</v>
      </c>
      <c r="G938" t="s">
        <v>112</v>
      </c>
      <c r="H938" t="s">
        <v>148</v>
      </c>
      <c r="I938" s="3">
        <v>0.12638888888888888</v>
      </c>
      <c r="J938" t="s">
        <v>19</v>
      </c>
      <c r="K938">
        <v>59</v>
      </c>
      <c r="L938" s="3">
        <v>0.12569444444444444</v>
      </c>
      <c r="M938" t="s">
        <v>31</v>
      </c>
      <c r="N938" t="s">
        <v>268</v>
      </c>
    </row>
    <row r="939" spans="1:14" x14ac:dyDescent="0.35">
      <c r="A939" t="s">
        <v>14</v>
      </c>
      <c r="B939" t="s">
        <v>279</v>
      </c>
      <c r="C939" t="s">
        <v>65</v>
      </c>
      <c r="D939">
        <v>37</v>
      </c>
      <c r="E939" s="2">
        <v>42498</v>
      </c>
      <c r="F939" t="s">
        <v>16</v>
      </c>
      <c r="G939" t="s">
        <v>112</v>
      </c>
      <c r="H939" t="s">
        <v>148</v>
      </c>
      <c r="I939" s="3">
        <v>0.12638888888888888</v>
      </c>
      <c r="J939" t="s">
        <v>19</v>
      </c>
      <c r="K939">
        <v>26</v>
      </c>
      <c r="L939" s="3">
        <v>4.1666666666666664E-2</v>
      </c>
      <c r="M939" t="s">
        <v>26</v>
      </c>
      <c r="N939" t="s">
        <v>201</v>
      </c>
    </row>
    <row r="940" spans="1:14" x14ac:dyDescent="0.35">
      <c r="A940" t="s">
        <v>14</v>
      </c>
      <c r="B940" t="s">
        <v>279</v>
      </c>
      <c r="C940" t="s">
        <v>65</v>
      </c>
      <c r="D940">
        <v>38</v>
      </c>
      <c r="E940" s="2">
        <v>42504</v>
      </c>
      <c r="F940" t="s">
        <v>24</v>
      </c>
      <c r="G940" t="s">
        <v>112</v>
      </c>
      <c r="H940" t="s">
        <v>175</v>
      </c>
      <c r="I940" s="3">
        <v>1.3888888888888889E-3</v>
      </c>
      <c r="J940" t="s">
        <v>19</v>
      </c>
      <c r="K940">
        <v>25</v>
      </c>
      <c r="L940" s="3">
        <v>1.3888888888888889E-3</v>
      </c>
      <c r="M940" t="s">
        <v>22</v>
      </c>
      <c r="N940" t="s">
        <v>277</v>
      </c>
    </row>
    <row r="941" spans="1:14" x14ac:dyDescent="0.35">
      <c r="A941" t="s">
        <v>14</v>
      </c>
      <c r="B941" t="s">
        <v>279</v>
      </c>
      <c r="C941" t="s">
        <v>65</v>
      </c>
      <c r="D941">
        <v>38</v>
      </c>
      <c r="E941" s="2">
        <v>42504</v>
      </c>
      <c r="F941" t="s">
        <v>24</v>
      </c>
      <c r="G941" t="s">
        <v>112</v>
      </c>
      <c r="H941" t="s">
        <v>175</v>
      </c>
      <c r="I941" s="3">
        <v>1.3888888888888889E-3</v>
      </c>
      <c r="J941" t="s">
        <v>19</v>
      </c>
      <c r="K941">
        <v>8</v>
      </c>
      <c r="L941" s="3">
        <v>6.9444444444444447E-4</v>
      </c>
      <c r="M941" t="s">
        <v>31</v>
      </c>
      <c r="N941" t="s">
        <v>183</v>
      </c>
    </row>
    <row r="942" spans="1:14" x14ac:dyDescent="0.35">
      <c r="A942" t="s">
        <v>64</v>
      </c>
      <c r="B942" t="s">
        <v>291</v>
      </c>
      <c r="C942" t="s">
        <v>172</v>
      </c>
      <c r="D942" t="s">
        <v>173</v>
      </c>
      <c r="E942" s="2">
        <v>42599</v>
      </c>
      <c r="F942" t="s">
        <v>16</v>
      </c>
      <c r="G942" t="s">
        <v>66</v>
      </c>
      <c r="H942" t="s">
        <v>105</v>
      </c>
      <c r="I942" s="3">
        <v>0.125</v>
      </c>
      <c r="J942" t="s">
        <v>275</v>
      </c>
      <c r="K942">
        <v>55</v>
      </c>
      <c r="L942" s="3">
        <v>0.125</v>
      </c>
      <c r="M942" t="s">
        <v>22</v>
      </c>
      <c r="N942" t="s">
        <v>292</v>
      </c>
    </row>
    <row r="943" spans="1:14" x14ac:dyDescent="0.35">
      <c r="A943" t="s">
        <v>64</v>
      </c>
      <c r="B943" t="s">
        <v>291</v>
      </c>
      <c r="C943" t="s">
        <v>65</v>
      </c>
      <c r="D943">
        <v>1</v>
      </c>
      <c r="E943" s="2">
        <v>42602</v>
      </c>
      <c r="F943" t="s">
        <v>16</v>
      </c>
      <c r="G943" t="s">
        <v>66</v>
      </c>
      <c r="H943" t="s">
        <v>95</v>
      </c>
      <c r="I943" s="3">
        <v>0.25138888888888888</v>
      </c>
      <c r="J943" t="s">
        <v>275</v>
      </c>
      <c r="K943">
        <v>58</v>
      </c>
      <c r="L943" s="3">
        <v>0.20902777777777778</v>
      </c>
      <c r="M943" t="s">
        <v>31</v>
      </c>
      <c r="N943" t="s">
        <v>287</v>
      </c>
    </row>
    <row r="944" spans="1:14" x14ac:dyDescent="0.35">
      <c r="A944" t="s">
        <v>64</v>
      </c>
      <c r="B944" t="s">
        <v>291</v>
      </c>
      <c r="C944" t="s">
        <v>65</v>
      </c>
      <c r="D944">
        <v>1</v>
      </c>
      <c r="E944" s="2">
        <v>42602</v>
      </c>
      <c r="F944" t="s">
        <v>16</v>
      </c>
      <c r="G944" t="s">
        <v>66</v>
      </c>
      <c r="H944" t="s">
        <v>95</v>
      </c>
      <c r="I944" s="3">
        <v>0.25138888888888888</v>
      </c>
      <c r="J944" t="s">
        <v>275</v>
      </c>
      <c r="K944">
        <v>37</v>
      </c>
      <c r="L944" s="3">
        <v>8.4027777777777785E-2</v>
      </c>
      <c r="M944" t="s">
        <v>31</v>
      </c>
      <c r="N944" t="s">
        <v>293</v>
      </c>
    </row>
    <row r="945" spans="1:14" x14ac:dyDescent="0.35">
      <c r="A945" t="s">
        <v>14</v>
      </c>
      <c r="B945" t="s">
        <v>291</v>
      </c>
      <c r="C945" t="s">
        <v>65</v>
      </c>
      <c r="D945">
        <v>3</v>
      </c>
      <c r="E945" s="2">
        <v>42623</v>
      </c>
      <c r="F945" t="s">
        <v>16</v>
      </c>
      <c r="G945" t="s">
        <v>112</v>
      </c>
      <c r="H945" t="s">
        <v>100</v>
      </c>
      <c r="I945" s="3">
        <v>0.20972222222222223</v>
      </c>
      <c r="J945" t="s">
        <v>19</v>
      </c>
      <c r="K945">
        <v>6</v>
      </c>
      <c r="L945" s="3">
        <v>4.1666666666666664E-2</v>
      </c>
      <c r="M945" t="s">
        <v>26</v>
      </c>
      <c r="N945" t="s">
        <v>261</v>
      </c>
    </row>
    <row r="946" spans="1:14" x14ac:dyDescent="0.35">
      <c r="A946" t="s">
        <v>64</v>
      </c>
      <c r="B946" t="s">
        <v>291</v>
      </c>
      <c r="C946" t="s">
        <v>75</v>
      </c>
      <c r="D946" t="s">
        <v>76</v>
      </c>
      <c r="E946" s="2">
        <v>42626</v>
      </c>
      <c r="F946" t="s">
        <v>16</v>
      </c>
      <c r="G946" t="s">
        <v>66</v>
      </c>
      <c r="H946" t="s">
        <v>144</v>
      </c>
      <c r="I946" s="3">
        <v>0.29166666666666669</v>
      </c>
      <c r="J946" t="s">
        <v>275</v>
      </c>
      <c r="K946">
        <v>27</v>
      </c>
      <c r="L946" s="3">
        <v>8.3333333333333329E-2</v>
      </c>
      <c r="M946" t="s">
        <v>31</v>
      </c>
      <c r="N946" t="s">
        <v>256</v>
      </c>
    </row>
    <row r="947" spans="1:14" x14ac:dyDescent="0.35">
      <c r="A947" t="s">
        <v>64</v>
      </c>
      <c r="B947" t="s">
        <v>291</v>
      </c>
      <c r="C947" t="s">
        <v>75</v>
      </c>
      <c r="D947" t="s">
        <v>76</v>
      </c>
      <c r="E947" s="2">
        <v>42626</v>
      </c>
      <c r="F947" t="s">
        <v>16</v>
      </c>
      <c r="G947" t="s">
        <v>66</v>
      </c>
      <c r="H947" t="s">
        <v>144</v>
      </c>
      <c r="I947" s="3">
        <v>0.29166666666666669</v>
      </c>
      <c r="J947" t="s">
        <v>275</v>
      </c>
      <c r="K947">
        <v>3</v>
      </c>
      <c r="L947" s="3">
        <v>4.1666666666666664E-2</v>
      </c>
      <c r="M947" t="s">
        <v>31</v>
      </c>
      <c r="N947" t="s">
        <v>256</v>
      </c>
    </row>
    <row r="948" spans="1:14" x14ac:dyDescent="0.35">
      <c r="A948" t="s">
        <v>64</v>
      </c>
      <c r="B948" t="s">
        <v>291</v>
      </c>
      <c r="C948" t="s">
        <v>75</v>
      </c>
      <c r="D948" t="s">
        <v>76</v>
      </c>
      <c r="E948" s="2">
        <v>42626</v>
      </c>
      <c r="F948" t="s">
        <v>16</v>
      </c>
      <c r="G948" t="s">
        <v>66</v>
      </c>
      <c r="H948" t="s">
        <v>144</v>
      </c>
      <c r="I948" s="3">
        <v>0.29166666666666669</v>
      </c>
      <c r="J948" t="s">
        <v>275</v>
      </c>
      <c r="K948">
        <v>60</v>
      </c>
      <c r="L948" s="3">
        <v>0.20833333333333334</v>
      </c>
      <c r="M948" t="s">
        <v>31</v>
      </c>
      <c r="N948" t="s">
        <v>273</v>
      </c>
    </row>
    <row r="949" spans="1:14" x14ac:dyDescent="0.35">
      <c r="A949" t="s">
        <v>14</v>
      </c>
      <c r="B949" t="s">
        <v>291</v>
      </c>
      <c r="C949" t="s">
        <v>75</v>
      </c>
      <c r="D949" t="s">
        <v>76</v>
      </c>
      <c r="E949" s="2">
        <v>42627</v>
      </c>
      <c r="F949" t="s">
        <v>16</v>
      </c>
      <c r="G949" t="s">
        <v>112</v>
      </c>
      <c r="H949" t="s">
        <v>17</v>
      </c>
      <c r="I949" s="3">
        <v>8.4027777777777785E-2</v>
      </c>
      <c r="J949" t="s">
        <v>19</v>
      </c>
      <c r="K949">
        <v>89</v>
      </c>
      <c r="L949" s="3">
        <v>4.2361111111111113E-2</v>
      </c>
      <c r="M949" t="s">
        <v>39</v>
      </c>
    </row>
    <row r="950" spans="1:14" x14ac:dyDescent="0.35">
      <c r="A950" t="s">
        <v>64</v>
      </c>
      <c r="B950" t="s">
        <v>291</v>
      </c>
      <c r="C950" t="s">
        <v>65</v>
      </c>
      <c r="D950">
        <v>4</v>
      </c>
      <c r="E950" s="2">
        <v>42630</v>
      </c>
      <c r="F950" t="s">
        <v>24</v>
      </c>
      <c r="G950" t="s">
        <v>66</v>
      </c>
      <c r="H950" t="s">
        <v>294</v>
      </c>
      <c r="I950" s="3">
        <v>4.5138888888888888E-2</v>
      </c>
      <c r="J950" t="s">
        <v>38</v>
      </c>
      <c r="K950">
        <v>15</v>
      </c>
      <c r="L950" s="3">
        <v>6.9444444444444447E-4</v>
      </c>
      <c r="M950" t="s">
        <v>31</v>
      </c>
      <c r="N950" t="s">
        <v>273</v>
      </c>
    </row>
    <row r="951" spans="1:14" x14ac:dyDescent="0.35">
      <c r="A951" t="s">
        <v>64</v>
      </c>
      <c r="B951" t="s">
        <v>291</v>
      </c>
      <c r="C951" t="s">
        <v>65</v>
      </c>
      <c r="D951">
        <v>4</v>
      </c>
      <c r="E951" s="2">
        <v>42630</v>
      </c>
      <c r="F951" t="s">
        <v>24</v>
      </c>
      <c r="G951" t="s">
        <v>66</v>
      </c>
      <c r="H951" t="s">
        <v>294</v>
      </c>
      <c r="I951" s="3">
        <v>4.5138888888888888E-2</v>
      </c>
      <c r="J951" t="s">
        <v>38</v>
      </c>
      <c r="K951">
        <v>55</v>
      </c>
      <c r="L951" s="3">
        <v>2.7777777777777779E-3</v>
      </c>
      <c r="M951" t="s">
        <v>83</v>
      </c>
    </row>
    <row r="952" spans="1:14" x14ac:dyDescent="0.35">
      <c r="A952" t="s">
        <v>14</v>
      </c>
      <c r="B952" t="s">
        <v>291</v>
      </c>
      <c r="C952" t="s">
        <v>75</v>
      </c>
      <c r="D952" t="s">
        <v>76</v>
      </c>
      <c r="E952" s="2">
        <v>42640</v>
      </c>
      <c r="F952" t="s">
        <v>24</v>
      </c>
      <c r="G952" t="s">
        <v>112</v>
      </c>
      <c r="H952" t="s">
        <v>246</v>
      </c>
      <c r="I952" s="3">
        <v>8.4722222222222227E-2</v>
      </c>
      <c r="J952" t="s">
        <v>19</v>
      </c>
      <c r="K952">
        <v>17</v>
      </c>
      <c r="L952" s="3">
        <v>6.9444444444444447E-4</v>
      </c>
      <c r="M952" t="s">
        <v>26</v>
      </c>
      <c r="N952" t="s">
        <v>261</v>
      </c>
    </row>
    <row r="953" spans="1:14" x14ac:dyDescent="0.35">
      <c r="A953" t="s">
        <v>64</v>
      </c>
      <c r="B953" t="s">
        <v>291</v>
      </c>
      <c r="C953" t="s">
        <v>65</v>
      </c>
      <c r="D953">
        <v>8</v>
      </c>
      <c r="E953" s="2">
        <v>42658</v>
      </c>
      <c r="F953" t="s">
        <v>16</v>
      </c>
      <c r="G953" t="s">
        <v>66</v>
      </c>
      <c r="H953" t="s">
        <v>115</v>
      </c>
      <c r="I953" s="3">
        <v>0.16666666666666666</v>
      </c>
      <c r="J953" t="s">
        <v>38</v>
      </c>
      <c r="K953">
        <v>58</v>
      </c>
      <c r="L953" s="3">
        <v>0.16666666666666666</v>
      </c>
      <c r="M953" t="s">
        <v>31</v>
      </c>
      <c r="N953" t="s">
        <v>256</v>
      </c>
    </row>
    <row r="954" spans="1:14" x14ac:dyDescent="0.35">
      <c r="A954" t="s">
        <v>14</v>
      </c>
      <c r="B954" t="s">
        <v>291</v>
      </c>
      <c r="C954" t="s">
        <v>65</v>
      </c>
      <c r="D954">
        <v>8</v>
      </c>
      <c r="E954" s="2">
        <v>42658</v>
      </c>
      <c r="F954" t="s">
        <v>24</v>
      </c>
      <c r="G954" t="s">
        <v>112</v>
      </c>
      <c r="H954" t="s">
        <v>95</v>
      </c>
      <c r="I954" s="3">
        <v>4.583333333333333E-2</v>
      </c>
      <c r="J954" t="s">
        <v>19</v>
      </c>
      <c r="K954">
        <v>78</v>
      </c>
      <c r="L954" s="3">
        <v>4.583333333333333E-2</v>
      </c>
      <c r="M954" t="s">
        <v>26</v>
      </c>
      <c r="N954" t="s">
        <v>295</v>
      </c>
    </row>
    <row r="955" spans="1:14" x14ac:dyDescent="0.35">
      <c r="A955" t="s">
        <v>64</v>
      </c>
      <c r="B955" t="s">
        <v>291</v>
      </c>
      <c r="C955" t="s">
        <v>75</v>
      </c>
      <c r="D955" t="s">
        <v>76</v>
      </c>
      <c r="E955" s="2">
        <v>42662</v>
      </c>
      <c r="F955" t="s">
        <v>16</v>
      </c>
      <c r="G955" t="s">
        <v>66</v>
      </c>
      <c r="H955" t="s">
        <v>41</v>
      </c>
      <c r="I955" s="3">
        <v>0.16666666666666666</v>
      </c>
      <c r="J955" t="s">
        <v>38</v>
      </c>
      <c r="K955">
        <v>69</v>
      </c>
      <c r="L955" s="3">
        <v>0.125</v>
      </c>
      <c r="M955" t="s">
        <v>31</v>
      </c>
      <c r="N955" t="s">
        <v>273</v>
      </c>
    </row>
    <row r="956" spans="1:14" x14ac:dyDescent="0.35">
      <c r="A956" t="s">
        <v>64</v>
      </c>
      <c r="B956" t="s">
        <v>291</v>
      </c>
      <c r="C956" t="s">
        <v>75</v>
      </c>
      <c r="D956" t="s">
        <v>76</v>
      </c>
      <c r="E956" s="2">
        <v>42662</v>
      </c>
      <c r="F956" t="s">
        <v>16</v>
      </c>
      <c r="G956" t="s">
        <v>66</v>
      </c>
      <c r="H956" t="s">
        <v>41</v>
      </c>
      <c r="I956" s="3">
        <v>0.16666666666666666</v>
      </c>
      <c r="J956" t="s">
        <v>38</v>
      </c>
      <c r="K956">
        <v>61</v>
      </c>
      <c r="L956" s="3">
        <v>8.3333333333333329E-2</v>
      </c>
      <c r="M956" t="s">
        <v>31</v>
      </c>
      <c r="N956" t="s">
        <v>99</v>
      </c>
    </row>
    <row r="957" spans="1:14" x14ac:dyDescent="0.35">
      <c r="A957" t="s">
        <v>64</v>
      </c>
      <c r="B957" t="s">
        <v>291</v>
      </c>
      <c r="C957" t="s">
        <v>75</v>
      </c>
      <c r="D957" t="s">
        <v>76</v>
      </c>
      <c r="E957" s="2">
        <v>42662</v>
      </c>
      <c r="F957" t="s">
        <v>16</v>
      </c>
      <c r="G957" t="s">
        <v>66</v>
      </c>
      <c r="H957" t="s">
        <v>41</v>
      </c>
      <c r="I957" s="3">
        <v>0.16666666666666666</v>
      </c>
      <c r="J957" t="s">
        <v>38</v>
      </c>
      <c r="K957">
        <v>17</v>
      </c>
      <c r="L957" s="3">
        <v>4.1666666666666664E-2</v>
      </c>
      <c r="M957" t="s">
        <v>31</v>
      </c>
      <c r="N957" t="s">
        <v>99</v>
      </c>
    </row>
    <row r="958" spans="1:14" x14ac:dyDescent="0.35">
      <c r="A958" t="s">
        <v>64</v>
      </c>
      <c r="B958" t="s">
        <v>291</v>
      </c>
      <c r="C958" t="s">
        <v>65</v>
      </c>
      <c r="D958">
        <v>9</v>
      </c>
      <c r="E958" s="2">
        <v>42665</v>
      </c>
      <c r="F958" t="s">
        <v>24</v>
      </c>
      <c r="G958" t="s">
        <v>66</v>
      </c>
      <c r="H958" t="s">
        <v>148</v>
      </c>
      <c r="I958" s="3">
        <v>8.5416666666666669E-2</v>
      </c>
      <c r="J958" t="s">
        <v>38</v>
      </c>
      <c r="K958" t="s">
        <v>239</v>
      </c>
      <c r="L958" s="3">
        <v>8.5416666666666669E-2</v>
      </c>
      <c r="M958" t="s">
        <v>83</v>
      </c>
    </row>
    <row r="959" spans="1:14" x14ac:dyDescent="0.35">
      <c r="A959" t="s">
        <v>64</v>
      </c>
      <c r="B959" t="s">
        <v>291</v>
      </c>
      <c r="C959" t="s">
        <v>65</v>
      </c>
      <c r="D959">
        <v>9</v>
      </c>
      <c r="E959" s="2">
        <v>42665</v>
      </c>
      <c r="F959" t="s">
        <v>24</v>
      </c>
      <c r="G959" t="s">
        <v>66</v>
      </c>
      <c r="H959" t="s">
        <v>148</v>
      </c>
      <c r="I959" s="3">
        <v>8.5416666666666669E-2</v>
      </c>
      <c r="J959" t="s">
        <v>38</v>
      </c>
      <c r="K959">
        <v>22</v>
      </c>
      <c r="L959" s="3">
        <v>6.9444444444444447E-4</v>
      </c>
      <c r="M959" t="s">
        <v>31</v>
      </c>
      <c r="N959" t="s">
        <v>276</v>
      </c>
    </row>
    <row r="960" spans="1:14" x14ac:dyDescent="0.35">
      <c r="A960" t="s">
        <v>14</v>
      </c>
      <c r="B960" t="s">
        <v>291</v>
      </c>
      <c r="C960" t="s">
        <v>65</v>
      </c>
      <c r="D960">
        <v>10</v>
      </c>
      <c r="E960" s="2">
        <v>42672</v>
      </c>
      <c r="F960" t="s">
        <v>24</v>
      </c>
      <c r="G960" t="s">
        <v>112</v>
      </c>
      <c r="H960" t="s">
        <v>88</v>
      </c>
      <c r="I960" s="3">
        <v>4.4444444444444446E-2</v>
      </c>
      <c r="J960" t="s">
        <v>19</v>
      </c>
      <c r="K960">
        <v>17</v>
      </c>
      <c r="L960" s="3">
        <v>4.2361111111111113E-2</v>
      </c>
      <c r="M960" t="s">
        <v>83</v>
      </c>
    </row>
    <row r="961" spans="1:14" x14ac:dyDescent="0.35">
      <c r="A961" t="s">
        <v>14</v>
      </c>
      <c r="B961" t="s">
        <v>291</v>
      </c>
      <c r="C961" t="s">
        <v>65</v>
      </c>
      <c r="D961">
        <v>10</v>
      </c>
      <c r="E961" s="2">
        <v>42672</v>
      </c>
      <c r="F961" t="s">
        <v>24</v>
      </c>
      <c r="G961" t="s">
        <v>112</v>
      </c>
      <c r="H961" t="s">
        <v>88</v>
      </c>
      <c r="I961" s="3">
        <v>4.4444444444444446E-2</v>
      </c>
      <c r="J961" t="s">
        <v>19</v>
      </c>
      <c r="K961">
        <v>33</v>
      </c>
      <c r="L961" s="3">
        <v>4.3055555555555555E-2</v>
      </c>
      <c r="M961" t="s">
        <v>26</v>
      </c>
      <c r="N961" t="s">
        <v>183</v>
      </c>
    </row>
    <row r="962" spans="1:14" x14ac:dyDescent="0.35">
      <c r="A962" t="s">
        <v>14</v>
      </c>
      <c r="B962" t="s">
        <v>291</v>
      </c>
      <c r="C962" t="s">
        <v>65</v>
      </c>
      <c r="D962">
        <v>10</v>
      </c>
      <c r="E962" s="2">
        <v>42672</v>
      </c>
      <c r="F962" t="s">
        <v>24</v>
      </c>
      <c r="G962" t="s">
        <v>112</v>
      </c>
      <c r="H962" t="s">
        <v>88</v>
      </c>
      <c r="I962" s="3">
        <v>4.4444444444444446E-2</v>
      </c>
      <c r="J962" t="s">
        <v>19</v>
      </c>
      <c r="K962">
        <v>88</v>
      </c>
      <c r="L962" s="3">
        <v>4.4444444444444446E-2</v>
      </c>
      <c r="M962" t="s">
        <v>26</v>
      </c>
      <c r="N962" t="s">
        <v>201</v>
      </c>
    </row>
    <row r="963" spans="1:14" x14ac:dyDescent="0.35">
      <c r="A963" t="s">
        <v>64</v>
      </c>
      <c r="B963" t="s">
        <v>291</v>
      </c>
      <c r="C963" t="s">
        <v>75</v>
      </c>
      <c r="D963" t="s">
        <v>76</v>
      </c>
      <c r="E963" s="2">
        <v>42675</v>
      </c>
      <c r="F963" t="s">
        <v>24</v>
      </c>
      <c r="G963" t="s">
        <v>66</v>
      </c>
      <c r="H963" t="s">
        <v>41</v>
      </c>
      <c r="I963" s="3">
        <v>0.12569444444444444</v>
      </c>
      <c r="J963" t="s">
        <v>275</v>
      </c>
      <c r="K963">
        <v>21</v>
      </c>
      <c r="L963" s="3">
        <v>6.9444444444444447E-4</v>
      </c>
      <c r="M963" t="s">
        <v>31</v>
      </c>
      <c r="N963" t="s">
        <v>256</v>
      </c>
    </row>
    <row r="964" spans="1:14" x14ac:dyDescent="0.35">
      <c r="A964" t="s">
        <v>64</v>
      </c>
      <c r="B964" t="s">
        <v>291</v>
      </c>
      <c r="C964" t="s">
        <v>65</v>
      </c>
      <c r="D964">
        <v>11</v>
      </c>
      <c r="E964" s="2">
        <v>42680</v>
      </c>
      <c r="F964" t="s">
        <v>24</v>
      </c>
      <c r="G964" t="s">
        <v>66</v>
      </c>
      <c r="H964" t="s">
        <v>105</v>
      </c>
      <c r="I964" s="3">
        <v>4.3055555555555555E-2</v>
      </c>
      <c r="J964" t="s">
        <v>275</v>
      </c>
      <c r="K964">
        <v>43</v>
      </c>
      <c r="L964" s="3">
        <v>4.2361111111111113E-2</v>
      </c>
      <c r="M964" t="s">
        <v>31</v>
      </c>
      <c r="N964" t="s">
        <v>256</v>
      </c>
    </row>
    <row r="965" spans="1:14" x14ac:dyDescent="0.35">
      <c r="A965" t="s">
        <v>14</v>
      </c>
      <c r="B965" t="s">
        <v>291</v>
      </c>
      <c r="C965" t="s">
        <v>65</v>
      </c>
      <c r="D965">
        <v>12</v>
      </c>
      <c r="E965" s="2">
        <v>42693</v>
      </c>
      <c r="F965" t="s">
        <v>24</v>
      </c>
      <c r="G965" t="s">
        <v>112</v>
      </c>
      <c r="H965" t="s">
        <v>119</v>
      </c>
      <c r="I965" s="3">
        <v>2.0833333333333333E-3</v>
      </c>
      <c r="J965" t="s">
        <v>68</v>
      </c>
      <c r="K965">
        <v>77</v>
      </c>
      <c r="L965" s="3">
        <v>2.0833333333333333E-3</v>
      </c>
      <c r="M965" t="s">
        <v>26</v>
      </c>
      <c r="N965" t="s">
        <v>261</v>
      </c>
    </row>
    <row r="966" spans="1:14" x14ac:dyDescent="0.35">
      <c r="A966" t="s">
        <v>14</v>
      </c>
      <c r="B966" t="s">
        <v>291</v>
      </c>
      <c r="C966" t="s">
        <v>65</v>
      </c>
      <c r="D966">
        <v>12</v>
      </c>
      <c r="E966" s="2">
        <v>42693</v>
      </c>
      <c r="F966" t="s">
        <v>24</v>
      </c>
      <c r="G966" t="s">
        <v>112</v>
      </c>
      <c r="H966" t="s">
        <v>119</v>
      </c>
      <c r="I966" s="3">
        <v>2.0833333333333333E-3</v>
      </c>
      <c r="J966" t="s">
        <v>68</v>
      </c>
      <c r="K966">
        <v>71</v>
      </c>
      <c r="L966" s="3">
        <v>1.3888888888888889E-3</v>
      </c>
      <c r="M966" t="s">
        <v>83</v>
      </c>
    </row>
    <row r="967" spans="1:14" x14ac:dyDescent="0.35">
      <c r="A967" t="s">
        <v>14</v>
      </c>
      <c r="B967" t="s">
        <v>291</v>
      </c>
      <c r="C967" t="s">
        <v>65</v>
      </c>
      <c r="D967">
        <v>12</v>
      </c>
      <c r="E967" s="2">
        <v>42693</v>
      </c>
      <c r="F967" t="s">
        <v>24</v>
      </c>
      <c r="G967" t="s">
        <v>112</v>
      </c>
      <c r="H967" t="s">
        <v>119</v>
      </c>
      <c r="I967" s="3">
        <v>2.0833333333333333E-3</v>
      </c>
      <c r="J967" t="s">
        <v>68</v>
      </c>
      <c r="K967">
        <v>23</v>
      </c>
      <c r="L967" s="3">
        <v>6.9444444444444447E-4</v>
      </c>
      <c r="M967" t="s">
        <v>39</v>
      </c>
    </row>
    <row r="968" spans="1:14" x14ac:dyDescent="0.35">
      <c r="A968" t="s">
        <v>64</v>
      </c>
      <c r="B968" t="s">
        <v>291</v>
      </c>
      <c r="C968" t="s">
        <v>75</v>
      </c>
      <c r="D968" t="s">
        <v>76</v>
      </c>
      <c r="E968" s="2">
        <v>42697</v>
      </c>
      <c r="F968" t="s">
        <v>24</v>
      </c>
      <c r="G968" t="s">
        <v>66</v>
      </c>
      <c r="H968" t="s">
        <v>144</v>
      </c>
      <c r="I968" s="3">
        <v>1.3888888888888889E-3</v>
      </c>
      <c r="J968" t="s">
        <v>275</v>
      </c>
      <c r="K968">
        <v>24</v>
      </c>
      <c r="L968" s="3">
        <v>6.9444444444444447E-4</v>
      </c>
      <c r="M968" t="s">
        <v>31</v>
      </c>
      <c r="N968" t="s">
        <v>256</v>
      </c>
    </row>
    <row r="969" spans="1:14" x14ac:dyDescent="0.35">
      <c r="A969" t="s">
        <v>64</v>
      </c>
      <c r="B969" t="s">
        <v>291</v>
      </c>
      <c r="C969" t="s">
        <v>75</v>
      </c>
      <c r="D969" t="s">
        <v>76</v>
      </c>
      <c r="E969" s="2">
        <v>42697</v>
      </c>
      <c r="F969" t="s">
        <v>24</v>
      </c>
      <c r="G969" t="s">
        <v>66</v>
      </c>
      <c r="H969" t="s">
        <v>144</v>
      </c>
      <c r="I969" s="3">
        <v>1.3888888888888889E-3</v>
      </c>
      <c r="J969" t="s">
        <v>275</v>
      </c>
      <c r="K969">
        <v>55</v>
      </c>
      <c r="L969" s="3">
        <v>1.3888888888888889E-3</v>
      </c>
      <c r="M969" t="s">
        <v>83</v>
      </c>
    </row>
    <row r="970" spans="1:14" x14ac:dyDescent="0.35">
      <c r="A970" t="s">
        <v>14</v>
      </c>
      <c r="B970" t="s">
        <v>291</v>
      </c>
      <c r="C970" t="s">
        <v>65</v>
      </c>
      <c r="D970">
        <v>13</v>
      </c>
      <c r="E970" s="2">
        <v>42700</v>
      </c>
      <c r="F970" t="s">
        <v>16</v>
      </c>
      <c r="G970" t="s">
        <v>112</v>
      </c>
      <c r="H970" t="s">
        <v>151</v>
      </c>
      <c r="I970" s="3">
        <v>8.4027777777777785E-2</v>
      </c>
      <c r="J970" t="s">
        <v>19</v>
      </c>
      <c r="K970">
        <v>5</v>
      </c>
      <c r="L970" s="3">
        <v>4.1666666666666664E-2</v>
      </c>
      <c r="M970" t="s">
        <v>83</v>
      </c>
    </row>
    <row r="971" spans="1:14" x14ac:dyDescent="0.35">
      <c r="A971" t="s">
        <v>14</v>
      </c>
      <c r="B971" t="s">
        <v>291</v>
      </c>
      <c r="C971" t="s">
        <v>65</v>
      </c>
      <c r="D971">
        <v>13</v>
      </c>
      <c r="E971" s="2">
        <v>42700</v>
      </c>
      <c r="F971" t="s">
        <v>16</v>
      </c>
      <c r="G971" t="s">
        <v>112</v>
      </c>
      <c r="H971" t="s">
        <v>151</v>
      </c>
      <c r="I971" s="3">
        <v>8.4027777777777785E-2</v>
      </c>
      <c r="J971" t="s">
        <v>19</v>
      </c>
      <c r="K971">
        <v>18</v>
      </c>
      <c r="L971" s="3">
        <v>8.3333333333333329E-2</v>
      </c>
      <c r="M971" t="s">
        <v>22</v>
      </c>
      <c r="N971" t="s">
        <v>296</v>
      </c>
    </row>
    <row r="972" spans="1:14" x14ac:dyDescent="0.35">
      <c r="A972" t="s">
        <v>64</v>
      </c>
      <c r="B972" t="s">
        <v>291</v>
      </c>
      <c r="C972" t="s">
        <v>65</v>
      </c>
      <c r="D972">
        <v>13</v>
      </c>
      <c r="E972" s="2">
        <v>42701</v>
      </c>
      <c r="F972" t="s">
        <v>24</v>
      </c>
      <c r="G972" t="s">
        <v>66</v>
      </c>
      <c r="H972" t="s">
        <v>217</v>
      </c>
      <c r="I972" s="3">
        <v>4.2361111111111113E-2</v>
      </c>
      <c r="J972" t="s">
        <v>275</v>
      </c>
      <c r="K972">
        <v>59</v>
      </c>
      <c r="L972" s="3">
        <v>4.2361111111111113E-2</v>
      </c>
      <c r="M972" t="s">
        <v>31</v>
      </c>
      <c r="N972" t="s">
        <v>256</v>
      </c>
    </row>
    <row r="973" spans="1:14" x14ac:dyDescent="0.35">
      <c r="A973" t="s">
        <v>64</v>
      </c>
      <c r="B973" t="s">
        <v>291</v>
      </c>
      <c r="C973" t="s">
        <v>75</v>
      </c>
      <c r="D973" t="s">
        <v>76</v>
      </c>
      <c r="E973" s="2">
        <v>42710</v>
      </c>
      <c r="F973" t="s">
        <v>16</v>
      </c>
      <c r="G973" t="s">
        <v>66</v>
      </c>
      <c r="H973" t="s">
        <v>297</v>
      </c>
      <c r="I973" s="3">
        <v>0.16666666666666666</v>
      </c>
      <c r="J973" t="s">
        <v>38</v>
      </c>
      <c r="K973">
        <v>16</v>
      </c>
      <c r="L973" s="3">
        <v>4.1666666666666664E-2</v>
      </c>
      <c r="M973" t="s">
        <v>31</v>
      </c>
      <c r="N973" t="s">
        <v>287</v>
      </c>
    </row>
    <row r="974" spans="1:14" x14ac:dyDescent="0.35">
      <c r="A974" t="s">
        <v>64</v>
      </c>
      <c r="B974" t="s">
        <v>291</v>
      </c>
      <c r="C974" t="s">
        <v>65</v>
      </c>
      <c r="D974">
        <v>15</v>
      </c>
      <c r="E974" s="2">
        <v>42714</v>
      </c>
      <c r="F974" t="s">
        <v>24</v>
      </c>
      <c r="G974" t="s">
        <v>66</v>
      </c>
      <c r="H974" t="s">
        <v>100</v>
      </c>
      <c r="I974" s="3">
        <v>2.0833333333333333E-3</v>
      </c>
      <c r="J974" t="s">
        <v>38</v>
      </c>
      <c r="K974">
        <v>72</v>
      </c>
      <c r="L974" s="3">
        <v>1.3888888888888889E-3</v>
      </c>
      <c r="M974" t="s">
        <v>31</v>
      </c>
      <c r="N974" t="s">
        <v>243</v>
      </c>
    </row>
    <row r="975" spans="1:14" x14ac:dyDescent="0.35">
      <c r="A975" t="s">
        <v>64</v>
      </c>
      <c r="B975" t="s">
        <v>291</v>
      </c>
      <c r="C975" t="s">
        <v>65</v>
      </c>
      <c r="D975">
        <v>15</v>
      </c>
      <c r="E975" s="2">
        <v>42714</v>
      </c>
      <c r="F975" t="s">
        <v>24</v>
      </c>
      <c r="G975" t="s">
        <v>66</v>
      </c>
      <c r="H975" t="s">
        <v>100</v>
      </c>
      <c r="I975" s="3">
        <v>2.0833333333333333E-3</v>
      </c>
      <c r="J975" t="s">
        <v>38</v>
      </c>
      <c r="K975" t="s">
        <v>141</v>
      </c>
      <c r="L975" s="3">
        <v>2.0833333333333333E-3</v>
      </c>
      <c r="M975" t="s">
        <v>31</v>
      </c>
      <c r="N975" t="s">
        <v>222</v>
      </c>
    </row>
    <row r="976" spans="1:14" x14ac:dyDescent="0.35">
      <c r="A976" t="s">
        <v>14</v>
      </c>
      <c r="B976" t="s">
        <v>291</v>
      </c>
      <c r="C976" t="s">
        <v>163</v>
      </c>
      <c r="D976" t="s">
        <v>62</v>
      </c>
      <c r="E976" s="2">
        <v>42719</v>
      </c>
      <c r="F976" t="s">
        <v>24</v>
      </c>
      <c r="G976" t="s">
        <v>112</v>
      </c>
      <c r="H976" t="s">
        <v>298</v>
      </c>
      <c r="I976" s="3">
        <v>1.3888888888888889E-3</v>
      </c>
      <c r="J976" t="s">
        <v>19</v>
      </c>
      <c r="K976" t="s">
        <v>136</v>
      </c>
      <c r="L976" s="3">
        <v>1.3888888888888889E-3</v>
      </c>
      <c r="M976" t="s">
        <v>26</v>
      </c>
      <c r="N976" t="s">
        <v>268</v>
      </c>
    </row>
    <row r="977" spans="1:14" x14ac:dyDescent="0.35">
      <c r="A977" t="s">
        <v>14</v>
      </c>
      <c r="B977" t="s">
        <v>291</v>
      </c>
      <c r="C977" t="s">
        <v>163</v>
      </c>
      <c r="D977" t="s">
        <v>46</v>
      </c>
      <c r="E977" s="2">
        <v>42722</v>
      </c>
      <c r="F977" t="s">
        <v>16</v>
      </c>
      <c r="G977" t="s">
        <v>112</v>
      </c>
      <c r="H977" t="s">
        <v>299</v>
      </c>
      <c r="I977" t="s">
        <v>300</v>
      </c>
      <c r="J977" t="s">
        <v>19</v>
      </c>
      <c r="K977">
        <v>104</v>
      </c>
      <c r="L977" s="3">
        <v>0.16805555555555557</v>
      </c>
      <c r="M977" t="s">
        <v>31</v>
      </c>
      <c r="N977" t="s">
        <v>277</v>
      </c>
    </row>
    <row r="978" spans="1:14" x14ac:dyDescent="0.35">
      <c r="A978" t="s">
        <v>14</v>
      </c>
      <c r="B978" t="s">
        <v>291</v>
      </c>
      <c r="C978" t="s">
        <v>163</v>
      </c>
      <c r="D978" t="s">
        <v>46</v>
      </c>
      <c r="E978" s="2">
        <v>42722</v>
      </c>
      <c r="F978" t="s">
        <v>16</v>
      </c>
      <c r="G978" t="s">
        <v>112</v>
      </c>
      <c r="H978" t="s">
        <v>299</v>
      </c>
      <c r="I978" t="s">
        <v>300</v>
      </c>
      <c r="J978" t="s">
        <v>19</v>
      </c>
      <c r="K978">
        <v>60</v>
      </c>
      <c r="L978" s="3">
        <v>8.4722222222222227E-2</v>
      </c>
      <c r="M978" t="s">
        <v>83</v>
      </c>
    </row>
    <row r="979" spans="1:14" x14ac:dyDescent="0.35">
      <c r="A979" t="s">
        <v>14</v>
      </c>
      <c r="B979" t="s">
        <v>291</v>
      </c>
      <c r="C979" t="s">
        <v>163</v>
      </c>
      <c r="D979" t="s">
        <v>46</v>
      </c>
      <c r="E979" s="2">
        <v>42722</v>
      </c>
      <c r="F979" t="s">
        <v>16</v>
      </c>
      <c r="G979" t="s">
        <v>112</v>
      </c>
      <c r="H979" t="s">
        <v>299</v>
      </c>
      <c r="I979" t="s">
        <v>300</v>
      </c>
      <c r="J979" t="s">
        <v>19</v>
      </c>
      <c r="K979">
        <v>97</v>
      </c>
      <c r="L979" s="3">
        <v>0.12638888888888888</v>
      </c>
      <c r="M979" t="s">
        <v>31</v>
      </c>
      <c r="N979" t="s">
        <v>183</v>
      </c>
    </row>
    <row r="980" spans="1:14" x14ac:dyDescent="0.35">
      <c r="A980" t="s">
        <v>64</v>
      </c>
      <c r="B980" t="s">
        <v>291</v>
      </c>
      <c r="C980" t="s">
        <v>65</v>
      </c>
      <c r="D980">
        <v>16</v>
      </c>
      <c r="E980" s="2">
        <v>42722</v>
      </c>
      <c r="F980" t="s">
        <v>16</v>
      </c>
      <c r="G980" t="s">
        <v>66</v>
      </c>
      <c r="H980" t="s">
        <v>121</v>
      </c>
      <c r="I980" s="3">
        <v>0.1673611111111111</v>
      </c>
      <c r="J980" t="s">
        <v>38</v>
      </c>
      <c r="K980">
        <v>90</v>
      </c>
      <c r="L980" s="3">
        <v>0.1673611111111111</v>
      </c>
      <c r="M980" t="s">
        <v>31</v>
      </c>
      <c r="N980" t="s">
        <v>273</v>
      </c>
    </row>
    <row r="981" spans="1:14" x14ac:dyDescent="0.35">
      <c r="A981" t="s">
        <v>64</v>
      </c>
      <c r="B981" t="s">
        <v>291</v>
      </c>
      <c r="C981" t="s">
        <v>91</v>
      </c>
      <c r="D981" t="s">
        <v>143</v>
      </c>
      <c r="E981" s="2">
        <v>42740</v>
      </c>
      <c r="F981" t="s">
        <v>24</v>
      </c>
      <c r="G981" t="s">
        <v>66</v>
      </c>
      <c r="H981" t="s">
        <v>86</v>
      </c>
      <c r="I981" s="3">
        <v>8.4027777777777785E-2</v>
      </c>
      <c r="J981" t="s">
        <v>38</v>
      </c>
      <c r="K981">
        <v>52</v>
      </c>
      <c r="L981" s="3">
        <v>8.4027777777777785E-2</v>
      </c>
      <c r="M981" t="s">
        <v>39</v>
      </c>
    </row>
    <row r="982" spans="1:14" x14ac:dyDescent="0.35">
      <c r="A982" t="s">
        <v>14</v>
      </c>
      <c r="B982" t="s">
        <v>291</v>
      </c>
      <c r="C982" t="s">
        <v>65</v>
      </c>
      <c r="D982">
        <v>17</v>
      </c>
      <c r="E982" s="2">
        <v>42742</v>
      </c>
      <c r="F982" t="s">
        <v>16</v>
      </c>
      <c r="G982" t="s">
        <v>112</v>
      </c>
      <c r="H982" t="s">
        <v>233</v>
      </c>
      <c r="I982" s="3">
        <v>0.20833333333333334</v>
      </c>
      <c r="J982" t="s">
        <v>19</v>
      </c>
      <c r="K982">
        <v>27</v>
      </c>
      <c r="L982" s="3">
        <v>0.125</v>
      </c>
      <c r="M982" t="s">
        <v>22</v>
      </c>
      <c r="N982" t="s">
        <v>201</v>
      </c>
    </row>
    <row r="983" spans="1:14" x14ac:dyDescent="0.35">
      <c r="A983" t="s">
        <v>64</v>
      </c>
      <c r="B983" t="s">
        <v>291</v>
      </c>
      <c r="C983" t="s">
        <v>65</v>
      </c>
      <c r="D983">
        <v>17</v>
      </c>
      <c r="E983" s="2">
        <v>42743</v>
      </c>
      <c r="F983" t="s">
        <v>24</v>
      </c>
      <c r="G983" t="s">
        <v>66</v>
      </c>
      <c r="H983" t="s">
        <v>180</v>
      </c>
      <c r="I983" s="3">
        <v>4.2361111111111113E-2</v>
      </c>
      <c r="J983" t="s">
        <v>38</v>
      </c>
      <c r="K983">
        <v>90</v>
      </c>
      <c r="L983" s="3">
        <v>4.2361111111111113E-2</v>
      </c>
      <c r="M983" t="s">
        <v>39</v>
      </c>
    </row>
    <row r="984" spans="1:14" x14ac:dyDescent="0.35">
      <c r="A984" t="s">
        <v>64</v>
      </c>
      <c r="B984" t="s">
        <v>291</v>
      </c>
      <c r="C984" t="s">
        <v>91</v>
      </c>
      <c r="D984" t="s">
        <v>143</v>
      </c>
      <c r="E984" s="2">
        <v>42746</v>
      </c>
      <c r="F984" t="s">
        <v>16</v>
      </c>
      <c r="G984" t="s">
        <v>66</v>
      </c>
      <c r="H984" t="s">
        <v>86</v>
      </c>
      <c r="I984" s="3">
        <v>0.12569444444444444</v>
      </c>
      <c r="J984" t="s">
        <v>38</v>
      </c>
      <c r="K984">
        <v>78</v>
      </c>
      <c r="L984" s="3">
        <v>0.12569444444444444</v>
      </c>
      <c r="M984" t="s">
        <v>39</v>
      </c>
    </row>
    <row r="985" spans="1:14" x14ac:dyDescent="0.35">
      <c r="A985" t="s">
        <v>64</v>
      </c>
      <c r="B985" t="s">
        <v>291</v>
      </c>
      <c r="C985" t="s">
        <v>65</v>
      </c>
      <c r="D985">
        <v>18</v>
      </c>
      <c r="E985" s="2">
        <v>42749</v>
      </c>
      <c r="F985" t="s">
        <v>16</v>
      </c>
      <c r="G985" t="s">
        <v>66</v>
      </c>
      <c r="H985" t="s">
        <v>284</v>
      </c>
      <c r="I985" s="3">
        <v>0.20833333333333334</v>
      </c>
      <c r="J985" t="s">
        <v>275</v>
      </c>
      <c r="K985">
        <v>52</v>
      </c>
      <c r="L985" s="3">
        <v>8.3333333333333329E-2</v>
      </c>
      <c r="M985" t="s">
        <v>26</v>
      </c>
    </row>
    <row r="986" spans="1:14" x14ac:dyDescent="0.35">
      <c r="A986" t="s">
        <v>14</v>
      </c>
      <c r="B986" t="s">
        <v>291</v>
      </c>
      <c r="C986" t="s">
        <v>65</v>
      </c>
      <c r="D986">
        <v>18</v>
      </c>
      <c r="E986" s="2">
        <v>42750</v>
      </c>
      <c r="F986" t="s">
        <v>24</v>
      </c>
      <c r="G986" t="s">
        <v>112</v>
      </c>
      <c r="H986" t="s">
        <v>105</v>
      </c>
      <c r="I986" s="3">
        <v>8.4027777777777785E-2</v>
      </c>
      <c r="J986" t="s">
        <v>68</v>
      </c>
      <c r="K986">
        <v>67</v>
      </c>
      <c r="L986" s="3">
        <v>6.9444444444444447E-4</v>
      </c>
      <c r="M986" t="s">
        <v>83</v>
      </c>
    </row>
    <row r="987" spans="1:14" x14ac:dyDescent="0.35">
      <c r="A987" t="s">
        <v>64</v>
      </c>
      <c r="B987" t="s">
        <v>291</v>
      </c>
      <c r="C987" t="s">
        <v>65</v>
      </c>
      <c r="D987">
        <v>19</v>
      </c>
      <c r="E987" s="2">
        <v>42757</v>
      </c>
      <c r="F987" t="s">
        <v>24</v>
      </c>
      <c r="G987" t="s">
        <v>66</v>
      </c>
      <c r="H987" t="s">
        <v>270</v>
      </c>
      <c r="I987" s="3">
        <v>2.7777777777777779E-3</v>
      </c>
      <c r="J987" t="s">
        <v>275</v>
      </c>
      <c r="K987">
        <v>50</v>
      </c>
      <c r="L987" s="3">
        <v>1.3888888888888889E-3</v>
      </c>
      <c r="M987" t="s">
        <v>31</v>
      </c>
      <c r="N987" t="s">
        <v>273</v>
      </c>
    </row>
    <row r="988" spans="1:14" x14ac:dyDescent="0.35">
      <c r="A988" t="s">
        <v>14</v>
      </c>
      <c r="B988" t="s">
        <v>291</v>
      </c>
      <c r="C988" t="s">
        <v>91</v>
      </c>
      <c r="D988" t="s">
        <v>92</v>
      </c>
      <c r="E988" s="2">
        <v>42760</v>
      </c>
      <c r="F988" t="s">
        <v>24</v>
      </c>
      <c r="G988" t="s">
        <v>112</v>
      </c>
      <c r="H988" t="s">
        <v>98</v>
      </c>
      <c r="I988" s="3">
        <v>8.4722222222222227E-2</v>
      </c>
      <c r="J988" t="s">
        <v>68</v>
      </c>
      <c r="K988">
        <v>62</v>
      </c>
      <c r="L988" s="3">
        <v>4.2361111111111113E-2</v>
      </c>
      <c r="M988" t="s">
        <v>39</v>
      </c>
    </row>
    <row r="989" spans="1:14" x14ac:dyDescent="0.35">
      <c r="A989" t="s">
        <v>64</v>
      </c>
      <c r="B989" t="s">
        <v>291</v>
      </c>
      <c r="C989" t="s">
        <v>91</v>
      </c>
      <c r="D989" t="s">
        <v>92</v>
      </c>
      <c r="E989" s="2">
        <v>42761</v>
      </c>
      <c r="F989" t="s">
        <v>16</v>
      </c>
      <c r="G989" t="s">
        <v>66</v>
      </c>
      <c r="H989" t="s">
        <v>217</v>
      </c>
      <c r="I989" s="3">
        <v>0.20972222222222223</v>
      </c>
      <c r="J989" t="s">
        <v>275</v>
      </c>
      <c r="K989">
        <v>55</v>
      </c>
      <c r="L989" s="3">
        <v>8.3333333333333329E-2</v>
      </c>
      <c r="M989" t="s">
        <v>83</v>
      </c>
    </row>
    <row r="990" spans="1:14" x14ac:dyDescent="0.35">
      <c r="A990" t="s">
        <v>14</v>
      </c>
      <c r="B990" t="s">
        <v>291</v>
      </c>
      <c r="C990" t="s">
        <v>65</v>
      </c>
      <c r="D990">
        <v>20</v>
      </c>
      <c r="E990" s="2">
        <v>42764</v>
      </c>
      <c r="F990" t="s">
        <v>16</v>
      </c>
      <c r="G990" t="s">
        <v>112</v>
      </c>
      <c r="H990" t="s">
        <v>217</v>
      </c>
      <c r="I990" s="3">
        <v>0.125</v>
      </c>
      <c r="J990" t="s">
        <v>19</v>
      </c>
      <c r="K990">
        <v>51</v>
      </c>
      <c r="L990" s="3">
        <v>8.3333333333333329E-2</v>
      </c>
      <c r="M990" t="s">
        <v>26</v>
      </c>
      <c r="N990" t="s">
        <v>301</v>
      </c>
    </row>
    <row r="991" spans="1:14" x14ac:dyDescent="0.35">
      <c r="A991" t="s">
        <v>64</v>
      </c>
      <c r="B991" t="s">
        <v>291</v>
      </c>
      <c r="C991" t="s">
        <v>91</v>
      </c>
      <c r="D991" t="s">
        <v>62</v>
      </c>
      <c r="E991" s="2">
        <v>42767</v>
      </c>
      <c r="F991" t="s">
        <v>24</v>
      </c>
      <c r="G991" t="s">
        <v>66</v>
      </c>
      <c r="H991" t="s">
        <v>119</v>
      </c>
      <c r="I991" s="3">
        <v>4.3055555555555555E-2</v>
      </c>
      <c r="J991" t="s">
        <v>275</v>
      </c>
      <c r="K991">
        <v>33</v>
      </c>
      <c r="L991" s="3">
        <v>1.3888888888888889E-3</v>
      </c>
      <c r="M991" t="s">
        <v>31</v>
      </c>
      <c r="N991" t="s">
        <v>276</v>
      </c>
    </row>
    <row r="992" spans="1:14" x14ac:dyDescent="0.35">
      <c r="A992" t="s">
        <v>64</v>
      </c>
      <c r="B992" t="s">
        <v>291</v>
      </c>
      <c r="C992" t="s">
        <v>65</v>
      </c>
      <c r="D992">
        <v>21</v>
      </c>
      <c r="E992" s="2">
        <v>42770</v>
      </c>
      <c r="F992" t="s">
        <v>16</v>
      </c>
      <c r="G992" t="s">
        <v>66</v>
      </c>
      <c r="H992" t="s">
        <v>86</v>
      </c>
      <c r="I992" s="3">
        <v>0.125</v>
      </c>
      <c r="J992" t="s">
        <v>275</v>
      </c>
      <c r="K992">
        <v>40</v>
      </c>
      <c r="L992" s="3">
        <v>8.3333333333333329E-2</v>
      </c>
      <c r="M992" t="s">
        <v>39</v>
      </c>
    </row>
    <row r="993" spans="1:14" x14ac:dyDescent="0.35">
      <c r="A993" t="s">
        <v>64</v>
      </c>
      <c r="B993" t="s">
        <v>291</v>
      </c>
      <c r="C993" t="s">
        <v>65</v>
      </c>
      <c r="D993">
        <v>22</v>
      </c>
      <c r="E993" s="2">
        <v>42777</v>
      </c>
      <c r="F993" t="s">
        <v>24</v>
      </c>
      <c r="G993" t="s">
        <v>66</v>
      </c>
      <c r="H993" t="s">
        <v>88</v>
      </c>
      <c r="I993" s="3">
        <v>4.1666666666666666E-3</v>
      </c>
      <c r="J993" t="s">
        <v>275</v>
      </c>
      <c r="K993">
        <v>59</v>
      </c>
      <c r="L993" s="3">
        <v>2.0833333333333333E-3</v>
      </c>
      <c r="M993" t="s">
        <v>31</v>
      </c>
      <c r="N993" t="s">
        <v>256</v>
      </c>
    </row>
    <row r="994" spans="1:14" x14ac:dyDescent="0.35">
      <c r="A994" t="s">
        <v>14</v>
      </c>
      <c r="B994" t="s">
        <v>291</v>
      </c>
      <c r="C994" t="s">
        <v>65</v>
      </c>
      <c r="D994">
        <v>22</v>
      </c>
      <c r="E994" s="2">
        <v>42777</v>
      </c>
      <c r="F994" t="s">
        <v>24</v>
      </c>
      <c r="G994" t="s">
        <v>112</v>
      </c>
      <c r="H994" t="s">
        <v>100</v>
      </c>
      <c r="I994" s="3">
        <v>4.3749999999999997E-2</v>
      </c>
      <c r="J994" t="s">
        <v>68</v>
      </c>
      <c r="K994">
        <v>24</v>
      </c>
      <c r="L994" s="3">
        <v>6.9444444444444447E-4</v>
      </c>
      <c r="M994" t="s">
        <v>26</v>
      </c>
      <c r="N994" t="s">
        <v>183</v>
      </c>
    </row>
    <row r="995" spans="1:14" x14ac:dyDescent="0.35">
      <c r="A995" t="s">
        <v>64</v>
      </c>
      <c r="B995" t="s">
        <v>291</v>
      </c>
      <c r="C995" t="s">
        <v>65</v>
      </c>
      <c r="D995">
        <v>23</v>
      </c>
      <c r="E995" s="2">
        <v>42785</v>
      </c>
      <c r="F995" t="s">
        <v>16</v>
      </c>
      <c r="G995" t="s">
        <v>66</v>
      </c>
      <c r="H995" t="s">
        <v>294</v>
      </c>
      <c r="I995" s="3">
        <v>8.4027777777777785E-2</v>
      </c>
      <c r="J995" t="s">
        <v>38</v>
      </c>
      <c r="K995">
        <v>4</v>
      </c>
      <c r="L995" s="3">
        <v>4.1666666666666664E-2</v>
      </c>
      <c r="M995" t="s">
        <v>26</v>
      </c>
      <c r="N995" t="s">
        <v>273</v>
      </c>
    </row>
    <row r="996" spans="1:14" x14ac:dyDescent="0.35">
      <c r="A996" t="s">
        <v>64</v>
      </c>
      <c r="B996" t="s">
        <v>291</v>
      </c>
      <c r="C996" t="s">
        <v>65</v>
      </c>
      <c r="D996">
        <v>23</v>
      </c>
      <c r="E996" s="2">
        <v>42785</v>
      </c>
      <c r="F996" t="s">
        <v>16</v>
      </c>
      <c r="G996" t="s">
        <v>66</v>
      </c>
      <c r="H996" t="s">
        <v>294</v>
      </c>
      <c r="I996" s="3">
        <v>8.4027777777777785E-2</v>
      </c>
      <c r="J996" t="s">
        <v>38</v>
      </c>
      <c r="K996">
        <v>90</v>
      </c>
      <c r="L996" s="3">
        <v>8.4027777777777785E-2</v>
      </c>
      <c r="M996" t="s">
        <v>83</v>
      </c>
    </row>
    <row r="997" spans="1:14" x14ac:dyDescent="0.35">
      <c r="A997" t="s">
        <v>14</v>
      </c>
      <c r="B997" t="s">
        <v>291</v>
      </c>
      <c r="C997" t="s">
        <v>65</v>
      </c>
      <c r="D997">
        <v>16</v>
      </c>
      <c r="E997" s="2">
        <v>42788</v>
      </c>
      <c r="F997" t="s">
        <v>24</v>
      </c>
      <c r="G997" t="s">
        <v>112</v>
      </c>
      <c r="H997" t="s">
        <v>148</v>
      </c>
      <c r="I997" s="3">
        <v>8.4027777777777785E-2</v>
      </c>
      <c r="J997" t="s">
        <v>19</v>
      </c>
      <c r="K997">
        <v>44</v>
      </c>
      <c r="L997" s="3">
        <v>8.4027777777777785E-2</v>
      </c>
      <c r="M997" t="s">
        <v>22</v>
      </c>
      <c r="N997" t="s">
        <v>201</v>
      </c>
    </row>
    <row r="998" spans="1:14" x14ac:dyDescent="0.35">
      <c r="A998" t="s">
        <v>14</v>
      </c>
      <c r="B998" t="s">
        <v>291</v>
      </c>
      <c r="C998" t="s">
        <v>65</v>
      </c>
      <c r="D998">
        <v>24</v>
      </c>
      <c r="E998" s="2">
        <v>42792</v>
      </c>
      <c r="F998" t="s">
        <v>24</v>
      </c>
      <c r="G998" t="s">
        <v>112</v>
      </c>
      <c r="H998" t="s">
        <v>180</v>
      </c>
      <c r="I998" s="3">
        <v>8.5416666666666669E-2</v>
      </c>
      <c r="J998" t="s">
        <v>19</v>
      </c>
      <c r="K998">
        <v>74</v>
      </c>
      <c r="L998" s="3">
        <v>8.4722222222222227E-2</v>
      </c>
      <c r="M998" t="s">
        <v>83</v>
      </c>
    </row>
    <row r="999" spans="1:14" x14ac:dyDescent="0.35">
      <c r="A999" t="s">
        <v>64</v>
      </c>
      <c r="B999" t="s">
        <v>291</v>
      </c>
      <c r="C999" t="s">
        <v>65</v>
      </c>
      <c r="D999">
        <v>24</v>
      </c>
      <c r="E999" s="2">
        <v>42792</v>
      </c>
      <c r="F999" t="s">
        <v>24</v>
      </c>
      <c r="G999" t="s">
        <v>66</v>
      </c>
      <c r="H999" t="s">
        <v>119</v>
      </c>
      <c r="I999" s="3">
        <v>4.3055555555555555E-2</v>
      </c>
      <c r="J999" t="s">
        <v>38</v>
      </c>
      <c r="K999">
        <v>86</v>
      </c>
      <c r="L999" s="3">
        <v>4.3055555555555555E-2</v>
      </c>
      <c r="M999" t="s">
        <v>31</v>
      </c>
    </row>
    <row r="1000" spans="1:14" x14ac:dyDescent="0.35">
      <c r="A1000" t="s">
        <v>14</v>
      </c>
      <c r="B1000" t="s">
        <v>291</v>
      </c>
      <c r="C1000" t="s">
        <v>65</v>
      </c>
      <c r="D1000">
        <v>25</v>
      </c>
      <c r="E1000" s="2">
        <v>42795</v>
      </c>
      <c r="F1000" t="s">
        <v>16</v>
      </c>
      <c r="G1000" t="s">
        <v>112</v>
      </c>
      <c r="H1000" t="s">
        <v>284</v>
      </c>
      <c r="I1000" s="3">
        <v>0.12708333333333333</v>
      </c>
      <c r="J1000" t="s">
        <v>19</v>
      </c>
      <c r="K1000">
        <v>86</v>
      </c>
      <c r="L1000" s="3">
        <v>8.5416666666666669E-2</v>
      </c>
      <c r="M1000" t="s">
        <v>83</v>
      </c>
    </row>
    <row r="1001" spans="1:14" x14ac:dyDescent="0.35">
      <c r="A1001" t="s">
        <v>64</v>
      </c>
      <c r="B1001" t="s">
        <v>291</v>
      </c>
      <c r="C1001" t="s">
        <v>65</v>
      </c>
      <c r="D1001">
        <v>25</v>
      </c>
      <c r="E1001" s="2">
        <v>42795</v>
      </c>
      <c r="F1001" t="s">
        <v>16</v>
      </c>
      <c r="G1001" t="s">
        <v>66</v>
      </c>
      <c r="H1001" t="s">
        <v>151</v>
      </c>
      <c r="I1001" s="3">
        <v>0.25069444444444444</v>
      </c>
      <c r="J1001" t="s">
        <v>275</v>
      </c>
      <c r="K1001">
        <v>9</v>
      </c>
      <c r="L1001" s="3">
        <v>4.1666666666666664E-2</v>
      </c>
      <c r="M1001" t="s">
        <v>22</v>
      </c>
      <c r="N1001" t="s">
        <v>302</v>
      </c>
    </row>
    <row r="1002" spans="1:14" x14ac:dyDescent="0.35">
      <c r="A1002" t="s">
        <v>14</v>
      </c>
      <c r="B1002" t="s">
        <v>291</v>
      </c>
      <c r="C1002" t="s">
        <v>65</v>
      </c>
      <c r="D1002">
        <v>25</v>
      </c>
      <c r="E1002" s="2">
        <v>42795</v>
      </c>
      <c r="F1002" t="s">
        <v>16</v>
      </c>
      <c r="G1002" t="s">
        <v>112</v>
      </c>
      <c r="H1002" t="s">
        <v>284</v>
      </c>
      <c r="I1002" s="3">
        <v>0.12708333333333333</v>
      </c>
      <c r="J1002" t="s">
        <v>19</v>
      </c>
      <c r="K1002">
        <v>89</v>
      </c>
      <c r="L1002" s="3">
        <v>0.12708333333333333</v>
      </c>
      <c r="M1002" t="s">
        <v>22</v>
      </c>
      <c r="N1002" t="s">
        <v>268</v>
      </c>
    </row>
    <row r="1003" spans="1:14" x14ac:dyDescent="0.35">
      <c r="A1003" t="s">
        <v>64</v>
      </c>
      <c r="B1003" t="s">
        <v>291</v>
      </c>
      <c r="C1003" t="s">
        <v>65</v>
      </c>
      <c r="D1003">
        <v>26</v>
      </c>
      <c r="E1003" s="2">
        <v>42798</v>
      </c>
      <c r="F1003" t="s">
        <v>16</v>
      </c>
      <c r="G1003" t="s">
        <v>66</v>
      </c>
      <c r="H1003" t="s">
        <v>98</v>
      </c>
      <c r="I1003" s="3">
        <v>0.20833333333333334</v>
      </c>
      <c r="J1003" t="s">
        <v>282</v>
      </c>
      <c r="K1003">
        <v>64</v>
      </c>
      <c r="L1003" s="3">
        <v>0.20833333333333334</v>
      </c>
      <c r="M1003" t="s">
        <v>31</v>
      </c>
    </row>
    <row r="1004" spans="1:14" x14ac:dyDescent="0.35">
      <c r="A1004" t="s">
        <v>64</v>
      </c>
      <c r="B1004" t="s">
        <v>291</v>
      </c>
      <c r="C1004" t="s">
        <v>65</v>
      </c>
      <c r="D1004">
        <v>26</v>
      </c>
      <c r="E1004" s="2">
        <v>42798</v>
      </c>
      <c r="F1004" t="s">
        <v>16</v>
      </c>
      <c r="G1004" t="s">
        <v>66</v>
      </c>
      <c r="H1004" t="s">
        <v>98</v>
      </c>
      <c r="I1004" s="3">
        <v>0.20833333333333334</v>
      </c>
      <c r="J1004" t="s">
        <v>282</v>
      </c>
      <c r="K1004">
        <v>24</v>
      </c>
      <c r="L1004" s="3">
        <v>4.1666666666666664E-2</v>
      </c>
      <c r="M1004" t="s">
        <v>31</v>
      </c>
      <c r="N1004" t="s">
        <v>222</v>
      </c>
    </row>
    <row r="1005" spans="1:14" x14ac:dyDescent="0.35">
      <c r="A1005" t="s">
        <v>64</v>
      </c>
      <c r="B1005" t="s">
        <v>291</v>
      </c>
      <c r="C1005" t="s">
        <v>75</v>
      </c>
      <c r="D1005" t="s">
        <v>143</v>
      </c>
      <c r="E1005" s="2">
        <v>42802</v>
      </c>
      <c r="F1005" t="s">
        <v>16</v>
      </c>
      <c r="G1005" t="s">
        <v>66</v>
      </c>
      <c r="H1005" t="s">
        <v>252</v>
      </c>
      <c r="I1005" s="3">
        <v>0.25069444444444444</v>
      </c>
      <c r="J1005" t="s">
        <v>274</v>
      </c>
      <c r="K1005">
        <v>50</v>
      </c>
      <c r="L1005" s="3">
        <v>0.125</v>
      </c>
      <c r="M1005" t="s">
        <v>83</v>
      </c>
    </row>
    <row r="1006" spans="1:14" x14ac:dyDescent="0.35">
      <c r="A1006" t="s">
        <v>14</v>
      </c>
      <c r="B1006" t="s">
        <v>291</v>
      </c>
      <c r="C1006" t="s">
        <v>65</v>
      </c>
      <c r="D1006">
        <v>27</v>
      </c>
      <c r="E1006" s="2">
        <v>42806</v>
      </c>
      <c r="F1006" t="s">
        <v>16</v>
      </c>
      <c r="G1006" t="s">
        <v>112</v>
      </c>
      <c r="H1006" t="s">
        <v>95</v>
      </c>
      <c r="I1006" s="3">
        <v>8.4027777777777785E-2</v>
      </c>
      <c r="J1006" t="s">
        <v>19</v>
      </c>
      <c r="K1006">
        <v>41</v>
      </c>
      <c r="L1006" s="3">
        <v>4.2361111111111113E-2</v>
      </c>
      <c r="M1006" t="s">
        <v>22</v>
      </c>
      <c r="N1006" t="s">
        <v>201</v>
      </c>
    </row>
    <row r="1007" spans="1:14" x14ac:dyDescent="0.35">
      <c r="A1007" t="s">
        <v>64</v>
      </c>
      <c r="B1007" t="s">
        <v>291</v>
      </c>
      <c r="C1007" t="s">
        <v>65</v>
      </c>
      <c r="D1007">
        <v>28</v>
      </c>
      <c r="E1007" s="2">
        <v>42813</v>
      </c>
      <c r="F1007" t="s">
        <v>16</v>
      </c>
      <c r="G1007" t="s">
        <v>66</v>
      </c>
      <c r="H1007" t="s">
        <v>148</v>
      </c>
      <c r="I1007" s="3">
        <v>0.16805555555555557</v>
      </c>
      <c r="J1007" t="s">
        <v>274</v>
      </c>
      <c r="K1007">
        <v>45</v>
      </c>
      <c r="L1007" s="3">
        <v>8.4027777777777785E-2</v>
      </c>
      <c r="M1007" t="s">
        <v>83</v>
      </c>
    </row>
    <row r="1008" spans="1:14" x14ac:dyDescent="0.35">
      <c r="A1008" t="s">
        <v>64</v>
      </c>
      <c r="B1008" t="s">
        <v>291</v>
      </c>
      <c r="C1008" t="s">
        <v>65</v>
      </c>
      <c r="D1008">
        <v>28</v>
      </c>
      <c r="E1008" s="2">
        <v>42813</v>
      </c>
      <c r="F1008" t="s">
        <v>16</v>
      </c>
      <c r="G1008" t="s">
        <v>66</v>
      </c>
      <c r="H1008" t="s">
        <v>148</v>
      </c>
      <c r="I1008" s="3">
        <v>0.16805555555555557</v>
      </c>
      <c r="J1008" t="s">
        <v>274</v>
      </c>
      <c r="K1008">
        <v>53</v>
      </c>
      <c r="L1008" s="3">
        <v>0.12638888888888888</v>
      </c>
      <c r="M1008" t="s">
        <v>26</v>
      </c>
      <c r="N1008" t="s">
        <v>302</v>
      </c>
    </row>
    <row r="1009" spans="1:14" x14ac:dyDescent="0.35">
      <c r="A1009" t="s">
        <v>64</v>
      </c>
      <c r="B1009" t="s">
        <v>291</v>
      </c>
      <c r="C1009" t="s">
        <v>65</v>
      </c>
      <c r="D1009">
        <v>30</v>
      </c>
      <c r="E1009" s="2">
        <v>42830</v>
      </c>
      <c r="F1009" t="s">
        <v>16</v>
      </c>
      <c r="G1009" t="s">
        <v>66</v>
      </c>
      <c r="H1009" t="s">
        <v>105</v>
      </c>
      <c r="I1009" s="3">
        <v>0.125</v>
      </c>
      <c r="J1009" t="s">
        <v>38</v>
      </c>
      <c r="K1009">
        <v>33</v>
      </c>
      <c r="L1009" s="3">
        <v>0.125</v>
      </c>
      <c r="M1009" t="s">
        <v>31</v>
      </c>
    </row>
    <row r="1010" spans="1:14" x14ac:dyDescent="0.35">
      <c r="A1010" t="s">
        <v>64</v>
      </c>
      <c r="B1010" t="s">
        <v>291</v>
      </c>
      <c r="C1010" t="s">
        <v>65</v>
      </c>
      <c r="D1010">
        <v>30</v>
      </c>
      <c r="E1010" s="2">
        <v>42830</v>
      </c>
      <c r="F1010" t="s">
        <v>16</v>
      </c>
      <c r="G1010" t="s">
        <v>66</v>
      </c>
      <c r="H1010" t="s">
        <v>105</v>
      </c>
      <c r="I1010" s="3">
        <v>0.125</v>
      </c>
      <c r="J1010" t="s">
        <v>38</v>
      </c>
      <c r="K1010">
        <v>28</v>
      </c>
      <c r="L1010" s="3">
        <v>8.3333333333333329E-2</v>
      </c>
      <c r="M1010" t="s">
        <v>26</v>
      </c>
      <c r="N1010" t="s">
        <v>273</v>
      </c>
    </row>
    <row r="1011" spans="1:14" x14ac:dyDescent="0.35">
      <c r="A1011" t="s">
        <v>14</v>
      </c>
      <c r="B1011" t="s">
        <v>291</v>
      </c>
      <c r="C1011" t="s">
        <v>75</v>
      </c>
      <c r="D1011" t="s">
        <v>92</v>
      </c>
      <c r="E1011" s="2">
        <v>42837</v>
      </c>
      <c r="F1011" t="s">
        <v>24</v>
      </c>
      <c r="G1011" t="s">
        <v>112</v>
      </c>
      <c r="H1011" t="s">
        <v>168</v>
      </c>
      <c r="I1011" s="3">
        <v>4.3055555555555555E-2</v>
      </c>
      <c r="J1011" t="s">
        <v>19</v>
      </c>
      <c r="K1011">
        <v>47</v>
      </c>
      <c r="L1011" s="3">
        <v>4.2361111111111113E-2</v>
      </c>
      <c r="M1011" t="s">
        <v>26</v>
      </c>
      <c r="N1011" t="s">
        <v>262</v>
      </c>
    </row>
    <row r="1012" spans="1:14" x14ac:dyDescent="0.35">
      <c r="A1012" t="s">
        <v>14</v>
      </c>
      <c r="B1012" t="s">
        <v>291</v>
      </c>
      <c r="C1012" t="s">
        <v>75</v>
      </c>
      <c r="D1012" t="s">
        <v>92</v>
      </c>
      <c r="E1012" s="2">
        <v>42837</v>
      </c>
      <c r="F1012" t="s">
        <v>24</v>
      </c>
      <c r="G1012" t="s">
        <v>112</v>
      </c>
      <c r="H1012" t="s">
        <v>168</v>
      </c>
      <c r="I1012" s="3">
        <v>4.3055555555555555E-2</v>
      </c>
      <c r="J1012" t="s">
        <v>19</v>
      </c>
      <c r="K1012">
        <v>77</v>
      </c>
      <c r="L1012" s="3">
        <v>4.3055555555555555E-2</v>
      </c>
      <c r="M1012" t="s">
        <v>26</v>
      </c>
      <c r="N1012" t="s">
        <v>303</v>
      </c>
    </row>
    <row r="1013" spans="1:14" x14ac:dyDescent="0.35">
      <c r="A1013" t="s">
        <v>64</v>
      </c>
      <c r="B1013" t="s">
        <v>291</v>
      </c>
      <c r="C1013" t="s">
        <v>65</v>
      </c>
      <c r="D1013">
        <v>32</v>
      </c>
      <c r="E1013" s="2">
        <v>42840</v>
      </c>
      <c r="F1013" t="s">
        <v>16</v>
      </c>
      <c r="G1013" t="s">
        <v>66</v>
      </c>
      <c r="H1013" t="s">
        <v>217</v>
      </c>
      <c r="I1013" s="3">
        <v>0.12638888888888888</v>
      </c>
      <c r="J1013" t="s">
        <v>275</v>
      </c>
      <c r="K1013">
        <v>17</v>
      </c>
      <c r="L1013" s="3">
        <v>4.1666666666666664E-2</v>
      </c>
      <c r="M1013" t="s">
        <v>31</v>
      </c>
      <c r="N1013" t="s">
        <v>273</v>
      </c>
    </row>
    <row r="1014" spans="1:14" x14ac:dyDescent="0.35">
      <c r="A1014" t="s">
        <v>64</v>
      </c>
      <c r="B1014" t="s">
        <v>291</v>
      </c>
      <c r="C1014" t="s">
        <v>65</v>
      </c>
      <c r="D1014">
        <v>32</v>
      </c>
      <c r="E1014" s="2">
        <v>42840</v>
      </c>
      <c r="F1014" t="s">
        <v>16</v>
      </c>
      <c r="G1014" t="s">
        <v>66</v>
      </c>
      <c r="H1014" t="s">
        <v>217</v>
      </c>
      <c r="I1014" s="3">
        <v>0.12638888888888888</v>
      </c>
      <c r="J1014" t="s">
        <v>275</v>
      </c>
      <c r="K1014">
        <v>37</v>
      </c>
      <c r="L1014" s="3">
        <v>8.3333333333333329E-2</v>
      </c>
      <c r="M1014" t="s">
        <v>55</v>
      </c>
    </row>
    <row r="1015" spans="1:14" x14ac:dyDescent="0.35">
      <c r="A1015" t="s">
        <v>14</v>
      </c>
      <c r="B1015" t="s">
        <v>291</v>
      </c>
      <c r="C1015" t="s">
        <v>75</v>
      </c>
      <c r="D1015" t="s">
        <v>92</v>
      </c>
      <c r="E1015" s="2">
        <v>42843</v>
      </c>
      <c r="F1015" t="s">
        <v>16</v>
      </c>
      <c r="G1015" t="s">
        <v>112</v>
      </c>
      <c r="H1015" t="s">
        <v>168</v>
      </c>
      <c r="I1015" t="s">
        <v>300</v>
      </c>
      <c r="J1015" t="s">
        <v>68</v>
      </c>
      <c r="K1015">
        <v>76</v>
      </c>
      <c r="L1015" s="3">
        <v>4.2361111111111113E-2</v>
      </c>
      <c r="M1015" t="s">
        <v>22</v>
      </c>
      <c r="N1015" t="s">
        <v>304</v>
      </c>
    </row>
    <row r="1016" spans="1:14" x14ac:dyDescent="0.35">
      <c r="A1016" t="s">
        <v>14</v>
      </c>
      <c r="B1016" t="s">
        <v>291</v>
      </c>
      <c r="C1016" t="s">
        <v>75</v>
      </c>
      <c r="D1016" t="s">
        <v>92</v>
      </c>
      <c r="E1016" s="2">
        <v>42843</v>
      </c>
      <c r="F1016" t="s">
        <v>16</v>
      </c>
      <c r="G1016" t="s">
        <v>112</v>
      </c>
      <c r="H1016" t="s">
        <v>168</v>
      </c>
      <c r="I1016" t="s">
        <v>300</v>
      </c>
      <c r="J1016" t="s">
        <v>68</v>
      </c>
      <c r="K1016">
        <v>105</v>
      </c>
      <c r="L1016" s="3">
        <v>8.4722222222222227E-2</v>
      </c>
      <c r="M1016" t="s">
        <v>31</v>
      </c>
      <c r="N1016" t="s">
        <v>202</v>
      </c>
    </row>
    <row r="1017" spans="1:14" x14ac:dyDescent="0.35">
      <c r="A1017" t="s">
        <v>14</v>
      </c>
      <c r="B1017" t="s">
        <v>291</v>
      </c>
      <c r="C1017" t="s">
        <v>75</v>
      </c>
      <c r="D1017" t="s">
        <v>92</v>
      </c>
      <c r="E1017" s="2">
        <v>42843</v>
      </c>
      <c r="F1017" t="s">
        <v>16</v>
      </c>
      <c r="G1017" t="s">
        <v>112</v>
      </c>
      <c r="H1017" t="s">
        <v>168</v>
      </c>
      <c r="I1017" t="s">
        <v>300</v>
      </c>
      <c r="J1017" t="s">
        <v>68</v>
      </c>
      <c r="K1017">
        <v>109</v>
      </c>
      <c r="L1017" s="3">
        <v>0.12638888888888888</v>
      </c>
      <c r="M1017" t="s">
        <v>26</v>
      </c>
      <c r="N1017" t="s">
        <v>201</v>
      </c>
    </row>
    <row r="1018" spans="1:14" x14ac:dyDescent="0.35">
      <c r="A1018" t="s">
        <v>64</v>
      </c>
      <c r="B1018" t="s">
        <v>291</v>
      </c>
      <c r="C1018" t="s">
        <v>65</v>
      </c>
      <c r="D1018">
        <v>33</v>
      </c>
      <c r="E1018" s="2">
        <v>42848</v>
      </c>
      <c r="F1018" t="s">
        <v>24</v>
      </c>
      <c r="G1018" t="s">
        <v>66</v>
      </c>
      <c r="H1018" t="s">
        <v>112</v>
      </c>
      <c r="I1018" s="3">
        <v>8.5416666666666669E-2</v>
      </c>
      <c r="J1018" t="s">
        <v>38</v>
      </c>
      <c r="K1018">
        <v>33</v>
      </c>
      <c r="L1018" s="3">
        <v>4.2361111111111113E-2</v>
      </c>
      <c r="M1018" t="s">
        <v>31</v>
      </c>
      <c r="N1018" t="s">
        <v>276</v>
      </c>
    </row>
    <row r="1019" spans="1:14" x14ac:dyDescent="0.35">
      <c r="A1019" t="s">
        <v>64</v>
      </c>
      <c r="B1019" t="s">
        <v>291</v>
      </c>
      <c r="C1019" t="s">
        <v>65</v>
      </c>
      <c r="D1019">
        <v>33</v>
      </c>
      <c r="E1019" s="2">
        <v>42848</v>
      </c>
      <c r="F1019" t="s">
        <v>24</v>
      </c>
      <c r="G1019" t="s">
        <v>66</v>
      </c>
      <c r="H1019" t="s">
        <v>112</v>
      </c>
      <c r="I1019" s="3">
        <v>8.5416666666666669E-2</v>
      </c>
      <c r="J1019" t="s">
        <v>38</v>
      </c>
      <c r="K1019" t="s">
        <v>141</v>
      </c>
      <c r="L1019" s="3">
        <v>8.5416666666666669E-2</v>
      </c>
      <c r="M1019" t="s">
        <v>31</v>
      </c>
      <c r="N1019" t="s">
        <v>243</v>
      </c>
    </row>
    <row r="1020" spans="1:14" x14ac:dyDescent="0.35">
      <c r="A1020" t="s">
        <v>64</v>
      </c>
      <c r="B1020" t="s">
        <v>291</v>
      </c>
      <c r="C1020" t="s">
        <v>65</v>
      </c>
      <c r="D1020">
        <v>34</v>
      </c>
      <c r="E1020" s="2">
        <v>42851</v>
      </c>
      <c r="F1020" t="s">
        <v>16</v>
      </c>
      <c r="G1020" t="s">
        <v>66</v>
      </c>
      <c r="H1020" t="s">
        <v>100</v>
      </c>
      <c r="I1020" s="3">
        <v>0.29236111111111113</v>
      </c>
      <c r="J1020" t="s">
        <v>282</v>
      </c>
      <c r="K1020">
        <v>12</v>
      </c>
      <c r="L1020" s="3">
        <v>4.1666666666666664E-2</v>
      </c>
      <c r="M1020" t="s">
        <v>31</v>
      </c>
    </row>
    <row r="1021" spans="1:14" x14ac:dyDescent="0.35">
      <c r="A1021" t="s">
        <v>64</v>
      </c>
      <c r="B1021" t="s">
        <v>291</v>
      </c>
      <c r="C1021" t="s">
        <v>65</v>
      </c>
      <c r="D1021">
        <v>34</v>
      </c>
      <c r="E1021" s="2">
        <v>42851</v>
      </c>
      <c r="F1021" t="s">
        <v>16</v>
      </c>
      <c r="G1021" t="s">
        <v>66</v>
      </c>
      <c r="H1021" t="s">
        <v>100</v>
      </c>
      <c r="I1021" s="3">
        <v>0.29236111111111113</v>
      </c>
      <c r="J1021" t="s">
        <v>282</v>
      </c>
      <c r="K1021">
        <v>61</v>
      </c>
      <c r="L1021" s="3">
        <v>0.1673611111111111</v>
      </c>
      <c r="M1021" t="s">
        <v>31</v>
      </c>
      <c r="N1021" t="s">
        <v>276</v>
      </c>
    </row>
    <row r="1022" spans="1:14" x14ac:dyDescent="0.35">
      <c r="A1022" t="s">
        <v>14</v>
      </c>
      <c r="B1022" t="s">
        <v>291</v>
      </c>
      <c r="C1022" t="s">
        <v>65</v>
      </c>
      <c r="D1022">
        <v>35</v>
      </c>
      <c r="E1022" s="2">
        <v>42854</v>
      </c>
      <c r="F1022" t="s">
        <v>16</v>
      </c>
      <c r="G1022" t="s">
        <v>112</v>
      </c>
      <c r="H1022" t="s">
        <v>148</v>
      </c>
      <c r="I1022" s="3">
        <v>8.4027777777777785E-2</v>
      </c>
      <c r="J1022" t="s">
        <v>19</v>
      </c>
      <c r="K1022">
        <v>27</v>
      </c>
      <c r="L1022" s="3">
        <v>4.1666666666666664E-2</v>
      </c>
      <c r="M1022" t="s">
        <v>22</v>
      </c>
      <c r="N1022" t="s">
        <v>262</v>
      </c>
    </row>
    <row r="1023" spans="1:14" x14ac:dyDescent="0.35">
      <c r="A1023" t="s">
        <v>14</v>
      </c>
      <c r="B1023" t="s">
        <v>291</v>
      </c>
      <c r="C1023" t="s">
        <v>75</v>
      </c>
      <c r="D1023" t="s">
        <v>62</v>
      </c>
      <c r="E1023" s="2">
        <v>42857</v>
      </c>
      <c r="F1023" t="s">
        <v>16</v>
      </c>
      <c r="G1023" t="s">
        <v>112</v>
      </c>
      <c r="H1023" t="s">
        <v>119</v>
      </c>
      <c r="I1023" s="3">
        <v>0.125</v>
      </c>
      <c r="J1023" t="s">
        <v>68</v>
      </c>
      <c r="K1023">
        <v>86</v>
      </c>
      <c r="L1023" s="3">
        <v>0.125</v>
      </c>
      <c r="M1023" t="s">
        <v>26</v>
      </c>
      <c r="N1023" t="s">
        <v>281</v>
      </c>
    </row>
    <row r="1024" spans="1:14" x14ac:dyDescent="0.35">
      <c r="A1024" t="s">
        <v>14</v>
      </c>
      <c r="B1024" t="s">
        <v>291</v>
      </c>
      <c r="C1024" t="s">
        <v>75</v>
      </c>
      <c r="D1024" t="s">
        <v>62</v>
      </c>
      <c r="E1024" s="2">
        <v>42857</v>
      </c>
      <c r="F1024" t="s">
        <v>16</v>
      </c>
      <c r="G1024" t="s">
        <v>112</v>
      </c>
      <c r="H1024" t="s">
        <v>119</v>
      </c>
      <c r="I1024" s="3">
        <v>0.125</v>
      </c>
      <c r="J1024" t="s">
        <v>68</v>
      </c>
      <c r="K1024">
        <v>73</v>
      </c>
      <c r="L1024" s="3">
        <v>8.3333333333333329E-2</v>
      </c>
      <c r="M1024" t="s">
        <v>26</v>
      </c>
      <c r="N1024" t="s">
        <v>183</v>
      </c>
    </row>
    <row r="1025" spans="1:14" x14ac:dyDescent="0.35">
      <c r="A1025" t="s">
        <v>14</v>
      </c>
      <c r="B1025" t="s">
        <v>291</v>
      </c>
      <c r="C1025" t="s">
        <v>75</v>
      </c>
      <c r="D1025" t="s">
        <v>62</v>
      </c>
      <c r="E1025" s="2">
        <v>42857</v>
      </c>
      <c r="F1025" t="s">
        <v>16</v>
      </c>
      <c r="G1025" t="s">
        <v>112</v>
      </c>
      <c r="H1025" t="s">
        <v>119</v>
      </c>
      <c r="I1025" s="3">
        <v>0.125</v>
      </c>
      <c r="J1025" t="s">
        <v>68</v>
      </c>
      <c r="K1025">
        <v>10</v>
      </c>
      <c r="L1025" s="3">
        <v>4.1666666666666664E-2</v>
      </c>
      <c r="M1025" t="s">
        <v>22</v>
      </c>
      <c r="N1025" t="s">
        <v>304</v>
      </c>
    </row>
    <row r="1026" spans="1:14" x14ac:dyDescent="0.35">
      <c r="A1026" t="s">
        <v>64</v>
      </c>
      <c r="B1026" t="s">
        <v>291</v>
      </c>
      <c r="C1026" t="s">
        <v>65</v>
      </c>
      <c r="D1026">
        <v>36</v>
      </c>
      <c r="E1026" s="2">
        <v>42861</v>
      </c>
      <c r="F1026" t="s">
        <v>16</v>
      </c>
      <c r="G1026" t="s">
        <v>66</v>
      </c>
      <c r="H1026" t="s">
        <v>180</v>
      </c>
      <c r="I1026" s="3">
        <v>0.1673611111111111</v>
      </c>
      <c r="J1026" t="s">
        <v>38</v>
      </c>
      <c r="K1026">
        <v>45</v>
      </c>
      <c r="L1026" s="3">
        <v>8.4027777777777785E-2</v>
      </c>
      <c r="M1026" t="s">
        <v>31</v>
      </c>
      <c r="N1026" t="s">
        <v>222</v>
      </c>
    </row>
    <row r="1027" spans="1:14" x14ac:dyDescent="0.35">
      <c r="A1027" t="s">
        <v>64</v>
      </c>
      <c r="B1027" t="s">
        <v>291</v>
      </c>
      <c r="C1027" t="s">
        <v>65</v>
      </c>
      <c r="D1027">
        <v>36</v>
      </c>
      <c r="E1027" s="2">
        <v>42861</v>
      </c>
      <c r="F1027" t="s">
        <v>16</v>
      </c>
      <c r="G1027" t="s">
        <v>66</v>
      </c>
      <c r="H1027" t="s">
        <v>180</v>
      </c>
      <c r="I1027" s="3">
        <v>0.1673611111111111</v>
      </c>
      <c r="J1027" t="s">
        <v>38</v>
      </c>
      <c r="K1027">
        <v>82</v>
      </c>
      <c r="L1027" s="3">
        <v>0.1673611111111111</v>
      </c>
      <c r="M1027" t="s">
        <v>83</v>
      </c>
    </row>
    <row r="1028" spans="1:14" x14ac:dyDescent="0.35">
      <c r="A1028" t="s">
        <v>14</v>
      </c>
      <c r="B1028" t="s">
        <v>291</v>
      </c>
      <c r="C1028" t="s">
        <v>65</v>
      </c>
      <c r="D1028">
        <v>37</v>
      </c>
      <c r="E1028" s="2">
        <v>42869</v>
      </c>
      <c r="F1028" t="s">
        <v>16</v>
      </c>
      <c r="G1028" t="s">
        <v>112</v>
      </c>
      <c r="H1028" t="s">
        <v>105</v>
      </c>
      <c r="I1028" s="3">
        <v>0.1673611111111111</v>
      </c>
      <c r="J1028" t="s">
        <v>19</v>
      </c>
      <c r="K1028">
        <v>78</v>
      </c>
      <c r="L1028" s="3">
        <v>0.12569444444444444</v>
      </c>
      <c r="M1028" t="s">
        <v>31</v>
      </c>
      <c r="N1028" t="s">
        <v>277</v>
      </c>
    </row>
    <row r="1029" spans="1:14" x14ac:dyDescent="0.35">
      <c r="A1029" t="s">
        <v>14</v>
      </c>
      <c r="B1029" t="s">
        <v>291</v>
      </c>
      <c r="C1029" t="s">
        <v>65</v>
      </c>
      <c r="D1029">
        <v>37</v>
      </c>
      <c r="E1029" s="2">
        <v>42869</v>
      </c>
      <c r="F1029" t="s">
        <v>16</v>
      </c>
      <c r="G1029" t="s">
        <v>112</v>
      </c>
      <c r="H1029" t="s">
        <v>105</v>
      </c>
      <c r="I1029" s="3">
        <v>0.1673611111111111</v>
      </c>
      <c r="J1029" t="s">
        <v>19</v>
      </c>
      <c r="K1029">
        <v>23</v>
      </c>
      <c r="L1029" s="3">
        <v>8.3333333333333329E-2</v>
      </c>
      <c r="M1029" t="s">
        <v>26</v>
      </c>
    </row>
    <row r="1030" spans="1:14" x14ac:dyDescent="0.35">
      <c r="A1030" t="s">
        <v>14</v>
      </c>
      <c r="B1030" t="s">
        <v>291</v>
      </c>
      <c r="C1030" t="s">
        <v>65</v>
      </c>
      <c r="D1030">
        <v>21</v>
      </c>
      <c r="E1030" s="2">
        <v>42872</v>
      </c>
      <c r="F1030" t="s">
        <v>24</v>
      </c>
      <c r="G1030" t="s">
        <v>112</v>
      </c>
      <c r="H1030" t="s">
        <v>98</v>
      </c>
      <c r="I1030" s="3">
        <v>4.4444444444444446E-2</v>
      </c>
      <c r="J1030" t="s">
        <v>68</v>
      </c>
      <c r="K1030">
        <v>10</v>
      </c>
      <c r="L1030" s="3">
        <v>6.9444444444444447E-4</v>
      </c>
      <c r="M1030" t="s">
        <v>31</v>
      </c>
    </row>
    <row r="1031" spans="1:14" x14ac:dyDescent="0.35">
      <c r="A1031" t="s">
        <v>14</v>
      </c>
      <c r="B1031" t="s">
        <v>291</v>
      </c>
      <c r="C1031" t="s">
        <v>65</v>
      </c>
      <c r="D1031">
        <v>21</v>
      </c>
      <c r="E1031" s="2">
        <v>42872</v>
      </c>
      <c r="F1031" t="s">
        <v>24</v>
      </c>
      <c r="G1031" t="s">
        <v>112</v>
      </c>
      <c r="H1031" t="s">
        <v>98</v>
      </c>
      <c r="I1031" s="3">
        <v>4.4444444444444446E-2</v>
      </c>
      <c r="J1031" t="s">
        <v>68</v>
      </c>
      <c r="K1031">
        <v>48</v>
      </c>
      <c r="L1031" s="3">
        <v>1.3888888888888889E-3</v>
      </c>
      <c r="M1031" t="s">
        <v>31</v>
      </c>
      <c r="N1031" t="s">
        <v>257</v>
      </c>
    </row>
    <row r="1032" spans="1:14" x14ac:dyDescent="0.35">
      <c r="A1032" t="s">
        <v>14</v>
      </c>
      <c r="B1032" t="s">
        <v>291</v>
      </c>
      <c r="C1032" t="s">
        <v>65</v>
      </c>
      <c r="D1032">
        <v>38</v>
      </c>
      <c r="E1032" s="2">
        <v>42876</v>
      </c>
      <c r="F1032" t="s">
        <v>24</v>
      </c>
      <c r="G1032" t="s">
        <v>112</v>
      </c>
      <c r="H1032" t="s">
        <v>157</v>
      </c>
      <c r="I1032" s="3">
        <v>1.3888888888888889E-3</v>
      </c>
      <c r="J1032" t="s">
        <v>68</v>
      </c>
      <c r="K1032">
        <v>2</v>
      </c>
      <c r="L1032" s="3">
        <v>6.9444444444444447E-4</v>
      </c>
      <c r="M1032" t="s">
        <v>26</v>
      </c>
      <c r="N1032" t="s">
        <v>257</v>
      </c>
    </row>
    <row r="1033" spans="1:14" x14ac:dyDescent="0.35">
      <c r="A1033" t="s">
        <v>64</v>
      </c>
      <c r="B1033" t="s">
        <v>291</v>
      </c>
      <c r="C1033" t="s">
        <v>65</v>
      </c>
      <c r="D1033">
        <v>38</v>
      </c>
      <c r="E1033" s="2">
        <v>42876</v>
      </c>
      <c r="F1033" t="s">
        <v>16</v>
      </c>
      <c r="G1033" t="s">
        <v>66</v>
      </c>
      <c r="H1033" t="s">
        <v>270</v>
      </c>
      <c r="I1033" s="3">
        <v>0.16805555555555557</v>
      </c>
      <c r="J1033" t="s">
        <v>38</v>
      </c>
      <c r="K1033">
        <v>75</v>
      </c>
      <c r="L1033" s="3">
        <v>0.12638888888888888</v>
      </c>
      <c r="M1033" t="s">
        <v>83</v>
      </c>
    </row>
    <row r="1034" spans="1:14" x14ac:dyDescent="0.35">
      <c r="A1034" t="s">
        <v>64</v>
      </c>
      <c r="B1034" t="s">
        <v>291</v>
      </c>
      <c r="C1034" t="s">
        <v>65</v>
      </c>
      <c r="D1034">
        <v>38</v>
      </c>
      <c r="E1034" s="2">
        <v>42876</v>
      </c>
      <c r="F1034" t="s">
        <v>16</v>
      </c>
      <c r="G1034" t="s">
        <v>66</v>
      </c>
      <c r="H1034" t="s">
        <v>270</v>
      </c>
      <c r="I1034" s="3">
        <v>0.16805555555555557</v>
      </c>
      <c r="J1034" t="s">
        <v>38</v>
      </c>
      <c r="K1034" t="s">
        <v>141</v>
      </c>
      <c r="L1034" s="3">
        <v>0.16805555555555557</v>
      </c>
      <c r="M1034" t="s">
        <v>26</v>
      </c>
    </row>
    <row r="1035" spans="1:14" x14ac:dyDescent="0.35">
      <c r="A1035" t="s">
        <v>64</v>
      </c>
      <c r="B1035" t="s">
        <v>291</v>
      </c>
      <c r="C1035" t="s">
        <v>91</v>
      </c>
      <c r="D1035" t="s">
        <v>46</v>
      </c>
      <c r="E1035" s="2">
        <v>42882</v>
      </c>
      <c r="F1035" t="s">
        <v>16</v>
      </c>
      <c r="G1035" t="s">
        <v>66</v>
      </c>
      <c r="H1035" t="s">
        <v>88</v>
      </c>
      <c r="I1035" s="3">
        <v>0.12569444444444444</v>
      </c>
      <c r="J1035" t="s">
        <v>38</v>
      </c>
      <c r="K1035">
        <v>30</v>
      </c>
      <c r="L1035" s="3">
        <v>4.1666666666666664E-2</v>
      </c>
      <c r="M1035" t="s">
        <v>31</v>
      </c>
      <c r="N1035" t="s">
        <v>256</v>
      </c>
    </row>
    <row r="1036" spans="1:14" x14ac:dyDescent="0.35">
      <c r="A1036" t="s">
        <v>14</v>
      </c>
      <c r="B1036" t="s">
        <v>291</v>
      </c>
      <c r="C1036" t="s">
        <v>75</v>
      </c>
      <c r="D1036" t="s">
        <v>46</v>
      </c>
      <c r="E1036" s="2">
        <v>42889</v>
      </c>
      <c r="F1036" t="s">
        <v>24</v>
      </c>
      <c r="G1036" t="s">
        <v>112</v>
      </c>
      <c r="H1036" t="s">
        <v>260</v>
      </c>
      <c r="I1036" s="3">
        <v>4.4444444444444446E-2</v>
      </c>
      <c r="J1036" t="s">
        <v>68</v>
      </c>
      <c r="K1036">
        <v>20</v>
      </c>
      <c r="L1036" s="3">
        <v>6.9444444444444447E-4</v>
      </c>
      <c r="M1036" t="s">
        <v>26</v>
      </c>
      <c r="N1036" t="s">
        <v>262</v>
      </c>
    </row>
    <row r="1037" spans="1:14" x14ac:dyDescent="0.35">
      <c r="A1037" t="s">
        <v>14</v>
      </c>
      <c r="B1037" t="s">
        <v>291</v>
      </c>
      <c r="C1037" t="s">
        <v>75</v>
      </c>
      <c r="D1037" t="s">
        <v>46</v>
      </c>
      <c r="E1037" s="2">
        <v>42889</v>
      </c>
      <c r="F1037" t="s">
        <v>24</v>
      </c>
      <c r="G1037" t="s">
        <v>112</v>
      </c>
      <c r="H1037" t="s">
        <v>260</v>
      </c>
      <c r="I1037" s="3">
        <v>4.4444444444444446E-2</v>
      </c>
      <c r="J1037" t="s">
        <v>68</v>
      </c>
      <c r="K1037">
        <v>64</v>
      </c>
      <c r="L1037" s="3">
        <v>4.3749999999999997E-2</v>
      </c>
      <c r="M1037" t="s">
        <v>26</v>
      </c>
      <c r="N1037" t="s">
        <v>250</v>
      </c>
    </row>
    <row r="1038" spans="1:14" x14ac:dyDescent="0.35">
      <c r="A1038" t="s">
        <v>14</v>
      </c>
      <c r="B1038" t="s">
        <v>305</v>
      </c>
      <c r="C1038" t="s">
        <v>172</v>
      </c>
      <c r="D1038" t="s">
        <v>173</v>
      </c>
      <c r="E1038" s="2">
        <v>42960</v>
      </c>
      <c r="F1038" t="s">
        <v>24</v>
      </c>
      <c r="G1038" t="s">
        <v>112</v>
      </c>
      <c r="H1038" t="s">
        <v>66</v>
      </c>
      <c r="I1038" s="3">
        <v>4.3749999999999997E-2</v>
      </c>
      <c r="J1038" t="s">
        <v>68</v>
      </c>
      <c r="K1038">
        <v>80</v>
      </c>
      <c r="L1038" s="3">
        <v>4.3055555555555555E-2</v>
      </c>
      <c r="M1038" t="s">
        <v>26</v>
      </c>
      <c r="N1038" t="s">
        <v>257</v>
      </c>
    </row>
    <row r="1039" spans="1:14" x14ac:dyDescent="0.35">
      <c r="A1039" t="s">
        <v>64</v>
      </c>
      <c r="B1039" t="s">
        <v>305</v>
      </c>
      <c r="C1039" t="s">
        <v>172</v>
      </c>
      <c r="D1039" t="s">
        <v>173</v>
      </c>
      <c r="E1039" s="2">
        <v>42960</v>
      </c>
      <c r="F1039" t="s">
        <v>16</v>
      </c>
      <c r="G1039" t="s">
        <v>66</v>
      </c>
      <c r="H1039" t="s">
        <v>112</v>
      </c>
      <c r="I1039" s="3">
        <v>4.3749999999999997E-2</v>
      </c>
      <c r="J1039" t="s">
        <v>38</v>
      </c>
      <c r="K1039">
        <v>77</v>
      </c>
      <c r="L1039" s="3">
        <v>4.2361111111111113E-2</v>
      </c>
      <c r="M1039" t="s">
        <v>83</v>
      </c>
    </row>
    <row r="1040" spans="1:14" x14ac:dyDescent="0.35">
      <c r="A1040" t="s">
        <v>64</v>
      </c>
      <c r="B1040" t="s">
        <v>305</v>
      </c>
      <c r="C1040" t="s">
        <v>65</v>
      </c>
      <c r="D1040">
        <v>2</v>
      </c>
      <c r="E1040" s="2">
        <v>42973</v>
      </c>
      <c r="F1040" t="s">
        <v>24</v>
      </c>
      <c r="G1040" t="s">
        <v>66</v>
      </c>
      <c r="H1040" t="s">
        <v>88</v>
      </c>
      <c r="I1040" s="3">
        <v>1.3888888888888889E-3</v>
      </c>
      <c r="J1040" t="s">
        <v>68</v>
      </c>
      <c r="K1040">
        <v>66</v>
      </c>
      <c r="L1040" s="3">
        <v>1.3888888888888889E-3</v>
      </c>
      <c r="M1040" t="s">
        <v>31</v>
      </c>
      <c r="N1040" t="s">
        <v>306</v>
      </c>
    </row>
    <row r="1041" spans="1:14" x14ac:dyDescent="0.35">
      <c r="A1041" t="s">
        <v>64</v>
      </c>
      <c r="B1041" t="s">
        <v>305</v>
      </c>
      <c r="C1041" t="s">
        <v>65</v>
      </c>
      <c r="D1041">
        <v>2</v>
      </c>
      <c r="E1041" s="2">
        <v>42973</v>
      </c>
      <c r="F1041" t="s">
        <v>24</v>
      </c>
      <c r="G1041" t="s">
        <v>66</v>
      </c>
      <c r="H1041" t="s">
        <v>88</v>
      </c>
      <c r="I1041" s="3">
        <v>1.3888888888888889E-3</v>
      </c>
      <c r="J1041" t="s">
        <v>68</v>
      </c>
      <c r="K1041">
        <v>55</v>
      </c>
      <c r="L1041" s="3">
        <v>6.9444444444444447E-4</v>
      </c>
      <c r="M1041" t="s">
        <v>31</v>
      </c>
      <c r="N1041" t="s">
        <v>243</v>
      </c>
    </row>
    <row r="1042" spans="1:14" x14ac:dyDescent="0.35">
      <c r="A1042" t="s">
        <v>64</v>
      </c>
      <c r="B1042" t="s">
        <v>305</v>
      </c>
      <c r="C1042" t="s">
        <v>65</v>
      </c>
      <c r="D1042">
        <v>3</v>
      </c>
      <c r="E1042" s="2">
        <v>42987</v>
      </c>
      <c r="F1042" t="s">
        <v>16</v>
      </c>
      <c r="G1042" t="s">
        <v>66</v>
      </c>
      <c r="H1042" t="s">
        <v>121</v>
      </c>
      <c r="I1042" s="3">
        <v>0.20833333333333334</v>
      </c>
      <c r="J1042" t="s">
        <v>68</v>
      </c>
      <c r="K1042">
        <v>26</v>
      </c>
      <c r="L1042" s="3">
        <v>4.1666666666666664E-2</v>
      </c>
      <c r="M1042" t="s">
        <v>31</v>
      </c>
      <c r="N1042" t="s">
        <v>276</v>
      </c>
    </row>
    <row r="1043" spans="1:14" x14ac:dyDescent="0.35">
      <c r="A1043" t="s">
        <v>64</v>
      </c>
      <c r="B1043" t="s">
        <v>305</v>
      </c>
      <c r="C1043" t="s">
        <v>65</v>
      </c>
      <c r="D1043">
        <v>3</v>
      </c>
      <c r="E1043" s="2">
        <v>42987</v>
      </c>
      <c r="F1043" t="s">
        <v>16</v>
      </c>
      <c r="G1043" t="s">
        <v>66</v>
      </c>
      <c r="H1043" t="s">
        <v>121</v>
      </c>
      <c r="I1043" s="3">
        <v>0.20833333333333334</v>
      </c>
      <c r="J1043" t="s">
        <v>68</v>
      </c>
      <c r="K1043">
        <v>67</v>
      </c>
      <c r="L1043" s="3">
        <v>0.125</v>
      </c>
      <c r="M1043" t="s">
        <v>31</v>
      </c>
      <c r="N1043" t="s">
        <v>243</v>
      </c>
    </row>
    <row r="1044" spans="1:14" x14ac:dyDescent="0.35">
      <c r="A1044" t="s">
        <v>64</v>
      </c>
      <c r="B1044" t="s">
        <v>305</v>
      </c>
      <c r="C1044" t="s">
        <v>65</v>
      </c>
      <c r="D1044">
        <v>3</v>
      </c>
      <c r="E1044" s="2">
        <v>42987</v>
      </c>
      <c r="F1044" t="s">
        <v>16</v>
      </c>
      <c r="G1044" t="s">
        <v>66</v>
      </c>
      <c r="H1044" t="s">
        <v>121</v>
      </c>
      <c r="I1044" s="3">
        <v>0.20833333333333334</v>
      </c>
      <c r="J1044" t="s">
        <v>68</v>
      </c>
      <c r="K1044">
        <v>35</v>
      </c>
      <c r="L1044" s="3">
        <v>8.3333333333333329E-2</v>
      </c>
      <c r="M1044" t="s">
        <v>26</v>
      </c>
      <c r="N1044" t="s">
        <v>243</v>
      </c>
    </row>
    <row r="1045" spans="1:14" x14ac:dyDescent="0.35">
      <c r="A1045" t="s">
        <v>64</v>
      </c>
      <c r="B1045" t="s">
        <v>305</v>
      </c>
      <c r="C1045" t="s">
        <v>75</v>
      </c>
      <c r="D1045" t="s">
        <v>76</v>
      </c>
      <c r="E1045" s="2">
        <v>42990</v>
      </c>
      <c r="F1045" t="s">
        <v>16</v>
      </c>
      <c r="G1045" t="s">
        <v>66</v>
      </c>
      <c r="H1045" t="s">
        <v>260</v>
      </c>
      <c r="I1045" s="3">
        <v>0.125</v>
      </c>
      <c r="J1045" t="s">
        <v>68</v>
      </c>
      <c r="K1045">
        <v>69</v>
      </c>
      <c r="L1045" s="3">
        <v>0.125</v>
      </c>
      <c r="M1045" t="s">
        <v>31</v>
      </c>
    </row>
    <row r="1046" spans="1:14" x14ac:dyDescent="0.35">
      <c r="A1046" t="s">
        <v>64</v>
      </c>
      <c r="B1046" t="s">
        <v>305</v>
      </c>
      <c r="C1046" t="s">
        <v>75</v>
      </c>
      <c r="D1046" t="s">
        <v>76</v>
      </c>
      <c r="E1046" s="2">
        <v>42990</v>
      </c>
      <c r="F1046" t="s">
        <v>16</v>
      </c>
      <c r="G1046" t="s">
        <v>66</v>
      </c>
      <c r="H1046" t="s">
        <v>260</v>
      </c>
      <c r="I1046" s="3">
        <v>0.125</v>
      </c>
      <c r="J1046" t="s">
        <v>68</v>
      </c>
      <c r="K1046">
        <v>45</v>
      </c>
      <c r="L1046" s="3">
        <v>4.1666666666666664E-2</v>
      </c>
      <c r="M1046" t="s">
        <v>31</v>
      </c>
      <c r="N1046" t="s">
        <v>273</v>
      </c>
    </row>
    <row r="1047" spans="1:14" x14ac:dyDescent="0.35">
      <c r="A1047" t="s">
        <v>14</v>
      </c>
      <c r="B1047" t="s">
        <v>305</v>
      </c>
      <c r="C1047" t="s">
        <v>75</v>
      </c>
      <c r="D1047" t="s">
        <v>76</v>
      </c>
      <c r="E1047" s="2">
        <v>42991</v>
      </c>
      <c r="F1047" t="s">
        <v>16</v>
      </c>
      <c r="G1047" t="s">
        <v>112</v>
      </c>
      <c r="H1047" t="s">
        <v>241</v>
      </c>
      <c r="I1047" s="3">
        <v>0.125</v>
      </c>
      <c r="J1047" t="s">
        <v>68</v>
      </c>
      <c r="K1047">
        <v>12</v>
      </c>
      <c r="L1047" s="3">
        <v>4.1666666666666664E-2</v>
      </c>
      <c r="M1047" t="s">
        <v>162</v>
      </c>
      <c r="N1047" t="s">
        <v>261</v>
      </c>
    </row>
    <row r="1048" spans="1:14" x14ac:dyDescent="0.35">
      <c r="A1048" t="s">
        <v>14</v>
      </c>
      <c r="B1048" t="s">
        <v>305</v>
      </c>
      <c r="C1048" t="s">
        <v>75</v>
      </c>
      <c r="D1048" t="s">
        <v>76</v>
      </c>
      <c r="E1048" s="2">
        <v>42991</v>
      </c>
      <c r="F1048" t="s">
        <v>16</v>
      </c>
      <c r="G1048" t="s">
        <v>112</v>
      </c>
      <c r="H1048" t="s">
        <v>241</v>
      </c>
      <c r="I1048" s="3">
        <v>0.125</v>
      </c>
      <c r="J1048" t="s">
        <v>68</v>
      </c>
      <c r="K1048">
        <v>51</v>
      </c>
      <c r="L1048" s="3">
        <v>8.3333333333333329E-2</v>
      </c>
      <c r="M1048" t="s">
        <v>83</v>
      </c>
    </row>
    <row r="1049" spans="1:14" x14ac:dyDescent="0.35">
      <c r="A1049" t="s">
        <v>64</v>
      </c>
      <c r="B1049" t="s">
        <v>305</v>
      </c>
      <c r="C1049" t="s">
        <v>65</v>
      </c>
      <c r="D1049">
        <v>5</v>
      </c>
      <c r="E1049" s="2">
        <v>42997</v>
      </c>
      <c r="F1049" t="s">
        <v>16</v>
      </c>
      <c r="G1049" t="s">
        <v>66</v>
      </c>
      <c r="H1049" t="s">
        <v>270</v>
      </c>
      <c r="I1049" s="3">
        <v>0.25069444444444444</v>
      </c>
      <c r="J1049" t="s">
        <v>68</v>
      </c>
      <c r="K1049">
        <v>59</v>
      </c>
      <c r="L1049" s="3">
        <v>0.1673611111111111</v>
      </c>
      <c r="M1049" t="s">
        <v>31</v>
      </c>
      <c r="N1049" t="s">
        <v>222</v>
      </c>
    </row>
    <row r="1050" spans="1:14" x14ac:dyDescent="0.35">
      <c r="A1050" t="s">
        <v>64</v>
      </c>
      <c r="B1050" t="s">
        <v>305</v>
      </c>
      <c r="C1050" t="s">
        <v>65</v>
      </c>
      <c r="D1050">
        <v>5</v>
      </c>
      <c r="E1050" s="2">
        <v>42997</v>
      </c>
      <c r="F1050" t="s">
        <v>16</v>
      </c>
      <c r="G1050" t="s">
        <v>66</v>
      </c>
      <c r="H1050" t="s">
        <v>270</v>
      </c>
      <c r="I1050" s="3">
        <v>0.25069444444444444</v>
      </c>
      <c r="J1050" t="s">
        <v>68</v>
      </c>
      <c r="K1050">
        <v>87</v>
      </c>
      <c r="L1050" s="3">
        <v>0.25069444444444444</v>
      </c>
      <c r="M1050" t="s">
        <v>31</v>
      </c>
      <c r="N1050" t="s">
        <v>307</v>
      </c>
    </row>
    <row r="1051" spans="1:14" x14ac:dyDescent="0.35">
      <c r="A1051" t="s">
        <v>64</v>
      </c>
      <c r="B1051" t="s">
        <v>305</v>
      </c>
      <c r="C1051" t="s">
        <v>65</v>
      </c>
      <c r="D1051">
        <v>5</v>
      </c>
      <c r="E1051" s="2">
        <v>42997</v>
      </c>
      <c r="F1051" t="s">
        <v>16</v>
      </c>
      <c r="G1051" t="s">
        <v>66</v>
      </c>
      <c r="H1051" t="s">
        <v>270</v>
      </c>
      <c r="I1051" s="3">
        <v>0.25069444444444444</v>
      </c>
      <c r="J1051" t="s">
        <v>68</v>
      </c>
      <c r="K1051">
        <v>21</v>
      </c>
      <c r="L1051" s="3">
        <v>4.1666666666666664E-2</v>
      </c>
      <c r="M1051" t="s">
        <v>83</v>
      </c>
    </row>
    <row r="1052" spans="1:14" x14ac:dyDescent="0.35">
      <c r="A1052" t="s">
        <v>64</v>
      </c>
      <c r="B1052" t="s">
        <v>305</v>
      </c>
      <c r="C1052" t="s">
        <v>65</v>
      </c>
      <c r="D1052">
        <v>5</v>
      </c>
      <c r="E1052" s="2">
        <v>42997</v>
      </c>
      <c r="F1052" t="s">
        <v>16</v>
      </c>
      <c r="G1052" t="s">
        <v>66</v>
      </c>
      <c r="H1052" t="s">
        <v>270</v>
      </c>
      <c r="I1052" s="3">
        <v>0.25069444444444444</v>
      </c>
      <c r="J1052" t="s">
        <v>68</v>
      </c>
      <c r="K1052">
        <v>62</v>
      </c>
      <c r="L1052" s="3">
        <v>0.20902777777777778</v>
      </c>
      <c r="M1052" t="s">
        <v>31</v>
      </c>
      <c r="N1052" t="s">
        <v>308</v>
      </c>
    </row>
    <row r="1053" spans="1:14" x14ac:dyDescent="0.35">
      <c r="A1053" t="s">
        <v>14</v>
      </c>
      <c r="B1053" t="s">
        <v>305</v>
      </c>
      <c r="C1053" t="s">
        <v>75</v>
      </c>
      <c r="D1053" t="s">
        <v>76</v>
      </c>
      <c r="E1053" s="2">
        <v>43004</v>
      </c>
      <c r="F1053" t="s">
        <v>24</v>
      </c>
      <c r="G1053" t="s">
        <v>112</v>
      </c>
      <c r="H1053" t="s">
        <v>246</v>
      </c>
      <c r="I1053" s="3">
        <v>4.3749999999999997E-2</v>
      </c>
      <c r="J1053" t="s">
        <v>68</v>
      </c>
      <c r="K1053">
        <v>79</v>
      </c>
      <c r="L1053" s="3">
        <v>4.3749999999999997E-2</v>
      </c>
      <c r="M1053" t="s">
        <v>26</v>
      </c>
      <c r="N1053" t="s">
        <v>250</v>
      </c>
    </row>
    <row r="1054" spans="1:14" x14ac:dyDescent="0.35">
      <c r="A1054" t="s">
        <v>14</v>
      </c>
      <c r="B1054" t="s">
        <v>305</v>
      </c>
      <c r="C1054" t="s">
        <v>75</v>
      </c>
      <c r="D1054" t="s">
        <v>76</v>
      </c>
      <c r="E1054" s="2">
        <v>43004</v>
      </c>
      <c r="F1054" t="s">
        <v>24</v>
      </c>
      <c r="G1054" t="s">
        <v>112</v>
      </c>
      <c r="H1054" t="s">
        <v>246</v>
      </c>
      <c r="I1054" s="3">
        <v>4.3749999999999997E-2</v>
      </c>
      <c r="J1054" t="s">
        <v>68</v>
      </c>
      <c r="K1054">
        <v>49</v>
      </c>
      <c r="L1054" s="3">
        <v>1.3888888888888889E-3</v>
      </c>
      <c r="M1054" t="s">
        <v>31</v>
      </c>
      <c r="N1054" t="s">
        <v>261</v>
      </c>
    </row>
    <row r="1055" spans="1:14" x14ac:dyDescent="0.35">
      <c r="A1055" t="s">
        <v>64</v>
      </c>
      <c r="B1055" t="s">
        <v>305</v>
      </c>
      <c r="C1055" t="s">
        <v>65</v>
      </c>
      <c r="D1055">
        <v>7</v>
      </c>
      <c r="E1055" s="2">
        <v>43009</v>
      </c>
      <c r="F1055" t="s">
        <v>16</v>
      </c>
      <c r="G1055" t="s">
        <v>66</v>
      </c>
      <c r="H1055" t="s">
        <v>284</v>
      </c>
      <c r="I1055" s="3">
        <v>0.125</v>
      </c>
      <c r="J1055" t="s">
        <v>230</v>
      </c>
      <c r="K1055">
        <v>70</v>
      </c>
      <c r="L1055" s="3">
        <v>8.3333333333333329E-2</v>
      </c>
      <c r="M1055" t="s">
        <v>31</v>
      </c>
      <c r="N1055" t="s">
        <v>309</v>
      </c>
    </row>
    <row r="1056" spans="1:14" x14ac:dyDescent="0.35">
      <c r="A1056" t="s">
        <v>64</v>
      </c>
      <c r="B1056" t="s">
        <v>305</v>
      </c>
      <c r="C1056" t="s">
        <v>65</v>
      </c>
      <c r="D1056">
        <v>7</v>
      </c>
      <c r="E1056" s="2">
        <v>43009</v>
      </c>
      <c r="F1056" t="s">
        <v>16</v>
      </c>
      <c r="G1056" t="s">
        <v>66</v>
      </c>
      <c r="H1056" t="s">
        <v>284</v>
      </c>
      <c r="I1056" s="3">
        <v>0.125</v>
      </c>
      <c r="J1056" t="s">
        <v>230</v>
      </c>
      <c r="K1056">
        <v>77</v>
      </c>
      <c r="L1056" s="3">
        <v>0.125</v>
      </c>
      <c r="M1056" t="s">
        <v>31</v>
      </c>
      <c r="N1056" t="s">
        <v>273</v>
      </c>
    </row>
    <row r="1057" spans="1:14" x14ac:dyDescent="0.35">
      <c r="A1057" t="s">
        <v>14</v>
      </c>
      <c r="B1057" t="s">
        <v>305</v>
      </c>
      <c r="C1057" t="s">
        <v>65</v>
      </c>
      <c r="D1057">
        <v>8</v>
      </c>
      <c r="E1057" s="2">
        <v>43022</v>
      </c>
      <c r="F1057" t="s">
        <v>24</v>
      </c>
      <c r="G1057" t="s">
        <v>112</v>
      </c>
      <c r="H1057" t="s">
        <v>117</v>
      </c>
      <c r="I1057" s="3">
        <v>4.3055555555555555E-2</v>
      </c>
      <c r="J1057" t="s">
        <v>68</v>
      </c>
      <c r="K1057">
        <v>85</v>
      </c>
      <c r="L1057" s="3">
        <v>4.3055555555555555E-2</v>
      </c>
      <c r="M1057" t="s">
        <v>26</v>
      </c>
      <c r="N1057" t="s">
        <v>257</v>
      </c>
    </row>
    <row r="1058" spans="1:14" x14ac:dyDescent="0.35">
      <c r="A1058" t="s">
        <v>14</v>
      </c>
      <c r="B1058" t="s">
        <v>305</v>
      </c>
      <c r="C1058" t="s">
        <v>75</v>
      </c>
      <c r="D1058" t="s">
        <v>76</v>
      </c>
      <c r="E1058" s="2">
        <v>43025</v>
      </c>
      <c r="F1058" t="s">
        <v>16</v>
      </c>
      <c r="G1058" t="s">
        <v>112</v>
      </c>
      <c r="H1058" t="s">
        <v>42</v>
      </c>
      <c r="I1058" s="3">
        <v>4.2361111111111113E-2</v>
      </c>
      <c r="J1058" t="s">
        <v>19</v>
      </c>
      <c r="K1058">
        <v>43</v>
      </c>
      <c r="L1058" s="3">
        <v>4.2361111111111113E-2</v>
      </c>
      <c r="M1058" t="s">
        <v>83</v>
      </c>
    </row>
    <row r="1059" spans="1:14" x14ac:dyDescent="0.35">
      <c r="A1059" t="s">
        <v>64</v>
      </c>
      <c r="B1059" t="s">
        <v>305</v>
      </c>
      <c r="C1059" t="s">
        <v>75</v>
      </c>
      <c r="D1059" t="s">
        <v>76</v>
      </c>
      <c r="E1059" s="2">
        <v>43026</v>
      </c>
      <c r="F1059" t="s">
        <v>16</v>
      </c>
      <c r="G1059" t="s">
        <v>66</v>
      </c>
      <c r="H1059" t="s">
        <v>310</v>
      </c>
      <c r="I1059" s="3">
        <v>0.12569444444444444</v>
      </c>
      <c r="J1059" t="s">
        <v>68</v>
      </c>
      <c r="K1059">
        <v>61</v>
      </c>
      <c r="L1059" s="3">
        <v>8.3333333333333329E-2</v>
      </c>
      <c r="M1059" t="s">
        <v>39</v>
      </c>
    </row>
    <row r="1060" spans="1:14" x14ac:dyDescent="0.35">
      <c r="A1060" t="s">
        <v>64</v>
      </c>
      <c r="B1060" t="s">
        <v>305</v>
      </c>
      <c r="C1060" t="s">
        <v>65</v>
      </c>
      <c r="D1060">
        <v>10</v>
      </c>
      <c r="E1060" s="2">
        <v>43036</v>
      </c>
      <c r="F1060" t="s">
        <v>24</v>
      </c>
      <c r="G1060" t="s">
        <v>66</v>
      </c>
      <c r="H1060" t="s">
        <v>86</v>
      </c>
      <c r="I1060" s="3">
        <v>1.3888888888888889E-3</v>
      </c>
      <c r="J1060" t="s">
        <v>311</v>
      </c>
      <c r="K1060">
        <v>37</v>
      </c>
      <c r="L1060" s="3">
        <v>6.9444444444444447E-4</v>
      </c>
      <c r="M1060" t="s">
        <v>31</v>
      </c>
      <c r="N1060" t="s">
        <v>243</v>
      </c>
    </row>
    <row r="1061" spans="1:14" x14ac:dyDescent="0.35">
      <c r="A1061" t="s">
        <v>14</v>
      </c>
      <c r="B1061" t="s">
        <v>305</v>
      </c>
      <c r="C1061" t="s">
        <v>75</v>
      </c>
      <c r="D1061" t="s">
        <v>76</v>
      </c>
      <c r="E1061" s="2">
        <v>43040</v>
      </c>
      <c r="F1061" t="s">
        <v>24</v>
      </c>
      <c r="G1061" t="s">
        <v>112</v>
      </c>
      <c r="H1061" t="s">
        <v>42</v>
      </c>
      <c r="I1061" s="3">
        <v>0.12569444444444444</v>
      </c>
      <c r="J1061" t="s">
        <v>19</v>
      </c>
      <c r="K1061">
        <v>80</v>
      </c>
      <c r="L1061" s="3">
        <v>0.12569444444444444</v>
      </c>
      <c r="M1061" t="s">
        <v>26</v>
      </c>
      <c r="N1061" t="s">
        <v>312</v>
      </c>
    </row>
    <row r="1062" spans="1:14" x14ac:dyDescent="0.35">
      <c r="A1062" t="s">
        <v>14</v>
      </c>
      <c r="B1062" t="s">
        <v>305</v>
      </c>
      <c r="C1062" t="s">
        <v>75</v>
      </c>
      <c r="D1062" t="s">
        <v>76</v>
      </c>
      <c r="E1062" s="2">
        <v>43060</v>
      </c>
      <c r="F1062" t="s">
        <v>24</v>
      </c>
      <c r="G1062" t="s">
        <v>112</v>
      </c>
      <c r="H1062" t="s">
        <v>241</v>
      </c>
      <c r="I1062" s="3">
        <v>4.1666666666666666E-3</v>
      </c>
      <c r="J1062" t="s">
        <v>19</v>
      </c>
      <c r="K1062">
        <v>49</v>
      </c>
      <c r="L1062" s="3">
        <v>3.472222222222222E-3</v>
      </c>
      <c r="M1062" t="s">
        <v>22</v>
      </c>
      <c r="N1062" t="s">
        <v>201</v>
      </c>
    </row>
    <row r="1063" spans="1:14" x14ac:dyDescent="0.35">
      <c r="A1063" t="s">
        <v>14</v>
      </c>
      <c r="B1063" t="s">
        <v>305</v>
      </c>
      <c r="C1063" t="s">
        <v>75</v>
      </c>
      <c r="D1063" t="s">
        <v>76</v>
      </c>
      <c r="E1063" s="2">
        <v>43060</v>
      </c>
      <c r="F1063" t="s">
        <v>24</v>
      </c>
      <c r="G1063" t="s">
        <v>112</v>
      </c>
      <c r="H1063" t="s">
        <v>241</v>
      </c>
      <c r="I1063" s="3">
        <v>4.1666666666666666E-3</v>
      </c>
      <c r="J1063" t="s">
        <v>19</v>
      </c>
      <c r="K1063">
        <v>54</v>
      </c>
      <c r="L1063" s="3">
        <v>4.1666666666666666E-3</v>
      </c>
      <c r="M1063" t="s">
        <v>31</v>
      </c>
    </row>
    <row r="1064" spans="1:14" x14ac:dyDescent="0.35">
      <c r="A1064" t="s">
        <v>14</v>
      </c>
      <c r="B1064" t="s">
        <v>305</v>
      </c>
      <c r="C1064" t="s">
        <v>65</v>
      </c>
      <c r="D1064">
        <v>13</v>
      </c>
      <c r="E1064" s="2">
        <v>43064</v>
      </c>
      <c r="F1064" t="s">
        <v>16</v>
      </c>
      <c r="G1064" t="s">
        <v>112</v>
      </c>
      <c r="H1064" t="s">
        <v>157</v>
      </c>
      <c r="I1064" s="3">
        <v>0.12638888888888888</v>
      </c>
      <c r="J1064" t="s">
        <v>68</v>
      </c>
      <c r="K1064">
        <v>76</v>
      </c>
      <c r="L1064" s="3">
        <v>0.12638888888888888</v>
      </c>
      <c r="M1064" t="s">
        <v>107</v>
      </c>
    </row>
    <row r="1065" spans="1:14" x14ac:dyDescent="0.35">
      <c r="A1065" t="s">
        <v>64</v>
      </c>
      <c r="B1065" t="s">
        <v>305</v>
      </c>
      <c r="C1065" t="s">
        <v>65</v>
      </c>
      <c r="D1065">
        <v>14</v>
      </c>
      <c r="E1065" s="2">
        <v>43071</v>
      </c>
      <c r="F1065" t="s">
        <v>16</v>
      </c>
      <c r="G1065" t="s">
        <v>66</v>
      </c>
      <c r="H1065" t="s">
        <v>98</v>
      </c>
      <c r="I1065" s="3">
        <v>8.4722222222222227E-2</v>
      </c>
      <c r="J1065" t="s">
        <v>230</v>
      </c>
      <c r="K1065">
        <v>22</v>
      </c>
      <c r="L1065" s="3">
        <v>4.2361111111111113E-2</v>
      </c>
      <c r="M1065" t="s">
        <v>31</v>
      </c>
      <c r="N1065" t="s">
        <v>308</v>
      </c>
    </row>
    <row r="1066" spans="1:14" x14ac:dyDescent="0.35">
      <c r="A1066" t="s">
        <v>14</v>
      </c>
      <c r="B1066" t="s">
        <v>305</v>
      </c>
      <c r="C1066" t="s">
        <v>75</v>
      </c>
      <c r="D1066" t="s">
        <v>76</v>
      </c>
      <c r="E1066" s="2">
        <v>43075</v>
      </c>
      <c r="F1066" t="s">
        <v>16</v>
      </c>
      <c r="G1066" t="s">
        <v>112</v>
      </c>
      <c r="H1066" t="s">
        <v>246</v>
      </c>
      <c r="I1066" s="3">
        <v>0.12638888888888888</v>
      </c>
      <c r="J1066" t="s">
        <v>19</v>
      </c>
      <c r="K1066">
        <v>12</v>
      </c>
      <c r="L1066" s="3">
        <v>8.3333333333333329E-2</v>
      </c>
      <c r="M1066" t="s">
        <v>26</v>
      </c>
      <c r="N1066" t="s">
        <v>301</v>
      </c>
    </row>
    <row r="1067" spans="1:14" x14ac:dyDescent="0.35">
      <c r="A1067" t="s">
        <v>14</v>
      </c>
      <c r="B1067" t="s">
        <v>305</v>
      </c>
      <c r="C1067" t="s">
        <v>65</v>
      </c>
      <c r="D1067">
        <v>15</v>
      </c>
      <c r="E1067" s="2">
        <v>43078</v>
      </c>
      <c r="F1067" t="s">
        <v>16</v>
      </c>
      <c r="G1067" t="s">
        <v>112</v>
      </c>
      <c r="H1067" t="s">
        <v>105</v>
      </c>
      <c r="I1067" s="3">
        <v>0.20833333333333334</v>
      </c>
      <c r="J1067" t="s">
        <v>68</v>
      </c>
      <c r="K1067">
        <v>31</v>
      </c>
      <c r="L1067" s="3">
        <v>0.125</v>
      </c>
      <c r="M1067" t="s">
        <v>83</v>
      </c>
    </row>
    <row r="1068" spans="1:14" x14ac:dyDescent="0.35">
      <c r="A1068" t="s">
        <v>14</v>
      </c>
      <c r="B1068" t="s">
        <v>305</v>
      </c>
      <c r="C1068" t="s">
        <v>65</v>
      </c>
      <c r="D1068">
        <v>15</v>
      </c>
      <c r="E1068" s="2">
        <v>43078</v>
      </c>
      <c r="F1068" t="s">
        <v>16</v>
      </c>
      <c r="G1068" t="s">
        <v>112</v>
      </c>
      <c r="H1068" t="s">
        <v>105</v>
      </c>
      <c r="I1068" s="3">
        <v>0.20833333333333334</v>
      </c>
      <c r="J1068" t="s">
        <v>68</v>
      </c>
      <c r="K1068">
        <v>23</v>
      </c>
      <c r="L1068" s="3">
        <v>8.3333333333333329E-2</v>
      </c>
      <c r="M1068" t="s">
        <v>26</v>
      </c>
      <c r="N1068" t="s">
        <v>303</v>
      </c>
    </row>
    <row r="1069" spans="1:14" x14ac:dyDescent="0.35">
      <c r="A1069" t="s">
        <v>64</v>
      </c>
      <c r="B1069" t="s">
        <v>305</v>
      </c>
      <c r="C1069" t="s">
        <v>65</v>
      </c>
      <c r="D1069">
        <v>15</v>
      </c>
      <c r="E1069" s="2">
        <v>43079</v>
      </c>
      <c r="F1069" t="s">
        <v>24</v>
      </c>
      <c r="G1069" t="s">
        <v>66</v>
      </c>
      <c r="H1069" t="s">
        <v>180</v>
      </c>
      <c r="I1069" s="3">
        <v>1.3888888888888889E-3</v>
      </c>
      <c r="J1069" t="s">
        <v>275</v>
      </c>
      <c r="K1069">
        <v>83</v>
      </c>
      <c r="L1069" s="3">
        <v>1.3888888888888889E-3</v>
      </c>
      <c r="M1069" t="s">
        <v>31</v>
      </c>
      <c r="N1069" t="s">
        <v>222</v>
      </c>
    </row>
    <row r="1070" spans="1:14" x14ac:dyDescent="0.35">
      <c r="A1070" t="s">
        <v>14</v>
      </c>
      <c r="B1070" t="s">
        <v>305</v>
      </c>
      <c r="C1070" t="s">
        <v>163</v>
      </c>
      <c r="D1070" t="s">
        <v>62</v>
      </c>
      <c r="E1070" s="2">
        <v>43082</v>
      </c>
      <c r="F1070" t="s">
        <v>24</v>
      </c>
      <c r="G1070" t="s">
        <v>112</v>
      </c>
      <c r="H1070" t="s">
        <v>313</v>
      </c>
      <c r="I1070" s="3">
        <v>4.3055555555555555E-2</v>
      </c>
      <c r="J1070" t="s">
        <v>19</v>
      </c>
      <c r="K1070">
        <v>53</v>
      </c>
      <c r="L1070" s="3">
        <v>4.2361111111111113E-2</v>
      </c>
      <c r="M1070" t="s">
        <v>26</v>
      </c>
      <c r="N1070" t="s">
        <v>250</v>
      </c>
    </row>
    <row r="1071" spans="1:14" x14ac:dyDescent="0.35">
      <c r="A1071" t="s">
        <v>14</v>
      </c>
      <c r="B1071" t="s">
        <v>305</v>
      </c>
      <c r="C1071" t="s">
        <v>163</v>
      </c>
      <c r="D1071" t="s">
        <v>46</v>
      </c>
      <c r="E1071" s="2">
        <v>43085</v>
      </c>
      <c r="F1071" t="s">
        <v>16</v>
      </c>
      <c r="G1071" t="s">
        <v>112</v>
      </c>
      <c r="H1071" t="s">
        <v>314</v>
      </c>
      <c r="I1071" s="3">
        <v>4.1666666666666664E-2</v>
      </c>
      <c r="J1071" t="s">
        <v>19</v>
      </c>
      <c r="K1071">
        <v>53</v>
      </c>
      <c r="L1071" s="3">
        <v>4.1666666666666664E-2</v>
      </c>
      <c r="M1071" t="s">
        <v>39</v>
      </c>
    </row>
    <row r="1072" spans="1:14" x14ac:dyDescent="0.35">
      <c r="A1072" t="s">
        <v>64</v>
      </c>
      <c r="B1072" t="s">
        <v>305</v>
      </c>
      <c r="C1072" t="s">
        <v>65</v>
      </c>
      <c r="D1072">
        <v>17</v>
      </c>
      <c r="E1072" s="2">
        <v>43092</v>
      </c>
      <c r="F1072" t="s">
        <v>24</v>
      </c>
      <c r="G1072" t="s">
        <v>66</v>
      </c>
      <c r="H1072" t="s">
        <v>112</v>
      </c>
      <c r="I1072" s="3">
        <v>2.0833333333333333E-3</v>
      </c>
      <c r="J1072" t="s">
        <v>230</v>
      </c>
      <c r="K1072">
        <v>64</v>
      </c>
      <c r="L1072" s="3">
        <v>1.3888888888888889E-3</v>
      </c>
      <c r="M1072" t="s">
        <v>83</v>
      </c>
    </row>
    <row r="1073" spans="1:14" x14ac:dyDescent="0.35">
      <c r="A1073" t="s">
        <v>64</v>
      </c>
      <c r="B1073" t="s">
        <v>305</v>
      </c>
      <c r="C1073" t="s">
        <v>65</v>
      </c>
      <c r="D1073">
        <v>18</v>
      </c>
      <c r="E1073" s="2">
        <v>43107</v>
      </c>
      <c r="F1073" t="s">
        <v>16</v>
      </c>
      <c r="G1073" t="s">
        <v>66</v>
      </c>
      <c r="H1073" t="s">
        <v>127</v>
      </c>
      <c r="I1073" s="3">
        <v>0.125</v>
      </c>
      <c r="J1073" t="s">
        <v>230</v>
      </c>
      <c r="K1073">
        <v>12</v>
      </c>
      <c r="L1073" s="3">
        <v>4.1666666666666664E-2</v>
      </c>
      <c r="M1073" t="s">
        <v>31</v>
      </c>
      <c r="N1073" t="s">
        <v>243</v>
      </c>
    </row>
    <row r="1074" spans="1:14" x14ac:dyDescent="0.35">
      <c r="A1074" t="s">
        <v>64</v>
      </c>
      <c r="B1074" t="s">
        <v>305</v>
      </c>
      <c r="C1074" t="s">
        <v>91</v>
      </c>
      <c r="D1074" t="s">
        <v>143</v>
      </c>
      <c r="E1074" s="2">
        <v>43111</v>
      </c>
      <c r="F1074" t="s">
        <v>16</v>
      </c>
      <c r="G1074" t="s">
        <v>66</v>
      </c>
      <c r="H1074" t="s">
        <v>98</v>
      </c>
      <c r="I1074" s="3">
        <v>0.20833333333333334</v>
      </c>
      <c r="J1074" t="s">
        <v>230</v>
      </c>
      <c r="K1074">
        <v>15</v>
      </c>
      <c r="L1074" s="3">
        <v>8.3333333333333329E-2</v>
      </c>
      <c r="M1074" t="s">
        <v>31</v>
      </c>
      <c r="N1074" t="s">
        <v>243</v>
      </c>
    </row>
    <row r="1075" spans="1:14" x14ac:dyDescent="0.35">
      <c r="A1075" t="s">
        <v>64</v>
      </c>
      <c r="B1075" t="s">
        <v>305</v>
      </c>
      <c r="C1075" t="s">
        <v>91</v>
      </c>
      <c r="D1075" t="s">
        <v>143</v>
      </c>
      <c r="E1075" s="2">
        <v>43111</v>
      </c>
      <c r="F1075" t="s">
        <v>16</v>
      </c>
      <c r="G1075" t="s">
        <v>66</v>
      </c>
      <c r="H1075" t="s">
        <v>98</v>
      </c>
      <c r="I1075" s="3">
        <v>0.20833333333333334</v>
      </c>
      <c r="J1075" t="s">
        <v>230</v>
      </c>
      <c r="K1075">
        <v>13</v>
      </c>
      <c r="L1075" s="3">
        <v>4.1666666666666664E-2</v>
      </c>
      <c r="M1075" t="s">
        <v>31</v>
      </c>
      <c r="N1075" t="s">
        <v>243</v>
      </c>
    </row>
    <row r="1076" spans="1:14" x14ac:dyDescent="0.35">
      <c r="A1076" t="s">
        <v>64</v>
      </c>
      <c r="B1076" t="s">
        <v>305</v>
      </c>
      <c r="C1076" t="s">
        <v>65</v>
      </c>
      <c r="D1076">
        <v>19</v>
      </c>
      <c r="E1076" s="2">
        <v>43114</v>
      </c>
      <c r="F1076" t="s">
        <v>24</v>
      </c>
      <c r="G1076" t="s">
        <v>66</v>
      </c>
      <c r="H1076" t="s">
        <v>217</v>
      </c>
      <c r="I1076" s="3">
        <v>8.611111111111111E-2</v>
      </c>
      <c r="J1076" t="s">
        <v>311</v>
      </c>
      <c r="K1076">
        <v>85</v>
      </c>
      <c r="L1076" s="3">
        <v>8.611111111111111E-2</v>
      </c>
      <c r="M1076" t="s">
        <v>39</v>
      </c>
    </row>
    <row r="1077" spans="1:14" x14ac:dyDescent="0.35">
      <c r="A1077" t="s">
        <v>64</v>
      </c>
      <c r="B1077" t="s">
        <v>305</v>
      </c>
      <c r="C1077" t="s">
        <v>65</v>
      </c>
      <c r="D1077">
        <v>20</v>
      </c>
      <c r="E1077" s="2">
        <v>43121</v>
      </c>
      <c r="F1077" t="s">
        <v>24</v>
      </c>
      <c r="G1077" t="s">
        <v>66</v>
      </c>
      <c r="H1077" t="s">
        <v>95</v>
      </c>
      <c r="I1077" s="3">
        <v>3.472222222222222E-3</v>
      </c>
      <c r="J1077" t="s">
        <v>311</v>
      </c>
      <c r="K1077">
        <v>80</v>
      </c>
      <c r="L1077" s="3">
        <v>2.7777777777777779E-3</v>
      </c>
      <c r="M1077" t="s">
        <v>31</v>
      </c>
      <c r="N1077" t="s">
        <v>273</v>
      </c>
    </row>
    <row r="1078" spans="1:14" x14ac:dyDescent="0.35">
      <c r="A1078" t="s">
        <v>14</v>
      </c>
      <c r="B1078" t="s">
        <v>305</v>
      </c>
      <c r="C1078" t="s">
        <v>65</v>
      </c>
      <c r="D1078">
        <v>20</v>
      </c>
      <c r="E1078" s="2">
        <v>43121</v>
      </c>
      <c r="F1078" t="s">
        <v>16</v>
      </c>
      <c r="G1078" t="s">
        <v>112</v>
      </c>
      <c r="H1078" t="s">
        <v>175</v>
      </c>
      <c r="I1078" s="3">
        <v>0.29236111111111113</v>
      </c>
      <c r="J1078" t="s">
        <v>19</v>
      </c>
      <c r="K1078">
        <v>84</v>
      </c>
      <c r="L1078" s="3">
        <v>0.25069444444444444</v>
      </c>
      <c r="M1078" t="s">
        <v>22</v>
      </c>
      <c r="N1078" t="s">
        <v>281</v>
      </c>
    </row>
    <row r="1079" spans="1:14" x14ac:dyDescent="0.35">
      <c r="A1079" t="s">
        <v>14</v>
      </c>
      <c r="B1079" t="s">
        <v>305</v>
      </c>
      <c r="C1079" t="s">
        <v>65</v>
      </c>
      <c r="D1079">
        <v>20</v>
      </c>
      <c r="E1079" s="2">
        <v>43121</v>
      </c>
      <c r="F1079" t="s">
        <v>16</v>
      </c>
      <c r="G1079" t="s">
        <v>112</v>
      </c>
      <c r="H1079" t="s">
        <v>175</v>
      </c>
      <c r="I1079" s="3">
        <v>0.29236111111111113</v>
      </c>
      <c r="J1079" t="s">
        <v>19</v>
      </c>
      <c r="K1079">
        <v>78</v>
      </c>
      <c r="L1079" s="3">
        <v>0.20902777777777778</v>
      </c>
      <c r="M1079" t="s">
        <v>31</v>
      </c>
      <c r="N1079" t="s">
        <v>304</v>
      </c>
    </row>
    <row r="1080" spans="1:14" x14ac:dyDescent="0.35">
      <c r="A1080" t="s">
        <v>64</v>
      </c>
      <c r="B1080" t="s">
        <v>305</v>
      </c>
      <c r="C1080" t="s">
        <v>65</v>
      </c>
      <c r="D1080">
        <v>20</v>
      </c>
      <c r="E1080" s="2">
        <v>43121</v>
      </c>
      <c r="F1080" t="s">
        <v>24</v>
      </c>
      <c r="G1080" t="s">
        <v>66</v>
      </c>
      <c r="H1080" t="s">
        <v>95</v>
      </c>
      <c r="I1080" s="3">
        <v>3.472222222222222E-3</v>
      </c>
      <c r="J1080" t="s">
        <v>311</v>
      </c>
      <c r="K1080">
        <v>64</v>
      </c>
      <c r="L1080" s="3">
        <v>1.3888888888888889E-3</v>
      </c>
      <c r="M1080" t="s">
        <v>31</v>
      </c>
      <c r="N1080" t="s">
        <v>222</v>
      </c>
    </row>
    <row r="1081" spans="1:14" x14ac:dyDescent="0.35">
      <c r="A1081" t="s">
        <v>64</v>
      </c>
      <c r="B1081" t="s">
        <v>305</v>
      </c>
      <c r="C1081" t="s">
        <v>91</v>
      </c>
      <c r="D1081" t="s">
        <v>92</v>
      </c>
      <c r="E1081" s="2">
        <v>43125</v>
      </c>
      <c r="F1081" t="s">
        <v>16</v>
      </c>
      <c r="G1081" t="s">
        <v>66</v>
      </c>
      <c r="H1081" t="s">
        <v>121</v>
      </c>
      <c r="I1081" s="3">
        <v>8.3333333333333329E-2</v>
      </c>
      <c r="J1081" t="s">
        <v>230</v>
      </c>
      <c r="K1081">
        <v>25</v>
      </c>
      <c r="L1081" s="3">
        <v>8.3333333333333329E-2</v>
      </c>
      <c r="M1081" t="s">
        <v>129</v>
      </c>
    </row>
    <row r="1082" spans="1:14" x14ac:dyDescent="0.35">
      <c r="A1082" t="s">
        <v>14</v>
      </c>
      <c r="B1082" t="s">
        <v>305</v>
      </c>
      <c r="C1082" t="s">
        <v>65</v>
      </c>
      <c r="D1082">
        <v>21</v>
      </c>
      <c r="E1082" s="2">
        <v>43127</v>
      </c>
      <c r="F1082" t="s">
        <v>24</v>
      </c>
      <c r="G1082" t="s">
        <v>112</v>
      </c>
      <c r="H1082" t="s">
        <v>148</v>
      </c>
      <c r="I1082" s="3">
        <v>4.4444444444444446E-2</v>
      </c>
      <c r="J1082" t="s">
        <v>19</v>
      </c>
      <c r="K1082">
        <v>38</v>
      </c>
      <c r="L1082" s="3">
        <v>1.3888888888888889E-3</v>
      </c>
      <c r="M1082" t="s">
        <v>83</v>
      </c>
    </row>
    <row r="1083" spans="1:14" x14ac:dyDescent="0.35">
      <c r="A1083" t="s">
        <v>14</v>
      </c>
      <c r="B1083" t="s">
        <v>305</v>
      </c>
      <c r="C1083" t="s">
        <v>65</v>
      </c>
      <c r="D1083">
        <v>21</v>
      </c>
      <c r="E1083" s="2">
        <v>43127</v>
      </c>
      <c r="F1083" t="s">
        <v>24</v>
      </c>
      <c r="G1083" t="s">
        <v>112</v>
      </c>
      <c r="H1083" t="s">
        <v>148</v>
      </c>
      <c r="I1083" s="3">
        <v>4.4444444444444446E-2</v>
      </c>
      <c r="J1083" t="s">
        <v>19</v>
      </c>
      <c r="K1083">
        <v>16</v>
      </c>
      <c r="L1083" s="3">
        <v>6.9444444444444447E-4</v>
      </c>
      <c r="M1083" t="s">
        <v>83</v>
      </c>
    </row>
    <row r="1084" spans="1:14" x14ac:dyDescent="0.35">
      <c r="A1084" t="s">
        <v>64</v>
      </c>
      <c r="B1084" t="s">
        <v>305</v>
      </c>
      <c r="C1084" t="s">
        <v>65</v>
      </c>
      <c r="D1084">
        <v>21</v>
      </c>
      <c r="E1084" s="2">
        <v>43128</v>
      </c>
      <c r="F1084" t="s">
        <v>16</v>
      </c>
      <c r="G1084" t="s">
        <v>66</v>
      </c>
      <c r="H1084" t="s">
        <v>88</v>
      </c>
      <c r="I1084" s="3">
        <v>8.4027777777777785E-2</v>
      </c>
      <c r="J1084" t="s">
        <v>230</v>
      </c>
      <c r="K1084">
        <v>84</v>
      </c>
      <c r="L1084" s="3">
        <v>8.4027777777777785E-2</v>
      </c>
      <c r="M1084" t="s">
        <v>39</v>
      </c>
    </row>
    <row r="1085" spans="1:14" x14ac:dyDescent="0.35">
      <c r="A1085" t="s">
        <v>14</v>
      </c>
      <c r="B1085" t="s">
        <v>305</v>
      </c>
      <c r="C1085" t="s">
        <v>65</v>
      </c>
      <c r="D1085">
        <v>23</v>
      </c>
      <c r="E1085" s="2">
        <v>43141</v>
      </c>
      <c r="F1085" t="s">
        <v>16</v>
      </c>
      <c r="G1085" t="s">
        <v>112</v>
      </c>
      <c r="H1085" t="s">
        <v>217</v>
      </c>
      <c r="I1085" s="3">
        <v>0.20972222222222223</v>
      </c>
      <c r="J1085" t="s">
        <v>68</v>
      </c>
      <c r="K1085">
        <v>80</v>
      </c>
      <c r="L1085" s="3">
        <v>0.20902777777777778</v>
      </c>
      <c r="M1085" t="s">
        <v>55</v>
      </c>
    </row>
    <row r="1086" spans="1:14" x14ac:dyDescent="0.35">
      <c r="A1086" t="s">
        <v>14</v>
      </c>
      <c r="B1086" t="s">
        <v>305</v>
      </c>
      <c r="C1086" t="s">
        <v>65</v>
      </c>
      <c r="D1086">
        <v>23</v>
      </c>
      <c r="E1086" s="2">
        <v>43141</v>
      </c>
      <c r="F1086" t="s">
        <v>16</v>
      </c>
      <c r="G1086" t="s">
        <v>112</v>
      </c>
      <c r="H1086" t="s">
        <v>217</v>
      </c>
      <c r="I1086" s="3">
        <v>0.20972222222222223</v>
      </c>
      <c r="J1086" t="s">
        <v>68</v>
      </c>
      <c r="K1086">
        <v>37</v>
      </c>
      <c r="L1086" s="3">
        <v>0.16666666666666666</v>
      </c>
      <c r="M1086" t="s">
        <v>22</v>
      </c>
      <c r="N1086" t="s">
        <v>250</v>
      </c>
    </row>
    <row r="1087" spans="1:14" x14ac:dyDescent="0.35">
      <c r="A1087" t="s">
        <v>14</v>
      </c>
      <c r="B1087" t="s">
        <v>305</v>
      </c>
      <c r="C1087" t="s">
        <v>65</v>
      </c>
      <c r="D1087">
        <v>23</v>
      </c>
      <c r="E1087" s="2">
        <v>43141</v>
      </c>
      <c r="F1087" t="s">
        <v>16</v>
      </c>
      <c r="G1087" t="s">
        <v>112</v>
      </c>
      <c r="H1087" t="s">
        <v>217</v>
      </c>
      <c r="I1087" s="3">
        <v>0.20972222222222223</v>
      </c>
      <c r="J1087" t="s">
        <v>68</v>
      </c>
      <c r="K1087">
        <v>27</v>
      </c>
      <c r="L1087" s="3">
        <v>8.3333333333333329E-2</v>
      </c>
      <c r="M1087" t="s">
        <v>26</v>
      </c>
      <c r="N1087" t="s">
        <v>201</v>
      </c>
    </row>
    <row r="1088" spans="1:14" x14ac:dyDescent="0.35">
      <c r="A1088" t="s">
        <v>14</v>
      </c>
      <c r="B1088" t="s">
        <v>305</v>
      </c>
      <c r="C1088" t="s">
        <v>75</v>
      </c>
      <c r="D1088" t="s">
        <v>143</v>
      </c>
      <c r="E1088" s="2">
        <v>43145</v>
      </c>
      <c r="F1088" t="s">
        <v>16</v>
      </c>
      <c r="G1088" t="s">
        <v>112</v>
      </c>
      <c r="H1088" t="s">
        <v>252</v>
      </c>
      <c r="I1088" s="3">
        <v>0.12569444444444444</v>
      </c>
      <c r="J1088" t="s">
        <v>19</v>
      </c>
      <c r="K1088">
        <v>45</v>
      </c>
      <c r="L1088" s="3">
        <v>4.2361111111111113E-2</v>
      </c>
      <c r="M1088" t="s">
        <v>83</v>
      </c>
    </row>
    <row r="1089" spans="1:14" x14ac:dyDescent="0.35">
      <c r="A1089" t="s">
        <v>14</v>
      </c>
      <c r="B1089" t="s">
        <v>305</v>
      </c>
      <c r="C1089" t="s">
        <v>75</v>
      </c>
      <c r="D1089" t="s">
        <v>143</v>
      </c>
      <c r="E1089" s="2">
        <v>43145</v>
      </c>
      <c r="F1089" t="s">
        <v>16</v>
      </c>
      <c r="G1089" t="s">
        <v>112</v>
      </c>
      <c r="H1089" t="s">
        <v>252</v>
      </c>
      <c r="I1089" s="3">
        <v>0.12569444444444444</v>
      </c>
      <c r="J1089" t="s">
        <v>19</v>
      </c>
      <c r="K1089">
        <v>83</v>
      </c>
      <c r="L1089" s="3">
        <v>8.4027777777777785E-2</v>
      </c>
      <c r="M1089" t="s">
        <v>55</v>
      </c>
    </row>
    <row r="1090" spans="1:14" x14ac:dyDescent="0.35">
      <c r="A1090" t="s">
        <v>14</v>
      </c>
      <c r="B1090" t="s">
        <v>305</v>
      </c>
      <c r="C1090" t="s">
        <v>65</v>
      </c>
      <c r="D1090">
        <v>24</v>
      </c>
      <c r="E1090" s="2">
        <v>43149</v>
      </c>
      <c r="F1090" t="s">
        <v>24</v>
      </c>
      <c r="G1090" t="s">
        <v>112</v>
      </c>
      <c r="H1090" t="s">
        <v>95</v>
      </c>
      <c r="I1090" s="3">
        <v>0.12847222222222221</v>
      </c>
      <c r="J1090" t="s">
        <v>68</v>
      </c>
      <c r="K1090">
        <v>65</v>
      </c>
      <c r="L1090" s="3">
        <v>8.611111111111111E-2</v>
      </c>
      <c r="M1090" t="s">
        <v>26</v>
      </c>
      <c r="N1090" t="s">
        <v>304</v>
      </c>
    </row>
    <row r="1091" spans="1:14" x14ac:dyDescent="0.35">
      <c r="A1091" t="s">
        <v>64</v>
      </c>
      <c r="B1091" t="s">
        <v>305</v>
      </c>
      <c r="C1091" t="s">
        <v>75</v>
      </c>
      <c r="D1091" t="s">
        <v>143</v>
      </c>
      <c r="E1091" s="2">
        <v>43151</v>
      </c>
      <c r="F1091" t="s">
        <v>24</v>
      </c>
      <c r="G1091" t="s">
        <v>66</v>
      </c>
      <c r="H1091" t="s">
        <v>149</v>
      </c>
      <c r="I1091" s="3">
        <v>4.2361111111111113E-2</v>
      </c>
      <c r="J1091" t="s">
        <v>230</v>
      </c>
      <c r="K1091">
        <v>75</v>
      </c>
      <c r="L1091" s="3">
        <v>4.2361111111111113E-2</v>
      </c>
      <c r="M1091" t="s">
        <v>31</v>
      </c>
      <c r="N1091" t="s">
        <v>99</v>
      </c>
    </row>
    <row r="1092" spans="1:14" x14ac:dyDescent="0.35">
      <c r="A1092" t="s">
        <v>14</v>
      </c>
      <c r="B1092" t="s">
        <v>305</v>
      </c>
      <c r="C1092" t="s">
        <v>65</v>
      </c>
      <c r="D1092">
        <v>25</v>
      </c>
      <c r="E1092" s="2">
        <v>43155</v>
      </c>
      <c r="F1092" t="s">
        <v>16</v>
      </c>
      <c r="G1092" t="s">
        <v>112</v>
      </c>
      <c r="H1092" t="s">
        <v>88</v>
      </c>
      <c r="I1092" s="3">
        <v>0.16666666666666666</v>
      </c>
      <c r="J1092" t="s">
        <v>251</v>
      </c>
      <c r="K1092">
        <v>44</v>
      </c>
      <c r="L1092" s="3">
        <v>4.1666666666666664E-2</v>
      </c>
      <c r="M1092" t="s">
        <v>31</v>
      </c>
      <c r="N1092" t="s">
        <v>183</v>
      </c>
    </row>
    <row r="1093" spans="1:14" x14ac:dyDescent="0.35">
      <c r="A1093" t="s">
        <v>14</v>
      </c>
      <c r="B1093" t="s">
        <v>305</v>
      </c>
      <c r="C1093" t="s">
        <v>65</v>
      </c>
      <c r="D1093">
        <v>25</v>
      </c>
      <c r="E1093" s="2">
        <v>43155</v>
      </c>
      <c r="F1093" t="s">
        <v>16</v>
      </c>
      <c r="G1093" t="s">
        <v>112</v>
      </c>
      <c r="H1093" t="s">
        <v>88</v>
      </c>
      <c r="I1093" s="3">
        <v>0.16666666666666666</v>
      </c>
      <c r="J1093" t="s">
        <v>251</v>
      </c>
      <c r="K1093">
        <v>61</v>
      </c>
      <c r="L1093" s="3">
        <v>0.125</v>
      </c>
      <c r="M1093" t="s">
        <v>26</v>
      </c>
      <c r="N1093" t="s">
        <v>281</v>
      </c>
    </row>
    <row r="1094" spans="1:14" x14ac:dyDescent="0.35">
      <c r="A1094" t="s">
        <v>64</v>
      </c>
      <c r="B1094" t="s">
        <v>305</v>
      </c>
      <c r="C1094" t="s">
        <v>65</v>
      </c>
      <c r="D1094">
        <v>25</v>
      </c>
      <c r="E1094" s="2">
        <v>43155</v>
      </c>
      <c r="F1094" t="s">
        <v>16</v>
      </c>
      <c r="G1094" t="s">
        <v>66</v>
      </c>
      <c r="H1094" t="s">
        <v>315</v>
      </c>
      <c r="I1094" s="3">
        <v>0.25069444444444444</v>
      </c>
      <c r="J1094" t="s">
        <v>311</v>
      </c>
      <c r="K1094">
        <v>36</v>
      </c>
      <c r="L1094" s="3">
        <v>0.12569444444444444</v>
      </c>
      <c r="M1094" t="s">
        <v>39</v>
      </c>
    </row>
    <row r="1095" spans="1:14" x14ac:dyDescent="0.35">
      <c r="A1095" t="s">
        <v>64</v>
      </c>
      <c r="B1095" t="s">
        <v>305</v>
      </c>
      <c r="C1095" t="s">
        <v>65</v>
      </c>
      <c r="D1095">
        <v>25</v>
      </c>
      <c r="E1095" s="2">
        <v>43155</v>
      </c>
      <c r="F1095" t="s">
        <v>16</v>
      </c>
      <c r="G1095" t="s">
        <v>66</v>
      </c>
      <c r="H1095" t="s">
        <v>315</v>
      </c>
      <c r="I1095" s="3">
        <v>0.25069444444444444</v>
      </c>
      <c r="J1095" t="s">
        <v>311</v>
      </c>
      <c r="K1095">
        <v>30</v>
      </c>
      <c r="L1095" s="3">
        <v>8.4027777777777785E-2</v>
      </c>
      <c r="M1095" t="s">
        <v>31</v>
      </c>
      <c r="N1095" t="s">
        <v>273</v>
      </c>
    </row>
    <row r="1096" spans="1:14" x14ac:dyDescent="0.35">
      <c r="A1096" t="s">
        <v>64</v>
      </c>
      <c r="B1096" t="s">
        <v>305</v>
      </c>
      <c r="C1096" t="s">
        <v>65</v>
      </c>
      <c r="D1096">
        <v>26</v>
      </c>
      <c r="E1096" s="2">
        <v>43160</v>
      </c>
      <c r="F1096" t="s">
        <v>24</v>
      </c>
      <c r="G1096" t="s">
        <v>66</v>
      </c>
      <c r="H1096" t="s">
        <v>284</v>
      </c>
      <c r="I1096" s="3">
        <v>4.2361111111111113E-2</v>
      </c>
      <c r="J1096" t="s">
        <v>230</v>
      </c>
      <c r="K1096">
        <v>21</v>
      </c>
      <c r="L1096" s="3">
        <v>6.9444444444444447E-4</v>
      </c>
      <c r="M1096" t="s">
        <v>39</v>
      </c>
    </row>
    <row r="1097" spans="1:14" x14ac:dyDescent="0.35">
      <c r="A1097" t="s">
        <v>14</v>
      </c>
      <c r="B1097" t="s">
        <v>305</v>
      </c>
      <c r="C1097" t="s">
        <v>65</v>
      </c>
      <c r="D1097">
        <v>27</v>
      </c>
      <c r="E1097" s="2">
        <v>43162</v>
      </c>
      <c r="F1097" t="s">
        <v>16</v>
      </c>
      <c r="G1097" t="s">
        <v>112</v>
      </c>
      <c r="H1097" t="s">
        <v>117</v>
      </c>
      <c r="I1097" s="3">
        <v>0.12569444444444444</v>
      </c>
      <c r="J1097" t="s">
        <v>68</v>
      </c>
      <c r="K1097" t="s">
        <v>58</v>
      </c>
      <c r="L1097" s="3">
        <v>8.3333333333333329E-2</v>
      </c>
      <c r="M1097" t="s">
        <v>31</v>
      </c>
      <c r="N1097" t="s">
        <v>183</v>
      </c>
    </row>
    <row r="1098" spans="1:14" x14ac:dyDescent="0.35">
      <c r="A1098" t="s">
        <v>14</v>
      </c>
      <c r="B1098" t="s">
        <v>305</v>
      </c>
      <c r="C1098" t="s">
        <v>65</v>
      </c>
      <c r="D1098">
        <v>27</v>
      </c>
      <c r="E1098" s="2">
        <v>43162</v>
      </c>
      <c r="F1098" t="s">
        <v>16</v>
      </c>
      <c r="G1098" t="s">
        <v>112</v>
      </c>
      <c r="H1098" t="s">
        <v>117</v>
      </c>
      <c r="I1098" s="3">
        <v>0.12569444444444444</v>
      </c>
      <c r="J1098" t="s">
        <v>68</v>
      </c>
      <c r="K1098">
        <v>78</v>
      </c>
      <c r="L1098" s="3">
        <v>0.12569444444444444</v>
      </c>
      <c r="M1098" t="s">
        <v>22</v>
      </c>
      <c r="N1098" t="s">
        <v>201</v>
      </c>
    </row>
    <row r="1099" spans="1:14" x14ac:dyDescent="0.35">
      <c r="A1099" t="s">
        <v>64</v>
      </c>
      <c r="B1099" t="s">
        <v>305</v>
      </c>
      <c r="C1099" t="s">
        <v>65</v>
      </c>
      <c r="D1099">
        <v>27</v>
      </c>
      <c r="E1099" s="2">
        <v>43163</v>
      </c>
      <c r="F1099" t="s">
        <v>16</v>
      </c>
      <c r="G1099" t="s">
        <v>66</v>
      </c>
      <c r="H1099" t="s">
        <v>119</v>
      </c>
      <c r="I1099" s="3">
        <v>4.1666666666666664E-2</v>
      </c>
      <c r="J1099" t="s">
        <v>230</v>
      </c>
      <c r="K1099">
        <v>26</v>
      </c>
      <c r="L1099" s="3">
        <v>4.1666666666666664E-2</v>
      </c>
      <c r="M1099" t="s">
        <v>39</v>
      </c>
    </row>
    <row r="1100" spans="1:14" x14ac:dyDescent="0.35">
      <c r="A1100" t="s">
        <v>14</v>
      </c>
      <c r="B1100" t="s">
        <v>305</v>
      </c>
      <c r="C1100" t="s">
        <v>75</v>
      </c>
      <c r="D1100" t="s">
        <v>143</v>
      </c>
      <c r="E1100" s="2">
        <v>43165</v>
      </c>
      <c r="F1100" t="s">
        <v>24</v>
      </c>
      <c r="G1100" t="s">
        <v>112</v>
      </c>
      <c r="H1100" t="s">
        <v>252</v>
      </c>
      <c r="I1100" s="3">
        <v>4.3055555555555555E-2</v>
      </c>
      <c r="J1100" t="s">
        <v>68</v>
      </c>
      <c r="K1100">
        <v>51</v>
      </c>
      <c r="L1100" s="3">
        <v>6.9444444444444447E-4</v>
      </c>
      <c r="M1100" t="s">
        <v>22</v>
      </c>
      <c r="N1100" t="s">
        <v>281</v>
      </c>
    </row>
    <row r="1101" spans="1:14" x14ac:dyDescent="0.35">
      <c r="A1101" t="s">
        <v>14</v>
      </c>
      <c r="B1101" t="s">
        <v>305</v>
      </c>
      <c r="C1101" t="s">
        <v>65</v>
      </c>
      <c r="D1101">
        <v>28</v>
      </c>
      <c r="E1101" s="2">
        <v>43169</v>
      </c>
      <c r="F1101" t="s">
        <v>24</v>
      </c>
      <c r="G1101" t="s">
        <v>112</v>
      </c>
      <c r="H1101" t="s">
        <v>270</v>
      </c>
      <c r="I1101" s="3">
        <v>4.3055555555555555E-2</v>
      </c>
      <c r="J1101" t="s">
        <v>68</v>
      </c>
      <c r="K1101">
        <v>33</v>
      </c>
      <c r="L1101" s="3">
        <v>6.9444444444444447E-4</v>
      </c>
      <c r="M1101" t="s">
        <v>26</v>
      </c>
      <c r="N1101" t="s">
        <v>250</v>
      </c>
    </row>
    <row r="1102" spans="1:14" x14ac:dyDescent="0.35">
      <c r="A1102" t="s">
        <v>14</v>
      </c>
      <c r="B1102" t="s">
        <v>305</v>
      </c>
      <c r="C1102" t="s">
        <v>65</v>
      </c>
      <c r="D1102">
        <v>28</v>
      </c>
      <c r="E1102" s="2">
        <v>43169</v>
      </c>
      <c r="F1102" t="s">
        <v>24</v>
      </c>
      <c r="G1102" t="s">
        <v>112</v>
      </c>
      <c r="H1102" t="s">
        <v>270</v>
      </c>
      <c r="I1102" s="3">
        <v>4.3055555555555555E-2</v>
      </c>
      <c r="J1102" t="s">
        <v>68</v>
      </c>
      <c r="K1102">
        <v>84</v>
      </c>
      <c r="L1102" s="3">
        <v>4.3055555555555555E-2</v>
      </c>
      <c r="M1102" t="s">
        <v>22</v>
      </c>
      <c r="N1102" t="s">
        <v>262</v>
      </c>
    </row>
    <row r="1103" spans="1:14" x14ac:dyDescent="0.35">
      <c r="A1103" t="s">
        <v>64</v>
      </c>
      <c r="B1103" t="s">
        <v>305</v>
      </c>
      <c r="C1103" t="s">
        <v>75</v>
      </c>
      <c r="D1103" t="s">
        <v>143</v>
      </c>
      <c r="E1103" s="2">
        <v>43173</v>
      </c>
      <c r="F1103" t="s">
        <v>16</v>
      </c>
      <c r="G1103" t="s">
        <v>66</v>
      </c>
      <c r="H1103" t="s">
        <v>149</v>
      </c>
      <c r="I1103" s="3">
        <v>0.125</v>
      </c>
      <c r="J1103" t="s">
        <v>230</v>
      </c>
      <c r="K1103">
        <v>63</v>
      </c>
      <c r="L1103" s="3">
        <v>0.125</v>
      </c>
      <c r="M1103" t="s">
        <v>31</v>
      </c>
      <c r="N1103" t="s">
        <v>273</v>
      </c>
    </row>
    <row r="1104" spans="1:14" x14ac:dyDescent="0.35">
      <c r="A1104" t="s">
        <v>64</v>
      </c>
      <c r="B1104" t="s">
        <v>305</v>
      </c>
      <c r="C1104" t="s">
        <v>75</v>
      </c>
      <c r="D1104" t="s">
        <v>143</v>
      </c>
      <c r="E1104" s="2">
        <v>43173</v>
      </c>
      <c r="F1104" t="s">
        <v>16</v>
      </c>
      <c r="G1104" t="s">
        <v>66</v>
      </c>
      <c r="H1104" t="s">
        <v>149</v>
      </c>
      <c r="I1104" s="3">
        <v>0.125</v>
      </c>
      <c r="J1104" t="s">
        <v>230</v>
      </c>
      <c r="K1104">
        <v>3</v>
      </c>
      <c r="L1104" s="3">
        <v>4.1666666666666664E-2</v>
      </c>
      <c r="M1104" t="s">
        <v>26</v>
      </c>
      <c r="N1104" t="s">
        <v>273</v>
      </c>
    </row>
    <row r="1105" spans="1:14" x14ac:dyDescent="0.35">
      <c r="A1105" t="s">
        <v>64</v>
      </c>
      <c r="B1105" t="s">
        <v>305</v>
      </c>
      <c r="C1105" t="s">
        <v>65</v>
      </c>
      <c r="D1105">
        <v>29</v>
      </c>
      <c r="E1105" s="2">
        <v>43177</v>
      </c>
      <c r="F1105" t="s">
        <v>16</v>
      </c>
      <c r="G1105" t="s">
        <v>66</v>
      </c>
      <c r="H1105" t="s">
        <v>86</v>
      </c>
      <c r="I1105" s="3">
        <v>8.3333333333333329E-2</v>
      </c>
      <c r="J1105" t="s">
        <v>311</v>
      </c>
      <c r="K1105">
        <v>30</v>
      </c>
      <c r="L1105" s="3">
        <v>8.3333333333333329E-2</v>
      </c>
      <c r="M1105" t="s">
        <v>31</v>
      </c>
      <c r="N1105" t="s">
        <v>316</v>
      </c>
    </row>
    <row r="1106" spans="1:14" x14ac:dyDescent="0.35">
      <c r="A1106" t="s">
        <v>14</v>
      </c>
      <c r="B1106" t="s">
        <v>305</v>
      </c>
      <c r="C1106" t="s">
        <v>65</v>
      </c>
      <c r="D1106">
        <v>29</v>
      </c>
      <c r="E1106" s="2">
        <v>43177</v>
      </c>
      <c r="F1106" t="s">
        <v>16</v>
      </c>
      <c r="G1106" t="s">
        <v>112</v>
      </c>
      <c r="H1106" t="s">
        <v>315</v>
      </c>
      <c r="I1106" s="3">
        <v>0.25208333333333333</v>
      </c>
      <c r="J1106" t="s">
        <v>68</v>
      </c>
      <c r="K1106">
        <v>47</v>
      </c>
      <c r="L1106" s="3">
        <v>8.4027777777777785E-2</v>
      </c>
      <c r="M1106" t="s">
        <v>31</v>
      </c>
      <c r="N1106" t="s">
        <v>183</v>
      </c>
    </row>
    <row r="1107" spans="1:14" x14ac:dyDescent="0.35">
      <c r="A1107" t="s">
        <v>14</v>
      </c>
      <c r="B1107" t="s">
        <v>305</v>
      </c>
      <c r="C1107" t="s">
        <v>65</v>
      </c>
      <c r="D1107">
        <v>29</v>
      </c>
      <c r="E1107" s="2">
        <v>43177</v>
      </c>
      <c r="F1107" t="s">
        <v>16</v>
      </c>
      <c r="G1107" t="s">
        <v>112</v>
      </c>
      <c r="H1107" t="s">
        <v>315</v>
      </c>
      <c r="I1107" s="3">
        <v>0.25208333333333333</v>
      </c>
      <c r="J1107" t="s">
        <v>68</v>
      </c>
      <c r="K1107">
        <v>64</v>
      </c>
      <c r="L1107" s="3">
        <v>0.1673611111111111</v>
      </c>
      <c r="M1107" t="s">
        <v>55</v>
      </c>
    </row>
    <row r="1108" spans="1:14" x14ac:dyDescent="0.35">
      <c r="A1108" t="s">
        <v>14</v>
      </c>
      <c r="B1108" t="s">
        <v>305</v>
      </c>
      <c r="C1108" t="s">
        <v>65</v>
      </c>
      <c r="D1108">
        <v>29</v>
      </c>
      <c r="E1108" s="2">
        <v>43177</v>
      </c>
      <c r="F1108" t="s">
        <v>16</v>
      </c>
      <c r="G1108" t="s">
        <v>112</v>
      </c>
      <c r="H1108" t="s">
        <v>315</v>
      </c>
      <c r="I1108" s="3">
        <v>0.25208333333333333</v>
      </c>
      <c r="J1108" t="s">
        <v>68</v>
      </c>
      <c r="K1108" t="s">
        <v>69</v>
      </c>
      <c r="L1108" s="3">
        <v>0.25208333333333333</v>
      </c>
      <c r="M1108" t="s">
        <v>26</v>
      </c>
      <c r="N1108" t="s">
        <v>277</v>
      </c>
    </row>
    <row r="1109" spans="1:14" x14ac:dyDescent="0.35">
      <c r="A1109" t="s">
        <v>14</v>
      </c>
      <c r="B1109" t="s">
        <v>305</v>
      </c>
      <c r="C1109" t="s">
        <v>65</v>
      </c>
      <c r="D1109">
        <v>29</v>
      </c>
      <c r="E1109" s="2">
        <v>43177</v>
      </c>
      <c r="F1109" t="s">
        <v>16</v>
      </c>
      <c r="G1109" t="s">
        <v>112</v>
      </c>
      <c r="H1109" t="s">
        <v>315</v>
      </c>
      <c r="I1109" s="3">
        <v>0.25208333333333333</v>
      </c>
      <c r="J1109" t="s">
        <v>68</v>
      </c>
      <c r="K1109">
        <v>11</v>
      </c>
      <c r="L1109" s="3">
        <v>4.1666666666666664E-2</v>
      </c>
      <c r="M1109" t="s">
        <v>31</v>
      </c>
      <c r="N1109" t="s">
        <v>277</v>
      </c>
    </row>
    <row r="1110" spans="1:14" x14ac:dyDescent="0.35">
      <c r="A1110" t="s">
        <v>64</v>
      </c>
      <c r="B1110" t="s">
        <v>305</v>
      </c>
      <c r="C1110" t="s">
        <v>65</v>
      </c>
      <c r="D1110">
        <v>30</v>
      </c>
      <c r="E1110" s="2">
        <v>43190</v>
      </c>
      <c r="F1110" t="s">
        <v>24</v>
      </c>
      <c r="G1110" t="s">
        <v>66</v>
      </c>
      <c r="H1110" t="s">
        <v>105</v>
      </c>
      <c r="I1110" s="3">
        <v>8.4722222222222227E-2</v>
      </c>
      <c r="J1110" t="s">
        <v>38</v>
      </c>
      <c r="K1110">
        <v>89</v>
      </c>
      <c r="L1110" s="3">
        <v>8.4722222222222227E-2</v>
      </c>
      <c r="M1110" t="s">
        <v>31</v>
      </c>
      <c r="N1110" t="s">
        <v>317</v>
      </c>
    </row>
    <row r="1111" spans="1:14" x14ac:dyDescent="0.35">
      <c r="A1111" t="s">
        <v>14</v>
      </c>
      <c r="B1111" t="s">
        <v>305</v>
      </c>
      <c r="C1111" t="s">
        <v>75</v>
      </c>
      <c r="D1111" t="s">
        <v>92</v>
      </c>
      <c r="E1111" s="2">
        <v>43193</v>
      </c>
      <c r="F1111" t="s">
        <v>24</v>
      </c>
      <c r="G1111" t="s">
        <v>112</v>
      </c>
      <c r="H1111" t="s">
        <v>260</v>
      </c>
      <c r="I1111" s="3">
        <v>2.0833333333333333E-3</v>
      </c>
      <c r="J1111" t="s">
        <v>68</v>
      </c>
      <c r="K1111">
        <v>3</v>
      </c>
      <c r="L1111" s="3">
        <v>6.9444444444444447E-4</v>
      </c>
      <c r="M1111" t="s">
        <v>26</v>
      </c>
      <c r="N1111" t="s">
        <v>257</v>
      </c>
    </row>
    <row r="1112" spans="1:14" x14ac:dyDescent="0.35">
      <c r="A1112" t="s">
        <v>14</v>
      </c>
      <c r="B1112" t="s">
        <v>305</v>
      </c>
      <c r="C1112" t="s">
        <v>75</v>
      </c>
      <c r="D1112" t="s">
        <v>92</v>
      </c>
      <c r="E1112" s="2">
        <v>43193</v>
      </c>
      <c r="F1112" t="s">
        <v>24</v>
      </c>
      <c r="G1112" t="s">
        <v>112</v>
      </c>
      <c r="H1112" t="s">
        <v>260</v>
      </c>
      <c r="I1112" s="3">
        <v>2.0833333333333333E-3</v>
      </c>
      <c r="J1112" t="s">
        <v>68</v>
      </c>
      <c r="K1112">
        <v>64</v>
      </c>
      <c r="L1112" s="3">
        <v>1.3888888888888889E-3</v>
      </c>
      <c r="M1112" t="s">
        <v>26</v>
      </c>
      <c r="N1112" t="s">
        <v>262</v>
      </c>
    </row>
    <row r="1113" spans="1:14" x14ac:dyDescent="0.35">
      <c r="A1113" t="s">
        <v>64</v>
      </c>
      <c r="B1113" t="s">
        <v>305</v>
      </c>
      <c r="C1113" t="s">
        <v>65</v>
      </c>
      <c r="D1113">
        <v>31</v>
      </c>
      <c r="E1113" s="2">
        <v>43197</v>
      </c>
      <c r="F1113" t="s">
        <v>16</v>
      </c>
      <c r="G1113" t="s">
        <v>66</v>
      </c>
      <c r="H1113" t="s">
        <v>294</v>
      </c>
      <c r="I1113" s="3">
        <v>0.12569444444444444</v>
      </c>
      <c r="J1113" t="s">
        <v>311</v>
      </c>
      <c r="K1113">
        <v>27</v>
      </c>
      <c r="L1113" s="3">
        <v>4.1666666666666664E-2</v>
      </c>
      <c r="M1113" t="s">
        <v>39</v>
      </c>
    </row>
    <row r="1114" spans="1:14" x14ac:dyDescent="0.35">
      <c r="A1114" t="s">
        <v>64</v>
      </c>
      <c r="B1114" t="s">
        <v>305</v>
      </c>
      <c r="C1114" t="s">
        <v>65</v>
      </c>
      <c r="D1114">
        <v>31</v>
      </c>
      <c r="E1114" s="2">
        <v>43197</v>
      </c>
      <c r="F1114" t="s">
        <v>16</v>
      </c>
      <c r="G1114" t="s">
        <v>66</v>
      </c>
      <c r="H1114" t="s">
        <v>294</v>
      </c>
      <c r="I1114" s="3">
        <v>0.12569444444444444</v>
      </c>
      <c r="J1114" t="s">
        <v>311</v>
      </c>
      <c r="K1114">
        <v>32</v>
      </c>
      <c r="L1114" s="3">
        <v>8.3333333333333329E-2</v>
      </c>
      <c r="M1114" t="s">
        <v>31</v>
      </c>
      <c r="N1114" t="s">
        <v>317</v>
      </c>
    </row>
    <row r="1115" spans="1:14" x14ac:dyDescent="0.35">
      <c r="A1115" t="s">
        <v>64</v>
      </c>
      <c r="B1115" t="s">
        <v>305</v>
      </c>
      <c r="C1115" t="s">
        <v>65</v>
      </c>
      <c r="D1115">
        <v>31</v>
      </c>
      <c r="E1115" s="2">
        <v>43197</v>
      </c>
      <c r="F1115" t="s">
        <v>16</v>
      </c>
      <c r="G1115" t="s">
        <v>66</v>
      </c>
      <c r="H1115" t="s">
        <v>294</v>
      </c>
      <c r="I1115" s="3">
        <v>0.12569444444444444</v>
      </c>
      <c r="J1115" t="s">
        <v>311</v>
      </c>
      <c r="K1115">
        <v>87</v>
      </c>
      <c r="L1115" s="3">
        <v>0.12569444444444444</v>
      </c>
      <c r="M1115" t="s">
        <v>31</v>
      </c>
      <c r="N1115" t="s">
        <v>316</v>
      </c>
    </row>
    <row r="1116" spans="1:14" x14ac:dyDescent="0.35">
      <c r="A1116" t="s">
        <v>14</v>
      </c>
      <c r="B1116" t="s">
        <v>305</v>
      </c>
      <c r="C1116" t="s">
        <v>65</v>
      </c>
      <c r="D1116">
        <v>31</v>
      </c>
      <c r="E1116" s="2">
        <v>43198</v>
      </c>
      <c r="F1116" t="s">
        <v>16</v>
      </c>
      <c r="G1116" t="s">
        <v>112</v>
      </c>
      <c r="H1116" t="s">
        <v>119</v>
      </c>
      <c r="I1116" s="3">
        <v>4.2361111111111113E-2</v>
      </c>
      <c r="J1116" t="s">
        <v>68</v>
      </c>
      <c r="K1116">
        <v>53</v>
      </c>
      <c r="L1116" s="3">
        <v>4.1666666666666664E-2</v>
      </c>
      <c r="M1116" t="s">
        <v>26</v>
      </c>
      <c r="N1116" t="s">
        <v>261</v>
      </c>
    </row>
    <row r="1117" spans="1:14" x14ac:dyDescent="0.35">
      <c r="A1117" t="s">
        <v>14</v>
      </c>
      <c r="B1117" t="s">
        <v>305</v>
      </c>
      <c r="C1117" t="s">
        <v>75</v>
      </c>
      <c r="D1117" t="s">
        <v>92</v>
      </c>
      <c r="E1117" s="2">
        <v>43201</v>
      </c>
      <c r="F1117" t="s">
        <v>16</v>
      </c>
      <c r="G1117" t="s">
        <v>112</v>
      </c>
      <c r="H1117" t="s">
        <v>260</v>
      </c>
      <c r="I1117" s="3">
        <v>4.3749999999999997E-2</v>
      </c>
      <c r="J1117" t="s">
        <v>68</v>
      </c>
      <c r="K1117" t="s">
        <v>318</v>
      </c>
      <c r="L1117" s="3">
        <v>4.3749999999999997E-2</v>
      </c>
      <c r="M1117" t="s">
        <v>83</v>
      </c>
    </row>
    <row r="1118" spans="1:14" x14ac:dyDescent="0.35">
      <c r="A1118" t="s">
        <v>14</v>
      </c>
      <c r="B1118" t="s">
        <v>305</v>
      </c>
      <c r="C1118" t="s">
        <v>65</v>
      </c>
      <c r="D1118">
        <v>33</v>
      </c>
      <c r="E1118" s="2">
        <v>43208</v>
      </c>
      <c r="F1118" t="s">
        <v>16</v>
      </c>
      <c r="G1118" t="s">
        <v>112</v>
      </c>
      <c r="H1118" t="s">
        <v>86</v>
      </c>
      <c r="I1118" s="3">
        <v>4.2361111111111113E-2</v>
      </c>
      <c r="J1118" t="s">
        <v>68</v>
      </c>
      <c r="K1118">
        <v>87</v>
      </c>
      <c r="L1118" s="3">
        <v>4.2361111111111113E-2</v>
      </c>
      <c r="M1118" t="s">
        <v>26</v>
      </c>
      <c r="N1118" t="s">
        <v>250</v>
      </c>
    </row>
    <row r="1119" spans="1:14" x14ac:dyDescent="0.35">
      <c r="A1119" t="s">
        <v>64</v>
      </c>
      <c r="B1119" t="s">
        <v>305</v>
      </c>
      <c r="C1119" t="s">
        <v>91</v>
      </c>
      <c r="D1119" t="s">
        <v>46</v>
      </c>
      <c r="E1119" s="2">
        <v>43211</v>
      </c>
      <c r="F1119" t="s">
        <v>24</v>
      </c>
      <c r="G1119" t="s">
        <v>66</v>
      </c>
      <c r="H1119" t="s">
        <v>105</v>
      </c>
      <c r="I1119" s="3">
        <v>3.472222222222222E-3</v>
      </c>
      <c r="J1119" t="s">
        <v>230</v>
      </c>
      <c r="K1119">
        <v>31</v>
      </c>
      <c r="L1119" s="3">
        <v>1.3888888888888889E-3</v>
      </c>
      <c r="M1119" t="s">
        <v>31</v>
      </c>
      <c r="N1119" t="s">
        <v>243</v>
      </c>
    </row>
    <row r="1120" spans="1:14" x14ac:dyDescent="0.35">
      <c r="A1120" t="s">
        <v>64</v>
      </c>
      <c r="B1120" t="s">
        <v>305</v>
      </c>
      <c r="C1120" t="s">
        <v>65</v>
      </c>
      <c r="D1120">
        <v>35</v>
      </c>
      <c r="E1120" s="2">
        <v>43219</v>
      </c>
      <c r="F1120" t="s">
        <v>24</v>
      </c>
      <c r="G1120" t="s">
        <v>66</v>
      </c>
      <c r="H1120" t="s">
        <v>115</v>
      </c>
      <c r="I1120" s="3">
        <v>8.611111111111111E-2</v>
      </c>
      <c r="J1120" t="s">
        <v>251</v>
      </c>
      <c r="K1120">
        <v>82</v>
      </c>
      <c r="L1120" s="3">
        <v>8.5416666666666669E-2</v>
      </c>
      <c r="M1120" t="s">
        <v>26</v>
      </c>
      <c r="N1120" t="s">
        <v>273</v>
      </c>
    </row>
    <row r="1121" spans="1:14" x14ac:dyDescent="0.35">
      <c r="A1121" t="s">
        <v>64</v>
      </c>
      <c r="B1121" t="s">
        <v>305</v>
      </c>
      <c r="C1121" t="s">
        <v>65</v>
      </c>
      <c r="D1121">
        <v>35</v>
      </c>
      <c r="E1121" s="2">
        <v>43219</v>
      </c>
      <c r="F1121" t="s">
        <v>24</v>
      </c>
      <c r="G1121" t="s">
        <v>66</v>
      </c>
      <c r="H1121" t="s">
        <v>115</v>
      </c>
      <c r="I1121" s="3">
        <v>8.611111111111111E-2</v>
      </c>
      <c r="J1121" t="s">
        <v>251</v>
      </c>
      <c r="K1121">
        <v>85</v>
      </c>
      <c r="L1121" s="3">
        <v>8.611111111111111E-2</v>
      </c>
      <c r="M1121" t="s">
        <v>31</v>
      </c>
      <c r="N1121" t="s">
        <v>273</v>
      </c>
    </row>
    <row r="1122" spans="1:14" x14ac:dyDescent="0.35">
      <c r="A1122" t="s">
        <v>64</v>
      </c>
      <c r="B1122" t="s">
        <v>305</v>
      </c>
      <c r="C1122" t="s">
        <v>65</v>
      </c>
      <c r="D1122">
        <v>35</v>
      </c>
      <c r="E1122" s="2">
        <v>43219</v>
      </c>
      <c r="F1122" t="s">
        <v>24</v>
      </c>
      <c r="G1122" t="s">
        <v>66</v>
      </c>
      <c r="H1122" t="s">
        <v>115</v>
      </c>
      <c r="I1122" s="3">
        <v>8.611111111111111E-2</v>
      </c>
      <c r="J1122" t="s">
        <v>251</v>
      </c>
      <c r="K1122">
        <v>38</v>
      </c>
      <c r="L1122" s="3">
        <v>1.3888888888888889E-3</v>
      </c>
      <c r="M1122" t="s">
        <v>31</v>
      </c>
      <c r="N1122" t="s">
        <v>273</v>
      </c>
    </row>
    <row r="1123" spans="1:14" x14ac:dyDescent="0.35">
      <c r="A1123" t="s">
        <v>14</v>
      </c>
      <c r="B1123" t="s">
        <v>305</v>
      </c>
      <c r="C1123" t="s">
        <v>65</v>
      </c>
      <c r="D1123">
        <v>36</v>
      </c>
      <c r="E1123" s="2">
        <v>43226</v>
      </c>
      <c r="F1123" t="s">
        <v>24</v>
      </c>
      <c r="G1123" t="s">
        <v>112</v>
      </c>
      <c r="H1123" t="s">
        <v>66</v>
      </c>
      <c r="I1123" s="3">
        <v>8.4722222222222227E-2</v>
      </c>
      <c r="J1123" t="s">
        <v>19</v>
      </c>
      <c r="K1123">
        <v>14</v>
      </c>
      <c r="L1123" s="3">
        <v>4.2361111111111113E-2</v>
      </c>
      <c r="M1123" t="s">
        <v>26</v>
      </c>
      <c r="N1123" t="s">
        <v>183</v>
      </c>
    </row>
    <row r="1124" spans="1:14" x14ac:dyDescent="0.35">
      <c r="A1124" t="s">
        <v>64</v>
      </c>
      <c r="B1124" t="s">
        <v>305</v>
      </c>
      <c r="C1124" t="s">
        <v>65</v>
      </c>
      <c r="D1124">
        <v>36</v>
      </c>
      <c r="E1124" s="2">
        <v>43226</v>
      </c>
      <c r="F1124" t="s">
        <v>16</v>
      </c>
      <c r="G1124" t="s">
        <v>66</v>
      </c>
      <c r="H1124" t="s">
        <v>112</v>
      </c>
      <c r="I1124" s="3">
        <v>8.4722222222222227E-2</v>
      </c>
      <c r="J1124" t="s">
        <v>230</v>
      </c>
      <c r="K1124">
        <v>52</v>
      </c>
      <c r="L1124" s="3">
        <v>8.4027777777777785E-2</v>
      </c>
      <c r="M1124" t="s">
        <v>31</v>
      </c>
      <c r="N1124" t="s">
        <v>273</v>
      </c>
    </row>
    <row r="1125" spans="1:14" x14ac:dyDescent="0.35">
      <c r="A1125" t="s">
        <v>64</v>
      </c>
      <c r="B1125" t="s">
        <v>305</v>
      </c>
      <c r="C1125" t="s">
        <v>65</v>
      </c>
      <c r="D1125">
        <v>34</v>
      </c>
      <c r="E1125" s="2">
        <v>43229</v>
      </c>
      <c r="F1125" t="s">
        <v>16</v>
      </c>
      <c r="G1125" t="s">
        <v>66</v>
      </c>
      <c r="H1125" t="s">
        <v>180</v>
      </c>
      <c r="I1125" s="3">
        <v>0.20902777777777778</v>
      </c>
      <c r="J1125" t="s">
        <v>68</v>
      </c>
      <c r="K1125">
        <v>45</v>
      </c>
      <c r="L1125" s="3">
        <v>0.125</v>
      </c>
      <c r="M1125" t="s">
        <v>31</v>
      </c>
      <c r="N1125" t="s">
        <v>99</v>
      </c>
    </row>
    <row r="1126" spans="1:14" x14ac:dyDescent="0.35">
      <c r="A1126" t="s">
        <v>14</v>
      </c>
      <c r="B1126" t="s">
        <v>305</v>
      </c>
      <c r="C1126" t="s">
        <v>65</v>
      </c>
      <c r="D1126">
        <v>38</v>
      </c>
      <c r="E1126" s="2">
        <v>43239</v>
      </c>
      <c r="F1126" t="s">
        <v>24</v>
      </c>
      <c r="G1126" t="s">
        <v>112</v>
      </c>
      <c r="H1126" t="s">
        <v>180</v>
      </c>
      <c r="I1126" s="3">
        <v>8.4722222222222227E-2</v>
      </c>
      <c r="J1126" t="s">
        <v>68</v>
      </c>
      <c r="K1126">
        <v>32</v>
      </c>
      <c r="L1126" s="3">
        <v>1.3888888888888889E-3</v>
      </c>
      <c r="M1126" t="s">
        <v>22</v>
      </c>
      <c r="N1126" t="s">
        <v>201</v>
      </c>
    </row>
    <row r="1127" spans="1:14" x14ac:dyDescent="0.35">
      <c r="A1127" t="s">
        <v>64</v>
      </c>
      <c r="B1127" t="s">
        <v>319</v>
      </c>
      <c r="C1127" t="s">
        <v>65</v>
      </c>
      <c r="D1127">
        <v>1</v>
      </c>
      <c r="E1127" s="2">
        <v>43330</v>
      </c>
      <c r="F1127" t="s">
        <v>16</v>
      </c>
      <c r="G1127" t="s">
        <v>66</v>
      </c>
      <c r="H1127" t="s">
        <v>88</v>
      </c>
      <c r="I1127" s="3">
        <v>0.125</v>
      </c>
      <c r="J1127" t="s">
        <v>275</v>
      </c>
      <c r="K1127">
        <v>64</v>
      </c>
      <c r="L1127" s="3">
        <v>4.1666666666666664E-2</v>
      </c>
      <c r="M1127" t="s">
        <v>39</v>
      </c>
    </row>
    <row r="1128" spans="1:14" x14ac:dyDescent="0.35">
      <c r="A1128" t="s">
        <v>64</v>
      </c>
      <c r="B1128" t="s">
        <v>319</v>
      </c>
      <c r="C1128" t="s">
        <v>65</v>
      </c>
      <c r="D1128">
        <v>1</v>
      </c>
      <c r="E1128" s="2">
        <v>43330</v>
      </c>
      <c r="F1128" t="s">
        <v>16</v>
      </c>
      <c r="G1128" t="s">
        <v>66</v>
      </c>
      <c r="H1128" t="s">
        <v>88</v>
      </c>
      <c r="I1128" s="3">
        <v>0.125</v>
      </c>
      <c r="J1128" t="s">
        <v>275</v>
      </c>
      <c r="K1128" t="s">
        <v>141</v>
      </c>
      <c r="L1128" s="3">
        <v>0.125</v>
      </c>
      <c r="M1128" t="s">
        <v>31</v>
      </c>
      <c r="N1128" t="s">
        <v>273</v>
      </c>
    </row>
    <row r="1129" spans="1:14" x14ac:dyDescent="0.35">
      <c r="A1129" t="s">
        <v>64</v>
      </c>
      <c r="B1129" t="s">
        <v>319</v>
      </c>
      <c r="C1129" t="s">
        <v>65</v>
      </c>
      <c r="D1129">
        <v>3</v>
      </c>
      <c r="E1129" s="2">
        <v>43345</v>
      </c>
      <c r="F1129" t="s">
        <v>16</v>
      </c>
      <c r="G1129" t="s">
        <v>66</v>
      </c>
      <c r="H1129" t="s">
        <v>320</v>
      </c>
      <c r="I1129" s="3">
        <v>0.3347222222222222</v>
      </c>
      <c r="J1129" t="s">
        <v>275</v>
      </c>
      <c r="K1129">
        <v>16</v>
      </c>
      <c r="L1129" s="3">
        <v>4.2361111111111113E-2</v>
      </c>
      <c r="M1129" t="s">
        <v>26</v>
      </c>
      <c r="N1129" t="s">
        <v>276</v>
      </c>
    </row>
    <row r="1130" spans="1:14" x14ac:dyDescent="0.35">
      <c r="A1130" t="s">
        <v>64</v>
      </c>
      <c r="B1130" t="s">
        <v>319</v>
      </c>
      <c r="C1130" t="s">
        <v>65</v>
      </c>
      <c r="D1130">
        <v>3</v>
      </c>
      <c r="E1130" s="2">
        <v>43345</v>
      </c>
      <c r="F1130" t="s">
        <v>16</v>
      </c>
      <c r="G1130" t="s">
        <v>66</v>
      </c>
      <c r="H1130" t="s">
        <v>320</v>
      </c>
      <c r="I1130" s="3">
        <v>0.3347222222222222</v>
      </c>
      <c r="J1130" t="s">
        <v>275</v>
      </c>
      <c r="K1130">
        <v>61</v>
      </c>
      <c r="L1130" s="3">
        <v>0.25138888888888888</v>
      </c>
      <c r="M1130" t="s">
        <v>31</v>
      </c>
      <c r="N1130" t="s">
        <v>317</v>
      </c>
    </row>
    <row r="1131" spans="1:14" x14ac:dyDescent="0.35">
      <c r="A1131" t="s">
        <v>14</v>
      </c>
      <c r="B1131" t="s">
        <v>319</v>
      </c>
      <c r="C1131" t="s">
        <v>321</v>
      </c>
      <c r="D1131">
        <v>4</v>
      </c>
      <c r="E1131" s="2">
        <v>43359</v>
      </c>
      <c r="F1131" t="s">
        <v>16</v>
      </c>
      <c r="G1131" t="s">
        <v>260</v>
      </c>
      <c r="H1131" t="s">
        <v>322</v>
      </c>
      <c r="I1131" s="3">
        <v>8.4027777777777785E-2</v>
      </c>
      <c r="J1131" t="s">
        <v>68</v>
      </c>
      <c r="K1131">
        <v>50</v>
      </c>
      <c r="L1131" s="3">
        <v>4.1666666666666664E-2</v>
      </c>
      <c r="M1131" t="s">
        <v>55</v>
      </c>
    </row>
    <row r="1132" spans="1:14" x14ac:dyDescent="0.35">
      <c r="A1132" t="s">
        <v>14</v>
      </c>
      <c r="B1132" t="s">
        <v>319</v>
      </c>
      <c r="C1132" t="s">
        <v>321</v>
      </c>
      <c r="D1132">
        <v>4</v>
      </c>
      <c r="E1132" s="2">
        <v>43359</v>
      </c>
      <c r="F1132" t="s">
        <v>16</v>
      </c>
      <c r="G1132" t="s">
        <v>260</v>
      </c>
      <c r="H1132" t="s">
        <v>322</v>
      </c>
      <c r="I1132" s="3">
        <v>8.4027777777777785E-2</v>
      </c>
      <c r="J1132" t="s">
        <v>68</v>
      </c>
      <c r="K1132">
        <v>65</v>
      </c>
      <c r="L1132" s="3">
        <v>8.3333333333333329E-2</v>
      </c>
      <c r="M1132" t="s">
        <v>31</v>
      </c>
      <c r="N1132" t="s">
        <v>323</v>
      </c>
    </row>
    <row r="1133" spans="1:14" x14ac:dyDescent="0.35">
      <c r="A1133" t="s">
        <v>64</v>
      </c>
      <c r="B1133" t="s">
        <v>319</v>
      </c>
      <c r="C1133" t="s">
        <v>75</v>
      </c>
      <c r="D1133" t="s">
        <v>76</v>
      </c>
      <c r="E1133" s="2">
        <v>43361</v>
      </c>
      <c r="F1133" t="s">
        <v>16</v>
      </c>
      <c r="G1133" t="s">
        <v>66</v>
      </c>
      <c r="H1133" t="s">
        <v>324</v>
      </c>
      <c r="I1133" s="3">
        <v>0.16666666666666666</v>
      </c>
      <c r="J1133" t="s">
        <v>275</v>
      </c>
      <c r="K1133">
        <v>31</v>
      </c>
      <c r="L1133" s="3">
        <v>4.1666666666666664E-2</v>
      </c>
      <c r="M1133" t="s">
        <v>39</v>
      </c>
    </row>
    <row r="1134" spans="1:14" x14ac:dyDescent="0.35">
      <c r="A1134" t="s">
        <v>64</v>
      </c>
      <c r="B1134" t="s">
        <v>319</v>
      </c>
      <c r="C1134" t="s">
        <v>75</v>
      </c>
      <c r="D1134" t="s">
        <v>76</v>
      </c>
      <c r="E1134" s="2">
        <v>43361</v>
      </c>
      <c r="F1134" t="s">
        <v>16</v>
      </c>
      <c r="G1134" t="s">
        <v>66</v>
      </c>
      <c r="H1134" t="s">
        <v>324</v>
      </c>
      <c r="I1134" s="3">
        <v>0.16666666666666666</v>
      </c>
      <c r="J1134" t="s">
        <v>275</v>
      </c>
      <c r="K1134">
        <v>77</v>
      </c>
      <c r="L1134" s="3">
        <v>0.125</v>
      </c>
      <c r="M1134" t="s">
        <v>31</v>
      </c>
      <c r="N1134" t="s">
        <v>276</v>
      </c>
    </row>
    <row r="1135" spans="1:14" x14ac:dyDescent="0.35">
      <c r="A1135" t="s">
        <v>64</v>
      </c>
      <c r="B1135" t="s">
        <v>319</v>
      </c>
      <c r="C1135" t="s">
        <v>75</v>
      </c>
      <c r="D1135" t="s">
        <v>76</v>
      </c>
      <c r="E1135" s="2">
        <v>43361</v>
      </c>
      <c r="F1135" t="s">
        <v>16</v>
      </c>
      <c r="G1135" t="s">
        <v>66</v>
      </c>
      <c r="H1135" t="s">
        <v>324</v>
      </c>
      <c r="I1135" s="3">
        <v>0.16666666666666666</v>
      </c>
      <c r="J1135" t="s">
        <v>275</v>
      </c>
      <c r="K1135">
        <v>87</v>
      </c>
      <c r="L1135" s="3">
        <v>0.16666666666666666</v>
      </c>
      <c r="M1135" t="s">
        <v>26</v>
      </c>
      <c r="N1135" t="s">
        <v>273</v>
      </c>
    </row>
    <row r="1136" spans="1:14" x14ac:dyDescent="0.35">
      <c r="A1136" t="s">
        <v>14</v>
      </c>
      <c r="B1136" t="s">
        <v>319</v>
      </c>
      <c r="C1136" t="s">
        <v>321</v>
      </c>
      <c r="D1136">
        <v>5</v>
      </c>
      <c r="E1136" s="2">
        <v>43366</v>
      </c>
      <c r="F1136" t="s">
        <v>24</v>
      </c>
      <c r="G1136" t="s">
        <v>260</v>
      </c>
      <c r="H1136" t="s">
        <v>325</v>
      </c>
      <c r="I1136" s="3">
        <v>1.3888888888888889E-3</v>
      </c>
      <c r="J1136" t="s">
        <v>19</v>
      </c>
      <c r="K1136">
        <v>81</v>
      </c>
      <c r="L1136" s="3">
        <v>6.9444444444444447E-4</v>
      </c>
      <c r="M1136" t="s">
        <v>31</v>
      </c>
    </row>
    <row r="1137" spans="1:14" x14ac:dyDescent="0.35">
      <c r="A1137" t="s">
        <v>64</v>
      </c>
      <c r="B1137" t="s">
        <v>319</v>
      </c>
      <c r="C1137" t="s">
        <v>65</v>
      </c>
      <c r="D1137">
        <v>5</v>
      </c>
      <c r="E1137" s="2">
        <v>43366</v>
      </c>
      <c r="F1137" t="s">
        <v>16</v>
      </c>
      <c r="G1137" t="s">
        <v>66</v>
      </c>
      <c r="H1137" t="s">
        <v>315</v>
      </c>
      <c r="I1137" s="3">
        <v>8.4722222222222227E-2</v>
      </c>
      <c r="J1137" t="s">
        <v>275</v>
      </c>
      <c r="K1137">
        <v>19</v>
      </c>
      <c r="L1137" s="3">
        <v>4.1666666666666664E-2</v>
      </c>
      <c r="M1137" t="s">
        <v>31</v>
      </c>
      <c r="N1137" t="s">
        <v>326</v>
      </c>
    </row>
    <row r="1138" spans="1:14" x14ac:dyDescent="0.35">
      <c r="A1138" t="s">
        <v>64</v>
      </c>
      <c r="B1138" t="s">
        <v>319</v>
      </c>
      <c r="C1138" t="s">
        <v>75</v>
      </c>
      <c r="D1138" t="s">
        <v>76</v>
      </c>
      <c r="E1138" s="2">
        <v>43376</v>
      </c>
      <c r="F1138" t="s">
        <v>24</v>
      </c>
      <c r="G1138" t="s">
        <v>66</v>
      </c>
      <c r="H1138" t="s">
        <v>42</v>
      </c>
      <c r="I1138" s="3">
        <v>8.611111111111111E-2</v>
      </c>
      <c r="J1138" t="s">
        <v>275</v>
      </c>
      <c r="K1138">
        <v>56</v>
      </c>
      <c r="L1138" s="3">
        <v>4.3749999999999997E-2</v>
      </c>
      <c r="M1138" t="s">
        <v>31</v>
      </c>
      <c r="N1138" t="s">
        <v>243</v>
      </c>
    </row>
    <row r="1139" spans="1:14" x14ac:dyDescent="0.35">
      <c r="A1139" t="s">
        <v>64</v>
      </c>
      <c r="B1139" t="s">
        <v>319</v>
      </c>
      <c r="C1139" t="s">
        <v>75</v>
      </c>
      <c r="D1139" t="s">
        <v>76</v>
      </c>
      <c r="E1139" s="2">
        <v>43376</v>
      </c>
      <c r="F1139" t="s">
        <v>24</v>
      </c>
      <c r="G1139" t="s">
        <v>66</v>
      </c>
      <c r="H1139" t="s">
        <v>42</v>
      </c>
      <c r="I1139" s="3">
        <v>8.611111111111111E-2</v>
      </c>
      <c r="J1139" t="s">
        <v>275</v>
      </c>
      <c r="K1139">
        <v>90</v>
      </c>
      <c r="L1139" s="3">
        <v>8.611111111111111E-2</v>
      </c>
      <c r="M1139" t="s">
        <v>31</v>
      </c>
      <c r="N1139" t="s">
        <v>243</v>
      </c>
    </row>
    <row r="1140" spans="1:14" x14ac:dyDescent="0.35">
      <c r="A1140" t="s">
        <v>14</v>
      </c>
      <c r="B1140" t="s">
        <v>319</v>
      </c>
      <c r="C1140" t="s">
        <v>321</v>
      </c>
      <c r="D1140">
        <v>8</v>
      </c>
      <c r="E1140" s="2">
        <v>43379</v>
      </c>
      <c r="F1140" t="s">
        <v>24</v>
      </c>
      <c r="G1140" t="s">
        <v>260</v>
      </c>
      <c r="H1140" t="s">
        <v>327</v>
      </c>
      <c r="I1140" s="3">
        <v>1.3888888888888889E-3</v>
      </c>
      <c r="J1140" t="s">
        <v>19</v>
      </c>
      <c r="K1140">
        <v>37</v>
      </c>
      <c r="L1140" s="3">
        <v>1.3888888888888889E-3</v>
      </c>
      <c r="M1140" t="s">
        <v>31</v>
      </c>
      <c r="N1140" t="s">
        <v>328</v>
      </c>
    </row>
    <row r="1141" spans="1:14" x14ac:dyDescent="0.35">
      <c r="A1141" t="s">
        <v>64</v>
      </c>
      <c r="B1141" t="s">
        <v>319</v>
      </c>
      <c r="C1141" t="s">
        <v>65</v>
      </c>
      <c r="D1141">
        <v>8</v>
      </c>
      <c r="E1141" s="2">
        <v>43380</v>
      </c>
      <c r="F1141" t="s">
        <v>24</v>
      </c>
      <c r="G1141" t="s">
        <v>66</v>
      </c>
      <c r="H1141" t="s">
        <v>148</v>
      </c>
      <c r="I1141" s="3">
        <v>4.2361111111111113E-2</v>
      </c>
      <c r="J1141" t="s">
        <v>275</v>
      </c>
      <c r="K1141">
        <v>23</v>
      </c>
      <c r="L1141" s="3">
        <v>4.2361111111111113E-2</v>
      </c>
      <c r="M1141" t="s">
        <v>31</v>
      </c>
      <c r="N1141" t="s">
        <v>273</v>
      </c>
    </row>
    <row r="1142" spans="1:14" x14ac:dyDescent="0.35">
      <c r="A1142" t="s">
        <v>14</v>
      </c>
      <c r="B1142" t="s">
        <v>319</v>
      </c>
      <c r="C1142" t="s">
        <v>321</v>
      </c>
      <c r="D1142">
        <v>9</v>
      </c>
      <c r="E1142" s="2">
        <v>43393</v>
      </c>
      <c r="F1142" t="s">
        <v>16</v>
      </c>
      <c r="G1142" t="s">
        <v>260</v>
      </c>
      <c r="H1142" t="s">
        <v>329</v>
      </c>
      <c r="I1142" s="3">
        <v>4.2361111111111113E-2</v>
      </c>
      <c r="J1142" t="s">
        <v>19</v>
      </c>
      <c r="K1142">
        <v>18</v>
      </c>
      <c r="L1142" s="3">
        <v>4.1666666666666664E-2</v>
      </c>
      <c r="M1142" t="s">
        <v>55</v>
      </c>
    </row>
    <row r="1143" spans="1:14" x14ac:dyDescent="0.35">
      <c r="A1143" t="s">
        <v>64</v>
      </c>
      <c r="B1143" t="s">
        <v>319</v>
      </c>
      <c r="C1143" t="s">
        <v>65</v>
      </c>
      <c r="D1143">
        <v>9</v>
      </c>
      <c r="E1143" s="2">
        <v>43393</v>
      </c>
      <c r="F1143" t="s">
        <v>16</v>
      </c>
      <c r="G1143" t="s">
        <v>66</v>
      </c>
      <c r="H1143" t="s">
        <v>105</v>
      </c>
      <c r="I1143" s="3">
        <v>0.16805555555555557</v>
      </c>
      <c r="J1143" t="s">
        <v>275</v>
      </c>
      <c r="K1143">
        <v>12</v>
      </c>
      <c r="L1143" s="3">
        <v>8.3333333333333329E-2</v>
      </c>
      <c r="M1143" t="s">
        <v>31</v>
      </c>
      <c r="N1143" t="s">
        <v>273</v>
      </c>
    </row>
    <row r="1144" spans="1:14" x14ac:dyDescent="0.35">
      <c r="A1144" t="s">
        <v>14</v>
      </c>
      <c r="B1144" t="s">
        <v>319</v>
      </c>
      <c r="C1144" t="s">
        <v>321</v>
      </c>
      <c r="D1144">
        <v>10</v>
      </c>
      <c r="E1144" s="2">
        <v>43400</v>
      </c>
      <c r="F1144" t="s">
        <v>24</v>
      </c>
      <c r="G1144" t="s">
        <v>260</v>
      </c>
      <c r="H1144" t="s">
        <v>330</v>
      </c>
      <c r="I1144" s="3">
        <v>4.3055555555555555E-2</v>
      </c>
      <c r="J1144" t="s">
        <v>68</v>
      </c>
      <c r="K1144">
        <v>54</v>
      </c>
      <c r="L1144" s="3">
        <v>4.2361111111111113E-2</v>
      </c>
      <c r="M1144" t="s">
        <v>83</v>
      </c>
    </row>
    <row r="1145" spans="1:14" x14ac:dyDescent="0.35">
      <c r="A1145" t="s">
        <v>14</v>
      </c>
      <c r="B1145" t="s">
        <v>319</v>
      </c>
      <c r="C1145" t="s">
        <v>321</v>
      </c>
      <c r="D1145">
        <v>10</v>
      </c>
      <c r="E1145" s="2">
        <v>43400</v>
      </c>
      <c r="F1145" t="s">
        <v>24</v>
      </c>
      <c r="G1145" t="s">
        <v>260</v>
      </c>
      <c r="H1145" t="s">
        <v>330</v>
      </c>
      <c r="I1145" s="3">
        <v>4.3055555555555555E-2</v>
      </c>
      <c r="J1145" t="s">
        <v>68</v>
      </c>
      <c r="K1145">
        <v>70</v>
      </c>
      <c r="L1145" s="3">
        <v>4.3055555555555555E-2</v>
      </c>
      <c r="M1145" t="s">
        <v>26</v>
      </c>
      <c r="N1145" t="s">
        <v>331</v>
      </c>
    </row>
    <row r="1146" spans="1:14" x14ac:dyDescent="0.35">
      <c r="A1146" t="s">
        <v>14</v>
      </c>
      <c r="B1146" t="s">
        <v>319</v>
      </c>
      <c r="C1146" t="s">
        <v>75</v>
      </c>
      <c r="D1146" t="s">
        <v>76</v>
      </c>
      <c r="E1146" s="2">
        <v>43411</v>
      </c>
      <c r="F1146" t="s">
        <v>16</v>
      </c>
      <c r="G1146" t="s">
        <v>260</v>
      </c>
      <c r="H1146" t="s">
        <v>36</v>
      </c>
      <c r="I1146" s="3">
        <v>4.3055555555555555E-2</v>
      </c>
      <c r="J1146" t="s">
        <v>68</v>
      </c>
      <c r="K1146">
        <v>65</v>
      </c>
      <c r="L1146" s="3">
        <v>4.1666666666666664E-2</v>
      </c>
      <c r="M1146" t="s">
        <v>26</v>
      </c>
      <c r="N1146" t="s">
        <v>332</v>
      </c>
    </row>
    <row r="1147" spans="1:14" x14ac:dyDescent="0.35">
      <c r="A1147" t="s">
        <v>14</v>
      </c>
      <c r="B1147" t="s">
        <v>319</v>
      </c>
      <c r="C1147" t="s">
        <v>321</v>
      </c>
      <c r="D1147">
        <v>12</v>
      </c>
      <c r="E1147" s="2">
        <v>43415</v>
      </c>
      <c r="F1147" t="s">
        <v>24</v>
      </c>
      <c r="G1147" t="s">
        <v>260</v>
      </c>
      <c r="H1147" t="s">
        <v>118</v>
      </c>
      <c r="I1147" s="3">
        <v>1.3888888888888889E-3</v>
      </c>
      <c r="J1147" t="s">
        <v>19</v>
      </c>
      <c r="K1147">
        <v>81</v>
      </c>
      <c r="L1147" s="3">
        <v>1.3888888888888889E-3</v>
      </c>
      <c r="M1147" t="s">
        <v>55</v>
      </c>
    </row>
    <row r="1148" spans="1:14" x14ac:dyDescent="0.35">
      <c r="A1148" t="s">
        <v>64</v>
      </c>
      <c r="B1148" t="s">
        <v>319</v>
      </c>
      <c r="C1148" t="s">
        <v>65</v>
      </c>
      <c r="D1148">
        <v>12</v>
      </c>
      <c r="E1148" s="2">
        <v>43415</v>
      </c>
      <c r="F1148" t="s">
        <v>16</v>
      </c>
      <c r="G1148" t="s">
        <v>66</v>
      </c>
      <c r="H1148" t="s">
        <v>95</v>
      </c>
      <c r="I1148" s="3">
        <v>0.12777777777777777</v>
      </c>
      <c r="J1148" t="s">
        <v>311</v>
      </c>
      <c r="K1148" t="s">
        <v>239</v>
      </c>
      <c r="L1148" s="3">
        <v>0.12777777777777777</v>
      </c>
      <c r="M1148" t="s">
        <v>31</v>
      </c>
      <c r="N1148" t="s">
        <v>326</v>
      </c>
    </row>
    <row r="1149" spans="1:14" x14ac:dyDescent="0.35">
      <c r="A1149" t="s">
        <v>64</v>
      </c>
      <c r="B1149" t="s">
        <v>319</v>
      </c>
      <c r="C1149" t="s">
        <v>65</v>
      </c>
      <c r="D1149">
        <v>12</v>
      </c>
      <c r="E1149" s="2">
        <v>43415</v>
      </c>
      <c r="F1149" t="s">
        <v>16</v>
      </c>
      <c r="G1149" t="s">
        <v>66</v>
      </c>
      <c r="H1149" t="s">
        <v>95</v>
      </c>
      <c r="I1149" s="3">
        <v>0.12777777777777777</v>
      </c>
      <c r="J1149" t="s">
        <v>311</v>
      </c>
      <c r="K1149">
        <v>68</v>
      </c>
      <c r="L1149" s="3">
        <v>4.3055555555555555E-2</v>
      </c>
      <c r="M1149" t="s">
        <v>83</v>
      </c>
    </row>
    <row r="1150" spans="1:14" x14ac:dyDescent="0.35">
      <c r="A1150" t="s">
        <v>14</v>
      </c>
      <c r="B1150" t="s">
        <v>319</v>
      </c>
      <c r="C1150" t="s">
        <v>321</v>
      </c>
      <c r="D1150">
        <v>13</v>
      </c>
      <c r="E1150" s="2">
        <v>43428</v>
      </c>
      <c r="F1150" t="s">
        <v>16</v>
      </c>
      <c r="G1150" t="s">
        <v>260</v>
      </c>
      <c r="H1150" t="s">
        <v>333</v>
      </c>
      <c r="I1150" s="3">
        <v>8.3333333333333329E-2</v>
      </c>
      <c r="J1150" t="s">
        <v>68</v>
      </c>
      <c r="K1150">
        <v>29</v>
      </c>
      <c r="L1150" s="3">
        <v>4.1666666666666664E-2</v>
      </c>
      <c r="M1150" t="s">
        <v>31</v>
      </c>
      <c r="N1150" t="s">
        <v>334</v>
      </c>
    </row>
    <row r="1151" spans="1:14" x14ac:dyDescent="0.35">
      <c r="A1151" t="s">
        <v>64</v>
      </c>
      <c r="B1151" t="s">
        <v>319</v>
      </c>
      <c r="C1151" t="s">
        <v>75</v>
      </c>
      <c r="D1151" t="s">
        <v>76</v>
      </c>
      <c r="E1151" s="2">
        <v>43432</v>
      </c>
      <c r="F1151" t="s">
        <v>24</v>
      </c>
      <c r="G1151" t="s">
        <v>66</v>
      </c>
      <c r="H1151" t="s">
        <v>324</v>
      </c>
      <c r="I1151" s="3">
        <v>4.3055555555555555E-2</v>
      </c>
      <c r="J1151" t="s">
        <v>251</v>
      </c>
      <c r="K1151">
        <v>61</v>
      </c>
      <c r="L1151" s="3">
        <v>6.9444444444444447E-4</v>
      </c>
      <c r="M1151" t="s">
        <v>31</v>
      </c>
      <c r="N1151" t="s">
        <v>316</v>
      </c>
    </row>
    <row r="1152" spans="1:14" x14ac:dyDescent="0.35">
      <c r="A1152" t="s">
        <v>14</v>
      </c>
      <c r="B1152" t="s">
        <v>319</v>
      </c>
      <c r="C1152" t="s">
        <v>321</v>
      </c>
      <c r="D1152">
        <v>14</v>
      </c>
      <c r="E1152" s="2">
        <v>43435</v>
      </c>
      <c r="F1152" t="s">
        <v>24</v>
      </c>
      <c r="G1152" t="s">
        <v>260</v>
      </c>
      <c r="H1152" t="s">
        <v>335</v>
      </c>
      <c r="I1152" s="3">
        <v>2.0833333333333333E-3</v>
      </c>
      <c r="J1152" t="s">
        <v>19</v>
      </c>
      <c r="K1152">
        <v>79</v>
      </c>
      <c r="L1152" s="3">
        <v>2.0833333333333333E-3</v>
      </c>
      <c r="M1152" t="s">
        <v>83</v>
      </c>
    </row>
    <row r="1153" spans="1:14" x14ac:dyDescent="0.35">
      <c r="A1153" t="s">
        <v>64</v>
      </c>
      <c r="B1153" t="s">
        <v>319</v>
      </c>
      <c r="C1153" t="s">
        <v>65</v>
      </c>
      <c r="D1153">
        <v>15</v>
      </c>
      <c r="E1153" s="2">
        <v>43442</v>
      </c>
      <c r="F1153" t="s">
        <v>24</v>
      </c>
      <c r="G1153" t="s">
        <v>66</v>
      </c>
      <c r="H1153" t="s">
        <v>121</v>
      </c>
      <c r="I1153" s="3">
        <v>2.7777777777777779E-3</v>
      </c>
      <c r="J1153" t="s">
        <v>275</v>
      </c>
      <c r="K1153">
        <v>65</v>
      </c>
      <c r="L1153" s="3">
        <v>2.7777777777777779E-3</v>
      </c>
      <c r="M1153" t="s">
        <v>39</v>
      </c>
    </row>
    <row r="1154" spans="1:14" x14ac:dyDescent="0.35">
      <c r="A1154" t="s">
        <v>64</v>
      </c>
      <c r="B1154" t="s">
        <v>319</v>
      </c>
      <c r="C1154" t="s">
        <v>65</v>
      </c>
      <c r="D1154">
        <v>15</v>
      </c>
      <c r="E1154" s="2">
        <v>43442</v>
      </c>
      <c r="F1154" t="s">
        <v>24</v>
      </c>
      <c r="G1154" t="s">
        <v>66</v>
      </c>
      <c r="H1154" t="s">
        <v>121</v>
      </c>
      <c r="I1154" s="3">
        <v>2.7777777777777779E-3</v>
      </c>
      <c r="J1154" t="s">
        <v>275</v>
      </c>
      <c r="K1154">
        <v>17</v>
      </c>
      <c r="L1154" s="3">
        <v>6.9444444444444447E-4</v>
      </c>
      <c r="M1154" t="s">
        <v>39</v>
      </c>
    </row>
    <row r="1155" spans="1:14" x14ac:dyDescent="0.35">
      <c r="A1155" t="s">
        <v>14</v>
      </c>
      <c r="B1155" t="s">
        <v>319</v>
      </c>
      <c r="C1155" t="s">
        <v>321</v>
      </c>
      <c r="D1155">
        <v>16</v>
      </c>
      <c r="E1155" s="2">
        <v>43449</v>
      </c>
      <c r="F1155" t="s">
        <v>24</v>
      </c>
      <c r="G1155" t="s">
        <v>260</v>
      </c>
      <c r="H1155" t="s">
        <v>336</v>
      </c>
      <c r="I1155" s="3">
        <v>6.9444444444444447E-4</v>
      </c>
      <c r="J1155" t="s">
        <v>19</v>
      </c>
      <c r="K1155">
        <v>70</v>
      </c>
      <c r="L1155" s="3">
        <v>6.9444444444444447E-4</v>
      </c>
      <c r="M1155" t="s">
        <v>83</v>
      </c>
    </row>
    <row r="1156" spans="1:14" x14ac:dyDescent="0.35">
      <c r="A1156" t="s">
        <v>64</v>
      </c>
      <c r="B1156" t="s">
        <v>319</v>
      </c>
      <c r="C1156" t="s">
        <v>65</v>
      </c>
      <c r="D1156">
        <v>16</v>
      </c>
      <c r="E1156" s="2">
        <v>43450</v>
      </c>
      <c r="F1156" t="s">
        <v>24</v>
      </c>
      <c r="G1156" t="s">
        <v>66</v>
      </c>
      <c r="H1156" t="s">
        <v>127</v>
      </c>
      <c r="I1156" s="3">
        <v>3.472222222222222E-3</v>
      </c>
      <c r="J1156" t="s">
        <v>311</v>
      </c>
      <c r="K1156">
        <v>43</v>
      </c>
      <c r="L1156" s="3">
        <v>1.3888888888888889E-3</v>
      </c>
      <c r="M1156" t="s">
        <v>26</v>
      </c>
      <c r="N1156" t="s">
        <v>222</v>
      </c>
    </row>
    <row r="1157" spans="1:14" x14ac:dyDescent="0.35">
      <c r="A1157" t="s">
        <v>64</v>
      </c>
      <c r="B1157" t="s">
        <v>319</v>
      </c>
      <c r="C1157" t="s">
        <v>65</v>
      </c>
      <c r="D1157">
        <v>16</v>
      </c>
      <c r="E1157" s="2">
        <v>43450</v>
      </c>
      <c r="F1157" t="s">
        <v>24</v>
      </c>
      <c r="G1157" t="s">
        <v>66</v>
      </c>
      <c r="H1157" t="s">
        <v>127</v>
      </c>
      <c r="I1157" s="3">
        <v>3.472222222222222E-3</v>
      </c>
      <c r="J1157" t="s">
        <v>311</v>
      </c>
      <c r="K1157">
        <v>47</v>
      </c>
      <c r="L1157" s="3">
        <v>2.0833333333333333E-3</v>
      </c>
      <c r="M1157" t="s">
        <v>31</v>
      </c>
    </row>
    <row r="1158" spans="1:14" x14ac:dyDescent="0.35">
      <c r="A1158" t="s">
        <v>64</v>
      </c>
      <c r="B1158" t="s">
        <v>319</v>
      </c>
      <c r="C1158" t="s">
        <v>65</v>
      </c>
      <c r="D1158">
        <v>16</v>
      </c>
      <c r="E1158" s="2">
        <v>43450</v>
      </c>
      <c r="F1158" t="s">
        <v>24</v>
      </c>
      <c r="G1158" t="s">
        <v>66</v>
      </c>
      <c r="H1158" t="s">
        <v>127</v>
      </c>
      <c r="I1158" s="3">
        <v>3.472222222222222E-3</v>
      </c>
      <c r="J1158" t="s">
        <v>311</v>
      </c>
      <c r="K1158">
        <v>60</v>
      </c>
      <c r="L1158" s="3">
        <v>2.7777777777777779E-3</v>
      </c>
      <c r="M1158" t="s">
        <v>31</v>
      </c>
      <c r="N1158" t="s">
        <v>326</v>
      </c>
    </row>
    <row r="1159" spans="1:14" x14ac:dyDescent="0.35">
      <c r="A1159" t="s">
        <v>64</v>
      </c>
      <c r="B1159" t="s">
        <v>319</v>
      </c>
      <c r="C1159" t="s">
        <v>65</v>
      </c>
      <c r="D1159">
        <v>17</v>
      </c>
      <c r="E1159" s="2">
        <v>43456</v>
      </c>
      <c r="F1159" t="s">
        <v>16</v>
      </c>
      <c r="G1159" t="s">
        <v>66</v>
      </c>
      <c r="H1159" t="s">
        <v>98</v>
      </c>
      <c r="I1159" s="3">
        <v>8.3333333333333329E-2</v>
      </c>
      <c r="J1159" t="s">
        <v>275</v>
      </c>
      <c r="K1159">
        <v>45</v>
      </c>
      <c r="L1159" s="3">
        <v>8.3333333333333329E-2</v>
      </c>
      <c r="M1159" t="s">
        <v>31</v>
      </c>
      <c r="N1159" t="s">
        <v>243</v>
      </c>
    </row>
    <row r="1160" spans="1:14" x14ac:dyDescent="0.35">
      <c r="A1160" t="s">
        <v>14</v>
      </c>
      <c r="B1160" t="s">
        <v>319</v>
      </c>
      <c r="C1160" t="s">
        <v>321</v>
      </c>
      <c r="D1160">
        <v>18</v>
      </c>
      <c r="E1160" s="2">
        <v>43460</v>
      </c>
      <c r="F1160" t="s">
        <v>24</v>
      </c>
      <c r="G1160" t="s">
        <v>260</v>
      </c>
      <c r="H1160" t="s">
        <v>337</v>
      </c>
      <c r="I1160" s="3">
        <v>8.4722222222222227E-2</v>
      </c>
      <c r="J1160" t="s">
        <v>68</v>
      </c>
      <c r="K1160">
        <v>78</v>
      </c>
      <c r="L1160" s="3">
        <v>8.4722222222222227E-2</v>
      </c>
      <c r="M1160" t="s">
        <v>22</v>
      </c>
      <c r="N1160" t="s">
        <v>338</v>
      </c>
    </row>
    <row r="1161" spans="1:14" x14ac:dyDescent="0.35">
      <c r="A1161" t="s">
        <v>14</v>
      </c>
      <c r="B1161" t="s">
        <v>319</v>
      </c>
      <c r="C1161" t="s">
        <v>321</v>
      </c>
      <c r="D1161">
        <v>19</v>
      </c>
      <c r="E1161" s="2">
        <v>43463</v>
      </c>
      <c r="F1161" t="s">
        <v>16</v>
      </c>
      <c r="G1161" t="s">
        <v>260</v>
      </c>
      <c r="H1161" t="s">
        <v>339</v>
      </c>
      <c r="I1161" s="3">
        <v>8.4027777777777785E-2</v>
      </c>
      <c r="J1161" t="s">
        <v>19</v>
      </c>
      <c r="K1161">
        <v>65</v>
      </c>
      <c r="L1161" s="3">
        <v>8.4027777777777785E-2</v>
      </c>
      <c r="M1161" t="s">
        <v>83</v>
      </c>
    </row>
    <row r="1162" spans="1:14" x14ac:dyDescent="0.35">
      <c r="A1162" t="s">
        <v>14</v>
      </c>
      <c r="B1162" t="s">
        <v>319</v>
      </c>
      <c r="C1162" t="s">
        <v>321</v>
      </c>
      <c r="D1162">
        <v>19</v>
      </c>
      <c r="E1162" s="2">
        <v>43463</v>
      </c>
      <c r="F1162" t="s">
        <v>16</v>
      </c>
      <c r="G1162" t="s">
        <v>260</v>
      </c>
      <c r="H1162" t="s">
        <v>339</v>
      </c>
      <c r="I1162" s="3">
        <v>8.4027777777777785E-2</v>
      </c>
      <c r="J1162" t="s">
        <v>19</v>
      </c>
      <c r="K1162">
        <v>2</v>
      </c>
      <c r="L1162" s="3">
        <v>4.1666666666666664E-2</v>
      </c>
      <c r="M1162" t="s">
        <v>26</v>
      </c>
      <c r="N1162" t="s">
        <v>340</v>
      </c>
    </row>
    <row r="1163" spans="1:14" x14ac:dyDescent="0.35">
      <c r="A1163" t="s">
        <v>64</v>
      </c>
      <c r="B1163" t="s">
        <v>319</v>
      </c>
      <c r="C1163" t="s">
        <v>65</v>
      </c>
      <c r="D1163">
        <v>18</v>
      </c>
      <c r="E1163" s="2">
        <v>43471</v>
      </c>
      <c r="F1163" t="s">
        <v>24</v>
      </c>
      <c r="G1163" t="s">
        <v>66</v>
      </c>
      <c r="H1163" t="s">
        <v>117</v>
      </c>
      <c r="I1163" s="3">
        <v>4.3055555555555555E-2</v>
      </c>
      <c r="J1163" t="s">
        <v>275</v>
      </c>
      <c r="K1163">
        <v>20</v>
      </c>
      <c r="L1163" s="3">
        <v>6.9444444444444447E-4</v>
      </c>
      <c r="M1163" t="s">
        <v>31</v>
      </c>
    </row>
    <row r="1164" spans="1:14" x14ac:dyDescent="0.35">
      <c r="A1164" t="s">
        <v>64</v>
      </c>
      <c r="B1164" t="s">
        <v>319</v>
      </c>
      <c r="C1164" t="s">
        <v>65</v>
      </c>
      <c r="D1164">
        <v>19</v>
      </c>
      <c r="E1164" s="2">
        <v>43478</v>
      </c>
      <c r="F1164" t="s">
        <v>16</v>
      </c>
      <c r="G1164" t="s">
        <v>66</v>
      </c>
      <c r="H1164" t="s">
        <v>270</v>
      </c>
      <c r="I1164" s="3">
        <v>0.125</v>
      </c>
      <c r="J1164" t="s">
        <v>275</v>
      </c>
      <c r="K1164">
        <v>53</v>
      </c>
      <c r="L1164" s="3">
        <v>8.3333333333333329E-2</v>
      </c>
      <c r="M1164" t="s">
        <v>31</v>
      </c>
      <c r="N1164" t="s">
        <v>273</v>
      </c>
    </row>
    <row r="1165" spans="1:14" x14ac:dyDescent="0.35">
      <c r="A1165" t="s">
        <v>14</v>
      </c>
      <c r="B1165" t="s">
        <v>319</v>
      </c>
      <c r="C1165" t="s">
        <v>341</v>
      </c>
      <c r="D1165" t="s">
        <v>46</v>
      </c>
      <c r="E1165" s="2">
        <v>43481</v>
      </c>
      <c r="F1165" t="s">
        <v>16</v>
      </c>
      <c r="G1165" t="s">
        <v>260</v>
      </c>
      <c r="H1165" t="s">
        <v>118</v>
      </c>
      <c r="I1165" s="3">
        <v>4.1666666666666664E-2</v>
      </c>
      <c r="J1165" t="s">
        <v>19</v>
      </c>
      <c r="K1165">
        <v>61</v>
      </c>
      <c r="L1165" s="3">
        <v>4.1666666666666664E-2</v>
      </c>
      <c r="M1165" t="s">
        <v>22</v>
      </c>
      <c r="N1165" t="s">
        <v>334</v>
      </c>
    </row>
    <row r="1166" spans="1:14" x14ac:dyDescent="0.35">
      <c r="A1166" t="s">
        <v>64</v>
      </c>
      <c r="B1166" t="s">
        <v>319</v>
      </c>
      <c r="C1166" t="s">
        <v>91</v>
      </c>
      <c r="D1166" t="s">
        <v>143</v>
      </c>
      <c r="E1166" s="2">
        <v>43482</v>
      </c>
      <c r="F1166" t="s">
        <v>16</v>
      </c>
      <c r="G1166" t="s">
        <v>66</v>
      </c>
      <c r="H1166" t="s">
        <v>127</v>
      </c>
      <c r="I1166" s="3">
        <v>0.125</v>
      </c>
      <c r="J1166" t="s">
        <v>251</v>
      </c>
      <c r="K1166">
        <v>54</v>
      </c>
      <c r="L1166" s="3">
        <v>0.125</v>
      </c>
      <c r="M1166" t="s">
        <v>31</v>
      </c>
      <c r="N1166" t="s">
        <v>342</v>
      </c>
    </row>
    <row r="1167" spans="1:14" x14ac:dyDescent="0.35">
      <c r="A1167" t="s">
        <v>64</v>
      </c>
      <c r="B1167" t="s">
        <v>319</v>
      </c>
      <c r="C1167" t="s">
        <v>65</v>
      </c>
      <c r="D1167">
        <v>20</v>
      </c>
      <c r="E1167" s="2">
        <v>43485</v>
      </c>
      <c r="F1167" t="s">
        <v>16</v>
      </c>
      <c r="G1167" t="s">
        <v>66</v>
      </c>
      <c r="H1167" t="s">
        <v>294</v>
      </c>
      <c r="I1167" s="3">
        <v>0.12569444444444444</v>
      </c>
      <c r="J1167" t="s">
        <v>230</v>
      </c>
      <c r="K1167" t="s">
        <v>141</v>
      </c>
      <c r="L1167" s="3">
        <v>0.12569444444444444</v>
      </c>
      <c r="M1167" t="s">
        <v>26</v>
      </c>
      <c r="N1167" t="s">
        <v>243</v>
      </c>
    </row>
    <row r="1168" spans="1:14" x14ac:dyDescent="0.35">
      <c r="A1168" t="s">
        <v>64</v>
      </c>
      <c r="B1168" t="s">
        <v>319</v>
      </c>
      <c r="C1168" t="s">
        <v>65</v>
      </c>
      <c r="D1168">
        <v>21</v>
      </c>
      <c r="E1168" s="2">
        <v>43492</v>
      </c>
      <c r="F1168" t="s">
        <v>24</v>
      </c>
      <c r="G1168" t="s">
        <v>66</v>
      </c>
      <c r="H1168" t="s">
        <v>315</v>
      </c>
      <c r="I1168" s="3">
        <v>1.3888888888888889E-3</v>
      </c>
      <c r="J1168" t="s">
        <v>275</v>
      </c>
      <c r="K1168">
        <v>69</v>
      </c>
      <c r="L1168" s="3">
        <v>1.3888888888888889E-3</v>
      </c>
      <c r="M1168" t="s">
        <v>31</v>
      </c>
      <c r="N1168" t="s">
        <v>243</v>
      </c>
    </row>
    <row r="1169" spans="1:14" x14ac:dyDescent="0.35">
      <c r="A1169" t="s">
        <v>14</v>
      </c>
      <c r="B1169" t="s">
        <v>319</v>
      </c>
      <c r="C1169" t="s">
        <v>321</v>
      </c>
      <c r="D1169">
        <v>21</v>
      </c>
      <c r="E1169" s="2">
        <v>43492</v>
      </c>
      <c r="F1169" t="s">
        <v>24</v>
      </c>
      <c r="G1169" t="s">
        <v>260</v>
      </c>
      <c r="H1169" t="s">
        <v>343</v>
      </c>
      <c r="I1169" s="3">
        <v>4.3055555555555555E-2</v>
      </c>
      <c r="J1169" t="s">
        <v>19</v>
      </c>
      <c r="K1169">
        <v>88</v>
      </c>
      <c r="L1169" s="3">
        <v>4.3055555555555555E-2</v>
      </c>
      <c r="M1169" t="s">
        <v>83</v>
      </c>
    </row>
    <row r="1170" spans="1:14" x14ac:dyDescent="0.35">
      <c r="A1170" t="s">
        <v>64</v>
      </c>
      <c r="B1170" t="s">
        <v>319</v>
      </c>
      <c r="C1170" t="s">
        <v>91</v>
      </c>
      <c r="D1170" t="s">
        <v>92</v>
      </c>
      <c r="E1170" s="2">
        <v>43495</v>
      </c>
      <c r="F1170" t="s">
        <v>16</v>
      </c>
      <c r="G1170" t="s">
        <v>66</v>
      </c>
      <c r="H1170" t="s">
        <v>105</v>
      </c>
      <c r="I1170" s="3">
        <v>0.25069444444444444</v>
      </c>
      <c r="J1170" t="s">
        <v>275</v>
      </c>
      <c r="K1170" t="s">
        <v>141</v>
      </c>
      <c r="L1170" s="3">
        <v>0.25069444444444444</v>
      </c>
      <c r="M1170" t="s">
        <v>31</v>
      </c>
      <c r="N1170" t="s">
        <v>243</v>
      </c>
    </row>
    <row r="1171" spans="1:14" x14ac:dyDescent="0.35">
      <c r="A1171" t="s">
        <v>14</v>
      </c>
      <c r="B1171" t="s">
        <v>319</v>
      </c>
      <c r="C1171" t="s">
        <v>321</v>
      </c>
      <c r="D1171">
        <v>22</v>
      </c>
      <c r="E1171" s="2">
        <v>43498</v>
      </c>
      <c r="F1171" t="s">
        <v>16</v>
      </c>
      <c r="G1171" t="s">
        <v>260</v>
      </c>
      <c r="H1171" t="s">
        <v>344</v>
      </c>
      <c r="I1171" s="3">
        <v>0.12708333333333333</v>
      </c>
      <c r="J1171" t="s">
        <v>19</v>
      </c>
      <c r="K1171">
        <v>36</v>
      </c>
      <c r="L1171" s="3">
        <v>4.1666666666666664E-2</v>
      </c>
      <c r="M1171" t="s">
        <v>26</v>
      </c>
      <c r="N1171" t="s">
        <v>331</v>
      </c>
    </row>
    <row r="1172" spans="1:14" x14ac:dyDescent="0.35">
      <c r="A1172" t="s">
        <v>64</v>
      </c>
      <c r="B1172" t="s">
        <v>319</v>
      </c>
      <c r="C1172" t="s">
        <v>65</v>
      </c>
      <c r="D1172">
        <v>22</v>
      </c>
      <c r="E1172" s="2">
        <v>43498</v>
      </c>
      <c r="F1172" t="s">
        <v>16</v>
      </c>
      <c r="G1172" t="s">
        <v>66</v>
      </c>
      <c r="H1172" t="s">
        <v>148</v>
      </c>
      <c r="I1172" s="3">
        <v>8.4722222222222227E-2</v>
      </c>
      <c r="J1172" t="s">
        <v>275</v>
      </c>
      <c r="K1172">
        <v>39</v>
      </c>
      <c r="L1172" s="3">
        <v>4.3055555555555555E-2</v>
      </c>
      <c r="M1172" t="s">
        <v>83</v>
      </c>
    </row>
    <row r="1173" spans="1:14" x14ac:dyDescent="0.35">
      <c r="A1173" t="s">
        <v>64</v>
      </c>
      <c r="B1173" t="s">
        <v>319</v>
      </c>
      <c r="C1173" t="s">
        <v>65</v>
      </c>
      <c r="D1173">
        <v>22</v>
      </c>
      <c r="E1173" s="2">
        <v>43498</v>
      </c>
      <c r="F1173" t="s">
        <v>16</v>
      </c>
      <c r="G1173" t="s">
        <v>66</v>
      </c>
      <c r="H1173" t="s">
        <v>148</v>
      </c>
      <c r="I1173" s="3">
        <v>8.4722222222222227E-2</v>
      </c>
      <c r="J1173" t="s">
        <v>275</v>
      </c>
      <c r="K1173">
        <v>64</v>
      </c>
      <c r="L1173" s="3">
        <v>8.4722222222222227E-2</v>
      </c>
      <c r="M1173" t="s">
        <v>31</v>
      </c>
      <c r="N1173" t="s">
        <v>326</v>
      </c>
    </row>
    <row r="1174" spans="1:14" x14ac:dyDescent="0.35">
      <c r="A1174" t="s">
        <v>14</v>
      </c>
      <c r="B1174" t="s">
        <v>319</v>
      </c>
      <c r="C1174" t="s">
        <v>321</v>
      </c>
      <c r="D1174">
        <v>22</v>
      </c>
      <c r="E1174" s="2">
        <v>43498</v>
      </c>
      <c r="F1174" t="s">
        <v>16</v>
      </c>
      <c r="G1174" t="s">
        <v>260</v>
      </c>
      <c r="H1174" t="s">
        <v>344</v>
      </c>
      <c r="I1174" s="3">
        <v>0.12708333333333333</v>
      </c>
      <c r="J1174" t="s">
        <v>19</v>
      </c>
      <c r="K1174">
        <v>66</v>
      </c>
      <c r="L1174" s="3">
        <v>0.12569444444444444</v>
      </c>
      <c r="M1174" t="s">
        <v>22</v>
      </c>
      <c r="N1174" t="s">
        <v>328</v>
      </c>
    </row>
    <row r="1175" spans="1:14" x14ac:dyDescent="0.35">
      <c r="A1175" t="s">
        <v>14</v>
      </c>
      <c r="B1175" t="s">
        <v>319</v>
      </c>
      <c r="C1175" t="s">
        <v>321</v>
      </c>
      <c r="D1175">
        <v>23</v>
      </c>
      <c r="E1175" s="2">
        <v>43506</v>
      </c>
      <c r="F1175" t="s">
        <v>24</v>
      </c>
      <c r="G1175" t="s">
        <v>260</v>
      </c>
      <c r="H1175" t="s">
        <v>322</v>
      </c>
      <c r="I1175" s="3">
        <v>2.0833333333333333E-3</v>
      </c>
      <c r="J1175" t="s">
        <v>19</v>
      </c>
      <c r="K1175">
        <v>70</v>
      </c>
      <c r="L1175" s="3">
        <v>1.3888888888888889E-3</v>
      </c>
      <c r="M1175" t="s">
        <v>22</v>
      </c>
      <c r="N1175" t="s">
        <v>334</v>
      </c>
    </row>
    <row r="1176" spans="1:14" x14ac:dyDescent="0.35">
      <c r="A1176" t="s">
        <v>14</v>
      </c>
      <c r="B1176" t="s">
        <v>319</v>
      </c>
      <c r="C1176" t="s">
        <v>321</v>
      </c>
      <c r="D1176">
        <v>24</v>
      </c>
      <c r="E1176" s="2">
        <v>43511</v>
      </c>
      <c r="F1176" t="s">
        <v>16</v>
      </c>
      <c r="G1176" t="s">
        <v>260</v>
      </c>
      <c r="H1176" t="s">
        <v>325</v>
      </c>
      <c r="I1176" s="3">
        <v>0.125</v>
      </c>
      <c r="J1176" t="s">
        <v>19</v>
      </c>
      <c r="K1176">
        <v>63</v>
      </c>
      <c r="L1176" s="3">
        <v>0.125</v>
      </c>
      <c r="M1176" t="s">
        <v>26</v>
      </c>
      <c r="N1176" t="s">
        <v>328</v>
      </c>
    </row>
    <row r="1177" spans="1:14" x14ac:dyDescent="0.35">
      <c r="A1177" t="s">
        <v>64</v>
      </c>
      <c r="B1177" t="s">
        <v>319</v>
      </c>
      <c r="C1177" t="s">
        <v>65</v>
      </c>
      <c r="D1177">
        <v>24</v>
      </c>
      <c r="E1177" s="2">
        <v>43512</v>
      </c>
      <c r="F1177" t="s">
        <v>16</v>
      </c>
      <c r="G1177" t="s">
        <v>66</v>
      </c>
      <c r="H1177" t="s">
        <v>197</v>
      </c>
      <c r="I1177" s="3">
        <v>4.1666666666666664E-2</v>
      </c>
      <c r="J1177" t="s">
        <v>275</v>
      </c>
      <c r="K1177">
        <v>43</v>
      </c>
      <c r="L1177" s="3">
        <v>4.1666666666666664E-2</v>
      </c>
      <c r="M1177" t="s">
        <v>83</v>
      </c>
    </row>
    <row r="1178" spans="1:14" x14ac:dyDescent="0.35">
      <c r="A1178" t="s">
        <v>64</v>
      </c>
      <c r="B1178" t="s">
        <v>319</v>
      </c>
      <c r="C1178" t="s">
        <v>65</v>
      </c>
      <c r="D1178">
        <v>25</v>
      </c>
      <c r="E1178" s="2">
        <v>43519</v>
      </c>
      <c r="F1178" t="s">
        <v>24</v>
      </c>
      <c r="G1178" t="s">
        <v>66</v>
      </c>
      <c r="H1178" t="s">
        <v>105</v>
      </c>
      <c r="I1178" s="3">
        <v>8.611111111111111E-2</v>
      </c>
      <c r="J1178" t="s">
        <v>275</v>
      </c>
      <c r="K1178">
        <v>26</v>
      </c>
      <c r="L1178" s="3">
        <v>4.2361111111111113E-2</v>
      </c>
      <c r="M1178" t="s">
        <v>31</v>
      </c>
      <c r="N1178" t="s">
        <v>276</v>
      </c>
    </row>
    <row r="1179" spans="1:14" x14ac:dyDescent="0.35">
      <c r="A1179" t="s">
        <v>64</v>
      </c>
      <c r="B1179" t="s">
        <v>319</v>
      </c>
      <c r="C1179" t="s">
        <v>65</v>
      </c>
      <c r="D1179">
        <v>25</v>
      </c>
      <c r="E1179" s="2">
        <v>43519</v>
      </c>
      <c r="F1179" t="s">
        <v>24</v>
      </c>
      <c r="G1179" t="s">
        <v>66</v>
      </c>
      <c r="H1179" t="s">
        <v>105</v>
      </c>
      <c r="I1179" s="3">
        <v>8.611111111111111E-2</v>
      </c>
      <c r="J1179" t="s">
        <v>275</v>
      </c>
      <c r="K1179">
        <v>85</v>
      </c>
      <c r="L1179" s="3">
        <v>8.5416666666666669E-2</v>
      </c>
      <c r="M1179" t="s">
        <v>31</v>
      </c>
    </row>
    <row r="1180" spans="1:14" x14ac:dyDescent="0.35">
      <c r="A1180" t="s">
        <v>64</v>
      </c>
      <c r="B1180" t="s">
        <v>319</v>
      </c>
      <c r="C1180" t="s">
        <v>65</v>
      </c>
      <c r="D1180">
        <v>25</v>
      </c>
      <c r="E1180" s="2">
        <v>43519</v>
      </c>
      <c r="F1180" t="s">
        <v>24</v>
      </c>
      <c r="G1180" t="s">
        <v>66</v>
      </c>
      <c r="H1180" t="s">
        <v>105</v>
      </c>
      <c r="I1180" s="3">
        <v>8.611111111111111E-2</v>
      </c>
      <c r="J1180" t="s">
        <v>275</v>
      </c>
      <c r="K1180">
        <v>67</v>
      </c>
      <c r="L1180" s="3">
        <v>8.4722222222222227E-2</v>
      </c>
      <c r="M1180" t="s">
        <v>26</v>
      </c>
      <c r="N1180" t="s">
        <v>316</v>
      </c>
    </row>
    <row r="1181" spans="1:14" x14ac:dyDescent="0.35">
      <c r="A1181" t="s">
        <v>64</v>
      </c>
      <c r="B1181" t="s">
        <v>319</v>
      </c>
      <c r="C1181" t="s">
        <v>65</v>
      </c>
      <c r="D1181">
        <v>27</v>
      </c>
      <c r="E1181" s="2">
        <v>43533</v>
      </c>
      <c r="F1181" t="s">
        <v>16</v>
      </c>
      <c r="G1181" t="s">
        <v>66</v>
      </c>
      <c r="H1181" t="s">
        <v>225</v>
      </c>
      <c r="I1181" s="3">
        <v>0.12569444444444444</v>
      </c>
      <c r="J1181" t="s">
        <v>275</v>
      </c>
      <c r="K1181">
        <v>51</v>
      </c>
      <c r="L1181" s="3">
        <v>8.4027777777777785E-2</v>
      </c>
      <c r="M1181" t="s">
        <v>83</v>
      </c>
    </row>
    <row r="1182" spans="1:14" x14ac:dyDescent="0.35">
      <c r="A1182" t="s">
        <v>14</v>
      </c>
      <c r="B1182" t="s">
        <v>319</v>
      </c>
      <c r="C1182" t="s">
        <v>75</v>
      </c>
      <c r="D1182" t="s">
        <v>143</v>
      </c>
      <c r="E1182" s="2">
        <v>43536</v>
      </c>
      <c r="F1182" t="s">
        <v>16</v>
      </c>
      <c r="G1182" t="s">
        <v>260</v>
      </c>
      <c r="H1182" t="s">
        <v>119</v>
      </c>
      <c r="I1182" s="3">
        <v>0.125</v>
      </c>
      <c r="J1182" t="s">
        <v>68</v>
      </c>
      <c r="K1182">
        <v>27</v>
      </c>
      <c r="L1182" s="3">
        <v>4.1666666666666664E-2</v>
      </c>
      <c r="M1182" t="s">
        <v>22</v>
      </c>
      <c r="N1182" t="s">
        <v>345</v>
      </c>
    </row>
    <row r="1183" spans="1:14" x14ac:dyDescent="0.35">
      <c r="A1183" t="s">
        <v>14</v>
      </c>
      <c r="B1183" t="s">
        <v>319</v>
      </c>
      <c r="C1183" t="s">
        <v>75</v>
      </c>
      <c r="D1183" t="s">
        <v>143</v>
      </c>
      <c r="E1183" s="2">
        <v>43536</v>
      </c>
      <c r="F1183" t="s">
        <v>16</v>
      </c>
      <c r="G1183" t="s">
        <v>260</v>
      </c>
      <c r="H1183" t="s">
        <v>119</v>
      </c>
      <c r="I1183" s="3">
        <v>0.125</v>
      </c>
      <c r="J1183" t="s">
        <v>68</v>
      </c>
      <c r="K1183">
        <v>49</v>
      </c>
      <c r="L1183" s="3">
        <v>8.3333333333333329E-2</v>
      </c>
      <c r="M1183" t="s">
        <v>22</v>
      </c>
      <c r="N1183" t="s">
        <v>346</v>
      </c>
    </row>
    <row r="1184" spans="1:14" x14ac:dyDescent="0.35">
      <c r="A1184" t="s">
        <v>14</v>
      </c>
      <c r="B1184" t="s">
        <v>319</v>
      </c>
      <c r="C1184" t="s">
        <v>75</v>
      </c>
      <c r="D1184" t="s">
        <v>143</v>
      </c>
      <c r="E1184" s="2">
        <v>43536</v>
      </c>
      <c r="F1184" t="s">
        <v>16</v>
      </c>
      <c r="G1184" t="s">
        <v>260</v>
      </c>
      <c r="H1184" t="s">
        <v>119</v>
      </c>
      <c r="I1184" s="3">
        <v>0.125</v>
      </c>
      <c r="J1184" t="s">
        <v>68</v>
      </c>
      <c r="K1184">
        <v>86</v>
      </c>
      <c r="L1184" s="3">
        <v>0.125</v>
      </c>
      <c r="M1184" t="s">
        <v>83</v>
      </c>
    </row>
    <row r="1185" spans="1:14" x14ac:dyDescent="0.35">
      <c r="A1185" t="s">
        <v>64</v>
      </c>
      <c r="B1185" t="s">
        <v>319</v>
      </c>
      <c r="C1185" t="s">
        <v>75</v>
      </c>
      <c r="D1185" t="s">
        <v>143</v>
      </c>
      <c r="E1185" s="2">
        <v>43537</v>
      </c>
      <c r="F1185" t="s">
        <v>16</v>
      </c>
      <c r="G1185" t="s">
        <v>66</v>
      </c>
      <c r="H1185" t="s">
        <v>125</v>
      </c>
      <c r="I1185" s="3">
        <v>0.20902777777777778</v>
      </c>
      <c r="J1185" t="s">
        <v>275</v>
      </c>
      <c r="K1185">
        <v>18</v>
      </c>
      <c r="L1185" s="3">
        <v>4.1666666666666664E-2</v>
      </c>
      <c r="M1185" t="s">
        <v>83</v>
      </c>
    </row>
    <row r="1186" spans="1:14" x14ac:dyDescent="0.35">
      <c r="A1186" t="s">
        <v>64</v>
      </c>
      <c r="B1186" t="s">
        <v>319</v>
      </c>
      <c r="C1186" t="s">
        <v>75</v>
      </c>
      <c r="D1186" t="s">
        <v>143</v>
      </c>
      <c r="E1186" s="2">
        <v>43537</v>
      </c>
      <c r="F1186" t="s">
        <v>16</v>
      </c>
      <c r="G1186" t="s">
        <v>66</v>
      </c>
      <c r="H1186" t="s">
        <v>125</v>
      </c>
      <c r="I1186" s="3">
        <v>0.20902777777777778</v>
      </c>
      <c r="J1186" t="s">
        <v>275</v>
      </c>
      <c r="K1186">
        <v>78</v>
      </c>
      <c r="L1186" s="3">
        <v>0.12569444444444444</v>
      </c>
      <c r="M1186" t="s">
        <v>26</v>
      </c>
      <c r="N1186" t="s">
        <v>222</v>
      </c>
    </row>
    <row r="1187" spans="1:14" x14ac:dyDescent="0.35">
      <c r="A1187" t="s">
        <v>64</v>
      </c>
      <c r="B1187" t="s">
        <v>319</v>
      </c>
      <c r="C1187" t="s">
        <v>65</v>
      </c>
      <c r="D1187">
        <v>28</v>
      </c>
      <c r="E1187" s="2">
        <v>43541</v>
      </c>
      <c r="F1187" t="s">
        <v>24</v>
      </c>
      <c r="G1187" t="s">
        <v>66</v>
      </c>
      <c r="H1187" t="s">
        <v>95</v>
      </c>
      <c r="I1187" s="3">
        <v>4.4444444444444446E-2</v>
      </c>
      <c r="J1187" t="s">
        <v>311</v>
      </c>
      <c r="K1187">
        <v>85</v>
      </c>
      <c r="L1187" s="3">
        <v>4.4444444444444446E-2</v>
      </c>
      <c r="M1187" t="s">
        <v>31</v>
      </c>
      <c r="N1187" t="s">
        <v>276</v>
      </c>
    </row>
    <row r="1188" spans="1:14" x14ac:dyDescent="0.35">
      <c r="A1188" t="s">
        <v>64</v>
      </c>
      <c r="B1188" t="s">
        <v>319</v>
      </c>
      <c r="C1188" t="s">
        <v>65</v>
      </c>
      <c r="D1188">
        <v>28</v>
      </c>
      <c r="E1188" s="2">
        <v>43541</v>
      </c>
      <c r="F1188" t="s">
        <v>24</v>
      </c>
      <c r="G1188" t="s">
        <v>66</v>
      </c>
      <c r="H1188" t="s">
        <v>95</v>
      </c>
      <c r="I1188" s="3">
        <v>4.4444444444444446E-2</v>
      </c>
      <c r="J1188" t="s">
        <v>311</v>
      </c>
      <c r="K1188" t="s">
        <v>228</v>
      </c>
      <c r="L1188" s="3">
        <v>1.3888888888888889E-3</v>
      </c>
      <c r="M1188" t="s">
        <v>31</v>
      </c>
      <c r="N1188" t="s">
        <v>273</v>
      </c>
    </row>
    <row r="1189" spans="1:14" x14ac:dyDescent="0.35">
      <c r="A1189" t="s">
        <v>64</v>
      </c>
      <c r="B1189" t="s">
        <v>319</v>
      </c>
      <c r="C1189" t="s">
        <v>65</v>
      </c>
      <c r="D1189">
        <v>28</v>
      </c>
      <c r="E1189" s="2">
        <v>43541</v>
      </c>
      <c r="F1189" t="s">
        <v>24</v>
      </c>
      <c r="G1189" t="s">
        <v>66</v>
      </c>
      <c r="H1189" t="s">
        <v>95</v>
      </c>
      <c r="I1189" s="3">
        <v>4.4444444444444446E-2</v>
      </c>
      <c r="J1189" t="s">
        <v>311</v>
      </c>
      <c r="K1189">
        <v>18</v>
      </c>
      <c r="L1189" s="3">
        <v>6.9444444444444447E-4</v>
      </c>
      <c r="M1189" t="s">
        <v>39</v>
      </c>
    </row>
    <row r="1190" spans="1:14" x14ac:dyDescent="0.35">
      <c r="A1190" t="s">
        <v>64</v>
      </c>
      <c r="B1190" t="s">
        <v>319</v>
      </c>
      <c r="C1190" t="s">
        <v>65</v>
      </c>
      <c r="D1190">
        <v>29</v>
      </c>
      <c r="E1190" s="2">
        <v>43554</v>
      </c>
      <c r="F1190" t="s">
        <v>16</v>
      </c>
      <c r="G1190" t="s">
        <v>66</v>
      </c>
      <c r="H1190" t="s">
        <v>121</v>
      </c>
      <c r="I1190" s="3">
        <v>8.3333333333333329E-2</v>
      </c>
      <c r="J1190" t="s">
        <v>275</v>
      </c>
      <c r="K1190">
        <v>89</v>
      </c>
      <c r="L1190" s="3">
        <v>8.3333333333333329E-2</v>
      </c>
      <c r="M1190" t="s">
        <v>31</v>
      </c>
      <c r="N1190" t="s">
        <v>347</v>
      </c>
    </row>
    <row r="1191" spans="1:14" x14ac:dyDescent="0.35">
      <c r="A1191" t="s">
        <v>64</v>
      </c>
      <c r="B1191" t="s">
        <v>319</v>
      </c>
      <c r="C1191" t="s">
        <v>65</v>
      </c>
      <c r="D1191">
        <v>29</v>
      </c>
      <c r="E1191" s="2">
        <v>43554</v>
      </c>
      <c r="F1191" t="s">
        <v>16</v>
      </c>
      <c r="G1191" t="s">
        <v>66</v>
      </c>
      <c r="H1191" t="s">
        <v>121</v>
      </c>
      <c r="I1191" s="3">
        <v>8.3333333333333329E-2</v>
      </c>
      <c r="J1191" t="s">
        <v>275</v>
      </c>
      <c r="K1191">
        <v>71</v>
      </c>
      <c r="L1191" s="3">
        <v>4.1666666666666664E-2</v>
      </c>
      <c r="M1191" t="s">
        <v>39</v>
      </c>
    </row>
    <row r="1192" spans="1:14" x14ac:dyDescent="0.35">
      <c r="A1192" t="s">
        <v>64</v>
      </c>
      <c r="B1192" t="s">
        <v>319</v>
      </c>
      <c r="C1192" t="s">
        <v>65</v>
      </c>
      <c r="D1192">
        <v>30</v>
      </c>
      <c r="E1192" s="2">
        <v>43557</v>
      </c>
      <c r="F1192" t="s">
        <v>24</v>
      </c>
      <c r="G1192" t="s">
        <v>66</v>
      </c>
      <c r="H1192" t="s">
        <v>180</v>
      </c>
      <c r="I1192" s="3">
        <v>0.16944444444444445</v>
      </c>
      <c r="J1192" t="s">
        <v>38</v>
      </c>
      <c r="K1192">
        <v>90</v>
      </c>
      <c r="L1192" s="3">
        <v>0.16875000000000001</v>
      </c>
      <c r="M1192" t="s">
        <v>39</v>
      </c>
    </row>
    <row r="1193" spans="1:14" x14ac:dyDescent="0.35">
      <c r="A1193" t="s">
        <v>64</v>
      </c>
      <c r="B1193" t="s">
        <v>319</v>
      </c>
      <c r="C1193" t="s">
        <v>65</v>
      </c>
      <c r="D1193">
        <v>31</v>
      </c>
      <c r="E1193" s="2">
        <v>43561</v>
      </c>
      <c r="F1193" t="s">
        <v>16</v>
      </c>
      <c r="G1193" t="s">
        <v>66</v>
      </c>
      <c r="H1193" t="s">
        <v>119</v>
      </c>
      <c r="I1193" s="3">
        <v>8.3333333333333329E-2</v>
      </c>
      <c r="J1193" t="s">
        <v>311</v>
      </c>
      <c r="K1193">
        <v>87</v>
      </c>
      <c r="L1193" s="3">
        <v>8.3333333333333329E-2</v>
      </c>
      <c r="M1193" t="s">
        <v>31</v>
      </c>
    </row>
    <row r="1194" spans="1:14" x14ac:dyDescent="0.35">
      <c r="A1194" t="s">
        <v>14</v>
      </c>
      <c r="B1194" t="s">
        <v>319</v>
      </c>
      <c r="C1194" t="s">
        <v>75</v>
      </c>
      <c r="D1194" t="s">
        <v>92</v>
      </c>
      <c r="E1194" s="2">
        <v>43565</v>
      </c>
      <c r="F1194" t="s">
        <v>24</v>
      </c>
      <c r="G1194" t="s">
        <v>260</v>
      </c>
      <c r="H1194" t="s">
        <v>214</v>
      </c>
      <c r="I1194" s="3">
        <v>4.2361111111111113E-2</v>
      </c>
      <c r="J1194" t="s">
        <v>19</v>
      </c>
      <c r="K1194">
        <v>45</v>
      </c>
      <c r="L1194" s="3">
        <v>6.9444444444444447E-4</v>
      </c>
      <c r="M1194" t="s">
        <v>22</v>
      </c>
      <c r="N1194" t="s">
        <v>346</v>
      </c>
    </row>
    <row r="1195" spans="1:14" x14ac:dyDescent="0.35">
      <c r="A1195" t="s">
        <v>64</v>
      </c>
      <c r="B1195" t="s">
        <v>319</v>
      </c>
      <c r="C1195" t="s">
        <v>75</v>
      </c>
      <c r="D1195" t="s">
        <v>92</v>
      </c>
      <c r="E1195" s="2">
        <v>43571</v>
      </c>
      <c r="F1195" t="s">
        <v>16</v>
      </c>
      <c r="G1195" t="s">
        <v>66</v>
      </c>
      <c r="H1195" t="s">
        <v>36</v>
      </c>
      <c r="I1195" s="3">
        <v>0.125</v>
      </c>
      <c r="J1195" t="s">
        <v>275</v>
      </c>
      <c r="K1195">
        <v>20</v>
      </c>
      <c r="L1195" s="3">
        <v>8.3333333333333329E-2</v>
      </c>
      <c r="M1195" t="s">
        <v>26</v>
      </c>
    </row>
    <row r="1196" spans="1:14" x14ac:dyDescent="0.35">
      <c r="A1196" t="s">
        <v>64</v>
      </c>
      <c r="B1196" t="s">
        <v>319</v>
      </c>
      <c r="C1196" t="s">
        <v>75</v>
      </c>
      <c r="D1196" t="s">
        <v>92</v>
      </c>
      <c r="E1196" s="2">
        <v>43571</v>
      </c>
      <c r="F1196" t="s">
        <v>16</v>
      </c>
      <c r="G1196" t="s">
        <v>66</v>
      </c>
      <c r="H1196" t="s">
        <v>36</v>
      </c>
      <c r="I1196" s="3">
        <v>0.125</v>
      </c>
      <c r="J1196" t="s">
        <v>275</v>
      </c>
      <c r="K1196">
        <v>16</v>
      </c>
      <c r="L1196" s="3">
        <v>4.1666666666666664E-2</v>
      </c>
      <c r="M1196" t="s">
        <v>31</v>
      </c>
    </row>
    <row r="1197" spans="1:14" x14ac:dyDescent="0.35">
      <c r="A1197" t="s">
        <v>14</v>
      </c>
      <c r="B1197" t="s">
        <v>319</v>
      </c>
      <c r="C1197" t="s">
        <v>75</v>
      </c>
      <c r="D1197" t="s">
        <v>92</v>
      </c>
      <c r="E1197" s="2">
        <v>43571</v>
      </c>
      <c r="F1197" t="s">
        <v>16</v>
      </c>
      <c r="G1197" t="s">
        <v>260</v>
      </c>
      <c r="H1197" t="s">
        <v>214</v>
      </c>
      <c r="I1197" s="3">
        <v>4.3055555555555555E-2</v>
      </c>
      <c r="J1197" t="s">
        <v>19</v>
      </c>
      <c r="K1197">
        <v>28</v>
      </c>
      <c r="L1197" s="3">
        <v>4.1666666666666664E-2</v>
      </c>
      <c r="M1197" t="s">
        <v>22</v>
      </c>
      <c r="N1197" t="s">
        <v>334</v>
      </c>
    </row>
    <row r="1198" spans="1:14" x14ac:dyDescent="0.35">
      <c r="A1198" t="s">
        <v>14</v>
      </c>
      <c r="B1198" t="s">
        <v>319</v>
      </c>
      <c r="C1198" t="s">
        <v>321</v>
      </c>
      <c r="D1198">
        <v>34</v>
      </c>
      <c r="E1198" s="2">
        <v>43582</v>
      </c>
      <c r="F1198" t="s">
        <v>24</v>
      </c>
      <c r="G1198" t="s">
        <v>260</v>
      </c>
      <c r="H1198" t="s">
        <v>348</v>
      </c>
      <c r="I1198" s="3">
        <v>4.2361111111111113E-2</v>
      </c>
      <c r="J1198" t="s">
        <v>68</v>
      </c>
      <c r="K1198">
        <v>62</v>
      </c>
      <c r="L1198" s="3">
        <v>4.2361111111111113E-2</v>
      </c>
      <c r="M1198" t="s">
        <v>31</v>
      </c>
      <c r="N1198" t="s">
        <v>334</v>
      </c>
    </row>
    <row r="1199" spans="1:14" x14ac:dyDescent="0.35">
      <c r="A1199" t="s">
        <v>64</v>
      </c>
      <c r="B1199" t="s">
        <v>319</v>
      </c>
      <c r="C1199" t="s">
        <v>65</v>
      </c>
      <c r="D1199">
        <v>35</v>
      </c>
      <c r="E1199" s="2">
        <v>43582</v>
      </c>
      <c r="F1199" t="s">
        <v>16</v>
      </c>
      <c r="G1199" t="s">
        <v>66</v>
      </c>
      <c r="H1199" t="s">
        <v>127</v>
      </c>
      <c r="I1199" s="3">
        <v>4.1666666666666664E-2</v>
      </c>
      <c r="J1199" t="s">
        <v>38</v>
      </c>
      <c r="K1199">
        <v>62</v>
      </c>
      <c r="L1199" s="3">
        <v>4.1666666666666664E-2</v>
      </c>
      <c r="M1199" t="s">
        <v>31</v>
      </c>
      <c r="N1199" t="s">
        <v>326</v>
      </c>
    </row>
    <row r="1200" spans="1:14" x14ac:dyDescent="0.35">
      <c r="A1200" t="s">
        <v>64</v>
      </c>
      <c r="B1200" t="s">
        <v>319</v>
      </c>
      <c r="C1200" t="s">
        <v>75</v>
      </c>
      <c r="D1200" t="s">
        <v>62</v>
      </c>
      <c r="E1200" s="2">
        <v>43586</v>
      </c>
      <c r="F1200" t="s">
        <v>16</v>
      </c>
      <c r="G1200" t="s">
        <v>66</v>
      </c>
      <c r="H1200" t="s">
        <v>145</v>
      </c>
      <c r="I1200" s="3">
        <v>0.125</v>
      </c>
      <c r="J1200" t="s">
        <v>275</v>
      </c>
      <c r="K1200">
        <v>82</v>
      </c>
      <c r="L1200" s="3">
        <v>0.125</v>
      </c>
      <c r="M1200" t="s">
        <v>39</v>
      </c>
    </row>
    <row r="1201" spans="1:14" x14ac:dyDescent="0.35">
      <c r="A1201" t="s">
        <v>64</v>
      </c>
      <c r="B1201" t="s">
        <v>319</v>
      </c>
      <c r="C1201" t="s">
        <v>75</v>
      </c>
      <c r="D1201" t="s">
        <v>62</v>
      </c>
      <c r="E1201" s="2">
        <v>43586</v>
      </c>
      <c r="F1201" t="s">
        <v>16</v>
      </c>
      <c r="G1201" t="s">
        <v>66</v>
      </c>
      <c r="H1201" t="s">
        <v>145</v>
      </c>
      <c r="I1201" s="3">
        <v>0.125</v>
      </c>
      <c r="J1201" t="s">
        <v>275</v>
      </c>
      <c r="K1201">
        <v>75</v>
      </c>
      <c r="L1201" s="3">
        <v>8.3333333333333329E-2</v>
      </c>
      <c r="M1201" t="s">
        <v>31</v>
      </c>
      <c r="N1201" t="s">
        <v>273</v>
      </c>
    </row>
    <row r="1202" spans="1:14" x14ac:dyDescent="0.35">
      <c r="A1202" t="s">
        <v>14</v>
      </c>
      <c r="B1202" t="s">
        <v>319</v>
      </c>
      <c r="C1202" t="s">
        <v>321</v>
      </c>
      <c r="D1202">
        <v>35</v>
      </c>
      <c r="E1202" s="2">
        <v>43588</v>
      </c>
      <c r="F1202" t="s">
        <v>16</v>
      </c>
      <c r="G1202" t="s">
        <v>260</v>
      </c>
      <c r="H1202" t="s">
        <v>336</v>
      </c>
      <c r="I1202" s="3">
        <v>4.2361111111111113E-2</v>
      </c>
      <c r="J1202" t="s">
        <v>68</v>
      </c>
      <c r="K1202">
        <v>84</v>
      </c>
      <c r="L1202" s="3">
        <v>4.2361111111111113E-2</v>
      </c>
      <c r="M1202" t="s">
        <v>22</v>
      </c>
      <c r="N1202" t="s">
        <v>349</v>
      </c>
    </row>
    <row r="1203" spans="1:14" x14ac:dyDescent="0.35">
      <c r="A1203" t="s">
        <v>64</v>
      </c>
      <c r="B1203" t="s">
        <v>319</v>
      </c>
      <c r="C1203" t="s">
        <v>65</v>
      </c>
      <c r="D1203">
        <v>38</v>
      </c>
      <c r="E1203" s="2">
        <v>43604</v>
      </c>
      <c r="F1203" t="s">
        <v>24</v>
      </c>
      <c r="G1203" t="s">
        <v>66</v>
      </c>
      <c r="H1203" t="s">
        <v>270</v>
      </c>
      <c r="I1203" s="3">
        <v>8.4722222222222227E-2</v>
      </c>
      <c r="J1203" t="s">
        <v>251</v>
      </c>
      <c r="K1203">
        <v>31</v>
      </c>
      <c r="L1203" s="3">
        <v>4.2361111111111113E-2</v>
      </c>
      <c r="M1203" t="s">
        <v>31</v>
      </c>
      <c r="N1203" t="s">
        <v>326</v>
      </c>
    </row>
    <row r="1204" spans="1:14" x14ac:dyDescent="0.35">
      <c r="A1204" t="s">
        <v>64</v>
      </c>
      <c r="B1204" t="s">
        <v>319</v>
      </c>
      <c r="C1204" t="s">
        <v>65</v>
      </c>
      <c r="D1204">
        <v>38</v>
      </c>
      <c r="E1204" s="2">
        <v>43604</v>
      </c>
      <c r="F1204" t="s">
        <v>24</v>
      </c>
      <c r="G1204" t="s">
        <v>66</v>
      </c>
      <c r="H1204" t="s">
        <v>270</v>
      </c>
      <c r="I1204" s="3">
        <v>8.4722222222222227E-2</v>
      </c>
      <c r="J1204" t="s">
        <v>251</v>
      </c>
      <c r="K1204">
        <v>32</v>
      </c>
      <c r="L1204" s="3">
        <v>4.3055555555555555E-2</v>
      </c>
      <c r="M1204" t="s">
        <v>31</v>
      </c>
      <c r="N1204" t="s">
        <v>276</v>
      </c>
    </row>
    <row r="1205" spans="1:14" x14ac:dyDescent="0.35">
      <c r="A1205" t="s">
        <v>64</v>
      </c>
      <c r="B1205" t="s">
        <v>319</v>
      </c>
      <c r="C1205" t="s">
        <v>91</v>
      </c>
      <c r="D1205" t="s">
        <v>46</v>
      </c>
      <c r="E1205" s="2">
        <v>43610</v>
      </c>
      <c r="F1205" t="s">
        <v>16</v>
      </c>
      <c r="G1205" t="s">
        <v>66</v>
      </c>
      <c r="H1205" t="s">
        <v>148</v>
      </c>
      <c r="I1205" s="3">
        <v>4.3055555555555555E-2</v>
      </c>
      <c r="J1205" t="s">
        <v>251</v>
      </c>
      <c r="K1205">
        <v>73</v>
      </c>
      <c r="L1205" s="3">
        <v>4.3055555555555555E-2</v>
      </c>
      <c r="M1205" t="s">
        <v>31</v>
      </c>
      <c r="N1205" t="s">
        <v>350</v>
      </c>
    </row>
    <row r="1206" spans="1:14" x14ac:dyDescent="0.35">
      <c r="A1206" t="s">
        <v>14</v>
      </c>
      <c r="B1206" t="s">
        <v>351</v>
      </c>
      <c r="C1206" t="s">
        <v>321</v>
      </c>
      <c r="D1206">
        <v>2</v>
      </c>
      <c r="E1206" s="2">
        <v>43708</v>
      </c>
      <c r="F1206" t="s">
        <v>16</v>
      </c>
      <c r="G1206" t="s">
        <v>260</v>
      </c>
      <c r="H1206" t="s">
        <v>352</v>
      </c>
      <c r="I1206" s="3">
        <v>0.16875000000000001</v>
      </c>
      <c r="J1206" t="s">
        <v>19</v>
      </c>
      <c r="K1206">
        <v>62</v>
      </c>
      <c r="L1206" s="3">
        <v>0.125</v>
      </c>
      <c r="M1206" t="s">
        <v>31</v>
      </c>
      <c r="N1206" t="s">
        <v>353</v>
      </c>
    </row>
    <row r="1207" spans="1:14" x14ac:dyDescent="0.35">
      <c r="A1207" t="s">
        <v>14</v>
      </c>
      <c r="B1207" t="s">
        <v>351</v>
      </c>
      <c r="C1207" t="s">
        <v>321</v>
      </c>
      <c r="D1207">
        <v>4</v>
      </c>
      <c r="E1207" s="2">
        <v>43729</v>
      </c>
      <c r="F1207" t="s">
        <v>16</v>
      </c>
      <c r="G1207" t="s">
        <v>260</v>
      </c>
      <c r="H1207" t="s">
        <v>354</v>
      </c>
      <c r="I1207" s="3">
        <v>8.4027777777777785E-2</v>
      </c>
      <c r="J1207" t="s">
        <v>19</v>
      </c>
      <c r="K1207">
        <v>49</v>
      </c>
      <c r="L1207" s="3">
        <v>8.4027777777777785E-2</v>
      </c>
      <c r="M1207" t="s">
        <v>83</v>
      </c>
    </row>
    <row r="1208" spans="1:14" x14ac:dyDescent="0.35">
      <c r="A1208" t="s">
        <v>14</v>
      </c>
      <c r="B1208" t="s">
        <v>351</v>
      </c>
      <c r="C1208" t="s">
        <v>321</v>
      </c>
      <c r="D1208">
        <v>6</v>
      </c>
      <c r="E1208" s="2">
        <v>43736</v>
      </c>
      <c r="F1208" t="s">
        <v>16</v>
      </c>
      <c r="G1208" t="s">
        <v>260</v>
      </c>
      <c r="H1208" t="s">
        <v>333</v>
      </c>
      <c r="I1208" s="3">
        <v>8.3333333333333329E-2</v>
      </c>
      <c r="J1208" t="s">
        <v>68</v>
      </c>
      <c r="K1208">
        <v>78</v>
      </c>
      <c r="L1208" s="3">
        <v>8.3333333333333329E-2</v>
      </c>
      <c r="M1208" t="s">
        <v>22</v>
      </c>
      <c r="N1208" t="s">
        <v>340</v>
      </c>
    </row>
    <row r="1209" spans="1:14" x14ac:dyDescent="0.35">
      <c r="A1209" t="s">
        <v>14</v>
      </c>
      <c r="B1209" t="s">
        <v>351</v>
      </c>
      <c r="C1209" t="s">
        <v>75</v>
      </c>
      <c r="D1209" t="s">
        <v>76</v>
      </c>
      <c r="E1209" s="2">
        <v>43739</v>
      </c>
      <c r="F1209" t="s">
        <v>16</v>
      </c>
      <c r="G1209" t="s">
        <v>260</v>
      </c>
      <c r="H1209" t="s">
        <v>236</v>
      </c>
      <c r="I1209" s="3">
        <v>0.125</v>
      </c>
      <c r="J1209" t="s">
        <v>68</v>
      </c>
      <c r="K1209">
        <v>89</v>
      </c>
      <c r="L1209" s="3">
        <v>0.125</v>
      </c>
      <c r="M1209" t="s">
        <v>26</v>
      </c>
      <c r="N1209" t="s">
        <v>340</v>
      </c>
    </row>
    <row r="1210" spans="1:14" x14ac:dyDescent="0.35">
      <c r="A1210" t="s">
        <v>64</v>
      </c>
      <c r="B1210" t="s">
        <v>351</v>
      </c>
      <c r="C1210" t="s">
        <v>65</v>
      </c>
      <c r="D1210">
        <v>8</v>
      </c>
      <c r="E1210" s="2">
        <v>43744</v>
      </c>
      <c r="F1210" t="s">
        <v>16</v>
      </c>
      <c r="G1210" t="s">
        <v>66</v>
      </c>
      <c r="H1210" t="s">
        <v>105</v>
      </c>
      <c r="I1210" s="3">
        <v>0.16666666666666666</v>
      </c>
      <c r="J1210" t="s">
        <v>275</v>
      </c>
      <c r="K1210">
        <v>78</v>
      </c>
      <c r="L1210" s="3">
        <v>0.16666666666666666</v>
      </c>
      <c r="M1210" t="s">
        <v>39</v>
      </c>
    </row>
    <row r="1211" spans="1:14" x14ac:dyDescent="0.35">
      <c r="A1211" t="s">
        <v>64</v>
      </c>
      <c r="B1211" t="s">
        <v>351</v>
      </c>
      <c r="C1211" t="s">
        <v>65</v>
      </c>
      <c r="D1211">
        <v>9</v>
      </c>
      <c r="E1211" s="2">
        <v>43757</v>
      </c>
      <c r="F1211" t="s">
        <v>24</v>
      </c>
      <c r="G1211" t="s">
        <v>66</v>
      </c>
      <c r="H1211" t="s">
        <v>270</v>
      </c>
      <c r="I1211" s="3">
        <v>2.0833333333333333E-3</v>
      </c>
      <c r="J1211" t="s">
        <v>275</v>
      </c>
      <c r="K1211">
        <v>58</v>
      </c>
      <c r="L1211" s="3">
        <v>1.3888888888888889E-3</v>
      </c>
      <c r="M1211" t="s">
        <v>31</v>
      </c>
      <c r="N1211" t="s">
        <v>355</v>
      </c>
    </row>
    <row r="1212" spans="1:14" x14ac:dyDescent="0.35">
      <c r="A1212" t="s">
        <v>14</v>
      </c>
      <c r="B1212" t="s">
        <v>351</v>
      </c>
      <c r="C1212" t="s">
        <v>321</v>
      </c>
      <c r="D1212">
        <v>8</v>
      </c>
      <c r="E1212" s="2">
        <v>43757</v>
      </c>
      <c r="F1212" t="s">
        <v>16</v>
      </c>
      <c r="G1212" t="s">
        <v>260</v>
      </c>
      <c r="H1212" t="s">
        <v>356</v>
      </c>
      <c r="I1212" s="3">
        <v>8.4027777777777785E-2</v>
      </c>
      <c r="J1212" t="s">
        <v>68</v>
      </c>
      <c r="K1212">
        <v>19</v>
      </c>
      <c r="L1212" s="3">
        <v>4.1666666666666664E-2</v>
      </c>
      <c r="M1212" t="s">
        <v>26</v>
      </c>
    </row>
    <row r="1213" spans="1:14" x14ac:dyDescent="0.35">
      <c r="A1213" t="s">
        <v>64</v>
      </c>
      <c r="B1213" t="s">
        <v>351</v>
      </c>
      <c r="C1213" t="s">
        <v>75</v>
      </c>
      <c r="D1213" t="s">
        <v>76</v>
      </c>
      <c r="E1213" s="2">
        <v>43761</v>
      </c>
      <c r="F1213" t="s">
        <v>24</v>
      </c>
      <c r="G1213" t="s">
        <v>66</v>
      </c>
      <c r="H1213" t="s">
        <v>357</v>
      </c>
      <c r="I1213" s="3">
        <v>4.3055555555555555E-2</v>
      </c>
      <c r="J1213" t="s">
        <v>275</v>
      </c>
      <c r="K1213">
        <v>3</v>
      </c>
      <c r="L1213" s="3">
        <v>6.9444444444444447E-4</v>
      </c>
      <c r="M1213" t="s">
        <v>31</v>
      </c>
      <c r="N1213" t="s">
        <v>358</v>
      </c>
    </row>
    <row r="1214" spans="1:14" x14ac:dyDescent="0.35">
      <c r="A1214" t="s">
        <v>64</v>
      </c>
      <c r="B1214" t="s">
        <v>351</v>
      </c>
      <c r="C1214" t="s">
        <v>65</v>
      </c>
      <c r="D1214">
        <v>11</v>
      </c>
      <c r="E1214" s="2">
        <v>43767</v>
      </c>
      <c r="F1214" t="s">
        <v>16</v>
      </c>
      <c r="G1214" t="s">
        <v>66</v>
      </c>
      <c r="H1214" t="s">
        <v>197</v>
      </c>
      <c r="I1214" s="3">
        <v>0.20902777777777778</v>
      </c>
      <c r="J1214" t="s">
        <v>275</v>
      </c>
      <c r="K1214">
        <v>75</v>
      </c>
      <c r="L1214" s="3">
        <v>0.1673611111111111</v>
      </c>
      <c r="M1214" t="s">
        <v>31</v>
      </c>
      <c r="N1214" t="s">
        <v>276</v>
      </c>
    </row>
    <row r="1215" spans="1:14" x14ac:dyDescent="0.35">
      <c r="A1215" t="s">
        <v>64</v>
      </c>
      <c r="B1215" t="s">
        <v>351</v>
      </c>
      <c r="C1215" t="s">
        <v>65</v>
      </c>
      <c r="D1215">
        <v>11</v>
      </c>
      <c r="E1215" s="2">
        <v>43767</v>
      </c>
      <c r="F1215" t="s">
        <v>16</v>
      </c>
      <c r="G1215" t="s">
        <v>66</v>
      </c>
      <c r="H1215" t="s">
        <v>197</v>
      </c>
      <c r="I1215" s="3">
        <v>0.20902777777777778</v>
      </c>
      <c r="J1215" t="s">
        <v>275</v>
      </c>
      <c r="K1215">
        <v>34</v>
      </c>
      <c r="L1215" s="3">
        <v>0.12569444444444444</v>
      </c>
      <c r="M1215" t="s">
        <v>39</v>
      </c>
    </row>
    <row r="1216" spans="1:14" x14ac:dyDescent="0.35">
      <c r="A1216" t="s">
        <v>14</v>
      </c>
      <c r="B1216" t="s">
        <v>351</v>
      </c>
      <c r="C1216" t="s">
        <v>321</v>
      </c>
      <c r="D1216">
        <v>10</v>
      </c>
      <c r="E1216" s="2">
        <v>43768</v>
      </c>
      <c r="F1216" t="s">
        <v>16</v>
      </c>
      <c r="G1216" t="s">
        <v>260</v>
      </c>
      <c r="H1216" t="s">
        <v>329</v>
      </c>
      <c r="I1216" s="3">
        <v>8.4027777777777785E-2</v>
      </c>
      <c r="J1216" t="s">
        <v>68</v>
      </c>
      <c r="K1216" t="s">
        <v>259</v>
      </c>
      <c r="L1216" s="3">
        <v>8.4027777777777785E-2</v>
      </c>
      <c r="M1216" t="s">
        <v>83</v>
      </c>
    </row>
    <row r="1217" spans="1:14" x14ac:dyDescent="0.35">
      <c r="A1217" t="s">
        <v>64</v>
      </c>
      <c r="B1217" t="s">
        <v>351</v>
      </c>
      <c r="C1217" t="s">
        <v>65</v>
      </c>
      <c r="D1217">
        <v>12</v>
      </c>
      <c r="E1217" s="2">
        <v>43771</v>
      </c>
      <c r="F1217" t="s">
        <v>24</v>
      </c>
      <c r="G1217" t="s">
        <v>66</v>
      </c>
      <c r="H1217" t="s">
        <v>127</v>
      </c>
      <c r="I1217" s="3">
        <v>0.12569444444444444</v>
      </c>
      <c r="J1217" t="s">
        <v>275</v>
      </c>
      <c r="K1217">
        <v>38</v>
      </c>
      <c r="L1217" s="3">
        <v>6.9444444444444447E-4</v>
      </c>
      <c r="M1217" t="s">
        <v>83</v>
      </c>
    </row>
    <row r="1218" spans="1:14" x14ac:dyDescent="0.35">
      <c r="A1218" t="s">
        <v>64</v>
      </c>
      <c r="B1218" t="s">
        <v>351</v>
      </c>
      <c r="C1218" t="s">
        <v>65</v>
      </c>
      <c r="D1218">
        <v>13</v>
      </c>
      <c r="E1218" s="2">
        <v>43778</v>
      </c>
      <c r="F1218" t="s">
        <v>16</v>
      </c>
      <c r="G1218" t="s">
        <v>66</v>
      </c>
      <c r="H1218" t="s">
        <v>98</v>
      </c>
      <c r="I1218" s="3">
        <v>0.1673611111111111</v>
      </c>
      <c r="J1218" t="s">
        <v>275</v>
      </c>
      <c r="K1218">
        <v>48</v>
      </c>
      <c r="L1218" s="3">
        <v>0.12569444444444444</v>
      </c>
      <c r="M1218" t="s">
        <v>39</v>
      </c>
    </row>
    <row r="1219" spans="1:14" x14ac:dyDescent="0.35">
      <c r="A1219" t="s">
        <v>64</v>
      </c>
      <c r="B1219" t="s">
        <v>351</v>
      </c>
      <c r="C1219" t="s">
        <v>65</v>
      </c>
      <c r="D1219">
        <v>13</v>
      </c>
      <c r="E1219" s="2">
        <v>43778</v>
      </c>
      <c r="F1219" t="s">
        <v>16</v>
      </c>
      <c r="G1219" t="s">
        <v>66</v>
      </c>
      <c r="H1219" t="s">
        <v>98</v>
      </c>
      <c r="I1219" s="3">
        <v>0.1673611111111111</v>
      </c>
      <c r="J1219" t="s">
        <v>275</v>
      </c>
      <c r="K1219" t="s">
        <v>58</v>
      </c>
      <c r="L1219" s="3">
        <v>8.4027777777777785E-2</v>
      </c>
      <c r="M1219" t="s">
        <v>39</v>
      </c>
    </row>
    <row r="1220" spans="1:14" x14ac:dyDescent="0.35">
      <c r="A1220" t="s">
        <v>64</v>
      </c>
      <c r="B1220" t="s">
        <v>351</v>
      </c>
      <c r="C1220" t="s">
        <v>65</v>
      </c>
      <c r="D1220">
        <v>13</v>
      </c>
      <c r="E1220" s="2">
        <v>43778</v>
      </c>
      <c r="F1220" t="s">
        <v>16</v>
      </c>
      <c r="G1220" t="s">
        <v>66</v>
      </c>
      <c r="H1220" t="s">
        <v>98</v>
      </c>
      <c r="I1220" s="3">
        <v>0.1673611111111111</v>
      </c>
      <c r="J1220" t="s">
        <v>275</v>
      </c>
      <c r="K1220">
        <v>23</v>
      </c>
      <c r="L1220" s="3">
        <v>4.1666666666666664E-2</v>
      </c>
      <c r="M1220" t="s">
        <v>83</v>
      </c>
    </row>
    <row r="1221" spans="1:14" x14ac:dyDescent="0.35">
      <c r="A1221" t="s">
        <v>64</v>
      </c>
      <c r="B1221" t="s">
        <v>351</v>
      </c>
      <c r="C1221" t="s">
        <v>75</v>
      </c>
      <c r="D1221" t="s">
        <v>76</v>
      </c>
      <c r="E1221" s="2">
        <v>43796</v>
      </c>
      <c r="F1221" t="s">
        <v>16</v>
      </c>
      <c r="G1221" t="s">
        <v>66</v>
      </c>
      <c r="H1221" t="s">
        <v>246</v>
      </c>
      <c r="I1221" s="3">
        <v>0.12569444444444444</v>
      </c>
      <c r="J1221" t="s">
        <v>275</v>
      </c>
      <c r="K1221">
        <v>33</v>
      </c>
      <c r="L1221" s="3">
        <v>8.3333333333333329E-2</v>
      </c>
      <c r="M1221" t="s">
        <v>31</v>
      </c>
      <c r="N1221" t="s">
        <v>273</v>
      </c>
    </row>
    <row r="1222" spans="1:14" x14ac:dyDescent="0.35">
      <c r="A1222" t="s">
        <v>14</v>
      </c>
      <c r="B1222" t="s">
        <v>351</v>
      </c>
      <c r="C1222" t="s">
        <v>321</v>
      </c>
      <c r="D1222">
        <v>14</v>
      </c>
      <c r="E1222" s="2">
        <v>43800</v>
      </c>
      <c r="F1222" t="s">
        <v>16</v>
      </c>
      <c r="G1222" t="s">
        <v>260</v>
      </c>
      <c r="H1222" t="s">
        <v>322</v>
      </c>
      <c r="I1222" s="3">
        <v>8.4722222222222227E-2</v>
      </c>
      <c r="J1222" t="s">
        <v>68</v>
      </c>
      <c r="K1222">
        <v>68</v>
      </c>
      <c r="L1222" s="3">
        <v>8.4722222222222227E-2</v>
      </c>
      <c r="M1222" t="s">
        <v>83</v>
      </c>
    </row>
    <row r="1223" spans="1:14" x14ac:dyDescent="0.35">
      <c r="A1223" t="s">
        <v>64</v>
      </c>
      <c r="B1223" t="s">
        <v>351</v>
      </c>
      <c r="C1223" t="s">
        <v>65</v>
      </c>
      <c r="D1223">
        <v>15</v>
      </c>
      <c r="E1223" s="2">
        <v>43800</v>
      </c>
      <c r="F1223" t="s">
        <v>24</v>
      </c>
      <c r="G1223" t="s">
        <v>66</v>
      </c>
      <c r="H1223" t="s">
        <v>119</v>
      </c>
      <c r="I1223" s="3">
        <v>6.9444444444444447E-4</v>
      </c>
      <c r="J1223" t="s">
        <v>275</v>
      </c>
      <c r="K1223">
        <v>86</v>
      </c>
      <c r="L1223" s="3">
        <v>6.9444444444444447E-4</v>
      </c>
      <c r="M1223" t="s">
        <v>31</v>
      </c>
      <c r="N1223" t="s">
        <v>273</v>
      </c>
    </row>
    <row r="1224" spans="1:14" x14ac:dyDescent="0.35">
      <c r="A1224" t="s">
        <v>64</v>
      </c>
      <c r="B1224" t="s">
        <v>351</v>
      </c>
      <c r="C1224" t="s">
        <v>65</v>
      </c>
      <c r="D1224">
        <v>16</v>
      </c>
      <c r="E1224" s="2">
        <v>43806</v>
      </c>
      <c r="F1224" t="s">
        <v>16</v>
      </c>
      <c r="G1224" t="s">
        <v>66</v>
      </c>
      <c r="H1224" t="s">
        <v>89</v>
      </c>
      <c r="I1224" s="3">
        <v>0.20972222222222223</v>
      </c>
      <c r="J1224" t="s">
        <v>275</v>
      </c>
      <c r="K1224">
        <v>41</v>
      </c>
      <c r="L1224" s="3">
        <v>0.12569444444444444</v>
      </c>
      <c r="M1224" t="s">
        <v>31</v>
      </c>
      <c r="N1224" t="s">
        <v>276</v>
      </c>
    </row>
    <row r="1225" spans="1:14" x14ac:dyDescent="0.35">
      <c r="A1225" t="s">
        <v>64</v>
      </c>
      <c r="B1225" t="s">
        <v>351</v>
      </c>
      <c r="C1225" t="s">
        <v>65</v>
      </c>
      <c r="D1225">
        <v>16</v>
      </c>
      <c r="E1225" s="2">
        <v>43806</v>
      </c>
      <c r="F1225" t="s">
        <v>16</v>
      </c>
      <c r="G1225" t="s">
        <v>66</v>
      </c>
      <c r="H1225" t="s">
        <v>89</v>
      </c>
      <c r="I1225" s="3">
        <v>0.20972222222222223</v>
      </c>
      <c r="J1225" t="s">
        <v>275</v>
      </c>
      <c r="K1225">
        <v>83</v>
      </c>
      <c r="L1225" s="3">
        <v>0.20972222222222223</v>
      </c>
      <c r="M1225" t="s">
        <v>31</v>
      </c>
      <c r="N1225" t="s">
        <v>273</v>
      </c>
    </row>
    <row r="1226" spans="1:14" x14ac:dyDescent="0.35">
      <c r="A1226" t="s">
        <v>64</v>
      </c>
      <c r="B1226" t="s">
        <v>351</v>
      </c>
      <c r="C1226" t="s">
        <v>65</v>
      </c>
      <c r="D1226">
        <v>16</v>
      </c>
      <c r="E1226" s="2">
        <v>43806</v>
      </c>
      <c r="F1226" t="s">
        <v>16</v>
      </c>
      <c r="G1226" t="s">
        <v>66</v>
      </c>
      <c r="H1226" t="s">
        <v>89</v>
      </c>
      <c r="I1226" s="3">
        <v>0.20972222222222223</v>
      </c>
      <c r="J1226" t="s">
        <v>275</v>
      </c>
      <c r="K1226">
        <v>17</v>
      </c>
      <c r="L1226" s="3">
        <v>8.3333333333333329E-2</v>
      </c>
      <c r="M1226" t="s">
        <v>31</v>
      </c>
      <c r="N1226" t="s">
        <v>355</v>
      </c>
    </row>
    <row r="1227" spans="1:14" x14ac:dyDescent="0.35">
      <c r="A1227" t="s">
        <v>14</v>
      </c>
      <c r="B1227" t="s">
        <v>351</v>
      </c>
      <c r="C1227" t="s">
        <v>321</v>
      </c>
      <c r="D1227">
        <v>15</v>
      </c>
      <c r="E1227" s="2">
        <v>43806</v>
      </c>
      <c r="F1227" t="s">
        <v>24</v>
      </c>
      <c r="G1227" t="s">
        <v>260</v>
      </c>
      <c r="H1227" t="s">
        <v>343</v>
      </c>
      <c r="I1227" s="3">
        <v>0.12569444444444444</v>
      </c>
      <c r="J1227" t="s">
        <v>68</v>
      </c>
      <c r="K1227">
        <v>25</v>
      </c>
      <c r="L1227" s="3">
        <v>6.9444444444444447E-4</v>
      </c>
      <c r="M1227" t="s">
        <v>55</v>
      </c>
      <c r="N1227" t="s">
        <v>359</v>
      </c>
    </row>
    <row r="1228" spans="1:14" x14ac:dyDescent="0.35">
      <c r="A1228" t="s">
        <v>14</v>
      </c>
      <c r="B1228" t="s">
        <v>351</v>
      </c>
      <c r="C1228" t="s">
        <v>75</v>
      </c>
      <c r="D1228" t="s">
        <v>76</v>
      </c>
      <c r="E1228" s="2">
        <v>43810</v>
      </c>
      <c r="F1228" t="s">
        <v>24</v>
      </c>
      <c r="G1228" t="s">
        <v>260</v>
      </c>
      <c r="H1228" t="s">
        <v>236</v>
      </c>
      <c r="I1228" s="3">
        <v>1.3888888888888889E-3</v>
      </c>
      <c r="J1228" t="s">
        <v>68</v>
      </c>
      <c r="K1228">
        <v>75</v>
      </c>
      <c r="L1228" s="3">
        <v>6.9444444444444447E-4</v>
      </c>
      <c r="M1228" t="s">
        <v>26</v>
      </c>
      <c r="N1228" t="s">
        <v>340</v>
      </c>
    </row>
    <row r="1229" spans="1:14" x14ac:dyDescent="0.35">
      <c r="A1229" t="s">
        <v>14</v>
      </c>
      <c r="B1229" t="s">
        <v>351</v>
      </c>
      <c r="C1229" t="s">
        <v>321</v>
      </c>
      <c r="D1229">
        <v>16</v>
      </c>
      <c r="E1229" s="2">
        <v>43814</v>
      </c>
      <c r="F1229" t="s">
        <v>16</v>
      </c>
      <c r="G1229" t="s">
        <v>260</v>
      </c>
      <c r="H1229" t="s">
        <v>327</v>
      </c>
      <c r="I1229" s="3">
        <v>0.12569444444444444</v>
      </c>
      <c r="J1229" t="s">
        <v>68</v>
      </c>
      <c r="K1229">
        <v>9</v>
      </c>
      <c r="L1229" s="3">
        <v>4.1666666666666664E-2</v>
      </c>
      <c r="M1229" t="s">
        <v>26</v>
      </c>
    </row>
    <row r="1230" spans="1:14" x14ac:dyDescent="0.35">
      <c r="A1230" t="s">
        <v>14</v>
      </c>
      <c r="B1230" t="s">
        <v>351</v>
      </c>
      <c r="C1230" t="s">
        <v>321</v>
      </c>
      <c r="D1230">
        <v>16</v>
      </c>
      <c r="E1230" s="2">
        <v>43814</v>
      </c>
      <c r="F1230" t="s">
        <v>16</v>
      </c>
      <c r="G1230" t="s">
        <v>260</v>
      </c>
      <c r="H1230" t="s">
        <v>327</v>
      </c>
      <c r="I1230" s="3">
        <v>0.12569444444444444</v>
      </c>
      <c r="J1230" t="s">
        <v>68</v>
      </c>
      <c r="K1230">
        <v>37</v>
      </c>
      <c r="L1230" s="3">
        <v>8.3333333333333329E-2</v>
      </c>
      <c r="M1230" t="s">
        <v>31</v>
      </c>
      <c r="N1230" t="s">
        <v>188</v>
      </c>
    </row>
    <row r="1231" spans="1:14" x14ac:dyDescent="0.35">
      <c r="A1231" t="s">
        <v>14</v>
      </c>
      <c r="B1231" t="s">
        <v>351</v>
      </c>
      <c r="C1231" t="s">
        <v>321</v>
      </c>
      <c r="D1231">
        <v>17</v>
      </c>
      <c r="E1231" s="2">
        <v>43817</v>
      </c>
      <c r="F1231" t="s">
        <v>24</v>
      </c>
      <c r="G1231" t="s">
        <v>260</v>
      </c>
      <c r="H1231" t="s">
        <v>339</v>
      </c>
      <c r="I1231" s="3">
        <v>4.3055555555555555E-2</v>
      </c>
      <c r="J1231" t="s">
        <v>19</v>
      </c>
      <c r="K1231">
        <v>45</v>
      </c>
      <c r="L1231" s="3">
        <v>4.3055555555555555E-2</v>
      </c>
      <c r="M1231" t="s">
        <v>22</v>
      </c>
      <c r="N1231" t="s">
        <v>360</v>
      </c>
    </row>
    <row r="1232" spans="1:14" x14ac:dyDescent="0.35">
      <c r="A1232" t="s">
        <v>64</v>
      </c>
      <c r="B1232" t="s">
        <v>351</v>
      </c>
      <c r="C1232" t="s">
        <v>65</v>
      </c>
      <c r="D1232">
        <v>18</v>
      </c>
      <c r="E1232" s="2">
        <v>43820</v>
      </c>
      <c r="F1232" t="s">
        <v>16</v>
      </c>
      <c r="G1232" t="s">
        <v>66</v>
      </c>
      <c r="H1232" t="s">
        <v>88</v>
      </c>
      <c r="I1232" s="3">
        <v>0.1673611111111111</v>
      </c>
      <c r="J1232" t="s">
        <v>275</v>
      </c>
      <c r="K1232">
        <v>69</v>
      </c>
      <c r="L1232" s="3">
        <v>0.12569444444444444</v>
      </c>
      <c r="M1232" t="s">
        <v>31</v>
      </c>
      <c r="N1232" t="s">
        <v>273</v>
      </c>
    </row>
    <row r="1233" spans="1:14" x14ac:dyDescent="0.35">
      <c r="A1233" t="s">
        <v>14</v>
      </c>
      <c r="B1233" t="s">
        <v>351</v>
      </c>
      <c r="C1233" t="s">
        <v>321</v>
      </c>
      <c r="D1233">
        <v>18</v>
      </c>
      <c r="E1233" s="2">
        <v>43836</v>
      </c>
      <c r="F1233" t="s">
        <v>16</v>
      </c>
      <c r="G1233" t="s">
        <v>260</v>
      </c>
      <c r="H1233" t="s">
        <v>361</v>
      </c>
      <c r="I1233" s="3">
        <v>0.16666666666666666</v>
      </c>
      <c r="J1233" t="s">
        <v>68</v>
      </c>
      <c r="K1233">
        <v>49</v>
      </c>
      <c r="L1233" s="3">
        <v>4.1666666666666664E-2</v>
      </c>
      <c r="M1233" t="s">
        <v>26</v>
      </c>
    </row>
    <row r="1234" spans="1:14" x14ac:dyDescent="0.35">
      <c r="A1234" t="s">
        <v>14</v>
      </c>
      <c r="B1234" t="s">
        <v>351</v>
      </c>
      <c r="C1234" t="s">
        <v>321</v>
      </c>
      <c r="D1234">
        <v>18</v>
      </c>
      <c r="E1234" s="2">
        <v>43836</v>
      </c>
      <c r="F1234" t="s">
        <v>16</v>
      </c>
      <c r="G1234" t="s">
        <v>260</v>
      </c>
      <c r="H1234" t="s">
        <v>361</v>
      </c>
      <c r="I1234" s="3">
        <v>0.16666666666666666</v>
      </c>
      <c r="J1234" t="s">
        <v>68</v>
      </c>
      <c r="K1234">
        <v>67</v>
      </c>
      <c r="L1234" s="3">
        <v>8.3333333333333329E-2</v>
      </c>
      <c r="M1234" t="s">
        <v>83</v>
      </c>
    </row>
    <row r="1235" spans="1:14" x14ac:dyDescent="0.35">
      <c r="A1235" t="s">
        <v>14</v>
      </c>
      <c r="B1235" t="s">
        <v>351</v>
      </c>
      <c r="C1235" t="s">
        <v>321</v>
      </c>
      <c r="D1235">
        <v>18</v>
      </c>
      <c r="E1235" s="2">
        <v>43836</v>
      </c>
      <c r="F1235" t="s">
        <v>16</v>
      </c>
      <c r="G1235" t="s">
        <v>260</v>
      </c>
      <c r="H1235" t="s">
        <v>361</v>
      </c>
      <c r="I1235" s="3">
        <v>0.16666666666666666</v>
      </c>
      <c r="J1235" t="s">
        <v>68</v>
      </c>
      <c r="K1235">
        <v>82</v>
      </c>
      <c r="L1235" s="3">
        <v>0.16666666666666666</v>
      </c>
      <c r="M1235" t="s">
        <v>31</v>
      </c>
      <c r="N1235" t="s">
        <v>353</v>
      </c>
    </row>
    <row r="1236" spans="1:14" x14ac:dyDescent="0.35">
      <c r="A1236" t="s">
        <v>64</v>
      </c>
      <c r="B1236" t="s">
        <v>351</v>
      </c>
      <c r="C1236" t="s">
        <v>172</v>
      </c>
      <c r="D1236" t="s">
        <v>62</v>
      </c>
      <c r="E1236" s="2">
        <v>43839</v>
      </c>
      <c r="F1236" t="s">
        <v>16</v>
      </c>
      <c r="G1236" t="s">
        <v>66</v>
      </c>
      <c r="H1236" t="s">
        <v>119</v>
      </c>
      <c r="I1236" s="3">
        <v>8.5416666666666669E-2</v>
      </c>
      <c r="J1236" t="s">
        <v>275</v>
      </c>
      <c r="K1236">
        <v>51</v>
      </c>
      <c r="L1236" s="3">
        <v>4.2361111111111113E-2</v>
      </c>
      <c r="M1236" t="s">
        <v>26</v>
      </c>
      <c r="N1236" t="s">
        <v>273</v>
      </c>
    </row>
    <row r="1237" spans="1:14" x14ac:dyDescent="0.35">
      <c r="A1237" t="s">
        <v>14</v>
      </c>
      <c r="B1237" t="s">
        <v>351</v>
      </c>
      <c r="C1237" t="s">
        <v>321</v>
      </c>
      <c r="D1237">
        <v>19</v>
      </c>
      <c r="E1237" s="2">
        <v>43842</v>
      </c>
      <c r="F1237" t="s">
        <v>24</v>
      </c>
      <c r="G1237" t="s">
        <v>260</v>
      </c>
      <c r="H1237" t="s">
        <v>116</v>
      </c>
      <c r="I1237" s="3">
        <v>4.3055555555555555E-2</v>
      </c>
      <c r="J1237" t="s">
        <v>68</v>
      </c>
      <c r="K1237">
        <v>10</v>
      </c>
      <c r="L1237" s="3">
        <v>1.3888888888888889E-3</v>
      </c>
      <c r="M1237" t="s">
        <v>83</v>
      </c>
    </row>
    <row r="1238" spans="1:14" x14ac:dyDescent="0.35">
      <c r="A1238" t="s">
        <v>64</v>
      </c>
      <c r="B1238" t="s">
        <v>351</v>
      </c>
      <c r="C1238" t="s">
        <v>65</v>
      </c>
      <c r="D1238">
        <v>20</v>
      </c>
      <c r="E1238" s="2">
        <v>43849</v>
      </c>
      <c r="F1238" t="s">
        <v>16</v>
      </c>
      <c r="G1238" t="s">
        <v>66</v>
      </c>
      <c r="H1238" t="s">
        <v>233</v>
      </c>
      <c r="I1238" s="3">
        <v>4.1666666666666664E-2</v>
      </c>
      <c r="J1238" t="s">
        <v>251</v>
      </c>
      <c r="K1238">
        <v>76</v>
      </c>
      <c r="L1238" s="3">
        <v>4.1666666666666664E-2</v>
      </c>
      <c r="M1238" t="s">
        <v>26</v>
      </c>
      <c r="N1238" t="s">
        <v>326</v>
      </c>
    </row>
    <row r="1239" spans="1:14" x14ac:dyDescent="0.35">
      <c r="A1239" t="s">
        <v>14</v>
      </c>
      <c r="B1239" t="s">
        <v>351</v>
      </c>
      <c r="C1239" t="s">
        <v>321</v>
      </c>
      <c r="D1239">
        <v>20</v>
      </c>
      <c r="E1239" s="2">
        <v>43849</v>
      </c>
      <c r="F1239" t="s">
        <v>16</v>
      </c>
      <c r="G1239" t="s">
        <v>260</v>
      </c>
      <c r="H1239" t="s">
        <v>344</v>
      </c>
      <c r="I1239" s="3">
        <v>8.4027777777777785E-2</v>
      </c>
      <c r="J1239" t="s">
        <v>68</v>
      </c>
      <c r="K1239">
        <v>58</v>
      </c>
      <c r="L1239" s="3">
        <v>8.4027777777777785E-2</v>
      </c>
      <c r="M1239" t="s">
        <v>26</v>
      </c>
      <c r="N1239" t="s">
        <v>340</v>
      </c>
    </row>
    <row r="1240" spans="1:14" x14ac:dyDescent="0.35">
      <c r="A1240" t="s">
        <v>14</v>
      </c>
      <c r="B1240" t="s">
        <v>351</v>
      </c>
      <c r="C1240" t="s">
        <v>321</v>
      </c>
      <c r="D1240">
        <v>20</v>
      </c>
      <c r="E1240" s="2">
        <v>43849</v>
      </c>
      <c r="F1240" t="s">
        <v>16</v>
      </c>
      <c r="G1240" t="s">
        <v>260</v>
      </c>
      <c r="H1240" t="s">
        <v>344</v>
      </c>
      <c r="I1240" s="3">
        <v>8.4027777777777785E-2</v>
      </c>
      <c r="J1240" t="s">
        <v>68</v>
      </c>
      <c r="K1240">
        <v>43</v>
      </c>
      <c r="L1240" s="3">
        <v>4.1666666666666664E-2</v>
      </c>
      <c r="M1240" t="s">
        <v>129</v>
      </c>
      <c r="N1240" t="s">
        <v>331</v>
      </c>
    </row>
    <row r="1241" spans="1:14" x14ac:dyDescent="0.35">
      <c r="A1241" t="s">
        <v>14</v>
      </c>
      <c r="B1241" t="s">
        <v>351</v>
      </c>
      <c r="C1241" t="s">
        <v>362</v>
      </c>
      <c r="D1241" t="s">
        <v>92</v>
      </c>
      <c r="E1241" s="2">
        <v>43852</v>
      </c>
      <c r="F1241" t="s">
        <v>16</v>
      </c>
      <c r="G1241" t="s">
        <v>260</v>
      </c>
      <c r="H1241" t="s">
        <v>116</v>
      </c>
      <c r="I1241" s="3">
        <v>0.12569444444444444</v>
      </c>
      <c r="J1241" t="s">
        <v>19</v>
      </c>
      <c r="K1241">
        <v>26</v>
      </c>
      <c r="L1241" s="3">
        <v>4.1666666666666664E-2</v>
      </c>
      <c r="M1241" t="s">
        <v>31</v>
      </c>
      <c r="N1241" t="s">
        <v>188</v>
      </c>
    </row>
    <row r="1242" spans="1:14" x14ac:dyDescent="0.35">
      <c r="A1242" t="s">
        <v>14</v>
      </c>
      <c r="B1242" t="s">
        <v>351</v>
      </c>
      <c r="C1242" t="s">
        <v>321</v>
      </c>
      <c r="D1242">
        <v>21</v>
      </c>
      <c r="E1242" s="2">
        <v>43856</v>
      </c>
      <c r="F1242" t="s">
        <v>24</v>
      </c>
      <c r="G1242" t="s">
        <v>260</v>
      </c>
      <c r="H1242" t="s">
        <v>352</v>
      </c>
      <c r="I1242" s="3">
        <v>8.4027777777777785E-2</v>
      </c>
      <c r="J1242" t="s">
        <v>19</v>
      </c>
      <c r="K1242">
        <v>90</v>
      </c>
      <c r="L1242" s="3">
        <v>8.4027777777777785E-2</v>
      </c>
      <c r="M1242" t="s">
        <v>26</v>
      </c>
      <c r="N1242" t="s">
        <v>359</v>
      </c>
    </row>
    <row r="1243" spans="1:14" x14ac:dyDescent="0.35">
      <c r="A1243" t="s">
        <v>64</v>
      </c>
      <c r="B1243" t="s">
        <v>351</v>
      </c>
      <c r="C1243" t="s">
        <v>91</v>
      </c>
      <c r="D1243" t="s">
        <v>81</v>
      </c>
      <c r="E1243" s="2">
        <v>43860</v>
      </c>
      <c r="F1243" t="s">
        <v>16</v>
      </c>
      <c r="G1243" t="s">
        <v>66</v>
      </c>
      <c r="H1243" t="s">
        <v>294</v>
      </c>
      <c r="I1243" s="3">
        <v>0.20833333333333334</v>
      </c>
      <c r="J1243" t="s">
        <v>275</v>
      </c>
      <c r="K1243">
        <v>59</v>
      </c>
      <c r="L1243" s="3">
        <v>0.125</v>
      </c>
      <c r="M1243" t="s">
        <v>31</v>
      </c>
      <c r="N1243" t="s">
        <v>363</v>
      </c>
    </row>
    <row r="1244" spans="1:14" x14ac:dyDescent="0.35">
      <c r="A1244" t="s">
        <v>64</v>
      </c>
      <c r="B1244" t="s">
        <v>351</v>
      </c>
      <c r="C1244" t="s">
        <v>91</v>
      </c>
      <c r="D1244" t="s">
        <v>81</v>
      </c>
      <c r="E1244" s="2">
        <v>43860</v>
      </c>
      <c r="F1244" t="s">
        <v>16</v>
      </c>
      <c r="G1244" t="s">
        <v>66</v>
      </c>
      <c r="H1244" t="s">
        <v>294</v>
      </c>
      <c r="I1244" s="3">
        <v>0.20833333333333334</v>
      </c>
      <c r="J1244" t="s">
        <v>275</v>
      </c>
      <c r="K1244">
        <v>89</v>
      </c>
      <c r="L1244" s="3">
        <v>0.20833333333333334</v>
      </c>
      <c r="M1244" t="s">
        <v>31</v>
      </c>
      <c r="N1244" t="s">
        <v>276</v>
      </c>
    </row>
    <row r="1245" spans="1:14" x14ac:dyDescent="0.35">
      <c r="A1245" t="s">
        <v>14</v>
      </c>
      <c r="B1245" t="s">
        <v>351</v>
      </c>
      <c r="C1245" t="s">
        <v>321</v>
      </c>
      <c r="D1245">
        <v>22</v>
      </c>
      <c r="E1245" s="2">
        <v>43863</v>
      </c>
      <c r="F1245" t="s">
        <v>16</v>
      </c>
      <c r="G1245" t="s">
        <v>260</v>
      </c>
      <c r="H1245" t="s">
        <v>335</v>
      </c>
      <c r="I1245" s="3">
        <v>0.125</v>
      </c>
      <c r="J1245" t="s">
        <v>19</v>
      </c>
      <c r="K1245">
        <v>40</v>
      </c>
      <c r="L1245" s="3">
        <v>4.1666666666666664E-2</v>
      </c>
      <c r="M1245" t="s">
        <v>83</v>
      </c>
    </row>
    <row r="1246" spans="1:14" x14ac:dyDescent="0.35">
      <c r="A1246" t="s">
        <v>14</v>
      </c>
      <c r="B1246" t="s">
        <v>351</v>
      </c>
      <c r="C1246" t="s">
        <v>321</v>
      </c>
      <c r="D1246">
        <v>22</v>
      </c>
      <c r="E1246" s="2">
        <v>43863</v>
      </c>
      <c r="F1246" t="s">
        <v>16</v>
      </c>
      <c r="G1246" t="s">
        <v>260</v>
      </c>
      <c r="H1246" t="s">
        <v>335</v>
      </c>
      <c r="I1246" s="3">
        <v>0.125</v>
      </c>
      <c r="J1246" t="s">
        <v>19</v>
      </c>
      <c r="K1246">
        <v>80</v>
      </c>
      <c r="L1246" s="3">
        <v>8.3333333333333329E-2</v>
      </c>
      <c r="M1246" t="s">
        <v>83</v>
      </c>
    </row>
    <row r="1247" spans="1:14" x14ac:dyDescent="0.35">
      <c r="A1247" t="s">
        <v>14</v>
      </c>
      <c r="B1247" t="s">
        <v>351</v>
      </c>
      <c r="C1247" t="s">
        <v>321</v>
      </c>
      <c r="D1247">
        <v>23</v>
      </c>
      <c r="E1247" s="2">
        <v>43869</v>
      </c>
      <c r="F1247" t="s">
        <v>24</v>
      </c>
      <c r="G1247" t="s">
        <v>260</v>
      </c>
      <c r="H1247" t="s">
        <v>354</v>
      </c>
      <c r="I1247" s="3">
        <v>8.4027777777777785E-2</v>
      </c>
      <c r="J1247" t="s">
        <v>19</v>
      </c>
      <c r="K1247">
        <v>65</v>
      </c>
      <c r="L1247" s="3">
        <v>6.9444444444444447E-4</v>
      </c>
      <c r="M1247" t="s">
        <v>26</v>
      </c>
      <c r="N1247" t="s">
        <v>359</v>
      </c>
    </row>
    <row r="1248" spans="1:14" x14ac:dyDescent="0.35">
      <c r="A1248" t="s">
        <v>14</v>
      </c>
      <c r="B1248" t="s">
        <v>351</v>
      </c>
      <c r="C1248" t="s">
        <v>362</v>
      </c>
      <c r="D1248" t="s">
        <v>62</v>
      </c>
      <c r="E1248" s="2">
        <v>43874</v>
      </c>
      <c r="F1248" t="s">
        <v>24</v>
      </c>
      <c r="G1248" t="s">
        <v>260</v>
      </c>
      <c r="H1248" t="s">
        <v>118</v>
      </c>
      <c r="I1248" s="3">
        <v>4.2361111111111113E-2</v>
      </c>
      <c r="J1248" t="s">
        <v>19</v>
      </c>
      <c r="K1248" t="s">
        <v>69</v>
      </c>
      <c r="L1248" s="3">
        <v>4.2361111111111113E-2</v>
      </c>
      <c r="M1248" t="s">
        <v>83</v>
      </c>
    </row>
    <row r="1249" spans="1:14" x14ac:dyDescent="0.35">
      <c r="A1249" t="s">
        <v>64</v>
      </c>
      <c r="B1249" t="s">
        <v>351</v>
      </c>
      <c r="C1249" t="s">
        <v>65</v>
      </c>
      <c r="D1249">
        <v>25</v>
      </c>
      <c r="E1249" s="2">
        <v>43883</v>
      </c>
      <c r="F1249" t="s">
        <v>16</v>
      </c>
      <c r="G1249" t="s">
        <v>66</v>
      </c>
      <c r="H1249" t="s">
        <v>270</v>
      </c>
      <c r="I1249" s="3">
        <v>0.20833333333333334</v>
      </c>
      <c r="J1249" t="s">
        <v>311</v>
      </c>
      <c r="K1249">
        <v>37</v>
      </c>
      <c r="L1249" s="3">
        <v>8.3333333333333329E-2</v>
      </c>
      <c r="M1249" t="s">
        <v>31</v>
      </c>
      <c r="N1249" t="s">
        <v>326</v>
      </c>
    </row>
    <row r="1250" spans="1:14" x14ac:dyDescent="0.35">
      <c r="A1250" t="s">
        <v>64</v>
      </c>
      <c r="B1250" t="s">
        <v>351</v>
      </c>
      <c r="C1250" t="s">
        <v>65</v>
      </c>
      <c r="D1250">
        <v>25</v>
      </c>
      <c r="E1250" s="2">
        <v>43883</v>
      </c>
      <c r="F1250" t="s">
        <v>16</v>
      </c>
      <c r="G1250" t="s">
        <v>66</v>
      </c>
      <c r="H1250" t="s">
        <v>270</v>
      </c>
      <c r="I1250" s="3">
        <v>0.20833333333333334</v>
      </c>
      <c r="J1250" t="s">
        <v>311</v>
      </c>
      <c r="K1250">
        <v>40</v>
      </c>
      <c r="L1250" s="3">
        <v>0.125</v>
      </c>
      <c r="M1250" t="s">
        <v>31</v>
      </c>
    </row>
    <row r="1251" spans="1:14" x14ac:dyDescent="0.35">
      <c r="A1251" t="s">
        <v>64</v>
      </c>
      <c r="B1251" t="s">
        <v>351</v>
      </c>
      <c r="C1251" t="s">
        <v>65</v>
      </c>
      <c r="D1251">
        <v>25</v>
      </c>
      <c r="E1251" s="2">
        <v>43883</v>
      </c>
      <c r="F1251" t="s">
        <v>16</v>
      </c>
      <c r="G1251" t="s">
        <v>66</v>
      </c>
      <c r="H1251" t="s">
        <v>270</v>
      </c>
      <c r="I1251" s="3">
        <v>0.20833333333333334</v>
      </c>
      <c r="J1251" t="s">
        <v>311</v>
      </c>
      <c r="K1251">
        <v>87</v>
      </c>
      <c r="L1251" s="3">
        <v>0.16666666666666666</v>
      </c>
      <c r="M1251" t="s">
        <v>31</v>
      </c>
    </row>
    <row r="1252" spans="1:14" x14ac:dyDescent="0.35">
      <c r="A1252" t="s">
        <v>64</v>
      </c>
      <c r="B1252" t="s">
        <v>351</v>
      </c>
      <c r="C1252" t="s">
        <v>65</v>
      </c>
      <c r="D1252">
        <v>25</v>
      </c>
      <c r="E1252" s="2">
        <v>43883</v>
      </c>
      <c r="F1252" t="s">
        <v>16</v>
      </c>
      <c r="G1252" t="s">
        <v>66</v>
      </c>
      <c r="H1252" t="s">
        <v>270</v>
      </c>
      <c r="I1252" s="3">
        <v>0.20833333333333334</v>
      </c>
      <c r="J1252" t="s">
        <v>311</v>
      </c>
      <c r="K1252">
        <v>14</v>
      </c>
      <c r="L1252" s="3">
        <v>4.1666666666666664E-2</v>
      </c>
      <c r="M1252" t="s">
        <v>31</v>
      </c>
      <c r="N1252" t="s">
        <v>276</v>
      </c>
    </row>
    <row r="1253" spans="1:14" x14ac:dyDescent="0.35">
      <c r="A1253" t="s">
        <v>14</v>
      </c>
      <c r="B1253" t="s">
        <v>351</v>
      </c>
      <c r="C1253" t="s">
        <v>321</v>
      </c>
      <c r="D1253">
        <v>25</v>
      </c>
      <c r="E1253" s="2">
        <v>43883</v>
      </c>
      <c r="F1253" t="s">
        <v>24</v>
      </c>
      <c r="G1253" t="s">
        <v>260</v>
      </c>
      <c r="H1253" t="s">
        <v>333</v>
      </c>
      <c r="I1253" s="3">
        <v>4.3055555555555555E-2</v>
      </c>
      <c r="J1253" t="s">
        <v>19</v>
      </c>
      <c r="K1253">
        <v>39</v>
      </c>
      <c r="L1253" s="3">
        <v>6.9444444444444447E-4</v>
      </c>
      <c r="M1253" t="s">
        <v>55</v>
      </c>
      <c r="N1253" t="s">
        <v>364</v>
      </c>
    </row>
    <row r="1254" spans="1:14" x14ac:dyDescent="0.35">
      <c r="A1254" t="s">
        <v>64</v>
      </c>
      <c r="B1254" t="s">
        <v>351</v>
      </c>
      <c r="C1254" t="s">
        <v>65</v>
      </c>
      <c r="D1254">
        <v>27</v>
      </c>
      <c r="E1254" s="2">
        <v>43897</v>
      </c>
      <c r="F1254" t="s">
        <v>16</v>
      </c>
      <c r="G1254" t="s">
        <v>66</v>
      </c>
      <c r="H1254" t="s">
        <v>217</v>
      </c>
      <c r="I1254" s="3">
        <v>4.1666666666666664E-2</v>
      </c>
      <c r="J1254" t="s">
        <v>251</v>
      </c>
      <c r="K1254">
        <v>81</v>
      </c>
      <c r="L1254" s="3">
        <v>4.1666666666666664E-2</v>
      </c>
      <c r="M1254" t="s">
        <v>83</v>
      </c>
    </row>
    <row r="1255" spans="1:14" x14ac:dyDescent="0.35">
      <c r="A1255" t="s">
        <v>64</v>
      </c>
      <c r="B1255" t="s">
        <v>351</v>
      </c>
      <c r="C1255" t="s">
        <v>65</v>
      </c>
      <c r="D1255">
        <v>28</v>
      </c>
      <c r="E1255" s="2">
        <v>43995</v>
      </c>
      <c r="F1255" t="s">
        <v>24</v>
      </c>
      <c r="G1255" t="s">
        <v>66</v>
      </c>
      <c r="H1255" t="s">
        <v>89</v>
      </c>
      <c r="I1255" s="3">
        <v>2.7777777777777779E-3</v>
      </c>
      <c r="J1255" t="s">
        <v>275</v>
      </c>
      <c r="K1255" t="s">
        <v>136</v>
      </c>
      <c r="L1255" s="3">
        <v>2.7777777777777779E-3</v>
      </c>
      <c r="M1255" t="s">
        <v>26</v>
      </c>
      <c r="N1255" t="s">
        <v>273</v>
      </c>
    </row>
    <row r="1256" spans="1:14" x14ac:dyDescent="0.35">
      <c r="A1256" t="s">
        <v>64</v>
      </c>
      <c r="B1256" t="s">
        <v>351</v>
      </c>
      <c r="C1256" t="s">
        <v>65</v>
      </c>
      <c r="D1256">
        <v>29</v>
      </c>
      <c r="E1256" s="2">
        <v>43998</v>
      </c>
      <c r="F1256" t="s">
        <v>16</v>
      </c>
      <c r="G1256" t="s">
        <v>66</v>
      </c>
      <c r="H1256" t="s">
        <v>294</v>
      </c>
      <c r="I1256" s="3">
        <v>8.3333333333333329E-2</v>
      </c>
      <c r="J1256" t="s">
        <v>275</v>
      </c>
      <c r="K1256">
        <v>69</v>
      </c>
      <c r="L1256" s="3">
        <v>8.3333333333333329E-2</v>
      </c>
      <c r="M1256" t="s">
        <v>83</v>
      </c>
    </row>
    <row r="1257" spans="1:14" x14ac:dyDescent="0.35">
      <c r="A1257" t="s">
        <v>14</v>
      </c>
      <c r="B1257" t="s">
        <v>351</v>
      </c>
      <c r="C1257" t="s">
        <v>321</v>
      </c>
      <c r="D1257">
        <v>27</v>
      </c>
      <c r="E1257" s="2">
        <v>44004</v>
      </c>
      <c r="F1257" t="s">
        <v>24</v>
      </c>
      <c r="G1257" t="s">
        <v>260</v>
      </c>
      <c r="H1257" t="s">
        <v>356</v>
      </c>
      <c r="I1257" s="3">
        <v>1.3888888888888889E-3</v>
      </c>
      <c r="J1257" t="s">
        <v>19</v>
      </c>
      <c r="K1257">
        <v>23</v>
      </c>
      <c r="L1257" s="3">
        <v>6.9444444444444447E-4</v>
      </c>
      <c r="M1257" t="s">
        <v>83</v>
      </c>
    </row>
    <row r="1258" spans="1:14" x14ac:dyDescent="0.35">
      <c r="A1258" t="s">
        <v>14</v>
      </c>
      <c r="B1258" t="s">
        <v>351</v>
      </c>
      <c r="C1258" t="s">
        <v>321</v>
      </c>
      <c r="D1258">
        <v>28</v>
      </c>
      <c r="E1258" s="2">
        <v>44008</v>
      </c>
      <c r="F1258" t="s">
        <v>16</v>
      </c>
      <c r="G1258" t="s">
        <v>260</v>
      </c>
      <c r="H1258" t="s">
        <v>365</v>
      </c>
      <c r="I1258" s="3">
        <v>0.16666666666666666</v>
      </c>
      <c r="J1258" t="s">
        <v>19</v>
      </c>
      <c r="K1258">
        <v>62</v>
      </c>
      <c r="L1258" s="3">
        <v>8.3333333333333329E-2</v>
      </c>
      <c r="M1258" t="s">
        <v>83</v>
      </c>
    </row>
    <row r="1259" spans="1:14" x14ac:dyDescent="0.35">
      <c r="A1259" t="s">
        <v>64</v>
      </c>
      <c r="B1259" t="s">
        <v>351</v>
      </c>
      <c r="C1259" t="s">
        <v>65</v>
      </c>
      <c r="D1259">
        <v>33</v>
      </c>
      <c r="E1259" s="2">
        <v>44012</v>
      </c>
      <c r="F1259" t="s">
        <v>16</v>
      </c>
      <c r="G1259" t="s">
        <v>66</v>
      </c>
      <c r="H1259" t="s">
        <v>119</v>
      </c>
      <c r="I1259" s="3">
        <v>8.4722222222222227E-2</v>
      </c>
      <c r="J1259" t="s">
        <v>311</v>
      </c>
      <c r="K1259">
        <v>50</v>
      </c>
      <c r="L1259" s="3">
        <v>8.4027777777777785E-2</v>
      </c>
      <c r="M1259" t="s">
        <v>83</v>
      </c>
    </row>
    <row r="1260" spans="1:14" x14ac:dyDescent="0.35">
      <c r="A1260" t="s">
        <v>14</v>
      </c>
      <c r="B1260" t="s">
        <v>351</v>
      </c>
      <c r="C1260" t="s">
        <v>321</v>
      </c>
      <c r="D1260">
        <v>29</v>
      </c>
      <c r="E1260" s="2">
        <v>44012</v>
      </c>
      <c r="F1260" t="s">
        <v>24</v>
      </c>
      <c r="G1260" t="s">
        <v>260</v>
      </c>
      <c r="H1260" t="s">
        <v>329</v>
      </c>
      <c r="I1260" s="3">
        <v>4.3749999999999997E-2</v>
      </c>
      <c r="J1260" t="s">
        <v>19</v>
      </c>
      <c r="K1260">
        <v>56</v>
      </c>
      <c r="L1260" s="3">
        <v>1.3888888888888889E-3</v>
      </c>
      <c r="M1260" t="s">
        <v>170</v>
      </c>
      <c r="N1260" t="s">
        <v>334</v>
      </c>
    </row>
    <row r="1261" spans="1:14" x14ac:dyDescent="0.35">
      <c r="A1261" t="s">
        <v>14</v>
      </c>
      <c r="B1261" t="s">
        <v>351</v>
      </c>
      <c r="C1261" t="s">
        <v>321</v>
      </c>
      <c r="D1261">
        <v>30</v>
      </c>
      <c r="E1261" s="2">
        <v>44016</v>
      </c>
      <c r="F1261" t="s">
        <v>16</v>
      </c>
      <c r="G1261" t="s">
        <v>260</v>
      </c>
      <c r="H1261" t="s">
        <v>336</v>
      </c>
      <c r="I1261" s="3">
        <v>0.1673611111111111</v>
      </c>
      <c r="J1261" t="s">
        <v>19</v>
      </c>
      <c r="K1261">
        <v>61</v>
      </c>
      <c r="L1261" s="3">
        <v>0.12569444444444444</v>
      </c>
      <c r="M1261" t="s">
        <v>39</v>
      </c>
    </row>
    <row r="1262" spans="1:14" x14ac:dyDescent="0.35">
      <c r="A1262" t="s">
        <v>14</v>
      </c>
      <c r="B1262" t="s">
        <v>351</v>
      </c>
      <c r="C1262" t="s">
        <v>321</v>
      </c>
      <c r="D1262">
        <v>31</v>
      </c>
      <c r="E1262" s="2">
        <v>44019</v>
      </c>
      <c r="F1262" t="s">
        <v>24</v>
      </c>
      <c r="G1262" t="s">
        <v>260</v>
      </c>
      <c r="H1262" t="s">
        <v>118</v>
      </c>
      <c r="I1262" s="3">
        <v>0.16805555555555557</v>
      </c>
      <c r="J1262" t="s">
        <v>19</v>
      </c>
      <c r="K1262">
        <v>53</v>
      </c>
      <c r="L1262" s="3">
        <v>1.3888888888888889E-3</v>
      </c>
      <c r="M1262" t="s">
        <v>31</v>
      </c>
      <c r="N1262" t="s">
        <v>364</v>
      </c>
    </row>
    <row r="1263" spans="1:14" x14ac:dyDescent="0.35">
      <c r="A1263" t="s">
        <v>14</v>
      </c>
      <c r="B1263" t="s">
        <v>351</v>
      </c>
      <c r="C1263" t="s">
        <v>321</v>
      </c>
      <c r="D1263">
        <v>32</v>
      </c>
      <c r="E1263" s="2">
        <v>44023</v>
      </c>
      <c r="F1263" t="s">
        <v>16</v>
      </c>
      <c r="G1263" t="s">
        <v>260</v>
      </c>
      <c r="H1263" t="s">
        <v>337</v>
      </c>
      <c r="I1263" s="3">
        <v>8.4722222222222227E-2</v>
      </c>
      <c r="J1263" t="s">
        <v>19</v>
      </c>
      <c r="K1263">
        <v>90</v>
      </c>
      <c r="L1263" s="3">
        <v>8.4722222222222227E-2</v>
      </c>
      <c r="M1263" t="s">
        <v>83</v>
      </c>
    </row>
    <row r="1264" spans="1:14" x14ac:dyDescent="0.35">
      <c r="A1264" t="s">
        <v>14</v>
      </c>
      <c r="B1264" t="s">
        <v>351</v>
      </c>
      <c r="C1264" t="s">
        <v>321</v>
      </c>
      <c r="D1264">
        <v>32</v>
      </c>
      <c r="E1264" s="2">
        <v>44023</v>
      </c>
      <c r="F1264" t="s">
        <v>16</v>
      </c>
      <c r="G1264" t="s">
        <v>260</v>
      </c>
      <c r="H1264" t="s">
        <v>337</v>
      </c>
      <c r="I1264" s="3">
        <v>8.4722222222222227E-2</v>
      </c>
      <c r="J1264" t="s">
        <v>19</v>
      </c>
      <c r="K1264">
        <v>55</v>
      </c>
      <c r="L1264" s="3">
        <v>4.2361111111111113E-2</v>
      </c>
      <c r="M1264" t="s">
        <v>83</v>
      </c>
    </row>
    <row r="1265" spans="1:14" x14ac:dyDescent="0.35">
      <c r="A1265" t="s">
        <v>64</v>
      </c>
      <c r="B1265" t="s">
        <v>351</v>
      </c>
      <c r="C1265" t="s">
        <v>65</v>
      </c>
      <c r="D1265">
        <v>37</v>
      </c>
      <c r="E1265" s="2">
        <v>44028</v>
      </c>
      <c r="F1265" t="s">
        <v>16</v>
      </c>
      <c r="G1265" t="s">
        <v>66</v>
      </c>
      <c r="H1265" t="s">
        <v>100</v>
      </c>
      <c r="I1265" s="3">
        <v>4.3055555555555555E-2</v>
      </c>
      <c r="J1265" t="s">
        <v>275</v>
      </c>
      <c r="K1265">
        <v>62</v>
      </c>
      <c r="L1265" s="3">
        <v>4.2361111111111113E-2</v>
      </c>
      <c r="M1265" t="s">
        <v>39</v>
      </c>
    </row>
    <row r="1266" spans="1:14" x14ac:dyDescent="0.35">
      <c r="A1266" t="s">
        <v>64</v>
      </c>
      <c r="B1266" t="s">
        <v>351</v>
      </c>
      <c r="C1266" t="s">
        <v>65</v>
      </c>
      <c r="D1266">
        <v>38</v>
      </c>
      <c r="E1266" s="2">
        <v>44031</v>
      </c>
      <c r="F1266" t="s">
        <v>24</v>
      </c>
      <c r="G1266" t="s">
        <v>66</v>
      </c>
      <c r="H1266" t="s">
        <v>88</v>
      </c>
      <c r="I1266" s="3">
        <v>3.472222222222222E-3</v>
      </c>
      <c r="J1266" t="s">
        <v>275</v>
      </c>
      <c r="K1266">
        <v>34</v>
      </c>
      <c r="L1266" s="3">
        <v>1.3888888888888889E-3</v>
      </c>
      <c r="M1266" t="s">
        <v>31</v>
      </c>
      <c r="N1266" t="s">
        <v>366</v>
      </c>
    </row>
    <row r="1267" spans="1:14" x14ac:dyDescent="0.35">
      <c r="A1267" t="s">
        <v>64</v>
      </c>
      <c r="B1267" t="s">
        <v>351</v>
      </c>
      <c r="C1267" t="s">
        <v>65</v>
      </c>
      <c r="D1267">
        <v>38</v>
      </c>
      <c r="E1267" s="2">
        <v>44031</v>
      </c>
      <c r="F1267" t="s">
        <v>24</v>
      </c>
      <c r="G1267" t="s">
        <v>66</v>
      </c>
      <c r="H1267" t="s">
        <v>88</v>
      </c>
      <c r="I1267" s="3">
        <v>3.472222222222222E-3</v>
      </c>
      <c r="J1267" t="s">
        <v>275</v>
      </c>
      <c r="K1267">
        <v>75</v>
      </c>
      <c r="L1267" s="3">
        <v>3.472222222222222E-3</v>
      </c>
      <c r="M1267" t="s">
        <v>31</v>
      </c>
      <c r="N1267" t="s">
        <v>243</v>
      </c>
    </row>
    <row r="1268" spans="1:14" x14ac:dyDescent="0.35">
      <c r="A1268" t="s">
        <v>14</v>
      </c>
      <c r="B1268" t="s">
        <v>351</v>
      </c>
      <c r="C1268" t="s">
        <v>321</v>
      </c>
      <c r="D1268">
        <v>34</v>
      </c>
      <c r="E1268" s="2">
        <v>44032</v>
      </c>
      <c r="F1268" t="s">
        <v>16</v>
      </c>
      <c r="G1268" t="s">
        <v>260</v>
      </c>
      <c r="H1268" t="s">
        <v>343</v>
      </c>
      <c r="I1268" s="3">
        <v>8.4027777777777785E-2</v>
      </c>
      <c r="J1268" t="s">
        <v>19</v>
      </c>
      <c r="K1268">
        <v>54</v>
      </c>
      <c r="L1268" s="3">
        <v>8.3333333333333329E-2</v>
      </c>
      <c r="M1268" t="s">
        <v>162</v>
      </c>
      <c r="N1268" t="s">
        <v>340</v>
      </c>
    </row>
    <row r="1269" spans="1:14" x14ac:dyDescent="0.35">
      <c r="A1269" t="s">
        <v>14</v>
      </c>
      <c r="B1269" t="s">
        <v>351</v>
      </c>
      <c r="C1269" t="s">
        <v>321</v>
      </c>
      <c r="D1269">
        <v>34</v>
      </c>
      <c r="E1269" s="2">
        <v>44032</v>
      </c>
      <c r="F1269" t="s">
        <v>16</v>
      </c>
      <c r="G1269" t="s">
        <v>260</v>
      </c>
      <c r="H1269" t="s">
        <v>343</v>
      </c>
      <c r="I1269" s="3">
        <v>8.4027777777777785E-2</v>
      </c>
      <c r="J1269" t="s">
        <v>19</v>
      </c>
      <c r="K1269">
        <v>51</v>
      </c>
      <c r="L1269" s="3">
        <v>4.1666666666666664E-2</v>
      </c>
      <c r="M1269" t="s">
        <v>83</v>
      </c>
    </row>
    <row r="1270" spans="1:14" x14ac:dyDescent="0.35">
      <c r="A1270" t="s">
        <v>14</v>
      </c>
      <c r="B1270" t="s">
        <v>351</v>
      </c>
      <c r="C1270" t="s">
        <v>321</v>
      </c>
      <c r="D1270">
        <v>36</v>
      </c>
      <c r="E1270" s="2">
        <v>44038</v>
      </c>
      <c r="F1270" t="s">
        <v>16</v>
      </c>
      <c r="G1270" t="s">
        <v>260</v>
      </c>
      <c r="H1270" t="s">
        <v>339</v>
      </c>
      <c r="I1270" s="3">
        <v>8.3333333333333329E-2</v>
      </c>
      <c r="J1270" t="s">
        <v>19</v>
      </c>
      <c r="K1270" t="s">
        <v>367</v>
      </c>
      <c r="L1270" s="3">
        <v>4.1666666666666664E-2</v>
      </c>
      <c r="M1270" t="s">
        <v>26</v>
      </c>
      <c r="N1270" t="s">
        <v>334</v>
      </c>
    </row>
    <row r="1271" spans="1:14" x14ac:dyDescent="0.35">
      <c r="A1271" t="s">
        <v>14</v>
      </c>
      <c r="B1271" t="s">
        <v>351</v>
      </c>
      <c r="C1271" t="s">
        <v>75</v>
      </c>
      <c r="D1271" t="s">
        <v>143</v>
      </c>
      <c r="E1271" s="2">
        <v>44050</v>
      </c>
      <c r="F1271" t="s">
        <v>16</v>
      </c>
      <c r="G1271" t="s">
        <v>260</v>
      </c>
      <c r="H1271" t="s">
        <v>125</v>
      </c>
      <c r="I1271" s="3">
        <v>8.4027777777777785E-2</v>
      </c>
      <c r="J1271" t="s">
        <v>19</v>
      </c>
      <c r="K1271">
        <v>43</v>
      </c>
      <c r="L1271" s="3">
        <v>4.2361111111111113E-2</v>
      </c>
      <c r="M1271" t="s">
        <v>83</v>
      </c>
    </row>
    <row r="1272" spans="1:14" x14ac:dyDescent="0.35">
      <c r="A1272" t="s">
        <v>14</v>
      </c>
      <c r="B1272" t="s">
        <v>351</v>
      </c>
      <c r="C1272" t="s">
        <v>75</v>
      </c>
      <c r="D1272" t="s">
        <v>143</v>
      </c>
      <c r="E1272" s="2">
        <v>44050</v>
      </c>
      <c r="F1272" t="s">
        <v>16</v>
      </c>
      <c r="G1272" t="s">
        <v>260</v>
      </c>
      <c r="H1272" t="s">
        <v>125</v>
      </c>
      <c r="I1272" s="3">
        <v>8.4027777777777785E-2</v>
      </c>
      <c r="J1272" t="s">
        <v>19</v>
      </c>
      <c r="K1272">
        <v>60</v>
      </c>
      <c r="L1272" s="3">
        <v>8.4027777777777785E-2</v>
      </c>
      <c r="M1272" t="s">
        <v>31</v>
      </c>
      <c r="N1272" t="s">
        <v>345</v>
      </c>
    </row>
    <row r="1273" spans="1:14" x14ac:dyDescent="0.35">
      <c r="A1273" t="s">
        <v>64</v>
      </c>
      <c r="B1273" t="s">
        <v>351</v>
      </c>
      <c r="C1273" t="s">
        <v>75</v>
      </c>
      <c r="D1273" t="s">
        <v>143</v>
      </c>
      <c r="E1273" s="2">
        <v>44051</v>
      </c>
      <c r="F1273" t="s">
        <v>16</v>
      </c>
      <c r="G1273" t="s">
        <v>66</v>
      </c>
      <c r="H1273" t="s">
        <v>352</v>
      </c>
      <c r="I1273" s="3">
        <v>0.12569444444444444</v>
      </c>
      <c r="J1273" t="s">
        <v>311</v>
      </c>
      <c r="K1273">
        <v>23</v>
      </c>
      <c r="L1273" s="3">
        <v>8.3333333333333329E-2</v>
      </c>
      <c r="M1273" t="s">
        <v>31</v>
      </c>
    </row>
    <row r="1274" spans="1:14" x14ac:dyDescent="0.35">
      <c r="A1274" t="s">
        <v>14</v>
      </c>
      <c r="B1274" t="s">
        <v>368</v>
      </c>
      <c r="C1274" t="s">
        <v>321</v>
      </c>
      <c r="D1274">
        <v>1</v>
      </c>
      <c r="E1274" s="2">
        <v>44094</v>
      </c>
      <c r="F1274" t="s">
        <v>16</v>
      </c>
      <c r="G1274" t="s">
        <v>260</v>
      </c>
      <c r="H1274" t="s">
        <v>339</v>
      </c>
      <c r="I1274" s="3">
        <v>0.125</v>
      </c>
      <c r="J1274" t="s">
        <v>68</v>
      </c>
      <c r="K1274">
        <v>88</v>
      </c>
      <c r="L1274" s="3">
        <v>0.125</v>
      </c>
      <c r="M1274" t="s">
        <v>26</v>
      </c>
      <c r="N1274" t="s">
        <v>369</v>
      </c>
    </row>
    <row r="1275" spans="1:14" x14ac:dyDescent="0.35">
      <c r="A1275" t="s">
        <v>14</v>
      </c>
      <c r="B1275" t="s">
        <v>368</v>
      </c>
      <c r="C1275" t="s">
        <v>321</v>
      </c>
      <c r="D1275">
        <v>2</v>
      </c>
      <c r="E1275" s="2">
        <v>44101</v>
      </c>
      <c r="F1275" t="s">
        <v>24</v>
      </c>
      <c r="G1275" t="s">
        <v>260</v>
      </c>
      <c r="H1275" t="s">
        <v>116</v>
      </c>
      <c r="I1275" s="3">
        <v>8.4722222222222227E-2</v>
      </c>
      <c r="J1275" t="s">
        <v>68</v>
      </c>
      <c r="K1275">
        <v>44</v>
      </c>
      <c r="L1275" s="3">
        <v>4.2361111111111113E-2</v>
      </c>
      <c r="M1275" t="s">
        <v>83</v>
      </c>
    </row>
    <row r="1276" spans="1:14" x14ac:dyDescent="0.35">
      <c r="A1276" t="s">
        <v>64</v>
      </c>
      <c r="B1276" t="s">
        <v>368</v>
      </c>
      <c r="C1276" t="s">
        <v>65</v>
      </c>
      <c r="D1276">
        <v>3</v>
      </c>
      <c r="E1276" s="2">
        <v>44101</v>
      </c>
      <c r="F1276" t="s">
        <v>16</v>
      </c>
      <c r="G1276" t="s">
        <v>66</v>
      </c>
      <c r="H1276" t="s">
        <v>180</v>
      </c>
      <c r="I1276" s="3">
        <v>0.16666666666666666</v>
      </c>
      <c r="J1276" t="s">
        <v>251</v>
      </c>
      <c r="K1276">
        <v>35</v>
      </c>
      <c r="L1276" s="3">
        <v>0.125</v>
      </c>
      <c r="M1276" t="s">
        <v>83</v>
      </c>
    </row>
    <row r="1277" spans="1:14" x14ac:dyDescent="0.35">
      <c r="A1277" t="s">
        <v>14</v>
      </c>
      <c r="B1277" t="s">
        <v>368</v>
      </c>
      <c r="C1277" t="s">
        <v>321</v>
      </c>
      <c r="D1277">
        <v>2</v>
      </c>
      <c r="E1277" s="2">
        <v>44101</v>
      </c>
      <c r="F1277" t="s">
        <v>24</v>
      </c>
      <c r="G1277" t="s">
        <v>260</v>
      </c>
      <c r="H1277" t="s">
        <v>116</v>
      </c>
      <c r="I1277" s="3">
        <v>8.4722222222222227E-2</v>
      </c>
      <c r="J1277" t="s">
        <v>68</v>
      </c>
      <c r="K1277">
        <v>69</v>
      </c>
      <c r="L1277" s="3">
        <v>8.4722222222222227E-2</v>
      </c>
      <c r="M1277" t="s">
        <v>22</v>
      </c>
      <c r="N1277" t="s">
        <v>285</v>
      </c>
    </row>
    <row r="1278" spans="1:14" x14ac:dyDescent="0.35">
      <c r="A1278" t="s">
        <v>64</v>
      </c>
      <c r="B1278" t="s">
        <v>368</v>
      </c>
      <c r="C1278" t="s">
        <v>75</v>
      </c>
      <c r="D1278" t="s">
        <v>76</v>
      </c>
      <c r="E1278" s="2">
        <v>44124</v>
      </c>
      <c r="F1278" t="s">
        <v>16</v>
      </c>
      <c r="G1278" t="s">
        <v>66</v>
      </c>
      <c r="H1278" t="s">
        <v>370</v>
      </c>
      <c r="I1278" s="3">
        <v>0.20902777777777778</v>
      </c>
      <c r="J1278" t="s">
        <v>251</v>
      </c>
      <c r="K1278">
        <v>27</v>
      </c>
      <c r="L1278" s="3">
        <v>4.1666666666666664E-2</v>
      </c>
      <c r="M1278" t="s">
        <v>83</v>
      </c>
    </row>
    <row r="1279" spans="1:14" x14ac:dyDescent="0.35">
      <c r="A1279" t="s">
        <v>64</v>
      </c>
      <c r="B1279" t="s">
        <v>368</v>
      </c>
      <c r="C1279" t="s">
        <v>75</v>
      </c>
      <c r="D1279" t="s">
        <v>76</v>
      </c>
      <c r="E1279" s="2">
        <v>44132</v>
      </c>
      <c r="F1279" t="s">
        <v>24</v>
      </c>
      <c r="G1279" t="s">
        <v>66</v>
      </c>
      <c r="H1279" t="s">
        <v>260</v>
      </c>
      <c r="I1279" s="3">
        <v>1.3888888888888889E-3</v>
      </c>
      <c r="J1279" t="s">
        <v>251</v>
      </c>
      <c r="K1279" t="s">
        <v>69</v>
      </c>
      <c r="L1279" s="3">
        <v>1.3888888888888889E-3</v>
      </c>
      <c r="M1279" t="s">
        <v>83</v>
      </c>
    </row>
    <row r="1280" spans="1:14" x14ac:dyDescent="0.35">
      <c r="A1280" t="s">
        <v>14</v>
      </c>
      <c r="B1280" t="s">
        <v>368</v>
      </c>
      <c r="C1280" t="s">
        <v>321</v>
      </c>
      <c r="D1280">
        <v>6</v>
      </c>
      <c r="E1280" s="2">
        <v>44136</v>
      </c>
      <c r="F1280" t="s">
        <v>24</v>
      </c>
      <c r="G1280" t="s">
        <v>260</v>
      </c>
      <c r="H1280" t="s">
        <v>371</v>
      </c>
      <c r="I1280" s="3">
        <v>4.4444444444444446E-2</v>
      </c>
      <c r="J1280" t="s">
        <v>68</v>
      </c>
      <c r="K1280">
        <v>59</v>
      </c>
      <c r="L1280" s="3">
        <v>4.3055555555555555E-2</v>
      </c>
      <c r="M1280" t="s">
        <v>26</v>
      </c>
      <c r="N1280" t="s">
        <v>295</v>
      </c>
    </row>
    <row r="1281" spans="1:14" x14ac:dyDescent="0.35">
      <c r="A1281" t="s">
        <v>14</v>
      </c>
      <c r="B1281" t="s">
        <v>368</v>
      </c>
      <c r="C1281" t="s">
        <v>321</v>
      </c>
      <c r="D1281">
        <v>6</v>
      </c>
      <c r="E1281" s="2">
        <v>44136</v>
      </c>
      <c r="F1281" t="s">
        <v>24</v>
      </c>
      <c r="G1281" t="s">
        <v>260</v>
      </c>
      <c r="H1281" t="s">
        <v>371</v>
      </c>
      <c r="I1281" s="3">
        <v>4.4444444444444446E-2</v>
      </c>
      <c r="J1281" t="s">
        <v>68</v>
      </c>
      <c r="K1281">
        <v>76</v>
      </c>
      <c r="L1281" s="3">
        <v>4.4444444444444446E-2</v>
      </c>
      <c r="M1281" t="s">
        <v>83</v>
      </c>
    </row>
    <row r="1282" spans="1:14" x14ac:dyDescent="0.35">
      <c r="A1282" t="s">
        <v>64</v>
      </c>
      <c r="B1282" t="s">
        <v>368</v>
      </c>
      <c r="C1282" t="s">
        <v>75</v>
      </c>
      <c r="D1282" t="s">
        <v>76</v>
      </c>
      <c r="E1282" s="2">
        <v>44139</v>
      </c>
      <c r="F1282" t="s">
        <v>16</v>
      </c>
      <c r="G1282" t="s">
        <v>66</v>
      </c>
      <c r="H1282" t="s">
        <v>130</v>
      </c>
      <c r="I1282" s="3">
        <v>8.4027777777777785E-2</v>
      </c>
      <c r="J1282" t="s">
        <v>275</v>
      </c>
      <c r="K1282">
        <v>5</v>
      </c>
      <c r="L1282" s="3">
        <v>4.1666666666666664E-2</v>
      </c>
      <c r="M1282" t="s">
        <v>83</v>
      </c>
    </row>
    <row r="1283" spans="1:14" x14ac:dyDescent="0.35">
      <c r="A1283" t="s">
        <v>64</v>
      </c>
      <c r="B1283" t="s">
        <v>368</v>
      </c>
      <c r="C1283" t="s">
        <v>65</v>
      </c>
      <c r="D1283">
        <v>9</v>
      </c>
      <c r="E1283" s="2">
        <v>44142</v>
      </c>
      <c r="F1283" t="s">
        <v>16</v>
      </c>
      <c r="G1283" t="s">
        <v>66</v>
      </c>
      <c r="H1283" t="s">
        <v>95</v>
      </c>
      <c r="I1283" s="3">
        <v>0.20972222222222223</v>
      </c>
      <c r="J1283" t="s">
        <v>68</v>
      </c>
      <c r="K1283">
        <v>82</v>
      </c>
      <c r="L1283" s="3">
        <v>0.16805555555555557</v>
      </c>
      <c r="M1283" t="s">
        <v>31</v>
      </c>
      <c r="N1283" t="s">
        <v>293</v>
      </c>
    </row>
    <row r="1284" spans="1:14" x14ac:dyDescent="0.35">
      <c r="A1284" t="s">
        <v>64</v>
      </c>
      <c r="B1284" t="s">
        <v>368</v>
      </c>
      <c r="C1284" t="s">
        <v>65</v>
      </c>
      <c r="D1284">
        <v>9</v>
      </c>
      <c r="E1284" s="2">
        <v>44142</v>
      </c>
      <c r="F1284" t="s">
        <v>16</v>
      </c>
      <c r="G1284" t="s">
        <v>66</v>
      </c>
      <c r="H1284" t="s">
        <v>95</v>
      </c>
      <c r="I1284" s="3">
        <v>0.20972222222222223</v>
      </c>
      <c r="J1284" t="s">
        <v>68</v>
      </c>
      <c r="K1284">
        <v>61</v>
      </c>
      <c r="L1284" s="3">
        <v>0.12569444444444444</v>
      </c>
      <c r="M1284" t="s">
        <v>83</v>
      </c>
    </row>
    <row r="1285" spans="1:14" x14ac:dyDescent="0.35">
      <c r="A1285" t="s">
        <v>14</v>
      </c>
      <c r="B1285" t="s">
        <v>368</v>
      </c>
      <c r="C1285" t="s">
        <v>321</v>
      </c>
      <c r="D1285">
        <v>7</v>
      </c>
      <c r="E1285" s="2">
        <v>44143</v>
      </c>
      <c r="F1285" t="s">
        <v>24</v>
      </c>
      <c r="G1285" t="s">
        <v>260</v>
      </c>
      <c r="H1285" t="s">
        <v>343</v>
      </c>
      <c r="I1285" s="3">
        <v>4.2361111111111113E-2</v>
      </c>
      <c r="J1285" t="s">
        <v>19</v>
      </c>
      <c r="K1285">
        <v>15</v>
      </c>
      <c r="L1285" s="3">
        <v>6.9444444444444447E-4</v>
      </c>
      <c r="M1285" t="s">
        <v>26</v>
      </c>
      <c r="N1285" t="s">
        <v>364</v>
      </c>
    </row>
    <row r="1286" spans="1:14" x14ac:dyDescent="0.35">
      <c r="A1286" t="s">
        <v>14</v>
      </c>
      <c r="B1286" t="s">
        <v>368</v>
      </c>
      <c r="C1286" t="s">
        <v>321</v>
      </c>
      <c r="D1286">
        <v>8</v>
      </c>
      <c r="E1286" s="2">
        <v>44156</v>
      </c>
      <c r="F1286" t="s">
        <v>16</v>
      </c>
      <c r="G1286" t="s">
        <v>260</v>
      </c>
      <c r="H1286" t="s">
        <v>361</v>
      </c>
      <c r="I1286" s="3">
        <v>8.3333333333333329E-2</v>
      </c>
      <c r="J1286" t="s">
        <v>68</v>
      </c>
      <c r="K1286">
        <v>38</v>
      </c>
      <c r="L1286" s="3">
        <v>4.1666666666666664E-2</v>
      </c>
      <c r="M1286" t="s">
        <v>26</v>
      </c>
      <c r="N1286" t="s">
        <v>295</v>
      </c>
    </row>
    <row r="1287" spans="1:14" x14ac:dyDescent="0.35">
      <c r="A1287" t="s">
        <v>14</v>
      </c>
      <c r="B1287" t="s">
        <v>368</v>
      </c>
      <c r="C1287" t="s">
        <v>321</v>
      </c>
      <c r="D1287">
        <v>8</v>
      </c>
      <c r="E1287" s="2">
        <v>44156</v>
      </c>
      <c r="F1287" t="s">
        <v>16</v>
      </c>
      <c r="G1287" t="s">
        <v>260</v>
      </c>
      <c r="H1287" t="s">
        <v>361</v>
      </c>
      <c r="I1287" s="3">
        <v>8.3333333333333329E-2</v>
      </c>
      <c r="J1287" t="s">
        <v>68</v>
      </c>
      <c r="K1287">
        <v>42</v>
      </c>
      <c r="L1287" s="3">
        <v>8.3333333333333329E-2</v>
      </c>
      <c r="M1287" t="s">
        <v>26</v>
      </c>
      <c r="N1287" t="s">
        <v>372</v>
      </c>
    </row>
    <row r="1288" spans="1:14" x14ac:dyDescent="0.35">
      <c r="A1288" t="s">
        <v>14</v>
      </c>
      <c r="B1288" t="s">
        <v>368</v>
      </c>
      <c r="C1288" t="s">
        <v>75</v>
      </c>
      <c r="D1288" t="s">
        <v>76</v>
      </c>
      <c r="E1288" s="2">
        <v>44159</v>
      </c>
      <c r="F1288" t="s">
        <v>16</v>
      </c>
      <c r="G1288" t="s">
        <v>260</v>
      </c>
      <c r="H1288" t="s">
        <v>370</v>
      </c>
      <c r="I1288" s="3">
        <v>8.4027777777777785E-2</v>
      </c>
      <c r="J1288" t="s">
        <v>68</v>
      </c>
      <c r="K1288">
        <v>35</v>
      </c>
      <c r="L1288" s="3">
        <v>4.2361111111111113E-2</v>
      </c>
      <c r="M1288" t="s">
        <v>31</v>
      </c>
      <c r="N1288" t="s">
        <v>364</v>
      </c>
    </row>
    <row r="1289" spans="1:14" x14ac:dyDescent="0.35">
      <c r="A1289" t="s">
        <v>64</v>
      </c>
      <c r="B1289" t="s">
        <v>368</v>
      </c>
      <c r="C1289" t="s">
        <v>65</v>
      </c>
      <c r="D1289">
        <v>11</v>
      </c>
      <c r="E1289" s="2">
        <v>44164</v>
      </c>
      <c r="F1289" t="s">
        <v>16</v>
      </c>
      <c r="G1289" t="s">
        <v>66</v>
      </c>
      <c r="H1289" t="s">
        <v>100</v>
      </c>
      <c r="I1289" s="3">
        <v>0.16666666666666666</v>
      </c>
      <c r="J1289" t="s">
        <v>275</v>
      </c>
      <c r="K1289">
        <v>73</v>
      </c>
      <c r="L1289" s="3">
        <v>0.16666666666666666</v>
      </c>
      <c r="M1289" t="s">
        <v>31</v>
      </c>
      <c r="N1289" t="s">
        <v>373</v>
      </c>
    </row>
    <row r="1290" spans="1:14" x14ac:dyDescent="0.35">
      <c r="A1290" t="s">
        <v>14</v>
      </c>
      <c r="B1290" t="s">
        <v>368</v>
      </c>
      <c r="C1290" t="s">
        <v>75</v>
      </c>
      <c r="D1290" t="s">
        <v>76</v>
      </c>
      <c r="E1290" s="2">
        <v>44167</v>
      </c>
      <c r="F1290" t="s">
        <v>16</v>
      </c>
      <c r="G1290" t="s">
        <v>260</v>
      </c>
      <c r="H1290" t="s">
        <v>130</v>
      </c>
      <c r="I1290" s="3">
        <v>0.125</v>
      </c>
      <c r="J1290" t="s">
        <v>68</v>
      </c>
      <c r="K1290">
        <v>57</v>
      </c>
      <c r="L1290" s="3">
        <v>8.3333333333333329E-2</v>
      </c>
      <c r="M1290" t="s">
        <v>26</v>
      </c>
      <c r="N1290" t="s">
        <v>295</v>
      </c>
    </row>
    <row r="1291" spans="1:14" x14ac:dyDescent="0.35">
      <c r="A1291" t="s">
        <v>14</v>
      </c>
      <c r="B1291" t="s">
        <v>368</v>
      </c>
      <c r="C1291" t="s">
        <v>75</v>
      </c>
      <c r="D1291" t="s">
        <v>76</v>
      </c>
      <c r="E1291" s="2">
        <v>44173</v>
      </c>
      <c r="F1291" t="s">
        <v>24</v>
      </c>
      <c r="G1291" t="s">
        <v>260</v>
      </c>
      <c r="H1291" t="s">
        <v>66</v>
      </c>
      <c r="I1291" s="3">
        <v>2.0833333333333333E-3</v>
      </c>
      <c r="J1291" t="s">
        <v>68</v>
      </c>
      <c r="K1291">
        <v>13</v>
      </c>
      <c r="L1291" s="3">
        <v>6.9444444444444447E-4</v>
      </c>
      <c r="M1291" t="s">
        <v>83</v>
      </c>
    </row>
    <row r="1292" spans="1:14" x14ac:dyDescent="0.35">
      <c r="A1292" t="s">
        <v>14</v>
      </c>
      <c r="B1292" t="s">
        <v>368</v>
      </c>
      <c r="C1292" t="s">
        <v>75</v>
      </c>
      <c r="D1292" t="s">
        <v>76</v>
      </c>
      <c r="E1292" s="2">
        <v>44173</v>
      </c>
      <c r="F1292" t="s">
        <v>24</v>
      </c>
      <c r="G1292" t="s">
        <v>260</v>
      </c>
      <c r="H1292" t="s">
        <v>66</v>
      </c>
      <c r="I1292" s="3">
        <v>2.0833333333333333E-3</v>
      </c>
      <c r="J1292" t="s">
        <v>68</v>
      </c>
      <c r="K1292">
        <v>52</v>
      </c>
      <c r="L1292" s="3">
        <v>2.0833333333333333E-3</v>
      </c>
      <c r="M1292" t="s">
        <v>83</v>
      </c>
    </row>
    <row r="1293" spans="1:14" x14ac:dyDescent="0.35">
      <c r="A1293" t="s">
        <v>14</v>
      </c>
      <c r="B1293" t="s">
        <v>368</v>
      </c>
      <c r="C1293" t="s">
        <v>321</v>
      </c>
      <c r="D1293">
        <v>11</v>
      </c>
      <c r="E1293" s="2">
        <v>44178</v>
      </c>
      <c r="F1293" t="s">
        <v>24</v>
      </c>
      <c r="G1293" t="s">
        <v>260</v>
      </c>
      <c r="H1293" t="s">
        <v>329</v>
      </c>
      <c r="I1293" s="3">
        <v>4.3749999999999997E-2</v>
      </c>
      <c r="J1293" t="s">
        <v>68</v>
      </c>
      <c r="K1293">
        <v>78</v>
      </c>
      <c r="L1293" s="3">
        <v>4.3055555555555555E-2</v>
      </c>
      <c r="M1293" t="s">
        <v>83</v>
      </c>
    </row>
    <row r="1294" spans="1:14" x14ac:dyDescent="0.35">
      <c r="A1294" t="s">
        <v>14</v>
      </c>
      <c r="B1294" t="s">
        <v>368</v>
      </c>
      <c r="C1294" t="s">
        <v>321</v>
      </c>
      <c r="D1294">
        <v>11</v>
      </c>
      <c r="E1294" s="2">
        <v>44178</v>
      </c>
      <c r="F1294" t="s">
        <v>24</v>
      </c>
      <c r="G1294" t="s">
        <v>260</v>
      </c>
      <c r="H1294" t="s">
        <v>329</v>
      </c>
      <c r="I1294" s="3">
        <v>4.3749999999999997E-2</v>
      </c>
      <c r="J1294" t="s">
        <v>68</v>
      </c>
      <c r="K1294">
        <v>89</v>
      </c>
      <c r="L1294" s="3">
        <v>4.3749999999999997E-2</v>
      </c>
      <c r="M1294" t="s">
        <v>83</v>
      </c>
    </row>
    <row r="1295" spans="1:14" x14ac:dyDescent="0.35">
      <c r="A1295" t="s">
        <v>64</v>
      </c>
      <c r="B1295" t="s">
        <v>368</v>
      </c>
      <c r="C1295" t="s">
        <v>65</v>
      </c>
      <c r="D1295">
        <v>13</v>
      </c>
      <c r="E1295" s="2">
        <v>44178</v>
      </c>
      <c r="F1295" t="s">
        <v>16</v>
      </c>
      <c r="G1295" t="s">
        <v>66</v>
      </c>
      <c r="H1295" t="s">
        <v>127</v>
      </c>
      <c r="I1295" s="3">
        <v>4.1666666666666664E-2</v>
      </c>
      <c r="J1295" t="s">
        <v>251</v>
      </c>
      <c r="K1295">
        <v>76</v>
      </c>
      <c r="L1295" s="3">
        <v>4.1666666666666664E-2</v>
      </c>
      <c r="M1295" t="s">
        <v>31</v>
      </c>
      <c r="N1295" t="s">
        <v>363</v>
      </c>
    </row>
    <row r="1296" spans="1:14" x14ac:dyDescent="0.35">
      <c r="A1296" t="s">
        <v>64</v>
      </c>
      <c r="B1296" t="s">
        <v>368</v>
      </c>
      <c r="C1296" t="s">
        <v>65</v>
      </c>
      <c r="D1296">
        <v>14</v>
      </c>
      <c r="E1296" s="2">
        <v>44184</v>
      </c>
      <c r="F1296" t="s">
        <v>16</v>
      </c>
      <c r="G1296" t="s">
        <v>66</v>
      </c>
      <c r="H1296" t="s">
        <v>148</v>
      </c>
      <c r="I1296" s="3">
        <v>8.4722222222222227E-2</v>
      </c>
      <c r="J1296" t="s">
        <v>251</v>
      </c>
      <c r="K1296" t="s">
        <v>374</v>
      </c>
      <c r="L1296" s="3">
        <v>4.2361111111111113E-2</v>
      </c>
      <c r="M1296" t="s">
        <v>22</v>
      </c>
    </row>
    <row r="1297" spans="1:14" x14ac:dyDescent="0.35">
      <c r="A1297" t="s">
        <v>14</v>
      </c>
      <c r="B1297" t="s">
        <v>368</v>
      </c>
      <c r="C1297" t="s">
        <v>321</v>
      </c>
      <c r="D1297">
        <v>13</v>
      </c>
      <c r="E1297" s="2">
        <v>44184</v>
      </c>
      <c r="F1297" t="s">
        <v>24</v>
      </c>
      <c r="G1297" t="s">
        <v>260</v>
      </c>
      <c r="H1297" t="s">
        <v>344</v>
      </c>
      <c r="I1297" s="3">
        <v>2.7777777777777779E-3</v>
      </c>
      <c r="J1297" t="s">
        <v>68</v>
      </c>
      <c r="K1297">
        <v>48</v>
      </c>
      <c r="L1297" s="3">
        <v>2.0833333333333333E-3</v>
      </c>
      <c r="M1297" t="s">
        <v>31</v>
      </c>
      <c r="N1297" t="s">
        <v>369</v>
      </c>
    </row>
    <row r="1298" spans="1:14" x14ac:dyDescent="0.35">
      <c r="A1298" t="s">
        <v>14</v>
      </c>
      <c r="B1298" t="s">
        <v>368</v>
      </c>
      <c r="C1298" t="s">
        <v>321</v>
      </c>
      <c r="D1298">
        <v>13</v>
      </c>
      <c r="E1298" s="2">
        <v>44184</v>
      </c>
      <c r="F1298" t="s">
        <v>24</v>
      </c>
      <c r="G1298" t="s">
        <v>260</v>
      </c>
      <c r="H1298" t="s">
        <v>344</v>
      </c>
      <c r="I1298" s="3">
        <v>2.7777777777777779E-3</v>
      </c>
      <c r="J1298" t="s">
        <v>68</v>
      </c>
      <c r="K1298">
        <v>26</v>
      </c>
      <c r="L1298" s="3">
        <v>1.3888888888888889E-3</v>
      </c>
      <c r="M1298" t="s">
        <v>22</v>
      </c>
      <c r="N1298" t="s">
        <v>295</v>
      </c>
    </row>
    <row r="1299" spans="1:14" x14ac:dyDescent="0.35">
      <c r="A1299" t="s">
        <v>64</v>
      </c>
      <c r="B1299" t="s">
        <v>368</v>
      </c>
      <c r="C1299" t="s">
        <v>65</v>
      </c>
      <c r="D1299">
        <v>15</v>
      </c>
      <c r="E1299" s="2">
        <v>44187</v>
      </c>
      <c r="F1299" t="s">
        <v>24</v>
      </c>
      <c r="G1299" t="s">
        <v>66</v>
      </c>
      <c r="H1299" t="s">
        <v>197</v>
      </c>
      <c r="I1299" s="3">
        <v>2.0833333333333333E-3</v>
      </c>
      <c r="J1299" t="s">
        <v>282</v>
      </c>
      <c r="K1299">
        <v>65</v>
      </c>
      <c r="L1299" s="3">
        <v>2.0833333333333333E-3</v>
      </c>
      <c r="M1299" t="s">
        <v>31</v>
      </c>
      <c r="N1299" t="s">
        <v>375</v>
      </c>
    </row>
    <row r="1300" spans="1:14" x14ac:dyDescent="0.35">
      <c r="A1300" t="s">
        <v>14</v>
      </c>
      <c r="B1300" t="s">
        <v>368</v>
      </c>
      <c r="C1300" t="s">
        <v>321</v>
      </c>
      <c r="D1300">
        <v>15</v>
      </c>
      <c r="E1300" s="2">
        <v>44199</v>
      </c>
      <c r="F1300" t="s">
        <v>16</v>
      </c>
      <c r="G1300" t="s">
        <v>260</v>
      </c>
      <c r="H1300" t="s">
        <v>327</v>
      </c>
      <c r="I1300" s="3">
        <v>0.1673611111111111</v>
      </c>
      <c r="J1300" t="s">
        <v>68</v>
      </c>
      <c r="K1300">
        <v>70</v>
      </c>
      <c r="L1300" s="3">
        <v>0.125</v>
      </c>
      <c r="M1300" t="s">
        <v>31</v>
      </c>
      <c r="N1300" t="s">
        <v>359</v>
      </c>
    </row>
    <row r="1301" spans="1:14" x14ac:dyDescent="0.35">
      <c r="A1301" t="s">
        <v>14</v>
      </c>
      <c r="B1301" t="s">
        <v>368</v>
      </c>
      <c r="C1301" t="s">
        <v>321</v>
      </c>
      <c r="D1301">
        <v>15</v>
      </c>
      <c r="E1301" s="2">
        <v>44199</v>
      </c>
      <c r="F1301" t="s">
        <v>16</v>
      </c>
      <c r="G1301" t="s">
        <v>260</v>
      </c>
      <c r="H1301" t="s">
        <v>327</v>
      </c>
      <c r="I1301" s="3">
        <v>0.1673611111111111</v>
      </c>
      <c r="J1301" t="s">
        <v>68</v>
      </c>
      <c r="K1301">
        <v>31</v>
      </c>
      <c r="L1301" s="3">
        <v>4.1666666666666664E-2</v>
      </c>
      <c r="M1301" t="s">
        <v>26</v>
      </c>
      <c r="N1301" t="s">
        <v>369</v>
      </c>
    </row>
    <row r="1302" spans="1:14" x14ac:dyDescent="0.35">
      <c r="A1302" t="s">
        <v>64</v>
      </c>
      <c r="B1302" t="s">
        <v>368</v>
      </c>
      <c r="C1302" t="s">
        <v>65</v>
      </c>
      <c r="D1302">
        <v>2</v>
      </c>
      <c r="E1302" s="2">
        <v>44202</v>
      </c>
      <c r="F1302" t="s">
        <v>24</v>
      </c>
      <c r="G1302" t="s">
        <v>66</v>
      </c>
      <c r="H1302" t="s">
        <v>86</v>
      </c>
      <c r="I1302" s="3">
        <v>8.5416666666666669E-2</v>
      </c>
      <c r="J1302" t="s">
        <v>251</v>
      </c>
      <c r="K1302">
        <v>62</v>
      </c>
      <c r="L1302" s="3">
        <v>4.3749999999999997E-2</v>
      </c>
      <c r="M1302" t="s">
        <v>31</v>
      </c>
      <c r="N1302" t="s">
        <v>355</v>
      </c>
    </row>
    <row r="1303" spans="1:14" x14ac:dyDescent="0.35">
      <c r="A1303" t="s">
        <v>64</v>
      </c>
      <c r="B1303" t="s">
        <v>368</v>
      </c>
      <c r="C1303" t="s">
        <v>65</v>
      </c>
      <c r="D1303">
        <v>2</v>
      </c>
      <c r="E1303" s="2">
        <v>44202</v>
      </c>
      <c r="F1303" t="s">
        <v>24</v>
      </c>
      <c r="G1303" t="s">
        <v>66</v>
      </c>
      <c r="H1303" t="s">
        <v>86</v>
      </c>
      <c r="I1303" s="3">
        <v>8.5416666666666669E-2</v>
      </c>
      <c r="J1303" t="s">
        <v>251</v>
      </c>
      <c r="K1303">
        <v>38</v>
      </c>
      <c r="L1303" s="3">
        <v>4.3055555555555555E-2</v>
      </c>
      <c r="M1303" t="s">
        <v>31</v>
      </c>
      <c r="N1303" t="s">
        <v>375</v>
      </c>
    </row>
    <row r="1304" spans="1:14" x14ac:dyDescent="0.35">
      <c r="A1304" t="s">
        <v>64</v>
      </c>
      <c r="B1304" t="s">
        <v>368</v>
      </c>
      <c r="C1304" t="s">
        <v>65</v>
      </c>
      <c r="D1304">
        <v>18</v>
      </c>
      <c r="E1304" s="2">
        <v>44205</v>
      </c>
      <c r="F1304" t="s">
        <v>24</v>
      </c>
      <c r="G1304" t="s">
        <v>66</v>
      </c>
      <c r="H1304" t="s">
        <v>233</v>
      </c>
      <c r="I1304" s="3">
        <v>2.7777777777777779E-3</v>
      </c>
      <c r="J1304" t="s">
        <v>251</v>
      </c>
      <c r="K1304">
        <v>35</v>
      </c>
      <c r="L1304" s="3">
        <v>1.3888888888888889E-3</v>
      </c>
      <c r="M1304" t="s">
        <v>31</v>
      </c>
      <c r="N1304" t="s">
        <v>355</v>
      </c>
    </row>
    <row r="1305" spans="1:14" x14ac:dyDescent="0.35">
      <c r="A1305" t="s">
        <v>64</v>
      </c>
      <c r="B1305" t="s">
        <v>368</v>
      </c>
      <c r="C1305" t="s">
        <v>65</v>
      </c>
      <c r="D1305">
        <v>18</v>
      </c>
      <c r="E1305" s="2">
        <v>44205</v>
      </c>
      <c r="F1305" t="s">
        <v>24</v>
      </c>
      <c r="G1305" t="s">
        <v>66</v>
      </c>
      <c r="H1305" t="s">
        <v>233</v>
      </c>
      <c r="I1305" s="3">
        <v>2.7777777777777779E-3</v>
      </c>
      <c r="J1305" t="s">
        <v>251</v>
      </c>
      <c r="K1305">
        <v>42</v>
      </c>
      <c r="L1305" s="3">
        <v>2.0833333333333333E-3</v>
      </c>
      <c r="M1305" t="s">
        <v>39</v>
      </c>
    </row>
    <row r="1306" spans="1:14" x14ac:dyDescent="0.35">
      <c r="A1306" t="s">
        <v>14</v>
      </c>
      <c r="B1306" t="s">
        <v>368</v>
      </c>
      <c r="C1306" t="s">
        <v>321</v>
      </c>
      <c r="D1306">
        <v>17</v>
      </c>
      <c r="E1306" s="2">
        <v>44206</v>
      </c>
      <c r="F1306" t="s">
        <v>16</v>
      </c>
      <c r="G1306" t="s">
        <v>260</v>
      </c>
      <c r="H1306" t="s">
        <v>322</v>
      </c>
      <c r="I1306" s="3">
        <v>0.12569444444444444</v>
      </c>
      <c r="J1306" t="s">
        <v>68</v>
      </c>
      <c r="K1306" t="s">
        <v>141</v>
      </c>
      <c r="L1306" s="3">
        <v>0.12569444444444444</v>
      </c>
      <c r="M1306" t="s">
        <v>26</v>
      </c>
      <c r="N1306" t="s">
        <v>285</v>
      </c>
    </row>
    <row r="1307" spans="1:14" x14ac:dyDescent="0.35">
      <c r="A1307" t="s">
        <v>14</v>
      </c>
      <c r="B1307" t="s">
        <v>368</v>
      </c>
      <c r="C1307" t="s">
        <v>341</v>
      </c>
      <c r="D1307" t="s">
        <v>46</v>
      </c>
      <c r="E1307" s="2">
        <v>44216</v>
      </c>
      <c r="F1307" t="s">
        <v>16</v>
      </c>
      <c r="G1307" t="s">
        <v>260</v>
      </c>
      <c r="H1307" t="s">
        <v>352</v>
      </c>
      <c r="I1307" s="3">
        <v>8.3333333333333329E-2</v>
      </c>
      <c r="J1307" t="s">
        <v>68</v>
      </c>
      <c r="K1307">
        <v>64</v>
      </c>
      <c r="L1307" s="3">
        <v>4.1666666666666664E-2</v>
      </c>
      <c r="M1307" t="s">
        <v>55</v>
      </c>
    </row>
    <row r="1308" spans="1:14" x14ac:dyDescent="0.35">
      <c r="A1308" t="s">
        <v>64</v>
      </c>
      <c r="B1308" t="s">
        <v>368</v>
      </c>
      <c r="C1308" t="s">
        <v>91</v>
      </c>
      <c r="D1308" t="s">
        <v>81</v>
      </c>
      <c r="E1308" s="2">
        <v>44223</v>
      </c>
      <c r="F1308" t="s">
        <v>24</v>
      </c>
      <c r="G1308" t="s">
        <v>66</v>
      </c>
      <c r="H1308" t="s">
        <v>225</v>
      </c>
      <c r="I1308" s="3">
        <v>4.3055555555555555E-2</v>
      </c>
      <c r="J1308" t="s">
        <v>251</v>
      </c>
      <c r="K1308">
        <v>69</v>
      </c>
      <c r="L1308" s="3">
        <v>4.2361111111111113E-2</v>
      </c>
      <c r="M1308" t="s">
        <v>31</v>
      </c>
      <c r="N1308" t="s">
        <v>355</v>
      </c>
    </row>
    <row r="1309" spans="1:14" x14ac:dyDescent="0.35">
      <c r="A1309" t="s">
        <v>64</v>
      </c>
      <c r="B1309" t="s">
        <v>368</v>
      </c>
      <c r="C1309" t="s">
        <v>65</v>
      </c>
      <c r="D1309">
        <v>21</v>
      </c>
      <c r="E1309" s="2">
        <v>44227</v>
      </c>
      <c r="F1309" t="s">
        <v>16</v>
      </c>
      <c r="G1309" t="s">
        <v>66</v>
      </c>
      <c r="H1309" t="s">
        <v>86</v>
      </c>
      <c r="I1309" s="3">
        <v>8.4027777777777785E-2</v>
      </c>
      <c r="J1309" t="s">
        <v>251</v>
      </c>
      <c r="K1309">
        <v>20</v>
      </c>
      <c r="L1309" s="3">
        <v>4.1666666666666664E-2</v>
      </c>
      <c r="M1309" t="s">
        <v>39</v>
      </c>
    </row>
    <row r="1310" spans="1:14" x14ac:dyDescent="0.35">
      <c r="A1310" t="s">
        <v>14</v>
      </c>
      <c r="B1310" t="s">
        <v>368</v>
      </c>
      <c r="C1310" t="s">
        <v>362</v>
      </c>
      <c r="D1310" t="s">
        <v>62</v>
      </c>
      <c r="E1310" s="2">
        <v>44229</v>
      </c>
      <c r="F1310" t="s">
        <v>24</v>
      </c>
      <c r="G1310" t="s">
        <v>260</v>
      </c>
      <c r="H1310" t="s">
        <v>348</v>
      </c>
      <c r="I1310" s="3">
        <v>4.3055555555555555E-2</v>
      </c>
      <c r="J1310" t="s">
        <v>68</v>
      </c>
      <c r="K1310">
        <v>35</v>
      </c>
      <c r="L1310" s="3">
        <v>4.3055555555555555E-2</v>
      </c>
      <c r="M1310" t="s">
        <v>31</v>
      </c>
    </row>
    <row r="1311" spans="1:14" x14ac:dyDescent="0.35">
      <c r="A1311" t="s">
        <v>14</v>
      </c>
      <c r="B1311" t="s">
        <v>368</v>
      </c>
      <c r="C1311" t="s">
        <v>362</v>
      </c>
      <c r="D1311" t="s">
        <v>62</v>
      </c>
      <c r="E1311" s="2">
        <v>44229</v>
      </c>
      <c r="F1311" t="s">
        <v>24</v>
      </c>
      <c r="G1311" t="s">
        <v>260</v>
      </c>
      <c r="H1311" t="s">
        <v>348</v>
      </c>
      <c r="I1311" s="3">
        <v>4.3055555555555555E-2</v>
      </c>
      <c r="J1311" t="s">
        <v>68</v>
      </c>
      <c r="K1311">
        <v>26</v>
      </c>
      <c r="L1311" s="3">
        <v>4.2361111111111113E-2</v>
      </c>
      <c r="M1311" t="s">
        <v>83</v>
      </c>
    </row>
    <row r="1312" spans="1:14" x14ac:dyDescent="0.35">
      <c r="A1312" t="s">
        <v>14</v>
      </c>
      <c r="B1312" t="s">
        <v>368</v>
      </c>
      <c r="C1312" t="s">
        <v>321</v>
      </c>
      <c r="D1312">
        <v>21</v>
      </c>
      <c r="E1312" s="2">
        <v>44233</v>
      </c>
      <c r="F1312" t="s">
        <v>16</v>
      </c>
      <c r="G1312" t="s">
        <v>260</v>
      </c>
      <c r="H1312" t="s">
        <v>116</v>
      </c>
      <c r="I1312" s="3">
        <v>8.3333333333333329E-2</v>
      </c>
      <c r="J1312" t="s">
        <v>68</v>
      </c>
      <c r="K1312">
        <v>13</v>
      </c>
      <c r="L1312" s="3">
        <v>4.1666666666666664E-2</v>
      </c>
      <c r="M1312" t="s">
        <v>31</v>
      </c>
      <c r="N1312" t="s">
        <v>295</v>
      </c>
    </row>
    <row r="1313" spans="1:14" x14ac:dyDescent="0.35">
      <c r="A1313" t="s">
        <v>64</v>
      </c>
      <c r="B1313" t="s">
        <v>368</v>
      </c>
      <c r="C1313" t="s">
        <v>65</v>
      </c>
      <c r="D1313">
        <v>22</v>
      </c>
      <c r="E1313" s="2">
        <v>44234</v>
      </c>
      <c r="F1313" t="s">
        <v>24</v>
      </c>
      <c r="G1313" t="s">
        <v>66</v>
      </c>
      <c r="H1313" t="s">
        <v>95</v>
      </c>
      <c r="I1313" s="3">
        <v>8.5416666666666669E-2</v>
      </c>
      <c r="J1313" t="s">
        <v>68</v>
      </c>
      <c r="K1313">
        <v>59</v>
      </c>
      <c r="L1313" s="3">
        <v>4.2361111111111113E-2</v>
      </c>
      <c r="M1313" t="s">
        <v>31</v>
      </c>
      <c r="N1313" t="s">
        <v>316</v>
      </c>
    </row>
    <row r="1314" spans="1:14" x14ac:dyDescent="0.35">
      <c r="A1314" t="s">
        <v>64</v>
      </c>
      <c r="B1314" t="s">
        <v>368</v>
      </c>
      <c r="C1314" t="s">
        <v>65</v>
      </c>
      <c r="D1314">
        <v>23</v>
      </c>
      <c r="E1314" s="2">
        <v>44240</v>
      </c>
      <c r="F1314" t="s">
        <v>16</v>
      </c>
      <c r="G1314" t="s">
        <v>66</v>
      </c>
      <c r="H1314" t="s">
        <v>88</v>
      </c>
      <c r="I1314" s="3">
        <v>0.20902777777777778</v>
      </c>
      <c r="J1314" t="s">
        <v>251</v>
      </c>
      <c r="K1314">
        <v>75</v>
      </c>
      <c r="L1314" s="3">
        <v>0.1673611111111111</v>
      </c>
      <c r="M1314" t="s">
        <v>31</v>
      </c>
      <c r="N1314" t="s">
        <v>355</v>
      </c>
    </row>
    <row r="1315" spans="1:14" x14ac:dyDescent="0.35">
      <c r="A1315" t="s">
        <v>64</v>
      </c>
      <c r="B1315" t="s">
        <v>368</v>
      </c>
      <c r="C1315" t="s">
        <v>65</v>
      </c>
      <c r="D1315">
        <v>23</v>
      </c>
      <c r="E1315" s="2">
        <v>44240</v>
      </c>
      <c r="F1315" t="s">
        <v>16</v>
      </c>
      <c r="G1315" t="s">
        <v>66</v>
      </c>
      <c r="H1315" t="s">
        <v>88</v>
      </c>
      <c r="I1315" s="3">
        <v>0.20902777777777778</v>
      </c>
      <c r="J1315" t="s">
        <v>251</v>
      </c>
      <c r="K1315" t="s">
        <v>58</v>
      </c>
      <c r="L1315" s="3">
        <v>8.3333333333333329E-2</v>
      </c>
      <c r="M1315" t="s">
        <v>31</v>
      </c>
      <c r="N1315" t="s">
        <v>222</v>
      </c>
    </row>
    <row r="1316" spans="1:14" x14ac:dyDescent="0.35">
      <c r="A1316" t="s">
        <v>64</v>
      </c>
      <c r="B1316" t="s">
        <v>368</v>
      </c>
      <c r="C1316" t="s">
        <v>75</v>
      </c>
      <c r="D1316" t="s">
        <v>143</v>
      </c>
      <c r="E1316" s="2">
        <v>44243</v>
      </c>
      <c r="F1316" t="s">
        <v>16</v>
      </c>
      <c r="G1316" t="s">
        <v>66</v>
      </c>
      <c r="H1316" t="s">
        <v>252</v>
      </c>
      <c r="I1316" s="3">
        <v>4.4444444444444446E-2</v>
      </c>
      <c r="J1316" t="s">
        <v>251</v>
      </c>
      <c r="K1316">
        <v>27</v>
      </c>
      <c r="L1316" s="3">
        <v>4.1666666666666664E-2</v>
      </c>
      <c r="M1316" t="s">
        <v>83</v>
      </c>
    </row>
    <row r="1317" spans="1:14" x14ac:dyDescent="0.35">
      <c r="A1317" t="s">
        <v>64</v>
      </c>
      <c r="B1317" t="s">
        <v>368</v>
      </c>
      <c r="C1317" t="s">
        <v>65</v>
      </c>
      <c r="D1317">
        <v>24</v>
      </c>
      <c r="E1317" s="2">
        <v>44248</v>
      </c>
      <c r="F1317" t="s">
        <v>16</v>
      </c>
      <c r="G1317" t="s">
        <v>66</v>
      </c>
      <c r="H1317" t="s">
        <v>376</v>
      </c>
      <c r="I1317" s="3">
        <v>4.2361111111111113E-2</v>
      </c>
      <c r="J1317" t="s">
        <v>251</v>
      </c>
      <c r="K1317">
        <v>32</v>
      </c>
      <c r="L1317" s="3">
        <v>4.1666666666666664E-2</v>
      </c>
      <c r="M1317" t="s">
        <v>83</v>
      </c>
    </row>
    <row r="1318" spans="1:14" x14ac:dyDescent="0.35">
      <c r="A1318" t="s">
        <v>14</v>
      </c>
      <c r="B1318" t="s">
        <v>368</v>
      </c>
      <c r="C1318" t="s">
        <v>321</v>
      </c>
      <c r="D1318">
        <v>23</v>
      </c>
      <c r="E1318" s="2">
        <v>44249</v>
      </c>
      <c r="F1318" t="s">
        <v>16</v>
      </c>
      <c r="G1318" t="s">
        <v>260</v>
      </c>
      <c r="H1318" t="s">
        <v>377</v>
      </c>
      <c r="I1318" s="3">
        <v>0.125</v>
      </c>
      <c r="J1318" t="s">
        <v>68</v>
      </c>
      <c r="K1318">
        <v>38</v>
      </c>
      <c r="L1318" s="3">
        <v>4.1666666666666664E-2</v>
      </c>
      <c r="M1318" t="s">
        <v>22</v>
      </c>
      <c r="N1318" t="s">
        <v>360</v>
      </c>
    </row>
    <row r="1319" spans="1:14" x14ac:dyDescent="0.35">
      <c r="A1319" t="s">
        <v>14</v>
      </c>
      <c r="B1319" t="s">
        <v>368</v>
      </c>
      <c r="C1319" t="s">
        <v>321</v>
      </c>
      <c r="D1319">
        <v>23</v>
      </c>
      <c r="E1319" s="2">
        <v>44249</v>
      </c>
      <c r="F1319" t="s">
        <v>16</v>
      </c>
      <c r="G1319" t="s">
        <v>260</v>
      </c>
      <c r="H1319" t="s">
        <v>377</v>
      </c>
      <c r="I1319" s="3">
        <v>0.125</v>
      </c>
      <c r="J1319" t="s">
        <v>68</v>
      </c>
      <c r="K1319" t="s">
        <v>58</v>
      </c>
      <c r="L1319" s="3">
        <v>8.3333333333333329E-2</v>
      </c>
      <c r="M1319" t="s">
        <v>22</v>
      </c>
      <c r="N1319" t="s">
        <v>369</v>
      </c>
    </row>
    <row r="1320" spans="1:14" x14ac:dyDescent="0.35">
      <c r="A1320" t="s">
        <v>64</v>
      </c>
      <c r="B1320" t="s">
        <v>368</v>
      </c>
      <c r="C1320" t="s">
        <v>65</v>
      </c>
      <c r="D1320">
        <v>1</v>
      </c>
      <c r="E1320" s="2">
        <v>44251</v>
      </c>
      <c r="F1320" t="s">
        <v>16</v>
      </c>
      <c r="G1320" t="s">
        <v>66</v>
      </c>
      <c r="H1320" t="s">
        <v>258</v>
      </c>
      <c r="I1320" s="3">
        <v>0.125</v>
      </c>
      <c r="J1320" t="s">
        <v>251</v>
      </c>
      <c r="K1320">
        <v>48</v>
      </c>
      <c r="L1320" s="3">
        <v>4.1666666666666664E-2</v>
      </c>
      <c r="M1320" t="s">
        <v>31</v>
      </c>
      <c r="N1320" t="s">
        <v>378</v>
      </c>
    </row>
    <row r="1321" spans="1:14" x14ac:dyDescent="0.35">
      <c r="A1321" t="s">
        <v>64</v>
      </c>
      <c r="B1321" t="s">
        <v>368</v>
      </c>
      <c r="C1321" t="s">
        <v>65</v>
      </c>
      <c r="D1321">
        <v>1</v>
      </c>
      <c r="E1321" s="2">
        <v>44251</v>
      </c>
      <c r="F1321" t="s">
        <v>16</v>
      </c>
      <c r="G1321" t="s">
        <v>66</v>
      </c>
      <c r="H1321" t="s">
        <v>258</v>
      </c>
      <c r="I1321" s="3">
        <v>0.125</v>
      </c>
      <c r="J1321" t="s">
        <v>251</v>
      </c>
      <c r="K1321">
        <v>68</v>
      </c>
      <c r="L1321" s="3">
        <v>8.3333333333333329E-2</v>
      </c>
      <c r="M1321" t="s">
        <v>31</v>
      </c>
      <c r="N1321" t="s">
        <v>363</v>
      </c>
    </row>
    <row r="1322" spans="1:14" x14ac:dyDescent="0.35">
      <c r="A1322" t="s">
        <v>64</v>
      </c>
      <c r="B1322" t="s">
        <v>368</v>
      </c>
      <c r="C1322" t="s">
        <v>65</v>
      </c>
      <c r="D1322">
        <v>25</v>
      </c>
      <c r="E1322" s="2">
        <v>44254</v>
      </c>
      <c r="F1322" t="s">
        <v>24</v>
      </c>
      <c r="G1322" t="s">
        <v>66</v>
      </c>
      <c r="H1322" t="s">
        <v>105</v>
      </c>
      <c r="I1322" s="3">
        <v>1.3888888888888889E-3</v>
      </c>
      <c r="J1322" t="s">
        <v>251</v>
      </c>
      <c r="K1322">
        <v>85</v>
      </c>
      <c r="L1322" s="3">
        <v>1.3888888888888889E-3</v>
      </c>
      <c r="M1322" t="s">
        <v>26</v>
      </c>
      <c r="N1322" t="s">
        <v>379</v>
      </c>
    </row>
    <row r="1323" spans="1:14" x14ac:dyDescent="0.35">
      <c r="A1323" t="s">
        <v>14</v>
      </c>
      <c r="B1323" t="s">
        <v>368</v>
      </c>
      <c r="C1323" t="s">
        <v>321</v>
      </c>
      <c r="D1323">
        <v>24</v>
      </c>
      <c r="E1323" s="2">
        <v>44254</v>
      </c>
      <c r="F1323" t="s">
        <v>24</v>
      </c>
      <c r="G1323" t="s">
        <v>260</v>
      </c>
      <c r="H1323" t="s">
        <v>354</v>
      </c>
      <c r="I1323" s="3">
        <v>4.2361111111111113E-2</v>
      </c>
      <c r="J1323" t="s">
        <v>68</v>
      </c>
      <c r="K1323">
        <v>49</v>
      </c>
      <c r="L1323" s="3">
        <v>6.9444444444444447E-4</v>
      </c>
      <c r="M1323" t="s">
        <v>26</v>
      </c>
      <c r="N1323" t="s">
        <v>380</v>
      </c>
    </row>
    <row r="1324" spans="1:14" x14ac:dyDescent="0.35">
      <c r="A1324" t="s">
        <v>14</v>
      </c>
      <c r="B1324" t="s">
        <v>368</v>
      </c>
      <c r="C1324" t="s">
        <v>321</v>
      </c>
      <c r="D1324">
        <v>25</v>
      </c>
      <c r="E1324" s="2">
        <v>44257</v>
      </c>
      <c r="F1324" t="s">
        <v>16</v>
      </c>
      <c r="G1324" t="s">
        <v>260</v>
      </c>
      <c r="H1324" t="s">
        <v>371</v>
      </c>
      <c r="I1324" s="3">
        <v>0.125</v>
      </c>
      <c r="J1324" t="s">
        <v>68</v>
      </c>
      <c r="K1324">
        <v>89</v>
      </c>
      <c r="L1324" s="3">
        <v>0.125</v>
      </c>
      <c r="M1324" t="s">
        <v>162</v>
      </c>
      <c r="N1324" t="s">
        <v>359</v>
      </c>
    </row>
    <row r="1325" spans="1:14" x14ac:dyDescent="0.35">
      <c r="A1325" t="s">
        <v>64</v>
      </c>
      <c r="B1325" t="s">
        <v>368</v>
      </c>
      <c r="C1325" t="s">
        <v>75</v>
      </c>
      <c r="D1325" t="s">
        <v>143</v>
      </c>
      <c r="E1325" s="2">
        <v>44265</v>
      </c>
      <c r="F1325" t="s">
        <v>24</v>
      </c>
      <c r="G1325" t="s">
        <v>66</v>
      </c>
      <c r="H1325" t="s">
        <v>252</v>
      </c>
      <c r="I1325" s="3">
        <v>4.2361111111111113E-2</v>
      </c>
      <c r="J1325" t="s">
        <v>311</v>
      </c>
      <c r="K1325">
        <v>37</v>
      </c>
      <c r="L1325" s="3">
        <v>4.2361111111111113E-2</v>
      </c>
      <c r="M1325" t="s">
        <v>170</v>
      </c>
      <c r="N1325" t="s">
        <v>375</v>
      </c>
    </row>
    <row r="1326" spans="1:14" x14ac:dyDescent="0.35">
      <c r="A1326" t="s">
        <v>14</v>
      </c>
      <c r="B1326" t="s">
        <v>368</v>
      </c>
      <c r="C1326" t="s">
        <v>321</v>
      </c>
      <c r="D1326">
        <v>27</v>
      </c>
      <c r="E1326" s="2">
        <v>44269</v>
      </c>
      <c r="F1326" t="s">
        <v>24</v>
      </c>
      <c r="G1326" t="s">
        <v>260</v>
      </c>
      <c r="H1326" t="s">
        <v>361</v>
      </c>
      <c r="I1326" s="3">
        <v>4.3749999999999997E-2</v>
      </c>
      <c r="J1326" t="s">
        <v>68</v>
      </c>
      <c r="K1326">
        <v>25</v>
      </c>
      <c r="L1326" s="3">
        <v>1.3888888888888889E-3</v>
      </c>
      <c r="M1326" t="s">
        <v>83</v>
      </c>
    </row>
    <row r="1327" spans="1:14" x14ac:dyDescent="0.35">
      <c r="A1327" t="s">
        <v>14</v>
      </c>
      <c r="B1327" t="s">
        <v>368</v>
      </c>
      <c r="C1327" t="s">
        <v>321</v>
      </c>
      <c r="D1327">
        <v>27</v>
      </c>
      <c r="E1327" s="2">
        <v>44269</v>
      </c>
      <c r="F1327" t="s">
        <v>24</v>
      </c>
      <c r="G1327" t="s">
        <v>260</v>
      </c>
      <c r="H1327" t="s">
        <v>361</v>
      </c>
      <c r="I1327" s="3">
        <v>4.3749999999999997E-2</v>
      </c>
      <c r="J1327" t="s">
        <v>68</v>
      </c>
      <c r="K1327">
        <v>32</v>
      </c>
      <c r="L1327" s="3">
        <v>2.0833333333333333E-3</v>
      </c>
      <c r="M1327" t="s">
        <v>31</v>
      </c>
      <c r="N1327" t="s">
        <v>380</v>
      </c>
    </row>
    <row r="1328" spans="1:14" x14ac:dyDescent="0.35">
      <c r="A1328" t="s">
        <v>14</v>
      </c>
      <c r="B1328" t="s">
        <v>368</v>
      </c>
      <c r="C1328" t="s">
        <v>321</v>
      </c>
      <c r="D1328">
        <v>27</v>
      </c>
      <c r="E1328" s="2">
        <v>44269</v>
      </c>
      <c r="F1328" t="s">
        <v>24</v>
      </c>
      <c r="G1328" t="s">
        <v>260</v>
      </c>
      <c r="H1328" t="s">
        <v>361</v>
      </c>
      <c r="I1328" s="3">
        <v>4.3749999999999997E-2</v>
      </c>
      <c r="J1328" t="s">
        <v>68</v>
      </c>
      <c r="K1328">
        <v>10</v>
      </c>
      <c r="L1328" s="3">
        <v>6.9444444444444447E-4</v>
      </c>
      <c r="M1328" t="s">
        <v>22</v>
      </c>
      <c r="N1328" t="s">
        <v>364</v>
      </c>
    </row>
    <row r="1329" spans="1:14" x14ac:dyDescent="0.35">
      <c r="A1329" t="s">
        <v>64</v>
      </c>
      <c r="B1329" t="s">
        <v>368</v>
      </c>
      <c r="C1329" t="s">
        <v>65</v>
      </c>
      <c r="D1329">
        <v>27</v>
      </c>
      <c r="E1329" s="2">
        <v>44270</v>
      </c>
      <c r="F1329" t="s">
        <v>16</v>
      </c>
      <c r="G1329" t="s">
        <v>66</v>
      </c>
      <c r="H1329" t="s">
        <v>320</v>
      </c>
      <c r="I1329" s="3">
        <v>0.1673611111111111</v>
      </c>
      <c r="J1329" t="s">
        <v>311</v>
      </c>
      <c r="K1329">
        <v>90</v>
      </c>
      <c r="L1329" s="3">
        <v>0.1673611111111111</v>
      </c>
      <c r="M1329" t="s">
        <v>31</v>
      </c>
      <c r="N1329" t="s">
        <v>373</v>
      </c>
    </row>
    <row r="1330" spans="1:14" x14ac:dyDescent="0.35">
      <c r="A1330" t="s">
        <v>64</v>
      </c>
      <c r="B1330" t="s">
        <v>368</v>
      </c>
      <c r="C1330" t="s">
        <v>65</v>
      </c>
      <c r="D1330">
        <v>27</v>
      </c>
      <c r="E1330" s="2">
        <v>44270</v>
      </c>
      <c r="F1330" t="s">
        <v>16</v>
      </c>
      <c r="G1330" t="s">
        <v>66</v>
      </c>
      <c r="H1330" t="s">
        <v>320</v>
      </c>
      <c r="I1330" s="3">
        <v>0.1673611111111111</v>
      </c>
      <c r="J1330" t="s">
        <v>311</v>
      </c>
      <c r="K1330">
        <v>13</v>
      </c>
      <c r="L1330" s="3">
        <v>4.1666666666666664E-2</v>
      </c>
      <c r="M1330" t="s">
        <v>31</v>
      </c>
      <c r="N1330" t="s">
        <v>222</v>
      </c>
    </row>
    <row r="1331" spans="1:14" x14ac:dyDescent="0.35">
      <c r="A1331" t="s">
        <v>64</v>
      </c>
      <c r="B1331" t="s">
        <v>368</v>
      </c>
      <c r="C1331" t="s">
        <v>65</v>
      </c>
      <c r="D1331">
        <v>28</v>
      </c>
      <c r="E1331" s="2">
        <v>44276</v>
      </c>
      <c r="F1331" t="s">
        <v>24</v>
      </c>
      <c r="G1331" t="s">
        <v>66</v>
      </c>
      <c r="H1331" t="s">
        <v>217</v>
      </c>
      <c r="I1331" s="3">
        <v>4.583333333333333E-2</v>
      </c>
      <c r="J1331" t="s">
        <v>311</v>
      </c>
      <c r="K1331">
        <v>89</v>
      </c>
      <c r="L1331" s="3">
        <v>4.583333333333333E-2</v>
      </c>
      <c r="M1331" t="s">
        <v>31</v>
      </c>
      <c r="N1331" t="s">
        <v>243</v>
      </c>
    </row>
    <row r="1332" spans="1:14" x14ac:dyDescent="0.35">
      <c r="A1332" t="s">
        <v>64</v>
      </c>
      <c r="B1332" t="s">
        <v>368</v>
      </c>
      <c r="C1332" t="s">
        <v>65</v>
      </c>
      <c r="D1332">
        <v>28</v>
      </c>
      <c r="E1332" s="2">
        <v>44276</v>
      </c>
      <c r="F1332" t="s">
        <v>24</v>
      </c>
      <c r="G1332" t="s">
        <v>66</v>
      </c>
      <c r="H1332" t="s">
        <v>217</v>
      </c>
      <c r="I1332" s="3">
        <v>4.583333333333333E-2</v>
      </c>
      <c r="J1332" t="s">
        <v>311</v>
      </c>
      <c r="K1332">
        <v>56</v>
      </c>
      <c r="L1332" s="3">
        <v>2.7777777777777779E-3</v>
      </c>
      <c r="M1332" t="s">
        <v>31</v>
      </c>
      <c r="N1332" t="s">
        <v>222</v>
      </c>
    </row>
    <row r="1333" spans="1:14" x14ac:dyDescent="0.35">
      <c r="A1333" t="s">
        <v>14</v>
      </c>
      <c r="B1333" t="s">
        <v>368</v>
      </c>
      <c r="C1333" t="s">
        <v>321</v>
      </c>
      <c r="D1333">
        <v>29</v>
      </c>
      <c r="E1333" s="2">
        <v>44289</v>
      </c>
      <c r="F1333" t="s">
        <v>24</v>
      </c>
      <c r="G1333" t="s">
        <v>260</v>
      </c>
      <c r="H1333" t="s">
        <v>336</v>
      </c>
      <c r="I1333" s="3">
        <v>8.4722222222222227E-2</v>
      </c>
      <c r="J1333" t="s">
        <v>68</v>
      </c>
      <c r="K1333">
        <v>79</v>
      </c>
      <c r="L1333" s="3">
        <v>8.4722222222222227E-2</v>
      </c>
      <c r="M1333" t="s">
        <v>22</v>
      </c>
      <c r="N1333" t="s">
        <v>338</v>
      </c>
    </row>
    <row r="1334" spans="1:14" x14ac:dyDescent="0.35">
      <c r="A1334" t="s">
        <v>14</v>
      </c>
      <c r="B1334" t="s">
        <v>368</v>
      </c>
      <c r="C1334" t="s">
        <v>321</v>
      </c>
      <c r="D1334">
        <v>3</v>
      </c>
      <c r="E1334" s="2">
        <v>44293</v>
      </c>
      <c r="F1334" t="s">
        <v>16</v>
      </c>
      <c r="G1334" t="s">
        <v>260</v>
      </c>
      <c r="H1334" t="s">
        <v>352</v>
      </c>
      <c r="I1334" s="3">
        <v>8.4027777777777785E-2</v>
      </c>
      <c r="J1334" t="s">
        <v>68</v>
      </c>
      <c r="K1334">
        <v>13</v>
      </c>
      <c r="L1334" s="3">
        <v>4.1666666666666664E-2</v>
      </c>
      <c r="M1334" t="s">
        <v>26</v>
      </c>
      <c r="N1334" t="s">
        <v>380</v>
      </c>
    </row>
    <row r="1335" spans="1:14" x14ac:dyDescent="0.35">
      <c r="A1335" t="s">
        <v>64</v>
      </c>
      <c r="B1335" t="s">
        <v>368</v>
      </c>
      <c r="C1335" t="s">
        <v>91</v>
      </c>
      <c r="D1335" t="s">
        <v>46</v>
      </c>
      <c r="E1335" s="2">
        <v>44303</v>
      </c>
      <c r="F1335" t="s">
        <v>24</v>
      </c>
      <c r="G1335" t="s">
        <v>66</v>
      </c>
      <c r="H1335" t="s">
        <v>86</v>
      </c>
      <c r="I1335" s="3">
        <v>2.7777777777777779E-3</v>
      </c>
      <c r="J1335" t="s">
        <v>251</v>
      </c>
      <c r="K1335">
        <v>72</v>
      </c>
      <c r="L1335" s="3">
        <v>2.7777777777777779E-3</v>
      </c>
      <c r="M1335" t="s">
        <v>31</v>
      </c>
      <c r="N1335" t="s">
        <v>243</v>
      </c>
    </row>
    <row r="1336" spans="1:14" x14ac:dyDescent="0.35">
      <c r="A1336" t="s">
        <v>64</v>
      </c>
      <c r="B1336" t="s">
        <v>368</v>
      </c>
      <c r="C1336" t="s">
        <v>91</v>
      </c>
      <c r="D1336" t="s">
        <v>46</v>
      </c>
      <c r="E1336" s="2">
        <v>44303</v>
      </c>
      <c r="F1336" t="s">
        <v>24</v>
      </c>
      <c r="G1336" t="s">
        <v>66</v>
      </c>
      <c r="H1336" t="s">
        <v>86</v>
      </c>
      <c r="I1336" s="3">
        <v>2.7777777777777779E-3</v>
      </c>
      <c r="J1336" t="s">
        <v>251</v>
      </c>
      <c r="K1336">
        <v>68</v>
      </c>
      <c r="L1336" s="3">
        <v>2.0833333333333333E-3</v>
      </c>
      <c r="M1336" t="s">
        <v>31</v>
      </c>
      <c r="N1336" t="s">
        <v>363</v>
      </c>
    </row>
    <row r="1337" spans="1:14" x14ac:dyDescent="0.35">
      <c r="A1337" t="s">
        <v>64</v>
      </c>
      <c r="B1337" t="s">
        <v>368</v>
      </c>
      <c r="C1337" t="s">
        <v>65</v>
      </c>
      <c r="D1337">
        <v>31</v>
      </c>
      <c r="E1337" s="2">
        <v>44308</v>
      </c>
      <c r="F1337" t="s">
        <v>16</v>
      </c>
      <c r="G1337" t="s">
        <v>66</v>
      </c>
      <c r="H1337" t="s">
        <v>117</v>
      </c>
      <c r="I1337" s="3">
        <v>0.20972222222222223</v>
      </c>
      <c r="J1337" t="s">
        <v>251</v>
      </c>
      <c r="K1337">
        <v>8</v>
      </c>
      <c r="L1337" s="3">
        <v>4.1666666666666664E-2</v>
      </c>
      <c r="M1337" t="s">
        <v>31</v>
      </c>
      <c r="N1337" t="s">
        <v>222</v>
      </c>
    </row>
    <row r="1338" spans="1:14" x14ac:dyDescent="0.35">
      <c r="A1338" t="s">
        <v>64</v>
      </c>
      <c r="B1338" t="s">
        <v>368</v>
      </c>
      <c r="C1338" t="s">
        <v>65</v>
      </c>
      <c r="D1338">
        <v>31</v>
      </c>
      <c r="E1338" s="2">
        <v>44308</v>
      </c>
      <c r="F1338" t="s">
        <v>16</v>
      </c>
      <c r="G1338" t="s">
        <v>66</v>
      </c>
      <c r="H1338" t="s">
        <v>117</v>
      </c>
      <c r="I1338" s="3">
        <v>0.20972222222222223</v>
      </c>
      <c r="J1338" t="s">
        <v>251</v>
      </c>
      <c r="K1338">
        <v>33</v>
      </c>
      <c r="L1338" s="3">
        <v>0.12569444444444444</v>
      </c>
      <c r="M1338" t="s">
        <v>31</v>
      </c>
    </row>
    <row r="1339" spans="1:14" x14ac:dyDescent="0.35">
      <c r="A1339" t="s">
        <v>64</v>
      </c>
      <c r="B1339" t="s">
        <v>368</v>
      </c>
      <c r="C1339" t="s">
        <v>65</v>
      </c>
      <c r="D1339">
        <v>33</v>
      </c>
      <c r="E1339" s="2">
        <v>44315</v>
      </c>
      <c r="F1339" t="s">
        <v>16</v>
      </c>
      <c r="G1339" t="s">
        <v>66</v>
      </c>
      <c r="H1339" t="s">
        <v>233</v>
      </c>
      <c r="I1339" s="3">
        <v>4.3055555555555555E-2</v>
      </c>
      <c r="J1339" t="s">
        <v>251</v>
      </c>
      <c r="K1339">
        <v>23</v>
      </c>
      <c r="L1339" s="3">
        <v>4.1666666666666664E-2</v>
      </c>
      <c r="M1339" t="s">
        <v>31</v>
      </c>
      <c r="N1339" t="s">
        <v>355</v>
      </c>
    </row>
    <row r="1340" spans="1:14" x14ac:dyDescent="0.35">
      <c r="A1340" t="s">
        <v>64</v>
      </c>
      <c r="B1340" t="s">
        <v>368</v>
      </c>
      <c r="C1340" t="s">
        <v>65</v>
      </c>
      <c r="D1340">
        <v>34</v>
      </c>
      <c r="E1340" s="2">
        <v>44318</v>
      </c>
      <c r="F1340" t="s">
        <v>24</v>
      </c>
      <c r="G1340" t="s">
        <v>66</v>
      </c>
      <c r="H1340" t="s">
        <v>148</v>
      </c>
      <c r="I1340" s="3">
        <v>8.5416666666666669E-2</v>
      </c>
      <c r="J1340" t="s">
        <v>251</v>
      </c>
      <c r="K1340">
        <v>69</v>
      </c>
      <c r="L1340" s="3">
        <v>4.3749999999999997E-2</v>
      </c>
      <c r="M1340" t="s">
        <v>39</v>
      </c>
    </row>
    <row r="1341" spans="1:14" x14ac:dyDescent="0.35">
      <c r="A1341" t="s">
        <v>64</v>
      </c>
      <c r="B1341" t="s">
        <v>368</v>
      </c>
      <c r="C1341" t="s">
        <v>65</v>
      </c>
      <c r="D1341">
        <v>34</v>
      </c>
      <c r="E1341" s="2">
        <v>44318</v>
      </c>
      <c r="F1341" t="s">
        <v>24</v>
      </c>
      <c r="G1341" t="s">
        <v>66</v>
      </c>
      <c r="H1341" t="s">
        <v>148</v>
      </c>
      <c r="I1341" s="3">
        <v>8.5416666666666669E-2</v>
      </c>
      <c r="J1341" t="s">
        <v>251</v>
      </c>
      <c r="K1341">
        <v>57</v>
      </c>
      <c r="L1341" s="3">
        <v>4.2361111111111113E-2</v>
      </c>
      <c r="M1341" t="s">
        <v>31</v>
      </c>
    </row>
    <row r="1342" spans="1:14" x14ac:dyDescent="0.35">
      <c r="A1342" t="s">
        <v>14</v>
      </c>
      <c r="B1342" t="s">
        <v>368</v>
      </c>
      <c r="C1342" t="s">
        <v>321</v>
      </c>
      <c r="D1342">
        <v>34</v>
      </c>
      <c r="E1342" s="2">
        <v>44318</v>
      </c>
      <c r="F1342" t="s">
        <v>24</v>
      </c>
      <c r="G1342" t="s">
        <v>260</v>
      </c>
      <c r="H1342" t="s">
        <v>327</v>
      </c>
      <c r="I1342" s="3">
        <v>4.3055555555555555E-2</v>
      </c>
      <c r="J1342" t="s">
        <v>68</v>
      </c>
      <c r="K1342">
        <v>89</v>
      </c>
      <c r="L1342" s="3">
        <v>4.3055555555555555E-2</v>
      </c>
      <c r="M1342" t="s">
        <v>22</v>
      </c>
      <c r="N1342" t="s">
        <v>381</v>
      </c>
    </row>
    <row r="1343" spans="1:14" x14ac:dyDescent="0.35">
      <c r="A1343" t="s">
        <v>14</v>
      </c>
      <c r="B1343" t="s">
        <v>368</v>
      </c>
      <c r="C1343" t="s">
        <v>321</v>
      </c>
      <c r="D1343">
        <v>34</v>
      </c>
      <c r="E1343" s="2">
        <v>44318</v>
      </c>
      <c r="F1343" t="s">
        <v>24</v>
      </c>
      <c r="G1343" t="s">
        <v>260</v>
      </c>
      <c r="H1343" t="s">
        <v>327</v>
      </c>
      <c r="I1343" s="3">
        <v>4.3055555555555555E-2</v>
      </c>
      <c r="J1343" t="s">
        <v>68</v>
      </c>
      <c r="K1343">
        <v>83</v>
      </c>
      <c r="L1343" s="3">
        <v>4.2361111111111113E-2</v>
      </c>
      <c r="M1343" t="s">
        <v>83</v>
      </c>
    </row>
    <row r="1344" spans="1:14" x14ac:dyDescent="0.35">
      <c r="A1344" t="s">
        <v>64</v>
      </c>
      <c r="B1344" t="s">
        <v>368</v>
      </c>
      <c r="C1344" t="s">
        <v>65</v>
      </c>
      <c r="D1344">
        <v>36</v>
      </c>
      <c r="E1344" s="2">
        <v>44327</v>
      </c>
      <c r="F1344" t="s">
        <v>24</v>
      </c>
      <c r="G1344" t="s">
        <v>66</v>
      </c>
      <c r="H1344" t="s">
        <v>127</v>
      </c>
      <c r="I1344" s="3">
        <v>0.12708333333333333</v>
      </c>
      <c r="J1344" t="s">
        <v>311</v>
      </c>
      <c r="K1344">
        <v>25</v>
      </c>
      <c r="L1344" s="3">
        <v>6.9444444444444447E-4</v>
      </c>
      <c r="M1344" t="s">
        <v>31</v>
      </c>
    </row>
    <row r="1345" spans="1:14" x14ac:dyDescent="0.35">
      <c r="A1345" t="s">
        <v>14</v>
      </c>
      <c r="B1345" t="s">
        <v>368</v>
      </c>
      <c r="C1345" t="s">
        <v>321</v>
      </c>
      <c r="D1345">
        <v>36</v>
      </c>
      <c r="E1345" s="2">
        <v>44328</v>
      </c>
      <c r="F1345" t="s">
        <v>24</v>
      </c>
      <c r="G1345" t="s">
        <v>260</v>
      </c>
      <c r="H1345" t="s">
        <v>322</v>
      </c>
      <c r="I1345" s="3">
        <v>4.3749999999999997E-2</v>
      </c>
      <c r="J1345" t="s">
        <v>68</v>
      </c>
      <c r="K1345">
        <v>45</v>
      </c>
      <c r="L1345" s="3">
        <v>1.3888888888888889E-3</v>
      </c>
      <c r="M1345" t="s">
        <v>31</v>
      </c>
    </row>
    <row r="1346" spans="1:14" x14ac:dyDescent="0.35">
      <c r="A1346" t="s">
        <v>14</v>
      </c>
      <c r="B1346" t="s">
        <v>368</v>
      </c>
      <c r="C1346" t="s">
        <v>321</v>
      </c>
      <c r="D1346">
        <v>37</v>
      </c>
      <c r="E1346" s="2">
        <v>44331</v>
      </c>
      <c r="F1346" t="s">
        <v>16</v>
      </c>
      <c r="G1346" t="s">
        <v>260</v>
      </c>
      <c r="H1346" t="s">
        <v>348</v>
      </c>
      <c r="I1346" s="3">
        <v>0.12638888888888888</v>
      </c>
      <c r="J1346" t="s">
        <v>68</v>
      </c>
      <c r="K1346">
        <v>24</v>
      </c>
      <c r="L1346" s="3">
        <v>4.1666666666666664E-2</v>
      </c>
      <c r="M1346" t="s">
        <v>107</v>
      </c>
    </row>
    <row r="1347" spans="1:14" x14ac:dyDescent="0.35">
      <c r="A1347" t="s">
        <v>64</v>
      </c>
      <c r="B1347" t="s">
        <v>368</v>
      </c>
      <c r="C1347" t="s">
        <v>65</v>
      </c>
      <c r="D1347">
        <v>37</v>
      </c>
      <c r="E1347" s="2">
        <v>44332</v>
      </c>
      <c r="F1347" t="s">
        <v>16</v>
      </c>
      <c r="G1347" t="s">
        <v>66</v>
      </c>
      <c r="H1347" t="s">
        <v>98</v>
      </c>
      <c r="I1347" s="3">
        <v>4.3055555555555555E-2</v>
      </c>
      <c r="J1347" t="s">
        <v>311</v>
      </c>
      <c r="K1347">
        <v>28</v>
      </c>
      <c r="L1347" s="3">
        <v>4.1666666666666664E-2</v>
      </c>
      <c r="M1347" t="s">
        <v>22</v>
      </c>
      <c r="N1347" t="s">
        <v>222</v>
      </c>
    </row>
    <row r="1348" spans="1:14" x14ac:dyDescent="0.35">
      <c r="A1348" t="s">
        <v>14</v>
      </c>
      <c r="B1348" t="s">
        <v>382</v>
      </c>
      <c r="C1348" t="s">
        <v>35</v>
      </c>
      <c r="D1348">
        <v>4</v>
      </c>
      <c r="E1348" s="2">
        <v>44450</v>
      </c>
      <c r="F1348" t="s">
        <v>16</v>
      </c>
      <c r="G1348" t="s">
        <v>36</v>
      </c>
      <c r="H1348" t="s">
        <v>63</v>
      </c>
      <c r="I1348" s="3">
        <v>0.1673611111111111</v>
      </c>
      <c r="J1348" t="s">
        <v>68</v>
      </c>
      <c r="K1348">
        <v>62</v>
      </c>
      <c r="L1348" s="3">
        <v>8.4027777777777785E-2</v>
      </c>
      <c r="M1348" t="s">
        <v>31</v>
      </c>
      <c r="N1348" t="s">
        <v>383</v>
      </c>
    </row>
    <row r="1349" spans="1:14" x14ac:dyDescent="0.35">
      <c r="A1349" t="s">
        <v>14</v>
      </c>
      <c r="B1349" t="s">
        <v>382</v>
      </c>
      <c r="C1349" t="s">
        <v>35</v>
      </c>
      <c r="D1349">
        <v>4</v>
      </c>
      <c r="E1349" s="2">
        <v>44450</v>
      </c>
      <c r="F1349" t="s">
        <v>16</v>
      </c>
      <c r="G1349" t="s">
        <v>36</v>
      </c>
      <c r="H1349" t="s">
        <v>63</v>
      </c>
      <c r="I1349" s="3">
        <v>0.1673611111111111</v>
      </c>
      <c r="J1349" t="s">
        <v>68</v>
      </c>
      <c r="K1349" t="s">
        <v>228</v>
      </c>
      <c r="L1349" s="3">
        <v>4.1666666666666664E-2</v>
      </c>
      <c r="M1349" t="s">
        <v>55</v>
      </c>
    </row>
    <row r="1350" spans="1:14" x14ac:dyDescent="0.35">
      <c r="A1350" t="s">
        <v>14</v>
      </c>
      <c r="B1350" t="s">
        <v>382</v>
      </c>
      <c r="C1350" t="s">
        <v>75</v>
      </c>
      <c r="D1350" t="s">
        <v>76</v>
      </c>
      <c r="E1350" s="2">
        <v>44453</v>
      </c>
      <c r="F1350" t="s">
        <v>24</v>
      </c>
      <c r="G1350" t="s">
        <v>36</v>
      </c>
      <c r="H1350" t="s">
        <v>384</v>
      </c>
      <c r="I1350" s="3">
        <v>8.4027777777777785E-2</v>
      </c>
      <c r="J1350" t="s">
        <v>68</v>
      </c>
      <c r="K1350">
        <v>13</v>
      </c>
      <c r="L1350" s="3">
        <v>6.9444444444444447E-4</v>
      </c>
      <c r="M1350" t="s">
        <v>26</v>
      </c>
      <c r="N1350" t="s">
        <v>385</v>
      </c>
    </row>
    <row r="1351" spans="1:14" x14ac:dyDescent="0.35">
      <c r="A1351" t="s">
        <v>14</v>
      </c>
      <c r="B1351" t="s">
        <v>382</v>
      </c>
      <c r="C1351" t="s">
        <v>35</v>
      </c>
      <c r="D1351">
        <v>5</v>
      </c>
      <c r="E1351" s="2">
        <v>44458</v>
      </c>
      <c r="F1351" t="s">
        <v>24</v>
      </c>
      <c r="G1351" t="s">
        <v>36</v>
      </c>
      <c r="H1351" t="s">
        <v>140</v>
      </c>
      <c r="I1351" s="3">
        <v>4.3055555555555555E-2</v>
      </c>
      <c r="J1351" t="s">
        <v>68</v>
      </c>
      <c r="K1351">
        <v>35</v>
      </c>
      <c r="L1351" s="3">
        <v>4.2361111111111113E-2</v>
      </c>
      <c r="M1351" t="s">
        <v>26</v>
      </c>
    </row>
    <row r="1352" spans="1:14" x14ac:dyDescent="0.35">
      <c r="A1352" t="s">
        <v>64</v>
      </c>
      <c r="B1352" t="s">
        <v>382</v>
      </c>
      <c r="C1352" t="s">
        <v>75</v>
      </c>
      <c r="D1352" t="s">
        <v>76</v>
      </c>
      <c r="E1352" s="2">
        <v>44467</v>
      </c>
      <c r="F1352" t="s">
        <v>16</v>
      </c>
      <c r="G1352" t="s">
        <v>252</v>
      </c>
      <c r="H1352" t="s">
        <v>41</v>
      </c>
      <c r="I1352" s="3">
        <v>8.3333333333333329E-2</v>
      </c>
      <c r="J1352" t="s">
        <v>38</v>
      </c>
      <c r="K1352">
        <v>74</v>
      </c>
      <c r="L1352" s="3">
        <v>8.3333333333333329E-2</v>
      </c>
      <c r="M1352" t="s">
        <v>31</v>
      </c>
      <c r="N1352" t="s">
        <v>386</v>
      </c>
    </row>
    <row r="1353" spans="1:14" x14ac:dyDescent="0.35">
      <c r="A1353" t="s">
        <v>14</v>
      </c>
      <c r="B1353" t="s">
        <v>382</v>
      </c>
      <c r="C1353" t="s">
        <v>75</v>
      </c>
      <c r="D1353" t="s">
        <v>76</v>
      </c>
      <c r="E1353" s="2">
        <v>44468</v>
      </c>
      <c r="F1353" t="s">
        <v>16</v>
      </c>
      <c r="G1353" t="s">
        <v>36</v>
      </c>
      <c r="H1353" t="s">
        <v>180</v>
      </c>
      <c r="I1353" s="3">
        <v>8.4027777777777785E-2</v>
      </c>
      <c r="J1353" t="s">
        <v>68</v>
      </c>
      <c r="K1353" t="s">
        <v>21</v>
      </c>
      <c r="L1353" s="3">
        <v>8.4027777777777785E-2</v>
      </c>
      <c r="M1353" t="s">
        <v>26</v>
      </c>
      <c r="N1353" t="s">
        <v>387</v>
      </c>
    </row>
    <row r="1354" spans="1:14" x14ac:dyDescent="0.35">
      <c r="A1354" t="s">
        <v>64</v>
      </c>
      <c r="B1354" t="s">
        <v>382</v>
      </c>
      <c r="C1354" t="s">
        <v>75</v>
      </c>
      <c r="D1354" t="s">
        <v>76</v>
      </c>
      <c r="E1354" s="2">
        <v>44488</v>
      </c>
      <c r="F1354" t="s">
        <v>16</v>
      </c>
      <c r="G1354" t="s">
        <v>252</v>
      </c>
      <c r="H1354" t="s">
        <v>388</v>
      </c>
      <c r="I1354" s="3">
        <v>0.12638888888888888</v>
      </c>
      <c r="J1354" t="s">
        <v>38</v>
      </c>
      <c r="K1354">
        <v>74</v>
      </c>
      <c r="L1354" s="3">
        <v>0.12638888888888888</v>
      </c>
      <c r="M1354" t="s">
        <v>83</v>
      </c>
    </row>
    <row r="1355" spans="1:14" x14ac:dyDescent="0.35">
      <c r="A1355" t="s">
        <v>64</v>
      </c>
      <c r="B1355" t="s">
        <v>382</v>
      </c>
      <c r="C1355" t="s">
        <v>75</v>
      </c>
      <c r="D1355" t="s">
        <v>76</v>
      </c>
      <c r="E1355" s="2">
        <v>44488</v>
      </c>
      <c r="F1355" t="s">
        <v>16</v>
      </c>
      <c r="G1355" t="s">
        <v>252</v>
      </c>
      <c r="H1355" t="s">
        <v>388</v>
      </c>
      <c r="I1355" s="3">
        <v>0.12638888888888888</v>
      </c>
      <c r="J1355" t="s">
        <v>38</v>
      </c>
      <c r="K1355">
        <v>67</v>
      </c>
      <c r="L1355" s="3">
        <v>8.4722222222222227E-2</v>
      </c>
      <c r="M1355" t="s">
        <v>31</v>
      </c>
      <c r="N1355" t="s">
        <v>386</v>
      </c>
    </row>
    <row r="1356" spans="1:14" x14ac:dyDescent="0.35">
      <c r="A1356" t="s">
        <v>14</v>
      </c>
      <c r="B1356" t="s">
        <v>382</v>
      </c>
      <c r="C1356" t="s">
        <v>75</v>
      </c>
      <c r="D1356" t="s">
        <v>76</v>
      </c>
      <c r="E1356" s="2">
        <v>44489</v>
      </c>
      <c r="F1356" t="s">
        <v>16</v>
      </c>
      <c r="G1356" t="s">
        <v>36</v>
      </c>
      <c r="H1356" t="s">
        <v>337</v>
      </c>
      <c r="I1356" s="3">
        <v>0.12638888888888888</v>
      </c>
      <c r="J1356" t="s">
        <v>68</v>
      </c>
      <c r="K1356">
        <v>81</v>
      </c>
      <c r="L1356" s="3">
        <v>0.12638888888888888</v>
      </c>
      <c r="M1356" t="s">
        <v>22</v>
      </c>
      <c r="N1356" t="s">
        <v>383</v>
      </c>
    </row>
    <row r="1357" spans="1:14" x14ac:dyDescent="0.35">
      <c r="A1357" t="s">
        <v>14</v>
      </c>
      <c r="B1357" t="s">
        <v>382</v>
      </c>
      <c r="C1357" t="s">
        <v>35</v>
      </c>
      <c r="D1357">
        <v>10</v>
      </c>
      <c r="E1357" s="2">
        <v>44499</v>
      </c>
      <c r="F1357" t="s">
        <v>24</v>
      </c>
      <c r="G1357" t="s">
        <v>36</v>
      </c>
      <c r="H1357" t="s">
        <v>42</v>
      </c>
      <c r="I1357" s="3">
        <v>2.0833333333333333E-3</v>
      </c>
      <c r="J1357" t="s">
        <v>68</v>
      </c>
      <c r="K1357">
        <v>39</v>
      </c>
      <c r="L1357" s="3">
        <v>6.9444444444444447E-4</v>
      </c>
      <c r="M1357" t="s">
        <v>26</v>
      </c>
      <c r="N1357" t="s">
        <v>385</v>
      </c>
    </row>
    <row r="1358" spans="1:14" x14ac:dyDescent="0.35">
      <c r="A1358" t="s">
        <v>14</v>
      </c>
      <c r="B1358" t="s">
        <v>382</v>
      </c>
      <c r="C1358" t="s">
        <v>75</v>
      </c>
      <c r="D1358" t="s">
        <v>76</v>
      </c>
      <c r="E1358" s="2">
        <v>44502</v>
      </c>
      <c r="F1358" t="s">
        <v>24</v>
      </c>
      <c r="G1358" t="s">
        <v>36</v>
      </c>
      <c r="H1358" t="s">
        <v>337</v>
      </c>
      <c r="I1358" s="3">
        <v>8.4722222222222227E-2</v>
      </c>
      <c r="J1358" t="s">
        <v>68</v>
      </c>
      <c r="K1358" t="s">
        <v>69</v>
      </c>
      <c r="L1358" s="3">
        <v>8.4722222222222227E-2</v>
      </c>
      <c r="M1358" t="s">
        <v>26</v>
      </c>
      <c r="N1358" t="s">
        <v>389</v>
      </c>
    </row>
    <row r="1359" spans="1:14" x14ac:dyDescent="0.35">
      <c r="A1359" t="s">
        <v>14</v>
      </c>
      <c r="B1359" t="s">
        <v>382</v>
      </c>
      <c r="C1359" t="s">
        <v>75</v>
      </c>
      <c r="D1359" t="s">
        <v>76</v>
      </c>
      <c r="E1359" s="2">
        <v>44502</v>
      </c>
      <c r="F1359" t="s">
        <v>24</v>
      </c>
      <c r="G1359" t="s">
        <v>36</v>
      </c>
      <c r="H1359" t="s">
        <v>337</v>
      </c>
      <c r="I1359" s="3">
        <v>8.4722222222222227E-2</v>
      </c>
      <c r="J1359" t="s">
        <v>68</v>
      </c>
      <c r="K1359" t="s">
        <v>58</v>
      </c>
      <c r="L1359" s="3">
        <v>4.2361111111111113E-2</v>
      </c>
      <c r="M1359" t="s">
        <v>26</v>
      </c>
      <c r="N1359" t="s">
        <v>385</v>
      </c>
    </row>
    <row r="1360" spans="1:14" x14ac:dyDescent="0.35">
      <c r="A1360" t="s">
        <v>64</v>
      </c>
      <c r="B1360" t="s">
        <v>382</v>
      </c>
      <c r="C1360" t="s">
        <v>390</v>
      </c>
      <c r="D1360">
        <v>14</v>
      </c>
      <c r="E1360" s="2">
        <v>44520</v>
      </c>
      <c r="F1360" t="s">
        <v>16</v>
      </c>
      <c r="G1360" t="s">
        <v>252</v>
      </c>
      <c r="H1360" t="s">
        <v>391</v>
      </c>
      <c r="I1360" s="3">
        <v>0.12569444444444444</v>
      </c>
      <c r="J1360" t="s">
        <v>38</v>
      </c>
      <c r="K1360">
        <v>87</v>
      </c>
      <c r="L1360" s="3">
        <v>0.12569444444444444</v>
      </c>
      <c r="M1360" t="s">
        <v>31</v>
      </c>
      <c r="N1360" t="s">
        <v>386</v>
      </c>
    </row>
    <row r="1361" spans="1:14" x14ac:dyDescent="0.35">
      <c r="A1361" t="s">
        <v>14</v>
      </c>
      <c r="B1361" t="s">
        <v>382</v>
      </c>
      <c r="C1361" t="s">
        <v>75</v>
      </c>
      <c r="D1361" t="s">
        <v>76</v>
      </c>
      <c r="E1361" s="2">
        <v>44523</v>
      </c>
      <c r="F1361" t="s">
        <v>24</v>
      </c>
      <c r="G1361" t="s">
        <v>36</v>
      </c>
      <c r="H1361" t="s">
        <v>180</v>
      </c>
      <c r="I1361" s="3">
        <v>1.3888888888888889E-3</v>
      </c>
      <c r="J1361" t="s">
        <v>68</v>
      </c>
      <c r="K1361">
        <v>78</v>
      </c>
      <c r="L1361" s="3">
        <v>6.9444444444444447E-4</v>
      </c>
      <c r="M1361" t="s">
        <v>26</v>
      </c>
    </row>
    <row r="1362" spans="1:14" x14ac:dyDescent="0.35">
      <c r="A1362" t="s">
        <v>14</v>
      </c>
      <c r="B1362" t="s">
        <v>382</v>
      </c>
      <c r="C1362" t="s">
        <v>35</v>
      </c>
      <c r="D1362">
        <v>14</v>
      </c>
      <c r="E1362" s="2">
        <v>44532</v>
      </c>
      <c r="F1362" t="s">
        <v>16</v>
      </c>
      <c r="G1362" t="s">
        <v>36</v>
      </c>
      <c r="H1362" t="s">
        <v>54</v>
      </c>
      <c r="I1362" s="3">
        <v>0.12638888888888888</v>
      </c>
      <c r="J1362" t="s">
        <v>68</v>
      </c>
      <c r="K1362">
        <v>70</v>
      </c>
      <c r="L1362" s="3">
        <v>0.12638888888888888</v>
      </c>
      <c r="M1362" t="s">
        <v>83</v>
      </c>
    </row>
    <row r="1363" spans="1:14" x14ac:dyDescent="0.35">
      <c r="A1363" t="s">
        <v>14</v>
      </c>
      <c r="B1363" t="s">
        <v>382</v>
      </c>
      <c r="C1363" t="s">
        <v>35</v>
      </c>
      <c r="D1363">
        <v>14</v>
      </c>
      <c r="E1363" s="2">
        <v>44532</v>
      </c>
      <c r="F1363" t="s">
        <v>16</v>
      </c>
      <c r="G1363" t="s">
        <v>36</v>
      </c>
      <c r="H1363" t="s">
        <v>54</v>
      </c>
      <c r="I1363" s="3">
        <v>0.12638888888888888</v>
      </c>
      <c r="J1363" t="s">
        <v>68</v>
      </c>
      <c r="K1363">
        <v>52</v>
      </c>
      <c r="L1363" s="3">
        <v>8.4027777777777785E-2</v>
      </c>
      <c r="M1363" t="s">
        <v>26</v>
      </c>
      <c r="N1363" t="s">
        <v>392</v>
      </c>
    </row>
    <row r="1364" spans="1:14" x14ac:dyDescent="0.35">
      <c r="A1364" t="s">
        <v>64</v>
      </c>
      <c r="B1364" t="s">
        <v>382</v>
      </c>
      <c r="C1364" t="s">
        <v>75</v>
      </c>
      <c r="D1364" t="s">
        <v>76</v>
      </c>
      <c r="E1364" s="2">
        <v>44537</v>
      </c>
      <c r="F1364" t="s">
        <v>16</v>
      </c>
      <c r="G1364" t="s">
        <v>252</v>
      </c>
      <c r="H1364" t="s">
        <v>393</v>
      </c>
      <c r="I1364" s="3">
        <v>0.1673611111111111</v>
      </c>
      <c r="J1364" t="s">
        <v>68</v>
      </c>
      <c r="K1364">
        <v>38</v>
      </c>
      <c r="L1364" s="3">
        <v>0.125</v>
      </c>
      <c r="M1364" t="s">
        <v>31</v>
      </c>
      <c r="N1364" t="s">
        <v>386</v>
      </c>
    </row>
    <row r="1365" spans="1:14" x14ac:dyDescent="0.35">
      <c r="A1365" t="s">
        <v>64</v>
      </c>
      <c r="B1365" t="s">
        <v>382</v>
      </c>
      <c r="C1365" t="s">
        <v>75</v>
      </c>
      <c r="D1365" t="s">
        <v>76</v>
      </c>
      <c r="E1365" s="2">
        <v>44537</v>
      </c>
      <c r="F1365" t="s">
        <v>16</v>
      </c>
      <c r="G1365" t="s">
        <v>252</v>
      </c>
      <c r="H1365" t="s">
        <v>393</v>
      </c>
      <c r="I1365" s="3">
        <v>0.1673611111111111</v>
      </c>
      <c r="J1365" t="s">
        <v>68</v>
      </c>
      <c r="K1365">
        <v>76</v>
      </c>
      <c r="L1365" s="3">
        <v>0.1673611111111111</v>
      </c>
      <c r="M1365" t="s">
        <v>83</v>
      </c>
    </row>
    <row r="1366" spans="1:14" x14ac:dyDescent="0.35">
      <c r="A1366" t="s">
        <v>14</v>
      </c>
      <c r="B1366" t="s">
        <v>382</v>
      </c>
      <c r="C1366" t="s">
        <v>35</v>
      </c>
      <c r="D1366">
        <v>16</v>
      </c>
      <c r="E1366" s="2">
        <v>44541</v>
      </c>
      <c r="F1366" t="s">
        <v>24</v>
      </c>
      <c r="G1366" t="s">
        <v>36</v>
      </c>
      <c r="H1366" t="s">
        <v>394</v>
      </c>
      <c r="I1366" s="3">
        <v>6.9444444444444447E-4</v>
      </c>
      <c r="J1366" t="s">
        <v>68</v>
      </c>
      <c r="K1366">
        <v>75</v>
      </c>
      <c r="L1366" s="3">
        <v>6.9444444444444447E-4</v>
      </c>
      <c r="M1366" t="s">
        <v>83</v>
      </c>
    </row>
    <row r="1367" spans="1:14" x14ac:dyDescent="0.35">
      <c r="A1367" t="s">
        <v>14</v>
      </c>
      <c r="B1367" t="s">
        <v>382</v>
      </c>
      <c r="C1367" t="s">
        <v>35</v>
      </c>
      <c r="D1367">
        <v>20</v>
      </c>
      <c r="E1367" s="2">
        <v>44560</v>
      </c>
      <c r="F1367" t="s">
        <v>16</v>
      </c>
      <c r="G1367" t="s">
        <v>36</v>
      </c>
      <c r="H1367" t="s">
        <v>395</v>
      </c>
      <c r="I1367" s="3">
        <v>0.12569444444444444</v>
      </c>
      <c r="J1367" t="s">
        <v>68</v>
      </c>
      <c r="K1367">
        <v>35</v>
      </c>
      <c r="L1367" s="3">
        <v>0.125</v>
      </c>
      <c r="M1367" t="s">
        <v>26</v>
      </c>
    </row>
    <row r="1368" spans="1:14" x14ac:dyDescent="0.35">
      <c r="A1368" t="s">
        <v>64</v>
      </c>
      <c r="B1368" t="s">
        <v>382</v>
      </c>
      <c r="C1368" t="s">
        <v>390</v>
      </c>
      <c r="D1368">
        <v>23</v>
      </c>
      <c r="E1368" s="2">
        <v>44598</v>
      </c>
      <c r="F1368" t="s">
        <v>24</v>
      </c>
      <c r="G1368" t="s">
        <v>252</v>
      </c>
      <c r="H1368" t="s">
        <v>396</v>
      </c>
      <c r="I1368" s="3">
        <v>4.5138888888888888E-2</v>
      </c>
      <c r="J1368" t="s">
        <v>68</v>
      </c>
      <c r="K1368">
        <v>38</v>
      </c>
      <c r="L1368" s="3">
        <v>4.3749999999999997E-2</v>
      </c>
      <c r="M1368" t="s">
        <v>31</v>
      </c>
    </row>
    <row r="1369" spans="1:14" x14ac:dyDescent="0.35">
      <c r="A1369" t="s">
        <v>14</v>
      </c>
      <c r="B1369" t="s">
        <v>382</v>
      </c>
      <c r="C1369" t="s">
        <v>35</v>
      </c>
      <c r="D1369">
        <v>18</v>
      </c>
      <c r="E1369" s="2">
        <v>44607</v>
      </c>
      <c r="F1369" t="s">
        <v>16</v>
      </c>
      <c r="G1369" t="s">
        <v>36</v>
      </c>
      <c r="H1369" t="s">
        <v>397</v>
      </c>
      <c r="I1369" s="3">
        <v>8.3333333333333329E-2</v>
      </c>
      <c r="J1369" t="s">
        <v>68</v>
      </c>
      <c r="K1369">
        <v>51</v>
      </c>
      <c r="L1369" s="3">
        <v>4.1666666666666664E-2</v>
      </c>
      <c r="M1369" t="s">
        <v>26</v>
      </c>
      <c r="N1369" t="s">
        <v>398</v>
      </c>
    </row>
    <row r="1370" spans="1:14" x14ac:dyDescent="0.35">
      <c r="A1370" t="s">
        <v>14</v>
      </c>
      <c r="B1370" t="s">
        <v>382</v>
      </c>
      <c r="C1370" t="s">
        <v>35</v>
      </c>
      <c r="D1370">
        <v>29</v>
      </c>
      <c r="E1370" s="2">
        <v>44632</v>
      </c>
      <c r="F1370" t="s">
        <v>16</v>
      </c>
      <c r="G1370" t="s">
        <v>36</v>
      </c>
      <c r="H1370" t="s">
        <v>42</v>
      </c>
      <c r="I1370" s="3">
        <v>0.12638888888888888</v>
      </c>
      <c r="J1370" t="s">
        <v>68</v>
      </c>
      <c r="K1370">
        <v>81</v>
      </c>
      <c r="L1370" s="3">
        <v>0.12638888888888888</v>
      </c>
      <c r="M1370" t="s">
        <v>22</v>
      </c>
      <c r="N1370" t="s">
        <v>399</v>
      </c>
    </row>
    <row r="1371" spans="1:14" x14ac:dyDescent="0.35">
      <c r="A1371" t="s">
        <v>14</v>
      </c>
      <c r="B1371" t="s">
        <v>382</v>
      </c>
      <c r="C1371" t="s">
        <v>35</v>
      </c>
      <c r="D1371">
        <v>29</v>
      </c>
      <c r="E1371" s="2">
        <v>44632</v>
      </c>
      <c r="F1371" t="s">
        <v>16</v>
      </c>
      <c r="G1371" t="s">
        <v>36</v>
      </c>
      <c r="H1371" t="s">
        <v>42</v>
      </c>
      <c r="I1371" s="3">
        <v>0.12638888888888888</v>
      </c>
      <c r="J1371" t="s">
        <v>68</v>
      </c>
      <c r="K1371">
        <v>38</v>
      </c>
      <c r="L1371" s="3">
        <v>8.4027777777777785E-2</v>
      </c>
      <c r="M1371" t="s">
        <v>26</v>
      </c>
      <c r="N1371" t="s">
        <v>400</v>
      </c>
    </row>
    <row r="1372" spans="1:14" x14ac:dyDescent="0.35">
      <c r="A1372" t="s">
        <v>14</v>
      </c>
      <c r="B1372" t="s">
        <v>382</v>
      </c>
      <c r="C1372" t="s">
        <v>35</v>
      </c>
      <c r="D1372">
        <v>29</v>
      </c>
      <c r="E1372" s="2">
        <v>44632</v>
      </c>
      <c r="F1372" t="s">
        <v>16</v>
      </c>
      <c r="G1372" t="s">
        <v>36</v>
      </c>
      <c r="H1372" t="s">
        <v>42</v>
      </c>
      <c r="I1372" s="3">
        <v>0.12638888888888888</v>
      </c>
      <c r="J1372" t="s">
        <v>68</v>
      </c>
      <c r="K1372">
        <v>12</v>
      </c>
      <c r="L1372" s="3">
        <v>4.1666666666666664E-2</v>
      </c>
      <c r="M1372" t="s">
        <v>26</v>
      </c>
      <c r="N1372" t="s">
        <v>401</v>
      </c>
    </row>
    <row r="1373" spans="1:14" x14ac:dyDescent="0.35">
      <c r="A1373" t="s">
        <v>64</v>
      </c>
      <c r="B1373" t="s">
        <v>382</v>
      </c>
      <c r="C1373" t="s">
        <v>390</v>
      </c>
      <c r="D1373">
        <v>30</v>
      </c>
      <c r="E1373" s="2">
        <v>44654</v>
      </c>
      <c r="F1373" t="s">
        <v>16</v>
      </c>
      <c r="G1373" t="s">
        <v>252</v>
      </c>
      <c r="H1373" t="s">
        <v>402</v>
      </c>
      <c r="I1373" s="3">
        <v>0.20902777777777778</v>
      </c>
      <c r="J1373" t="s">
        <v>38</v>
      </c>
      <c r="K1373">
        <v>73</v>
      </c>
      <c r="L1373" s="3">
        <v>0.1673611111111111</v>
      </c>
      <c r="M1373" t="s">
        <v>31</v>
      </c>
      <c r="N1373" t="s">
        <v>386</v>
      </c>
    </row>
    <row r="1374" spans="1:14" x14ac:dyDescent="0.35">
      <c r="A1374" t="s">
        <v>14</v>
      </c>
      <c r="B1374" t="s">
        <v>382</v>
      </c>
      <c r="C1374" t="s">
        <v>35</v>
      </c>
      <c r="D1374">
        <v>33</v>
      </c>
      <c r="E1374" s="2">
        <v>44667</v>
      </c>
      <c r="F1374" t="s">
        <v>16</v>
      </c>
      <c r="G1374" t="s">
        <v>36</v>
      </c>
      <c r="H1374" t="s">
        <v>394</v>
      </c>
      <c r="I1374" s="3">
        <v>0.12638888888888888</v>
      </c>
      <c r="J1374" t="s">
        <v>68</v>
      </c>
      <c r="K1374">
        <v>7</v>
      </c>
      <c r="L1374" s="3">
        <v>4.1666666666666664E-2</v>
      </c>
      <c r="M1374" t="s">
        <v>26</v>
      </c>
      <c r="N1374" t="s">
        <v>403</v>
      </c>
    </row>
    <row r="1375" spans="1:14" x14ac:dyDescent="0.35">
      <c r="A1375" t="s">
        <v>14</v>
      </c>
      <c r="B1375" t="s">
        <v>382</v>
      </c>
      <c r="C1375" t="s">
        <v>35</v>
      </c>
      <c r="D1375">
        <v>33</v>
      </c>
      <c r="E1375" s="2">
        <v>44667</v>
      </c>
      <c r="F1375" t="s">
        <v>16</v>
      </c>
      <c r="G1375" t="s">
        <v>36</v>
      </c>
      <c r="H1375" t="s">
        <v>394</v>
      </c>
      <c r="I1375" s="3">
        <v>0.12638888888888888</v>
      </c>
      <c r="J1375" t="s">
        <v>68</v>
      </c>
      <c r="K1375">
        <v>32</v>
      </c>
      <c r="L1375" s="3">
        <v>8.3333333333333329E-2</v>
      </c>
      <c r="M1375" t="s">
        <v>22</v>
      </c>
      <c r="N1375" t="s">
        <v>399</v>
      </c>
    </row>
    <row r="1376" spans="1:14" x14ac:dyDescent="0.35">
      <c r="A1376" t="s">
        <v>14</v>
      </c>
      <c r="B1376" t="s">
        <v>382</v>
      </c>
      <c r="C1376" t="s">
        <v>35</v>
      </c>
      <c r="D1376">
        <v>33</v>
      </c>
      <c r="E1376" s="2">
        <v>44667</v>
      </c>
      <c r="F1376" t="s">
        <v>16</v>
      </c>
      <c r="G1376" t="s">
        <v>36</v>
      </c>
      <c r="H1376" t="s">
        <v>394</v>
      </c>
      <c r="I1376" s="3">
        <v>0.12638888888888888</v>
      </c>
      <c r="J1376" t="s">
        <v>68</v>
      </c>
      <c r="K1376">
        <v>76</v>
      </c>
      <c r="L1376" s="3">
        <v>0.12638888888888888</v>
      </c>
      <c r="M1376" t="s">
        <v>39</v>
      </c>
    </row>
    <row r="1377" spans="1:14" x14ac:dyDescent="0.35">
      <c r="A1377" t="s">
        <v>14</v>
      </c>
      <c r="B1377" t="s">
        <v>382</v>
      </c>
      <c r="C1377" t="s">
        <v>35</v>
      </c>
      <c r="D1377">
        <v>34</v>
      </c>
      <c r="E1377" s="2">
        <v>44674</v>
      </c>
      <c r="F1377" t="s">
        <v>24</v>
      </c>
      <c r="G1377" t="s">
        <v>36</v>
      </c>
      <c r="H1377" t="s">
        <v>54</v>
      </c>
      <c r="I1377" s="3">
        <v>0.12569444444444444</v>
      </c>
      <c r="J1377" t="s">
        <v>68</v>
      </c>
      <c r="K1377">
        <v>34</v>
      </c>
      <c r="L1377" s="3">
        <v>8.4027777777777785E-2</v>
      </c>
      <c r="M1377" t="s">
        <v>31</v>
      </c>
      <c r="N1377" t="s">
        <v>404</v>
      </c>
    </row>
    <row r="1378" spans="1:14" x14ac:dyDescent="0.35">
      <c r="A1378" t="s">
        <v>64</v>
      </c>
      <c r="B1378" t="s">
        <v>382</v>
      </c>
      <c r="C1378" t="s">
        <v>390</v>
      </c>
      <c r="D1378">
        <v>34</v>
      </c>
      <c r="E1378" s="2">
        <v>44674</v>
      </c>
      <c r="F1378" t="s">
        <v>16</v>
      </c>
      <c r="G1378" t="s">
        <v>252</v>
      </c>
      <c r="H1378" t="s">
        <v>405</v>
      </c>
      <c r="I1378" s="3">
        <v>4.2361111111111113E-2</v>
      </c>
      <c r="J1378" t="s">
        <v>38</v>
      </c>
      <c r="K1378">
        <v>68</v>
      </c>
      <c r="L1378" s="3">
        <v>4.1666666666666664E-2</v>
      </c>
      <c r="M1378" t="s">
        <v>31</v>
      </c>
      <c r="N1378" t="s">
        <v>256</v>
      </c>
    </row>
    <row r="1379" spans="1:14" x14ac:dyDescent="0.35">
      <c r="A1379" t="s">
        <v>14</v>
      </c>
      <c r="B1379" t="s">
        <v>382</v>
      </c>
      <c r="C1379" t="s">
        <v>35</v>
      </c>
      <c r="D1379">
        <v>37</v>
      </c>
      <c r="E1379" s="2">
        <v>44679</v>
      </c>
      <c r="F1379" t="s">
        <v>16</v>
      </c>
      <c r="G1379" t="s">
        <v>36</v>
      </c>
      <c r="H1379" t="s">
        <v>149</v>
      </c>
      <c r="I1379" s="3">
        <v>4.2361111111111113E-2</v>
      </c>
      <c r="J1379" t="s">
        <v>68</v>
      </c>
      <c r="K1379">
        <v>62</v>
      </c>
      <c r="L1379" s="3">
        <v>4.2361111111111113E-2</v>
      </c>
      <c r="M1379" t="s">
        <v>26</v>
      </c>
      <c r="N1379" t="s">
        <v>404</v>
      </c>
    </row>
    <row r="1380" spans="1:14" x14ac:dyDescent="0.35">
      <c r="A1380" t="s">
        <v>14</v>
      </c>
      <c r="B1380" t="s">
        <v>382</v>
      </c>
      <c r="C1380" t="s">
        <v>35</v>
      </c>
      <c r="D1380">
        <v>35</v>
      </c>
      <c r="E1380" s="2">
        <v>44683</v>
      </c>
      <c r="F1380" t="s">
        <v>16</v>
      </c>
      <c r="G1380" t="s">
        <v>36</v>
      </c>
      <c r="H1380" t="s">
        <v>406</v>
      </c>
      <c r="I1380" s="3">
        <v>0.125</v>
      </c>
      <c r="J1380" t="s">
        <v>68</v>
      </c>
      <c r="K1380">
        <v>61</v>
      </c>
      <c r="L1380" s="3">
        <v>8.3333333333333329E-2</v>
      </c>
      <c r="M1380" t="s">
        <v>83</v>
      </c>
    </row>
    <row r="1381" spans="1:14" x14ac:dyDescent="0.35">
      <c r="A1381" t="s">
        <v>64</v>
      </c>
      <c r="B1381" t="s">
        <v>382</v>
      </c>
      <c r="C1381" t="s">
        <v>390</v>
      </c>
      <c r="D1381">
        <v>37</v>
      </c>
      <c r="E1381" s="2">
        <v>44695</v>
      </c>
      <c r="F1381" t="s">
        <v>24</v>
      </c>
      <c r="G1381" t="s">
        <v>252</v>
      </c>
      <c r="H1381" t="s">
        <v>407</v>
      </c>
      <c r="I1381" s="3">
        <v>2.7777777777777779E-3</v>
      </c>
      <c r="J1381" t="s">
        <v>68</v>
      </c>
      <c r="K1381">
        <v>6</v>
      </c>
      <c r="L1381" s="3">
        <v>6.9444444444444447E-4</v>
      </c>
      <c r="M1381" t="s">
        <v>31</v>
      </c>
      <c r="N1381" t="s">
        <v>408</v>
      </c>
    </row>
    <row r="1382" spans="1:14" x14ac:dyDescent="0.35">
      <c r="A1382" t="s">
        <v>64</v>
      </c>
      <c r="B1382" t="s">
        <v>382</v>
      </c>
      <c r="C1382" t="s">
        <v>390</v>
      </c>
      <c r="D1382">
        <v>37</v>
      </c>
      <c r="E1382" s="2">
        <v>44695</v>
      </c>
      <c r="F1382" t="s">
        <v>24</v>
      </c>
      <c r="G1382" t="s">
        <v>252</v>
      </c>
      <c r="H1382" t="s">
        <v>407</v>
      </c>
      <c r="I1382" s="3">
        <v>2.7777777777777779E-3</v>
      </c>
      <c r="J1382" t="s">
        <v>68</v>
      </c>
      <c r="K1382">
        <v>20</v>
      </c>
      <c r="L1382" s="3">
        <v>1.3888888888888889E-3</v>
      </c>
      <c r="M1382" t="s">
        <v>31</v>
      </c>
      <c r="N1382" t="s">
        <v>408</v>
      </c>
    </row>
    <row r="1383" spans="1:14" x14ac:dyDescent="0.35">
      <c r="A1383" t="s">
        <v>64</v>
      </c>
      <c r="B1383" t="s">
        <v>409</v>
      </c>
      <c r="C1383" t="s">
        <v>410</v>
      </c>
      <c r="D1383" t="s">
        <v>46</v>
      </c>
      <c r="E1383" s="2">
        <v>44773</v>
      </c>
      <c r="F1383" t="s">
        <v>16</v>
      </c>
      <c r="G1383" t="s">
        <v>252</v>
      </c>
      <c r="H1383" t="s">
        <v>391</v>
      </c>
      <c r="I1383" s="3">
        <v>0.16666666666666666</v>
      </c>
      <c r="J1383" t="s">
        <v>68</v>
      </c>
      <c r="K1383">
        <v>22</v>
      </c>
      <c r="L1383" s="3">
        <v>4.1666666666666664E-2</v>
      </c>
      <c r="M1383" t="s">
        <v>26</v>
      </c>
    </row>
    <row r="1384" spans="1:14" x14ac:dyDescent="0.35">
      <c r="A1384" t="s">
        <v>64</v>
      </c>
      <c r="B1384" t="s">
        <v>382</v>
      </c>
      <c r="C1384" t="s">
        <v>411</v>
      </c>
      <c r="D1384" t="s">
        <v>46</v>
      </c>
      <c r="E1384" s="2">
        <v>44773</v>
      </c>
      <c r="F1384" t="s">
        <v>16</v>
      </c>
      <c r="G1384" t="s">
        <v>252</v>
      </c>
      <c r="H1384" t="s">
        <v>391</v>
      </c>
      <c r="I1384" s="3">
        <v>0.16666666666666666</v>
      </c>
      <c r="J1384" t="s">
        <v>68</v>
      </c>
      <c r="K1384">
        <v>22</v>
      </c>
      <c r="L1384" s="3">
        <v>4.1666666666666664E-2</v>
      </c>
      <c r="M1384" t="s">
        <v>26</v>
      </c>
    </row>
    <row r="1385" spans="1:14" x14ac:dyDescent="0.35">
      <c r="A1385" t="s">
        <v>64</v>
      </c>
      <c r="B1385" t="s">
        <v>409</v>
      </c>
      <c r="C1385" t="s">
        <v>390</v>
      </c>
      <c r="D1385">
        <v>1</v>
      </c>
      <c r="E1385" s="2">
        <v>44779</v>
      </c>
      <c r="F1385" t="s">
        <v>24</v>
      </c>
      <c r="G1385" t="s">
        <v>252</v>
      </c>
      <c r="H1385" t="s">
        <v>412</v>
      </c>
      <c r="I1385" s="3">
        <v>3.472222222222222E-3</v>
      </c>
      <c r="J1385" t="s">
        <v>68</v>
      </c>
      <c r="K1385">
        <v>80</v>
      </c>
      <c r="L1385" s="3">
        <v>2.7777777777777779E-3</v>
      </c>
      <c r="M1385" t="s">
        <v>31</v>
      </c>
      <c r="N1385" t="s">
        <v>256</v>
      </c>
    </row>
    <row r="1386" spans="1:14" x14ac:dyDescent="0.35">
      <c r="A1386" t="s">
        <v>64</v>
      </c>
      <c r="B1386" t="s">
        <v>409</v>
      </c>
      <c r="C1386" t="s">
        <v>390</v>
      </c>
      <c r="D1386">
        <v>1</v>
      </c>
      <c r="E1386" s="2">
        <v>44779</v>
      </c>
      <c r="F1386" t="s">
        <v>24</v>
      </c>
      <c r="G1386" t="s">
        <v>252</v>
      </c>
      <c r="H1386" t="s">
        <v>412</v>
      </c>
      <c r="I1386" s="3">
        <v>3.472222222222222E-3</v>
      </c>
      <c r="J1386" t="s">
        <v>68</v>
      </c>
      <c r="K1386">
        <v>86</v>
      </c>
      <c r="L1386" s="3">
        <v>3.472222222222222E-3</v>
      </c>
      <c r="M1386" t="s">
        <v>31</v>
      </c>
      <c r="N1386" t="s">
        <v>413</v>
      </c>
    </row>
    <row r="1387" spans="1:14" x14ac:dyDescent="0.35">
      <c r="A1387" t="s">
        <v>64</v>
      </c>
      <c r="B1387" t="s">
        <v>382</v>
      </c>
      <c r="C1387" t="s">
        <v>390</v>
      </c>
      <c r="D1387">
        <v>1</v>
      </c>
      <c r="E1387" s="2">
        <v>44779</v>
      </c>
      <c r="F1387" t="s">
        <v>24</v>
      </c>
      <c r="G1387" t="s">
        <v>252</v>
      </c>
      <c r="H1387" t="s">
        <v>412</v>
      </c>
      <c r="I1387" s="3">
        <v>3.472222222222222E-3</v>
      </c>
      <c r="J1387" t="s">
        <v>68</v>
      </c>
      <c r="K1387">
        <v>86</v>
      </c>
      <c r="L1387" s="3">
        <v>3.472222222222222E-3</v>
      </c>
      <c r="M1387" t="s">
        <v>31</v>
      </c>
      <c r="N1387" t="s">
        <v>413</v>
      </c>
    </row>
    <row r="1388" spans="1:14" x14ac:dyDescent="0.35">
      <c r="A1388" t="s">
        <v>64</v>
      </c>
      <c r="B1388" t="s">
        <v>382</v>
      </c>
      <c r="C1388" t="s">
        <v>390</v>
      </c>
      <c r="D1388">
        <v>1</v>
      </c>
      <c r="E1388" s="2">
        <v>44779</v>
      </c>
      <c r="F1388" t="s">
        <v>24</v>
      </c>
      <c r="G1388" t="s">
        <v>252</v>
      </c>
      <c r="H1388" t="s">
        <v>412</v>
      </c>
      <c r="I1388" s="3">
        <v>3.472222222222222E-3</v>
      </c>
      <c r="J1388" t="s">
        <v>68</v>
      </c>
      <c r="K1388">
        <v>80</v>
      </c>
      <c r="L1388" s="3">
        <v>2.7777777777777779E-3</v>
      </c>
      <c r="M1388" t="s">
        <v>31</v>
      </c>
      <c r="N1388" t="s">
        <v>256</v>
      </c>
    </row>
    <row r="1389" spans="1:14" x14ac:dyDescent="0.35">
      <c r="A1389" t="s">
        <v>64</v>
      </c>
      <c r="B1389" t="s">
        <v>409</v>
      </c>
      <c r="C1389" t="s">
        <v>390</v>
      </c>
      <c r="D1389">
        <v>3</v>
      </c>
      <c r="E1389" s="2">
        <v>44794</v>
      </c>
      <c r="F1389" t="s">
        <v>24</v>
      </c>
      <c r="G1389" t="s">
        <v>252</v>
      </c>
      <c r="H1389" t="s">
        <v>396</v>
      </c>
      <c r="I1389" s="3">
        <v>4.6527777777777779E-2</v>
      </c>
      <c r="J1389" t="s">
        <v>274</v>
      </c>
      <c r="K1389">
        <v>27</v>
      </c>
      <c r="L1389" s="3">
        <v>1.3888888888888889E-3</v>
      </c>
      <c r="M1389" t="s">
        <v>26</v>
      </c>
      <c r="N1389" t="s">
        <v>414</v>
      </c>
    </row>
    <row r="1390" spans="1:14" x14ac:dyDescent="0.35">
      <c r="A1390" t="s">
        <v>64</v>
      </c>
      <c r="B1390" t="s">
        <v>409</v>
      </c>
      <c r="C1390" t="s">
        <v>415</v>
      </c>
      <c r="D1390" t="s">
        <v>76</v>
      </c>
      <c r="E1390" s="2">
        <v>44818</v>
      </c>
      <c r="F1390" t="s">
        <v>24</v>
      </c>
      <c r="G1390" t="s">
        <v>252</v>
      </c>
      <c r="H1390" t="s">
        <v>416</v>
      </c>
      <c r="I1390" s="3">
        <v>4.3749999999999997E-2</v>
      </c>
      <c r="J1390" t="s">
        <v>230</v>
      </c>
      <c r="K1390">
        <v>37</v>
      </c>
      <c r="L1390" s="3">
        <v>4.2361111111111113E-2</v>
      </c>
      <c r="M1390" t="s">
        <v>31</v>
      </c>
    </row>
    <row r="1391" spans="1:14" x14ac:dyDescent="0.35">
      <c r="A1391" t="s">
        <v>14</v>
      </c>
      <c r="B1391" t="s">
        <v>409</v>
      </c>
      <c r="C1391" t="s">
        <v>417</v>
      </c>
      <c r="D1391" t="s">
        <v>76</v>
      </c>
      <c r="E1391" s="2">
        <v>44819</v>
      </c>
      <c r="F1391" t="s">
        <v>24</v>
      </c>
      <c r="G1391" t="s">
        <v>36</v>
      </c>
      <c r="H1391" t="s">
        <v>418</v>
      </c>
      <c r="I1391" s="3">
        <v>1.3888888888888889E-3</v>
      </c>
      <c r="J1391" t="s">
        <v>68</v>
      </c>
      <c r="K1391">
        <v>39</v>
      </c>
      <c r="L1391" s="3">
        <v>1.3888888888888889E-3</v>
      </c>
      <c r="M1391" t="s">
        <v>83</v>
      </c>
    </row>
    <row r="1392" spans="1:14" x14ac:dyDescent="0.35">
      <c r="A1392" t="s">
        <v>64</v>
      </c>
      <c r="B1392" t="s">
        <v>409</v>
      </c>
      <c r="C1392" t="s">
        <v>390</v>
      </c>
      <c r="D1392">
        <v>8</v>
      </c>
      <c r="E1392" s="2">
        <v>44822</v>
      </c>
      <c r="F1392" t="s">
        <v>24</v>
      </c>
      <c r="G1392" t="s">
        <v>252</v>
      </c>
      <c r="H1392" t="s">
        <v>125</v>
      </c>
      <c r="I1392" s="3">
        <v>6.9444444444444447E-4</v>
      </c>
      <c r="J1392" t="s">
        <v>274</v>
      </c>
      <c r="K1392">
        <v>5</v>
      </c>
      <c r="L1392" s="3">
        <v>6.9444444444444447E-4</v>
      </c>
      <c r="M1392" t="s">
        <v>31</v>
      </c>
      <c r="N1392" t="s">
        <v>256</v>
      </c>
    </row>
    <row r="1393" spans="1:14" x14ac:dyDescent="0.35">
      <c r="A1393" t="s">
        <v>64</v>
      </c>
      <c r="B1393" t="s">
        <v>409</v>
      </c>
      <c r="C1393" t="s">
        <v>390</v>
      </c>
      <c r="D1393">
        <v>9</v>
      </c>
      <c r="E1393" s="2">
        <v>44835</v>
      </c>
      <c r="F1393" t="s">
        <v>16</v>
      </c>
      <c r="G1393" t="s">
        <v>252</v>
      </c>
      <c r="H1393" t="s">
        <v>419</v>
      </c>
      <c r="I1393" s="3">
        <v>8.4027777777777785E-2</v>
      </c>
      <c r="J1393" t="s">
        <v>274</v>
      </c>
      <c r="K1393">
        <v>28</v>
      </c>
      <c r="L1393" s="3">
        <v>4.1666666666666664E-2</v>
      </c>
      <c r="M1393" t="s">
        <v>39</v>
      </c>
    </row>
    <row r="1394" spans="1:14" x14ac:dyDescent="0.35">
      <c r="A1394" t="s">
        <v>64</v>
      </c>
      <c r="B1394" t="s">
        <v>409</v>
      </c>
      <c r="C1394" t="s">
        <v>75</v>
      </c>
      <c r="D1394" t="s">
        <v>76</v>
      </c>
      <c r="E1394" s="2">
        <v>44839</v>
      </c>
      <c r="F1394" t="s">
        <v>24</v>
      </c>
      <c r="G1394" t="s">
        <v>252</v>
      </c>
      <c r="H1394" t="s">
        <v>420</v>
      </c>
      <c r="I1394" s="3">
        <v>4.2361111111111113E-2</v>
      </c>
      <c r="J1394" t="s">
        <v>274</v>
      </c>
      <c r="K1394">
        <v>22</v>
      </c>
      <c r="L1394" s="3">
        <v>6.9444444444444447E-4</v>
      </c>
      <c r="M1394" t="s">
        <v>31</v>
      </c>
      <c r="N1394" t="s">
        <v>256</v>
      </c>
    </row>
    <row r="1395" spans="1:14" x14ac:dyDescent="0.35">
      <c r="A1395" t="s">
        <v>14</v>
      </c>
      <c r="B1395" t="s">
        <v>409</v>
      </c>
      <c r="C1395" t="s">
        <v>35</v>
      </c>
      <c r="D1395">
        <v>10</v>
      </c>
      <c r="E1395" s="2">
        <v>44843</v>
      </c>
      <c r="F1395" t="s">
        <v>24</v>
      </c>
      <c r="G1395" t="s">
        <v>36</v>
      </c>
      <c r="H1395" t="s">
        <v>56</v>
      </c>
      <c r="I1395" s="3">
        <v>4.3055555555555555E-2</v>
      </c>
      <c r="K1395">
        <v>44</v>
      </c>
      <c r="L1395" s="3">
        <v>4.3055555555555555E-2</v>
      </c>
      <c r="M1395" t="s">
        <v>162</v>
      </c>
      <c r="N1395" t="s">
        <v>304</v>
      </c>
    </row>
    <row r="1396" spans="1:14" x14ac:dyDescent="0.35">
      <c r="A1396" t="s">
        <v>64</v>
      </c>
      <c r="B1396" t="s">
        <v>409</v>
      </c>
      <c r="C1396" t="s">
        <v>390</v>
      </c>
      <c r="D1396">
        <v>12</v>
      </c>
      <c r="E1396" s="2">
        <v>44855</v>
      </c>
      <c r="F1396" t="s">
        <v>24</v>
      </c>
      <c r="G1396" t="s">
        <v>252</v>
      </c>
      <c r="H1396" t="s">
        <v>421</v>
      </c>
      <c r="I1396" s="3">
        <v>2.0833333333333333E-3</v>
      </c>
      <c r="J1396" t="s">
        <v>68</v>
      </c>
      <c r="K1396">
        <v>78</v>
      </c>
      <c r="L1396" s="3">
        <v>1.3888888888888889E-3</v>
      </c>
      <c r="M1396" t="s">
        <v>31</v>
      </c>
      <c r="N1396" t="s">
        <v>386</v>
      </c>
    </row>
    <row r="1397" spans="1:14" x14ac:dyDescent="0.35">
      <c r="A1397" t="s">
        <v>64</v>
      </c>
      <c r="B1397" t="s">
        <v>409</v>
      </c>
      <c r="C1397" t="s">
        <v>75</v>
      </c>
      <c r="D1397" t="s">
        <v>76</v>
      </c>
      <c r="E1397" s="2">
        <v>44859</v>
      </c>
      <c r="F1397" t="s">
        <v>16</v>
      </c>
      <c r="G1397" t="s">
        <v>252</v>
      </c>
      <c r="H1397" t="s">
        <v>416</v>
      </c>
      <c r="I1397" s="3">
        <v>0.29305555555555557</v>
      </c>
      <c r="J1397" t="s">
        <v>230</v>
      </c>
      <c r="K1397">
        <v>44</v>
      </c>
      <c r="L1397" s="3">
        <v>0.1673611111111111</v>
      </c>
      <c r="M1397" t="s">
        <v>31</v>
      </c>
      <c r="N1397" t="s">
        <v>386</v>
      </c>
    </row>
    <row r="1398" spans="1:14" x14ac:dyDescent="0.35">
      <c r="A1398" t="s">
        <v>64</v>
      </c>
      <c r="B1398" t="s">
        <v>409</v>
      </c>
      <c r="C1398" t="s">
        <v>75</v>
      </c>
      <c r="D1398" t="s">
        <v>76</v>
      </c>
      <c r="E1398" s="2">
        <v>44859</v>
      </c>
      <c r="F1398" t="s">
        <v>16</v>
      </c>
      <c r="G1398" t="s">
        <v>252</v>
      </c>
      <c r="H1398" t="s">
        <v>416</v>
      </c>
      <c r="I1398" s="3">
        <v>0.29305555555555557</v>
      </c>
      <c r="J1398" t="s">
        <v>230</v>
      </c>
      <c r="K1398">
        <v>19</v>
      </c>
      <c r="L1398" s="3">
        <v>4.1666666666666664E-2</v>
      </c>
      <c r="M1398" t="s">
        <v>31</v>
      </c>
      <c r="N1398" t="s">
        <v>386</v>
      </c>
    </row>
    <row r="1399" spans="1:14" x14ac:dyDescent="0.35">
      <c r="A1399" t="s">
        <v>14</v>
      </c>
      <c r="B1399" t="s">
        <v>409</v>
      </c>
      <c r="C1399" t="s">
        <v>417</v>
      </c>
      <c r="D1399" t="s">
        <v>76</v>
      </c>
      <c r="E1399" s="2">
        <v>44861</v>
      </c>
      <c r="F1399" t="s">
        <v>16</v>
      </c>
      <c r="G1399" t="s">
        <v>36</v>
      </c>
      <c r="H1399" t="s">
        <v>418</v>
      </c>
      <c r="I1399" s="3">
        <v>0.125</v>
      </c>
      <c r="J1399" t="s">
        <v>68</v>
      </c>
      <c r="K1399">
        <v>81</v>
      </c>
      <c r="L1399" s="3">
        <v>0.125</v>
      </c>
      <c r="M1399" t="s">
        <v>31</v>
      </c>
    </row>
    <row r="1400" spans="1:14" x14ac:dyDescent="0.35">
      <c r="A1400" t="s">
        <v>64</v>
      </c>
      <c r="B1400" t="s">
        <v>409</v>
      </c>
      <c r="C1400" t="s">
        <v>390</v>
      </c>
      <c r="D1400">
        <v>13</v>
      </c>
      <c r="E1400" s="2">
        <v>44863</v>
      </c>
      <c r="F1400" t="s">
        <v>16</v>
      </c>
      <c r="G1400" t="s">
        <v>252</v>
      </c>
      <c r="H1400" t="s">
        <v>422</v>
      </c>
      <c r="I1400" s="3">
        <v>0.16875000000000001</v>
      </c>
      <c r="J1400" t="s">
        <v>38</v>
      </c>
      <c r="K1400">
        <v>55</v>
      </c>
      <c r="L1400" s="3">
        <v>8.4722222222222227E-2</v>
      </c>
      <c r="M1400" t="s">
        <v>31</v>
      </c>
      <c r="N1400" t="s">
        <v>202</v>
      </c>
    </row>
    <row r="1401" spans="1:14" x14ac:dyDescent="0.35">
      <c r="A1401" t="s">
        <v>64</v>
      </c>
      <c r="B1401" t="s">
        <v>409</v>
      </c>
      <c r="C1401" t="s">
        <v>390</v>
      </c>
      <c r="D1401">
        <v>21</v>
      </c>
      <c r="E1401" s="2">
        <v>44958</v>
      </c>
      <c r="F1401" t="s">
        <v>24</v>
      </c>
      <c r="G1401" t="s">
        <v>252</v>
      </c>
      <c r="H1401" t="s">
        <v>423</v>
      </c>
      <c r="I1401" s="3">
        <v>4.3749999999999997E-2</v>
      </c>
      <c r="J1401" t="s">
        <v>230</v>
      </c>
      <c r="K1401">
        <v>72</v>
      </c>
      <c r="L1401" s="3">
        <v>1.3888888888888889E-3</v>
      </c>
      <c r="M1401" t="s">
        <v>31</v>
      </c>
      <c r="N1401" t="s">
        <v>424</v>
      </c>
    </row>
    <row r="1402" spans="1:14" x14ac:dyDescent="0.35">
      <c r="A1402" t="s">
        <v>14</v>
      </c>
      <c r="B1402" t="s">
        <v>409</v>
      </c>
      <c r="C1402" t="s">
        <v>425</v>
      </c>
      <c r="D1402">
        <v>15</v>
      </c>
      <c r="E1402" s="2">
        <v>44960</v>
      </c>
      <c r="F1402" t="s">
        <v>24</v>
      </c>
      <c r="G1402" t="s">
        <v>426</v>
      </c>
      <c r="H1402" t="s">
        <v>427</v>
      </c>
      <c r="I1402" s="3">
        <v>8.4722222222222227E-2</v>
      </c>
      <c r="J1402" t="s">
        <v>68</v>
      </c>
      <c r="K1402" t="s">
        <v>136</v>
      </c>
      <c r="L1402" s="3">
        <v>8.4722222222222227E-2</v>
      </c>
      <c r="M1402" t="s">
        <v>83</v>
      </c>
    </row>
    <row r="1403" spans="1:14" x14ac:dyDescent="0.35">
      <c r="A1403" t="s">
        <v>64</v>
      </c>
      <c r="B1403" t="s">
        <v>409</v>
      </c>
      <c r="C1403" t="s">
        <v>390</v>
      </c>
      <c r="D1403">
        <v>22</v>
      </c>
      <c r="E1403" s="2">
        <v>44961</v>
      </c>
      <c r="F1403" t="s">
        <v>16</v>
      </c>
      <c r="G1403" t="s">
        <v>252</v>
      </c>
      <c r="H1403" t="s">
        <v>428</v>
      </c>
      <c r="I1403" s="3">
        <v>8.4027777777777785E-2</v>
      </c>
      <c r="J1403" t="s">
        <v>230</v>
      </c>
      <c r="K1403">
        <v>58</v>
      </c>
      <c r="L1403" s="3">
        <v>8.4027777777777785E-2</v>
      </c>
      <c r="M1403" t="s">
        <v>31</v>
      </c>
      <c r="N1403" t="s">
        <v>429</v>
      </c>
    </row>
    <row r="1404" spans="1:14" x14ac:dyDescent="0.35">
      <c r="A1404" t="s">
        <v>14</v>
      </c>
      <c r="B1404" t="s">
        <v>409</v>
      </c>
      <c r="C1404" t="s">
        <v>425</v>
      </c>
      <c r="D1404">
        <v>16</v>
      </c>
      <c r="E1404" s="2">
        <v>44966</v>
      </c>
      <c r="F1404" t="s">
        <v>24</v>
      </c>
      <c r="G1404" t="s">
        <v>426</v>
      </c>
      <c r="H1404" t="s">
        <v>430</v>
      </c>
      <c r="I1404" s="3">
        <v>2.7777777777777779E-3</v>
      </c>
      <c r="J1404" t="s">
        <v>68</v>
      </c>
      <c r="K1404">
        <v>61</v>
      </c>
      <c r="L1404" s="3">
        <v>2.7777777777777779E-3</v>
      </c>
      <c r="M1404" t="s">
        <v>26</v>
      </c>
    </row>
    <row r="1405" spans="1:14" x14ac:dyDescent="0.35">
      <c r="A1405" t="s">
        <v>14</v>
      </c>
      <c r="B1405" t="s">
        <v>409</v>
      </c>
      <c r="C1405" t="s">
        <v>425</v>
      </c>
      <c r="D1405">
        <v>16</v>
      </c>
      <c r="E1405" s="2">
        <v>44966</v>
      </c>
      <c r="F1405" t="s">
        <v>24</v>
      </c>
      <c r="G1405" t="s">
        <v>426</v>
      </c>
      <c r="H1405" t="s">
        <v>430</v>
      </c>
      <c r="I1405" s="3">
        <v>2.7777777777777779E-3</v>
      </c>
      <c r="J1405" t="s">
        <v>68</v>
      </c>
      <c r="K1405">
        <v>53</v>
      </c>
      <c r="L1405" s="3">
        <v>2.0833333333333333E-3</v>
      </c>
      <c r="M1405" t="s">
        <v>83</v>
      </c>
    </row>
    <row r="1406" spans="1:14" x14ac:dyDescent="0.35">
      <c r="A1406" t="s">
        <v>14</v>
      </c>
      <c r="B1406" t="s">
        <v>409</v>
      </c>
      <c r="C1406" t="s">
        <v>425</v>
      </c>
      <c r="D1406">
        <v>16</v>
      </c>
      <c r="E1406" s="2">
        <v>44966</v>
      </c>
      <c r="F1406" t="s">
        <v>24</v>
      </c>
      <c r="G1406" t="s">
        <v>426</v>
      </c>
      <c r="H1406" t="s">
        <v>430</v>
      </c>
      <c r="I1406" s="3">
        <v>2.7777777777777779E-3</v>
      </c>
      <c r="J1406" t="s">
        <v>68</v>
      </c>
      <c r="K1406">
        <v>21</v>
      </c>
      <c r="L1406" s="3">
        <v>6.9444444444444447E-4</v>
      </c>
      <c r="M1406" t="s">
        <v>31</v>
      </c>
      <c r="N1406" t="s">
        <v>431</v>
      </c>
    </row>
    <row r="1407" spans="1:14" x14ac:dyDescent="0.35">
      <c r="A1407" t="s">
        <v>14</v>
      </c>
      <c r="B1407" t="s">
        <v>409</v>
      </c>
      <c r="C1407" t="s">
        <v>425</v>
      </c>
      <c r="D1407">
        <v>16</v>
      </c>
      <c r="E1407" s="2">
        <v>44966</v>
      </c>
      <c r="F1407" t="s">
        <v>24</v>
      </c>
      <c r="G1407" t="s">
        <v>426</v>
      </c>
      <c r="H1407" t="s">
        <v>430</v>
      </c>
      <c r="I1407" s="3">
        <v>2.7777777777777779E-3</v>
      </c>
      <c r="J1407" t="s">
        <v>68</v>
      </c>
      <c r="K1407">
        <v>40</v>
      </c>
      <c r="L1407" s="3">
        <v>1.3888888888888889E-3</v>
      </c>
      <c r="M1407" t="s">
        <v>26</v>
      </c>
      <c r="N1407" t="s">
        <v>432</v>
      </c>
    </row>
    <row r="1408" spans="1:14" x14ac:dyDescent="0.35">
      <c r="A1408" t="s">
        <v>64</v>
      </c>
      <c r="B1408" t="s">
        <v>409</v>
      </c>
      <c r="C1408" t="s">
        <v>390</v>
      </c>
      <c r="D1408">
        <v>24</v>
      </c>
      <c r="E1408" s="2">
        <v>44976</v>
      </c>
      <c r="F1408" t="s">
        <v>16</v>
      </c>
      <c r="G1408" t="s">
        <v>252</v>
      </c>
      <c r="H1408" t="s">
        <v>396</v>
      </c>
      <c r="I1408" s="3">
        <v>0.16875000000000001</v>
      </c>
      <c r="J1408" t="s">
        <v>68</v>
      </c>
      <c r="K1408" t="s">
        <v>21</v>
      </c>
      <c r="L1408" s="3">
        <v>0.16875000000000001</v>
      </c>
      <c r="M1408" t="s">
        <v>39</v>
      </c>
      <c r="N1408" t="s">
        <v>433</v>
      </c>
    </row>
    <row r="1409" spans="1:14" x14ac:dyDescent="0.35">
      <c r="A1409" t="s">
        <v>14</v>
      </c>
      <c r="B1409" t="s">
        <v>409</v>
      </c>
      <c r="C1409" t="s">
        <v>425</v>
      </c>
      <c r="D1409">
        <v>18</v>
      </c>
      <c r="E1409" s="2">
        <v>44982</v>
      </c>
      <c r="F1409" t="s">
        <v>24</v>
      </c>
      <c r="G1409" t="s">
        <v>426</v>
      </c>
      <c r="H1409" t="s">
        <v>434</v>
      </c>
      <c r="I1409" s="3">
        <v>2.0833333333333333E-3</v>
      </c>
      <c r="J1409" t="s">
        <v>68</v>
      </c>
      <c r="K1409">
        <v>18</v>
      </c>
      <c r="L1409" s="3">
        <v>6.9444444444444447E-4</v>
      </c>
      <c r="M1409" t="s">
        <v>83</v>
      </c>
      <c r="N1409" t="s">
        <v>433</v>
      </c>
    </row>
    <row r="1410" spans="1:14" x14ac:dyDescent="0.35">
      <c r="A1410" t="s">
        <v>14</v>
      </c>
      <c r="B1410" t="s">
        <v>409</v>
      </c>
      <c r="C1410" t="s">
        <v>425</v>
      </c>
      <c r="D1410">
        <v>18</v>
      </c>
      <c r="E1410" s="2">
        <v>44982</v>
      </c>
      <c r="F1410" t="s">
        <v>24</v>
      </c>
      <c r="G1410" t="s">
        <v>426</v>
      </c>
      <c r="H1410" t="s">
        <v>434</v>
      </c>
      <c r="I1410" s="3">
        <v>2.0833333333333333E-3</v>
      </c>
      <c r="J1410" t="s">
        <v>68</v>
      </c>
      <c r="K1410">
        <v>44</v>
      </c>
      <c r="L1410" s="3">
        <v>2.0833333333333333E-3</v>
      </c>
      <c r="M1410" t="s">
        <v>162</v>
      </c>
      <c r="N1410" t="s">
        <v>435</v>
      </c>
    </row>
    <row r="1411" spans="1:14" x14ac:dyDescent="0.35">
      <c r="A1411" t="s">
        <v>14</v>
      </c>
      <c r="B1411" t="s">
        <v>409</v>
      </c>
      <c r="C1411" t="s">
        <v>425</v>
      </c>
      <c r="D1411">
        <v>18</v>
      </c>
      <c r="E1411" s="2">
        <v>44982</v>
      </c>
      <c r="F1411" t="s">
        <v>24</v>
      </c>
      <c r="G1411" t="s">
        <v>426</v>
      </c>
      <c r="H1411" t="s">
        <v>434</v>
      </c>
      <c r="I1411" s="3">
        <v>2.0833333333333333E-3</v>
      </c>
      <c r="J1411" t="s">
        <v>68</v>
      </c>
      <c r="K1411">
        <v>23</v>
      </c>
      <c r="L1411" s="3">
        <v>1.3888888888888889E-3</v>
      </c>
      <c r="M1411" t="s">
        <v>31</v>
      </c>
      <c r="N1411" t="s">
        <v>436</v>
      </c>
    </row>
    <row r="1412" spans="1:14" x14ac:dyDescent="0.35">
      <c r="A1412" t="s">
        <v>64</v>
      </c>
      <c r="B1412" t="s">
        <v>409</v>
      </c>
      <c r="C1412" t="s">
        <v>390</v>
      </c>
      <c r="D1412">
        <v>25</v>
      </c>
      <c r="E1412" s="2">
        <v>44983</v>
      </c>
      <c r="F1412" t="s">
        <v>24</v>
      </c>
      <c r="G1412" t="s">
        <v>252</v>
      </c>
      <c r="H1412" t="s">
        <v>181</v>
      </c>
      <c r="I1412" s="3">
        <v>2.0833333333333333E-3</v>
      </c>
      <c r="J1412" t="s">
        <v>68</v>
      </c>
      <c r="K1412">
        <v>29</v>
      </c>
      <c r="L1412" s="3">
        <v>1.3888888888888889E-3</v>
      </c>
      <c r="M1412" t="s">
        <v>26</v>
      </c>
      <c r="N1412" t="s">
        <v>408</v>
      </c>
    </row>
    <row r="1413" spans="1:14" x14ac:dyDescent="0.35">
      <c r="A1413" t="s">
        <v>64</v>
      </c>
      <c r="B1413" t="s">
        <v>409</v>
      </c>
      <c r="C1413" t="s">
        <v>390</v>
      </c>
      <c r="D1413">
        <v>26</v>
      </c>
      <c r="E1413" s="2">
        <v>44989</v>
      </c>
      <c r="F1413" t="s">
        <v>16</v>
      </c>
      <c r="G1413" t="s">
        <v>252</v>
      </c>
      <c r="H1413" t="s">
        <v>391</v>
      </c>
      <c r="I1413" s="3">
        <v>0.16805555555555557</v>
      </c>
      <c r="J1413" t="s">
        <v>68</v>
      </c>
      <c r="K1413">
        <v>12</v>
      </c>
      <c r="L1413" s="3">
        <v>4.1666666666666664E-2</v>
      </c>
      <c r="M1413" t="s">
        <v>31</v>
      </c>
    </row>
    <row r="1414" spans="1:14" x14ac:dyDescent="0.35">
      <c r="A1414" t="s">
        <v>14</v>
      </c>
      <c r="B1414" t="s">
        <v>409</v>
      </c>
      <c r="C1414" t="s">
        <v>425</v>
      </c>
      <c r="D1414">
        <v>21</v>
      </c>
      <c r="E1414" s="2">
        <v>45003</v>
      </c>
      <c r="F1414" t="s">
        <v>16</v>
      </c>
      <c r="G1414" t="s">
        <v>426</v>
      </c>
      <c r="H1414" t="s">
        <v>437</v>
      </c>
      <c r="I1414" s="3">
        <v>8.4027777777777785E-2</v>
      </c>
      <c r="J1414" t="s">
        <v>68</v>
      </c>
      <c r="K1414">
        <v>78</v>
      </c>
      <c r="L1414" s="3">
        <v>4.2361111111111113E-2</v>
      </c>
      <c r="M1414" t="s">
        <v>39</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4E4F5-08CD-47CB-AB79-A50B8D8193F6}">
  <sheetPr codeName="Sheet2"/>
  <dimension ref="A2:N3"/>
  <sheetViews>
    <sheetView workbookViewId="0">
      <selection sqref="A1:XFD2"/>
    </sheetView>
  </sheetViews>
  <sheetFormatPr defaultRowHeight="18" x14ac:dyDescent="0.35"/>
  <sheetData>
    <row r="2" spans="1:14" x14ac:dyDescent="0.35">
      <c r="A2" s="5" t="s">
        <v>0</v>
      </c>
      <c r="B2" s="6" t="s">
        <v>1</v>
      </c>
      <c r="C2" s="6" t="s">
        <v>2</v>
      </c>
      <c r="D2" s="6" t="s">
        <v>3</v>
      </c>
      <c r="E2" s="6" t="s">
        <v>4</v>
      </c>
      <c r="F2" s="6" t="s">
        <v>5</v>
      </c>
      <c r="G2" s="6" t="s">
        <v>6</v>
      </c>
      <c r="H2" s="6" t="s">
        <v>7</v>
      </c>
      <c r="I2" s="6" t="s">
        <v>8</v>
      </c>
      <c r="J2" s="6" t="s">
        <v>9</v>
      </c>
      <c r="K2" s="6" t="s">
        <v>10</v>
      </c>
      <c r="L2" s="6" t="s">
        <v>11</v>
      </c>
      <c r="M2" s="6" t="s">
        <v>12</v>
      </c>
      <c r="N2" s="7" t="s">
        <v>13</v>
      </c>
    </row>
    <row r="3" spans="1:14" x14ac:dyDescent="0.35">
      <c r="A3">
        <f>COUNTBLANK(Table1[Player])</f>
        <v>0</v>
      </c>
      <c r="B3">
        <f>COUNTBLANK(Table1[Season])</f>
        <v>0</v>
      </c>
      <c r="C3">
        <f>COUNTBLANK(Table1[Competition])</f>
        <v>0</v>
      </c>
      <c r="D3">
        <f>COUNTBLANK(Table1[Matchday])</f>
        <v>0</v>
      </c>
      <c r="E3">
        <f>COUNTBLANK(Table1[Date])</f>
        <v>0</v>
      </c>
      <c r="F3">
        <f>COUNTBLANK(Table1[Venue])</f>
        <v>0</v>
      </c>
      <c r="G3">
        <f>COUNTBLANK(Table1[Club])</f>
        <v>0</v>
      </c>
      <c r="H3">
        <f>COUNTBLANK(Table1[Opponent])</f>
        <v>0</v>
      </c>
      <c r="I3">
        <f>COUNTBLANK(Table1[Result])</f>
        <v>0</v>
      </c>
      <c r="J3">
        <f>COUNTBLANK(Table1[Playing_Position])</f>
        <v>58</v>
      </c>
      <c r="K3">
        <f>COUNTBLANK(Table1[Minute])</f>
        <v>0</v>
      </c>
      <c r="L3">
        <f>COUNTBLANK(Table1[At_score])</f>
        <v>0</v>
      </c>
      <c r="M3">
        <f>COUNTBLANK(Table1[Type])</f>
        <v>16</v>
      </c>
      <c r="N3">
        <f>COUNTBLANK(Table1[Goal_assist])</f>
        <v>460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6A11E-87C8-49CB-B2F5-0CB1581A126C}">
  <sheetPr codeName="Sheet3"/>
  <dimension ref="A1:O1414"/>
  <sheetViews>
    <sheetView topLeftCell="Q1" workbookViewId="0">
      <selection activeCell="R1" sqref="R1:AF2"/>
    </sheetView>
  </sheetViews>
  <sheetFormatPr defaultRowHeight="18" x14ac:dyDescent="0.35"/>
  <cols>
    <col min="1" max="1" width="14.4140625" bestFit="1" customWidth="1"/>
    <col min="2" max="2" width="8" bestFit="1" customWidth="1"/>
    <col min="3" max="3" width="28.33203125" bestFit="1" customWidth="1"/>
    <col min="4" max="4" width="11.83203125" bestFit="1" customWidth="1"/>
    <col min="5" max="5" width="9.9140625" bestFit="1" customWidth="1"/>
    <col min="6" max="6" width="7.58203125" bestFit="1" customWidth="1"/>
    <col min="7" max="7" width="16.1640625" bestFit="1" customWidth="1"/>
    <col min="8" max="8" width="29.6640625" bestFit="1" customWidth="1"/>
    <col min="9" max="9" width="9.75" bestFit="1" customWidth="1"/>
    <col min="10" max="10" width="15.58203125" bestFit="1" customWidth="1"/>
    <col min="11" max="11" width="8.25" bestFit="1" customWidth="1"/>
    <col min="12" max="12" width="9.4140625" bestFit="1" customWidth="1"/>
    <col min="13" max="13" width="18.25" bestFit="1" customWidth="1"/>
    <col min="14" max="14" width="20.83203125" bestFit="1" customWidth="1"/>
    <col min="15" max="15" width="10.6640625" bestFit="1" customWidth="1"/>
  </cols>
  <sheetData>
    <row r="1" spans="1:15" x14ac:dyDescent="0.35">
      <c r="A1" t="s">
        <v>0</v>
      </c>
      <c r="B1" t="s">
        <v>1</v>
      </c>
      <c r="C1" t="s">
        <v>2</v>
      </c>
      <c r="D1" t="s">
        <v>3</v>
      </c>
      <c r="E1" t="s">
        <v>4</v>
      </c>
      <c r="F1" t="s">
        <v>5</v>
      </c>
      <c r="G1" t="s">
        <v>6</v>
      </c>
      <c r="H1" t="s">
        <v>7</v>
      </c>
      <c r="I1" t="s">
        <v>8</v>
      </c>
      <c r="J1" t="s">
        <v>9</v>
      </c>
      <c r="K1" t="s">
        <v>10</v>
      </c>
      <c r="L1" t="s">
        <v>11</v>
      </c>
      <c r="M1" t="s">
        <v>12</v>
      </c>
      <c r="N1" t="s">
        <v>13</v>
      </c>
      <c r="O1" t="s">
        <v>438</v>
      </c>
    </row>
    <row r="2" spans="1:15" x14ac:dyDescent="0.35">
      <c r="A2" t="s">
        <v>14</v>
      </c>
      <c r="B2" s="1">
        <v>45353</v>
      </c>
      <c r="C2" t="s">
        <v>15</v>
      </c>
      <c r="D2">
        <v>6</v>
      </c>
      <c r="E2" s="2">
        <v>37536</v>
      </c>
      <c r="F2" t="s">
        <v>16</v>
      </c>
      <c r="G2" t="s">
        <v>17</v>
      </c>
      <c r="H2" t="s">
        <v>18</v>
      </c>
      <c r="I2" s="3">
        <v>0.125</v>
      </c>
      <c r="J2" t="s">
        <v>19</v>
      </c>
      <c r="K2">
        <v>34</v>
      </c>
      <c r="L2" s="3">
        <v>8.3333333333333329E-2</v>
      </c>
      <c r="M2" t="s">
        <v>20</v>
      </c>
      <c r="O2">
        <f>IF(Table13[[#This Row],[Goal_assist]]="",1,0)</f>
        <v>1</v>
      </c>
    </row>
    <row r="3" spans="1:15" x14ac:dyDescent="0.35">
      <c r="A3" t="s">
        <v>14</v>
      </c>
      <c r="B3" s="1">
        <v>45353</v>
      </c>
      <c r="C3" t="s">
        <v>15</v>
      </c>
      <c r="D3">
        <v>6</v>
      </c>
      <c r="E3" s="2">
        <v>37536</v>
      </c>
      <c r="F3" t="s">
        <v>16</v>
      </c>
      <c r="G3" t="s">
        <v>17</v>
      </c>
      <c r="H3" t="s">
        <v>18</v>
      </c>
      <c r="I3" s="3">
        <v>0.125</v>
      </c>
      <c r="J3" t="s">
        <v>19</v>
      </c>
      <c r="K3" t="s">
        <v>21</v>
      </c>
      <c r="L3" s="3">
        <v>0.125</v>
      </c>
      <c r="M3" t="s">
        <v>22</v>
      </c>
      <c r="N3" t="s">
        <v>23</v>
      </c>
      <c r="O3">
        <f>IF(Table13[[#This Row],[Goal_assist]]="",1,0)</f>
        <v>0</v>
      </c>
    </row>
    <row r="4" spans="1:15" x14ac:dyDescent="0.35">
      <c r="A4" t="s">
        <v>14</v>
      </c>
      <c r="B4" s="1">
        <v>45353</v>
      </c>
      <c r="C4" t="s">
        <v>15</v>
      </c>
      <c r="D4">
        <v>8</v>
      </c>
      <c r="E4" s="2">
        <v>37555</v>
      </c>
      <c r="F4" t="s">
        <v>24</v>
      </c>
      <c r="G4" t="s">
        <v>17</v>
      </c>
      <c r="H4" t="s">
        <v>25</v>
      </c>
      <c r="I4" s="3">
        <v>4.3055555555555555E-2</v>
      </c>
      <c r="J4" t="str">
        <f t="shared" ref="J4:J6" si="0">J3</f>
        <v>LW</v>
      </c>
      <c r="K4">
        <v>88</v>
      </c>
      <c r="L4" s="3">
        <v>4.3055555555555555E-2</v>
      </c>
      <c r="M4" t="s">
        <v>26</v>
      </c>
      <c r="N4" t="s">
        <v>27</v>
      </c>
      <c r="O4">
        <f>IF(Table13[[#This Row],[Goal_assist]]="",1,0)</f>
        <v>0</v>
      </c>
    </row>
    <row r="5" spans="1:15" x14ac:dyDescent="0.35">
      <c r="A5" t="s">
        <v>14</v>
      </c>
      <c r="B5" s="1">
        <v>45353</v>
      </c>
      <c r="C5" t="s">
        <v>28</v>
      </c>
      <c r="D5" t="s">
        <v>29</v>
      </c>
      <c r="E5" s="2">
        <v>37584</v>
      </c>
      <c r="F5" t="s">
        <v>16</v>
      </c>
      <c r="G5" t="s">
        <v>17</v>
      </c>
      <c r="H5" t="s">
        <v>30</v>
      </c>
      <c r="I5" s="3">
        <v>0.1673611111111111</v>
      </c>
      <c r="J5" t="str">
        <f t="shared" si="0"/>
        <v>LW</v>
      </c>
      <c r="K5">
        <v>67</v>
      </c>
      <c r="L5" s="3">
        <v>0.125</v>
      </c>
      <c r="M5" t="s">
        <v>31</v>
      </c>
      <c r="N5" t="s">
        <v>32</v>
      </c>
      <c r="O5">
        <f>IF(Table13[[#This Row],[Goal_assist]]="",1,0)</f>
        <v>0</v>
      </c>
    </row>
    <row r="6" spans="1:15" x14ac:dyDescent="0.35">
      <c r="A6" t="s">
        <v>14</v>
      </c>
      <c r="B6" s="1">
        <v>45353</v>
      </c>
      <c r="C6" t="s">
        <v>28</v>
      </c>
      <c r="D6" t="s">
        <v>33</v>
      </c>
      <c r="E6" s="2">
        <v>37608</v>
      </c>
      <c r="F6" t="s">
        <v>16</v>
      </c>
      <c r="G6" t="s">
        <v>17</v>
      </c>
      <c r="H6" t="s">
        <v>34</v>
      </c>
      <c r="I6" s="3">
        <v>0.33402777777777776</v>
      </c>
      <c r="J6" t="str">
        <f t="shared" si="0"/>
        <v>LW</v>
      </c>
      <c r="K6">
        <v>13</v>
      </c>
      <c r="L6" s="3">
        <v>0.125</v>
      </c>
      <c r="M6" t="str">
        <f>M5</f>
        <v>Left-footed shot</v>
      </c>
      <c r="O6">
        <f>IF(Table13[[#This Row],[Goal_assist]]="",1,0)</f>
        <v>1</v>
      </c>
    </row>
    <row r="7" spans="1:15" x14ac:dyDescent="0.35">
      <c r="A7" t="s">
        <v>14</v>
      </c>
      <c r="B7" s="1">
        <v>45385</v>
      </c>
      <c r="C7" t="s">
        <v>35</v>
      </c>
      <c r="D7">
        <v>11</v>
      </c>
      <c r="E7" s="2">
        <v>37926</v>
      </c>
      <c r="F7" t="s">
        <v>16</v>
      </c>
      <c r="G7" t="s">
        <v>36</v>
      </c>
      <c r="H7" t="s">
        <v>37</v>
      </c>
      <c r="I7" s="3">
        <v>0.125</v>
      </c>
      <c r="J7" t="s">
        <v>38</v>
      </c>
      <c r="K7">
        <v>80</v>
      </c>
      <c r="L7" s="3">
        <v>8.3333333333333329E-2</v>
      </c>
      <c r="M7" t="s">
        <v>39</v>
      </c>
      <c r="O7">
        <f>IF(Table13[[#This Row],[Goal_assist]]="",1,0)</f>
        <v>1</v>
      </c>
    </row>
    <row r="8" spans="1:15" x14ac:dyDescent="0.35">
      <c r="A8" t="s">
        <v>14</v>
      </c>
      <c r="B8" s="1">
        <v>45385</v>
      </c>
      <c r="C8" t="s">
        <v>40</v>
      </c>
      <c r="D8" t="s">
        <v>33</v>
      </c>
      <c r="E8" s="2">
        <v>38031</v>
      </c>
      <c r="F8" t="s">
        <v>16</v>
      </c>
      <c r="G8" t="s">
        <v>36</v>
      </c>
      <c r="H8" t="s">
        <v>41</v>
      </c>
      <c r="I8" s="3">
        <v>0.16805555555555557</v>
      </c>
      <c r="J8" t="s">
        <v>38</v>
      </c>
      <c r="K8">
        <v>74</v>
      </c>
      <c r="L8" s="3">
        <v>0.125</v>
      </c>
      <c r="M8" t="s">
        <v>26</v>
      </c>
      <c r="O8">
        <f>IF(Table13[[#This Row],[Goal_assist]]="",1,0)</f>
        <v>1</v>
      </c>
    </row>
    <row r="9" spans="1:15" x14ac:dyDescent="0.35">
      <c r="A9" t="s">
        <v>14</v>
      </c>
      <c r="B9" s="1">
        <v>45385</v>
      </c>
      <c r="C9" t="s">
        <v>35</v>
      </c>
      <c r="D9">
        <v>29</v>
      </c>
      <c r="E9" s="2">
        <v>38066</v>
      </c>
      <c r="F9" t="s">
        <v>16</v>
      </c>
      <c r="G9" t="s">
        <v>36</v>
      </c>
      <c r="H9" t="s">
        <v>42</v>
      </c>
      <c r="I9" s="3">
        <v>0.125</v>
      </c>
      <c r="J9" t="str">
        <f t="shared" ref="J9:J11" si="1">J8</f>
        <v>RW</v>
      </c>
      <c r="K9">
        <v>89</v>
      </c>
      <c r="L9" s="3">
        <v>8.3333333333333329E-2</v>
      </c>
      <c r="M9" t="s">
        <v>26</v>
      </c>
      <c r="O9">
        <f>IF(Table13[[#This Row],[Goal_assist]]="",1,0)</f>
        <v>1</v>
      </c>
    </row>
    <row r="10" spans="1:15" x14ac:dyDescent="0.35">
      <c r="A10" t="s">
        <v>14</v>
      </c>
      <c r="B10" s="1">
        <v>45385</v>
      </c>
      <c r="C10" t="s">
        <v>35</v>
      </c>
      <c r="D10">
        <v>32</v>
      </c>
      <c r="E10" s="2">
        <v>38087</v>
      </c>
      <c r="F10" t="s">
        <v>24</v>
      </c>
      <c r="G10" t="s">
        <v>36</v>
      </c>
      <c r="H10" t="s">
        <v>43</v>
      </c>
      <c r="I10" s="3">
        <v>4.3055555555555555E-2</v>
      </c>
      <c r="J10" t="str">
        <f t="shared" si="1"/>
        <v>RW</v>
      </c>
      <c r="K10">
        <v>60</v>
      </c>
      <c r="L10" s="3">
        <v>4.2361111111111113E-2</v>
      </c>
      <c r="M10" t="s">
        <v>22</v>
      </c>
      <c r="N10" t="s">
        <v>44</v>
      </c>
      <c r="O10">
        <f>IF(Table13[[#This Row],[Goal_assist]]="",1,0)</f>
        <v>0</v>
      </c>
    </row>
    <row r="11" spans="1:15" x14ac:dyDescent="0.35">
      <c r="A11" t="s">
        <v>14</v>
      </c>
      <c r="B11" s="1">
        <v>45385</v>
      </c>
      <c r="C11" t="s">
        <v>35</v>
      </c>
      <c r="D11">
        <v>38</v>
      </c>
      <c r="E11" s="2">
        <v>38122</v>
      </c>
      <c r="F11" t="s">
        <v>24</v>
      </c>
      <c r="G11" t="s">
        <v>36</v>
      </c>
      <c r="H11" t="s">
        <v>45</v>
      </c>
      <c r="I11" s="3">
        <v>1.3888888888888889E-3</v>
      </c>
      <c r="J11" t="str">
        <f t="shared" si="1"/>
        <v>RW</v>
      </c>
      <c r="K11">
        <v>4</v>
      </c>
      <c r="L11" s="3">
        <v>6.9444444444444447E-4</v>
      </c>
      <c r="M11" t="s">
        <v>26</v>
      </c>
      <c r="O11">
        <f>IF(Table13[[#This Row],[Goal_assist]]="",1,0)</f>
        <v>1</v>
      </c>
    </row>
    <row r="12" spans="1:15" x14ac:dyDescent="0.35">
      <c r="A12" t="s">
        <v>14</v>
      </c>
      <c r="B12" s="1">
        <v>45385</v>
      </c>
      <c r="C12" t="s">
        <v>40</v>
      </c>
      <c r="D12" t="s">
        <v>46</v>
      </c>
      <c r="E12" s="2">
        <v>38129</v>
      </c>
      <c r="F12" t="s">
        <v>16</v>
      </c>
      <c r="G12" t="s">
        <v>36</v>
      </c>
      <c r="H12" t="s">
        <v>47</v>
      </c>
      <c r="I12" s="3">
        <v>0.125</v>
      </c>
      <c r="J12" t="s">
        <v>38</v>
      </c>
      <c r="K12">
        <v>44</v>
      </c>
      <c r="L12" s="3">
        <v>4.1666666666666664E-2</v>
      </c>
      <c r="M12" t="s">
        <v>22</v>
      </c>
      <c r="N12" t="s">
        <v>48</v>
      </c>
      <c r="O12">
        <f>IF(Table13[[#This Row],[Goal_assist]]="",1,0)</f>
        <v>0</v>
      </c>
    </row>
    <row r="13" spans="1:15" x14ac:dyDescent="0.35">
      <c r="A13" t="s">
        <v>14</v>
      </c>
      <c r="B13" s="1">
        <v>45416</v>
      </c>
      <c r="C13" t="s">
        <v>35</v>
      </c>
      <c r="D13">
        <v>16</v>
      </c>
      <c r="E13" s="2">
        <v>38325</v>
      </c>
      <c r="F13" t="s">
        <v>16</v>
      </c>
      <c r="G13" t="s">
        <v>36</v>
      </c>
      <c r="H13" t="s">
        <v>49</v>
      </c>
      <c r="I13" s="3">
        <v>0.125</v>
      </c>
      <c r="J13" t="str">
        <f t="shared" ref="J13:J15" si="2">J12</f>
        <v>RW</v>
      </c>
      <c r="K13">
        <v>87</v>
      </c>
      <c r="L13" s="3">
        <v>0.125</v>
      </c>
      <c r="M13" t="s">
        <v>26</v>
      </c>
      <c r="N13" t="s">
        <v>48</v>
      </c>
      <c r="O13">
        <f>IF(Table13[[#This Row],[Goal_assist]]="",1,0)</f>
        <v>0</v>
      </c>
    </row>
    <row r="14" spans="1:15" x14ac:dyDescent="0.35">
      <c r="A14" t="s">
        <v>14</v>
      </c>
      <c r="B14" s="1">
        <v>45416</v>
      </c>
      <c r="C14" t="s">
        <v>40</v>
      </c>
      <c r="D14" t="s">
        <v>50</v>
      </c>
      <c r="E14" s="2">
        <v>38371</v>
      </c>
      <c r="F14" t="s">
        <v>24</v>
      </c>
      <c r="G14" t="s">
        <v>36</v>
      </c>
      <c r="H14" t="s">
        <v>51</v>
      </c>
      <c r="I14" s="3">
        <v>1.3888888888888889E-3</v>
      </c>
      <c r="J14" t="str">
        <f t="shared" si="2"/>
        <v>RW</v>
      </c>
      <c r="K14">
        <v>9</v>
      </c>
      <c r="L14" s="3">
        <v>6.9444444444444447E-4</v>
      </c>
      <c r="M14" t="str">
        <f>M13</f>
        <v>Right-footed shot</v>
      </c>
      <c r="N14" t="s">
        <v>52</v>
      </c>
      <c r="O14">
        <f>IF(Table13[[#This Row],[Goal_assist]]="",1,0)</f>
        <v>0</v>
      </c>
    </row>
    <row r="15" spans="1:15" x14ac:dyDescent="0.35">
      <c r="A15" t="s">
        <v>14</v>
      </c>
      <c r="B15" s="1">
        <v>45416</v>
      </c>
      <c r="C15" t="s">
        <v>35</v>
      </c>
      <c r="D15">
        <v>24</v>
      </c>
      <c r="E15" s="2">
        <v>38374</v>
      </c>
      <c r="F15" t="s">
        <v>16</v>
      </c>
      <c r="G15" t="s">
        <v>36</v>
      </c>
      <c r="H15" t="s">
        <v>45</v>
      </c>
      <c r="I15" s="3">
        <v>0.12569444444444444</v>
      </c>
      <c r="J15" t="str">
        <f t="shared" si="2"/>
        <v>RW</v>
      </c>
      <c r="K15">
        <v>8</v>
      </c>
      <c r="L15" s="3">
        <v>4.1666666666666664E-2</v>
      </c>
      <c r="M15" t="s">
        <v>26</v>
      </c>
      <c r="N15" t="s">
        <v>53</v>
      </c>
      <c r="O15">
        <f>IF(Table13[[#This Row],[Goal_assist]]="",1,0)</f>
        <v>0</v>
      </c>
    </row>
    <row r="16" spans="1:15" x14ac:dyDescent="0.35">
      <c r="A16" t="s">
        <v>14</v>
      </c>
      <c r="B16" s="1">
        <v>45416</v>
      </c>
      <c r="C16" t="s">
        <v>35</v>
      </c>
      <c r="D16">
        <v>25</v>
      </c>
      <c r="E16" s="2">
        <v>38384</v>
      </c>
      <c r="F16" t="s">
        <v>24</v>
      </c>
      <c r="G16" t="s">
        <v>36</v>
      </c>
      <c r="H16" t="s">
        <v>54</v>
      </c>
      <c r="I16" s="3">
        <v>8.611111111111111E-2</v>
      </c>
      <c r="J16" t="s">
        <v>38</v>
      </c>
      <c r="K16">
        <v>54</v>
      </c>
      <c r="L16" s="3">
        <v>8.4722222222222227E-2</v>
      </c>
      <c r="M16" t="s">
        <v>31</v>
      </c>
      <c r="N16" t="s">
        <v>44</v>
      </c>
      <c r="O16">
        <f>IF(Table13[[#This Row],[Goal_assist]]="",1,0)</f>
        <v>0</v>
      </c>
    </row>
    <row r="17" spans="1:15" x14ac:dyDescent="0.35">
      <c r="A17" t="s">
        <v>14</v>
      </c>
      <c r="B17" s="1">
        <v>45416</v>
      </c>
      <c r="C17" t="s">
        <v>35</v>
      </c>
      <c r="D17">
        <v>25</v>
      </c>
      <c r="E17" s="2">
        <v>38384</v>
      </c>
      <c r="F17" t="s">
        <v>24</v>
      </c>
      <c r="G17" t="s">
        <v>36</v>
      </c>
      <c r="H17" t="s">
        <v>54</v>
      </c>
      <c r="I17" s="3">
        <v>8.611111111111111E-2</v>
      </c>
      <c r="J17" t="s">
        <v>38</v>
      </c>
      <c r="K17">
        <v>58</v>
      </c>
      <c r="L17" s="3">
        <v>8.5416666666666669E-2</v>
      </c>
      <c r="M17" t="s">
        <v>55</v>
      </c>
      <c r="N17" t="s">
        <v>44</v>
      </c>
      <c r="O17">
        <f>IF(Table13[[#This Row],[Goal_assist]]="",1,0)</f>
        <v>0</v>
      </c>
    </row>
    <row r="18" spans="1:15" x14ac:dyDescent="0.35">
      <c r="A18" t="s">
        <v>14</v>
      </c>
      <c r="B18" s="1">
        <v>45416</v>
      </c>
      <c r="C18" t="s">
        <v>40</v>
      </c>
      <c r="D18" t="s">
        <v>33</v>
      </c>
      <c r="E18" s="2">
        <v>38402</v>
      </c>
      <c r="F18" t="s">
        <v>24</v>
      </c>
      <c r="G18" t="s">
        <v>36</v>
      </c>
      <c r="H18" t="s">
        <v>56</v>
      </c>
      <c r="I18" s="3">
        <v>1.3888888888888889E-3</v>
      </c>
      <c r="J18" t="str">
        <f t="shared" ref="J18:J20" si="3">J17</f>
        <v>RW</v>
      </c>
      <c r="K18">
        <v>58</v>
      </c>
      <c r="L18" s="3">
        <v>1.3888888888888889E-3</v>
      </c>
      <c r="M18" t="s">
        <v>55</v>
      </c>
      <c r="N18" t="s">
        <v>52</v>
      </c>
      <c r="O18">
        <f>IF(Table13[[#This Row],[Goal_assist]]="",1,0)</f>
        <v>0</v>
      </c>
    </row>
    <row r="19" spans="1:15" x14ac:dyDescent="0.35">
      <c r="A19" t="s">
        <v>14</v>
      </c>
      <c r="B19" s="1">
        <v>45416</v>
      </c>
      <c r="C19" t="s">
        <v>40</v>
      </c>
      <c r="D19" t="s">
        <v>57</v>
      </c>
      <c r="E19" s="2">
        <v>38423</v>
      </c>
      <c r="F19" t="s">
        <v>24</v>
      </c>
      <c r="G19" t="s">
        <v>36</v>
      </c>
      <c r="H19" t="s">
        <v>49</v>
      </c>
      <c r="I19" s="3">
        <v>2.7777777777777779E-3</v>
      </c>
      <c r="J19" t="str">
        <f t="shared" si="3"/>
        <v>RW</v>
      </c>
      <c r="K19" t="s">
        <v>58</v>
      </c>
      <c r="L19" s="3">
        <v>1.3888888888888889E-3</v>
      </c>
      <c r="M19" t="s">
        <v>31</v>
      </c>
      <c r="N19" t="s">
        <v>59</v>
      </c>
      <c r="O19">
        <f>IF(Table13[[#This Row],[Goal_assist]]="",1,0)</f>
        <v>0</v>
      </c>
    </row>
    <row r="20" spans="1:15" x14ac:dyDescent="0.35">
      <c r="A20" t="s">
        <v>14</v>
      </c>
      <c r="B20" s="1">
        <v>45416</v>
      </c>
      <c r="C20" t="s">
        <v>35</v>
      </c>
      <c r="D20">
        <v>30</v>
      </c>
      <c r="E20" s="2">
        <v>38430</v>
      </c>
      <c r="F20" t="s">
        <v>16</v>
      </c>
      <c r="G20" t="s">
        <v>36</v>
      </c>
      <c r="H20" t="s">
        <v>60</v>
      </c>
      <c r="I20" s="3">
        <v>4.1666666666666664E-2</v>
      </c>
      <c r="J20" t="str">
        <f t="shared" si="3"/>
        <v>RW</v>
      </c>
      <c r="K20">
        <v>21</v>
      </c>
      <c r="L20" s="3">
        <v>4.1666666666666664E-2</v>
      </c>
      <c r="M20" t="s">
        <v>26</v>
      </c>
      <c r="N20" t="s">
        <v>61</v>
      </c>
      <c r="O20">
        <f>IF(Table13[[#This Row],[Goal_assist]]="",1,0)</f>
        <v>0</v>
      </c>
    </row>
    <row r="21" spans="1:15" x14ac:dyDescent="0.35">
      <c r="A21" t="s">
        <v>14</v>
      </c>
      <c r="B21" s="1">
        <v>45416</v>
      </c>
      <c r="C21" t="s">
        <v>40</v>
      </c>
      <c r="D21" t="s">
        <v>62</v>
      </c>
      <c r="E21" s="2">
        <v>38459</v>
      </c>
      <c r="F21" t="s">
        <v>24</v>
      </c>
      <c r="G21" t="s">
        <v>36</v>
      </c>
      <c r="H21" t="s">
        <v>63</v>
      </c>
      <c r="I21" s="3">
        <v>4.4444444444444446E-2</v>
      </c>
      <c r="J21" t="s">
        <v>38</v>
      </c>
      <c r="K21">
        <v>76</v>
      </c>
      <c r="L21" s="3">
        <v>4.4444444444444446E-2</v>
      </c>
      <c r="M21" t="s">
        <v>26</v>
      </c>
      <c r="N21" t="s">
        <v>59</v>
      </c>
      <c r="O21">
        <f>IF(Table13[[#This Row],[Goal_assist]]="",1,0)</f>
        <v>0</v>
      </c>
    </row>
    <row r="22" spans="1:15" x14ac:dyDescent="0.35">
      <c r="A22" t="s">
        <v>64</v>
      </c>
      <c r="B22" s="1">
        <v>45416</v>
      </c>
      <c r="C22" t="s">
        <v>65</v>
      </c>
      <c r="D22">
        <v>34</v>
      </c>
      <c r="E22" s="2">
        <v>38473</v>
      </c>
      <c r="F22" t="s">
        <v>16</v>
      </c>
      <c r="G22" t="s">
        <v>66</v>
      </c>
      <c r="H22" t="s">
        <v>67</v>
      </c>
      <c r="I22" s="3">
        <v>8.3333333333333329E-2</v>
      </c>
      <c r="J22" t="s">
        <v>68</v>
      </c>
      <c r="K22" t="s">
        <v>69</v>
      </c>
      <c r="L22" s="3">
        <v>8.3333333333333329E-2</v>
      </c>
      <c r="M22" t="s">
        <v>31</v>
      </c>
      <c r="N22" t="s">
        <v>70</v>
      </c>
      <c r="O22">
        <f>IF(Table13[[#This Row],[Goal_assist]]="",1,0)</f>
        <v>0</v>
      </c>
    </row>
    <row r="23" spans="1:15" x14ac:dyDescent="0.35">
      <c r="A23" t="s">
        <v>14</v>
      </c>
      <c r="B23" s="1">
        <v>45448</v>
      </c>
      <c r="C23" t="s">
        <v>71</v>
      </c>
      <c r="D23" t="s">
        <v>72</v>
      </c>
      <c r="E23" s="2">
        <v>38573</v>
      </c>
      <c r="F23" t="s">
        <v>16</v>
      </c>
      <c r="G23" t="s">
        <v>36</v>
      </c>
      <c r="H23" t="s">
        <v>73</v>
      </c>
      <c r="I23" s="3">
        <v>0.125</v>
      </c>
      <c r="J23" t="str">
        <f t="shared" ref="J23:J24" si="4">J22</f>
        <v>CF</v>
      </c>
      <c r="K23">
        <v>63</v>
      </c>
      <c r="L23" s="3">
        <v>0.125</v>
      </c>
      <c r="M23" t="s">
        <v>26</v>
      </c>
      <c r="N23" t="s">
        <v>52</v>
      </c>
      <c r="O23">
        <f>IF(Table13[[#This Row],[Goal_assist]]="",1,0)</f>
        <v>0</v>
      </c>
    </row>
    <row r="24" spans="1:15" x14ac:dyDescent="0.35">
      <c r="A24" t="s">
        <v>14</v>
      </c>
      <c r="B24" s="1">
        <v>45448</v>
      </c>
      <c r="C24" t="s">
        <v>35</v>
      </c>
      <c r="D24">
        <v>11</v>
      </c>
      <c r="E24" s="2">
        <v>38654</v>
      </c>
      <c r="F24" t="s">
        <v>24</v>
      </c>
      <c r="G24" t="s">
        <v>36</v>
      </c>
      <c r="H24" t="s">
        <v>74</v>
      </c>
      <c r="I24" s="3">
        <v>0.1673611111111111</v>
      </c>
      <c r="J24" t="str">
        <f t="shared" si="4"/>
        <v>CF</v>
      </c>
      <c r="K24">
        <v>90</v>
      </c>
      <c r="L24" s="3">
        <v>0.1673611111111111</v>
      </c>
      <c r="M24" t="s">
        <v>22</v>
      </c>
      <c r="N24" t="s">
        <v>52</v>
      </c>
      <c r="O24">
        <f>IF(Table13[[#This Row],[Goal_assist]]="",1,0)</f>
        <v>0</v>
      </c>
    </row>
    <row r="25" spans="1:15" x14ac:dyDescent="0.35">
      <c r="A25" t="s">
        <v>64</v>
      </c>
      <c r="B25" s="1">
        <v>45448</v>
      </c>
      <c r="C25" t="s">
        <v>75</v>
      </c>
      <c r="D25" t="s">
        <v>76</v>
      </c>
      <c r="E25" s="2">
        <v>38658</v>
      </c>
      <c r="F25" t="s">
        <v>16</v>
      </c>
      <c r="G25" t="s">
        <v>66</v>
      </c>
      <c r="H25" t="s">
        <v>77</v>
      </c>
      <c r="I25" s="3">
        <v>0.20833333333333334</v>
      </c>
      <c r="J25" t="s">
        <v>38</v>
      </c>
      <c r="K25">
        <v>34</v>
      </c>
      <c r="L25" s="3">
        <v>0.125</v>
      </c>
      <c r="M25" t="s">
        <v>31</v>
      </c>
      <c r="O25">
        <f>IF(Table13[[#This Row],[Goal_assist]]="",1,0)</f>
        <v>1</v>
      </c>
    </row>
    <row r="26" spans="1:15" x14ac:dyDescent="0.35">
      <c r="A26" t="s">
        <v>64</v>
      </c>
      <c r="B26" s="1">
        <v>45448</v>
      </c>
      <c r="C26" t="s">
        <v>65</v>
      </c>
      <c r="D26">
        <v>13</v>
      </c>
      <c r="E26" s="2">
        <v>38683</v>
      </c>
      <c r="F26" t="s">
        <v>16</v>
      </c>
      <c r="G26" t="s">
        <v>66</v>
      </c>
      <c r="H26" t="s">
        <v>78</v>
      </c>
      <c r="I26" s="3">
        <v>0.1673611111111111</v>
      </c>
      <c r="J26" t="s">
        <v>38</v>
      </c>
      <c r="K26">
        <v>51</v>
      </c>
      <c r="L26" s="3">
        <v>8.3333333333333329E-2</v>
      </c>
      <c r="M26" t="s">
        <v>31</v>
      </c>
      <c r="N26" t="s">
        <v>79</v>
      </c>
      <c r="O26">
        <f>IF(Table13[[#This Row],[Goal_assist]]="",1,0)</f>
        <v>0</v>
      </c>
    </row>
    <row r="27" spans="1:15" x14ac:dyDescent="0.35">
      <c r="A27" t="s">
        <v>14</v>
      </c>
      <c r="B27" s="1">
        <v>45448</v>
      </c>
      <c r="C27" t="s">
        <v>80</v>
      </c>
      <c r="D27" t="s">
        <v>81</v>
      </c>
      <c r="E27" s="2">
        <v>38686</v>
      </c>
      <c r="F27" t="s">
        <v>16</v>
      </c>
      <c r="G27" t="s">
        <v>36</v>
      </c>
      <c r="H27" t="s">
        <v>82</v>
      </c>
      <c r="I27" s="3">
        <v>0.12569444444444444</v>
      </c>
      <c r="J27" t="s">
        <v>38</v>
      </c>
      <c r="K27">
        <v>12</v>
      </c>
      <c r="L27" s="3">
        <v>4.2361111111111113E-2</v>
      </c>
      <c r="M27" t="s">
        <v>83</v>
      </c>
      <c r="O27">
        <f>IF(Table13[[#This Row],[Goal_assist]]="",1,0)</f>
        <v>1</v>
      </c>
    </row>
    <row r="28" spans="1:15" x14ac:dyDescent="0.35">
      <c r="A28" t="s">
        <v>14</v>
      </c>
      <c r="B28" s="1">
        <v>45448</v>
      </c>
      <c r="C28" t="s">
        <v>35</v>
      </c>
      <c r="D28">
        <v>20</v>
      </c>
      <c r="E28" s="2">
        <v>38717</v>
      </c>
      <c r="F28" t="s">
        <v>16</v>
      </c>
      <c r="G28" t="s">
        <v>36</v>
      </c>
      <c r="H28" t="s">
        <v>84</v>
      </c>
      <c r="I28" s="3">
        <v>0.1673611111111111</v>
      </c>
      <c r="J28" t="str">
        <f t="shared" ref="J28:J29" si="5">J27</f>
        <v>RW</v>
      </c>
      <c r="K28">
        <v>68</v>
      </c>
      <c r="L28" s="3">
        <v>0.12569444444444444</v>
      </c>
      <c r="M28" t="s">
        <v>26</v>
      </c>
      <c r="N28" t="s">
        <v>85</v>
      </c>
      <c r="O28">
        <f>IF(Table13[[#This Row],[Goal_assist]]="",1,0)</f>
        <v>0</v>
      </c>
    </row>
    <row r="29" spans="1:15" x14ac:dyDescent="0.35">
      <c r="A29" t="s">
        <v>14</v>
      </c>
      <c r="B29" s="1">
        <v>45448</v>
      </c>
      <c r="C29" t="s">
        <v>35</v>
      </c>
      <c r="D29">
        <v>20</v>
      </c>
      <c r="E29" s="2">
        <v>38717</v>
      </c>
      <c r="F29" t="s">
        <v>16</v>
      </c>
      <c r="G29" t="s">
        <v>36</v>
      </c>
      <c r="H29" t="s">
        <v>84</v>
      </c>
      <c r="I29" s="3">
        <v>0.1673611111111111</v>
      </c>
      <c r="J29" t="str">
        <f t="shared" si="5"/>
        <v>RW</v>
      </c>
      <c r="K29">
        <v>90</v>
      </c>
      <c r="L29" s="3">
        <v>0.1673611111111111</v>
      </c>
      <c r="M29" t="s">
        <v>31</v>
      </c>
      <c r="N29" t="s">
        <v>59</v>
      </c>
      <c r="O29">
        <f>IF(Table13[[#This Row],[Goal_assist]]="",1,0)</f>
        <v>0</v>
      </c>
    </row>
    <row r="30" spans="1:15" x14ac:dyDescent="0.35">
      <c r="A30" t="s">
        <v>64</v>
      </c>
      <c r="B30" s="1">
        <v>45448</v>
      </c>
      <c r="C30" t="s">
        <v>65</v>
      </c>
      <c r="D30">
        <v>19</v>
      </c>
      <c r="E30" s="2">
        <v>38732</v>
      </c>
      <c r="F30" t="s">
        <v>16</v>
      </c>
      <c r="G30" t="s">
        <v>66</v>
      </c>
      <c r="H30" t="s">
        <v>86</v>
      </c>
      <c r="I30" s="3">
        <v>8.4027777777777785E-2</v>
      </c>
      <c r="J30" t="s">
        <v>38</v>
      </c>
      <c r="K30">
        <v>50</v>
      </c>
      <c r="L30" s="3">
        <v>8.4027777777777785E-2</v>
      </c>
      <c r="M30" t="s">
        <v>31</v>
      </c>
      <c r="N30" t="s">
        <v>87</v>
      </c>
      <c r="O30">
        <f>IF(Table13[[#This Row],[Goal_assist]]="",1,0)</f>
        <v>0</v>
      </c>
    </row>
    <row r="31" spans="1:15" x14ac:dyDescent="0.35">
      <c r="A31" t="s">
        <v>64</v>
      </c>
      <c r="B31" s="1">
        <v>45448</v>
      </c>
      <c r="C31" t="s">
        <v>65</v>
      </c>
      <c r="D31">
        <v>20</v>
      </c>
      <c r="E31" s="2">
        <v>38739</v>
      </c>
      <c r="F31" t="s">
        <v>16</v>
      </c>
      <c r="G31" t="s">
        <v>66</v>
      </c>
      <c r="H31" t="s">
        <v>88</v>
      </c>
      <c r="I31" s="3">
        <v>8.3333333333333329E-2</v>
      </c>
      <c r="J31" t="s">
        <v>68</v>
      </c>
      <c r="K31">
        <v>82</v>
      </c>
      <c r="L31" s="3">
        <v>8.3333333333333329E-2</v>
      </c>
      <c r="M31" t="s">
        <v>31</v>
      </c>
      <c r="N31" t="s">
        <v>70</v>
      </c>
      <c r="O31">
        <f>IF(Table13[[#This Row],[Goal_assist]]="",1,0)</f>
        <v>0</v>
      </c>
    </row>
    <row r="32" spans="1:15" x14ac:dyDescent="0.35">
      <c r="A32" t="s">
        <v>64</v>
      </c>
      <c r="B32" s="1">
        <v>45448</v>
      </c>
      <c r="C32" t="s">
        <v>65</v>
      </c>
      <c r="D32">
        <v>21</v>
      </c>
      <c r="E32" s="2">
        <v>38746</v>
      </c>
      <c r="F32" t="s">
        <v>24</v>
      </c>
      <c r="G32" t="s">
        <v>66</v>
      </c>
      <c r="H32" t="s">
        <v>89</v>
      </c>
      <c r="I32" s="3">
        <v>2.0833333333333333E-3</v>
      </c>
      <c r="J32" t="s">
        <v>68</v>
      </c>
      <c r="K32">
        <v>83</v>
      </c>
      <c r="L32" s="3">
        <v>2.0833333333333333E-3</v>
      </c>
      <c r="M32" t="s">
        <v>31</v>
      </c>
      <c r="N32" t="s">
        <v>70</v>
      </c>
      <c r="O32">
        <f>IF(Table13[[#This Row],[Goal_assist]]="",1,0)</f>
        <v>0</v>
      </c>
    </row>
    <row r="33" spans="1:15" x14ac:dyDescent="0.35">
      <c r="A33" t="s">
        <v>64</v>
      </c>
      <c r="B33" s="1">
        <v>45448</v>
      </c>
      <c r="C33" t="s">
        <v>65</v>
      </c>
      <c r="D33">
        <v>21</v>
      </c>
      <c r="E33" s="2">
        <v>38746</v>
      </c>
      <c r="F33" t="s">
        <v>24</v>
      </c>
      <c r="G33" t="s">
        <v>66</v>
      </c>
      <c r="H33" t="s">
        <v>89</v>
      </c>
      <c r="I33" s="3">
        <v>2.0833333333333333E-3</v>
      </c>
      <c r="J33" t="s">
        <v>68</v>
      </c>
      <c r="K33">
        <v>75</v>
      </c>
      <c r="L33" s="3">
        <v>1.3888888888888889E-3</v>
      </c>
      <c r="M33" t="s">
        <v>26</v>
      </c>
      <c r="N33" t="s">
        <v>90</v>
      </c>
      <c r="O33">
        <f>IF(Table13[[#This Row],[Goal_assist]]="",1,0)</f>
        <v>0</v>
      </c>
    </row>
    <row r="34" spans="1:15" x14ac:dyDescent="0.35">
      <c r="A34" t="s">
        <v>64</v>
      </c>
      <c r="B34" s="1">
        <v>45448</v>
      </c>
      <c r="C34" t="s">
        <v>91</v>
      </c>
      <c r="D34" t="s">
        <v>92</v>
      </c>
      <c r="E34" s="2">
        <v>38749</v>
      </c>
      <c r="F34" t="s">
        <v>16</v>
      </c>
      <c r="G34" t="s">
        <v>66</v>
      </c>
      <c r="H34" t="s">
        <v>93</v>
      </c>
      <c r="I34" s="3">
        <v>8.4027777777777785E-2</v>
      </c>
      <c r="J34" t="s">
        <v>68</v>
      </c>
      <c r="K34">
        <v>42</v>
      </c>
      <c r="L34" s="3">
        <v>4.1666666666666664E-2</v>
      </c>
      <c r="M34" t="s">
        <v>22</v>
      </c>
      <c r="N34" t="s">
        <v>94</v>
      </c>
      <c r="O34">
        <f>IF(Table13[[#This Row],[Goal_assist]]="",1,0)</f>
        <v>0</v>
      </c>
    </row>
    <row r="35" spans="1:15" x14ac:dyDescent="0.35">
      <c r="A35" t="s">
        <v>14</v>
      </c>
      <c r="B35" s="1">
        <v>45448</v>
      </c>
      <c r="C35" t="s">
        <v>35</v>
      </c>
      <c r="D35">
        <v>25</v>
      </c>
      <c r="E35" s="2">
        <v>38752</v>
      </c>
      <c r="F35" t="s">
        <v>16</v>
      </c>
      <c r="G35" t="s">
        <v>36</v>
      </c>
      <c r="H35" t="s">
        <v>60</v>
      </c>
      <c r="I35" s="3">
        <v>0.16805555555555557</v>
      </c>
      <c r="J35" t="str">
        <f t="shared" ref="J35:J36" si="6">J34</f>
        <v>CF</v>
      </c>
      <c r="K35">
        <v>14</v>
      </c>
      <c r="L35" s="3">
        <v>8.3333333333333329E-2</v>
      </c>
      <c r="M35" t="s">
        <v>39</v>
      </c>
      <c r="O35">
        <f>IF(Table13[[#This Row],[Goal_assist]]="",1,0)</f>
        <v>1</v>
      </c>
    </row>
    <row r="36" spans="1:15" x14ac:dyDescent="0.35">
      <c r="A36" t="s">
        <v>14</v>
      </c>
      <c r="B36" s="1">
        <v>45448</v>
      </c>
      <c r="C36" t="s">
        <v>35</v>
      </c>
      <c r="D36">
        <v>25</v>
      </c>
      <c r="E36" s="2">
        <v>38752</v>
      </c>
      <c r="F36" t="s">
        <v>16</v>
      </c>
      <c r="G36" t="s">
        <v>36</v>
      </c>
      <c r="H36" t="s">
        <v>60</v>
      </c>
      <c r="I36" s="3">
        <v>0.16805555555555557</v>
      </c>
      <c r="J36" t="str">
        <f t="shared" si="6"/>
        <v>CF</v>
      </c>
      <c r="K36">
        <v>87</v>
      </c>
      <c r="L36" s="3">
        <v>0.16805555555555557</v>
      </c>
      <c r="M36" t="s">
        <v>26</v>
      </c>
      <c r="O36">
        <f>IF(Table13[[#This Row],[Goal_assist]]="",1,0)</f>
        <v>1</v>
      </c>
    </row>
    <row r="37" spans="1:15" x14ac:dyDescent="0.35">
      <c r="A37" t="s">
        <v>14</v>
      </c>
      <c r="B37" s="1">
        <v>45448</v>
      </c>
      <c r="C37" t="s">
        <v>35</v>
      </c>
      <c r="D37">
        <v>26</v>
      </c>
      <c r="E37" s="2">
        <v>38759</v>
      </c>
      <c r="F37" t="s">
        <v>24</v>
      </c>
      <c r="G37" t="s">
        <v>36</v>
      </c>
      <c r="H37" t="s">
        <v>37</v>
      </c>
      <c r="I37" s="3">
        <v>4.3749999999999997E-2</v>
      </c>
      <c r="J37" t="s">
        <v>38</v>
      </c>
      <c r="K37">
        <v>38</v>
      </c>
      <c r="L37" s="3">
        <v>1.3888888888888889E-3</v>
      </c>
      <c r="M37" t="s">
        <v>31</v>
      </c>
      <c r="O37">
        <f>IF(Table13[[#This Row],[Goal_assist]]="",1,0)</f>
        <v>1</v>
      </c>
    </row>
    <row r="38" spans="1:15" x14ac:dyDescent="0.35">
      <c r="A38" t="s">
        <v>14</v>
      </c>
      <c r="B38" s="1">
        <v>45448</v>
      </c>
      <c r="C38" t="s">
        <v>35</v>
      </c>
      <c r="D38">
        <v>26</v>
      </c>
      <c r="E38" s="2">
        <v>38759</v>
      </c>
      <c r="F38" t="s">
        <v>24</v>
      </c>
      <c r="G38" t="s">
        <v>36</v>
      </c>
      <c r="H38" t="s">
        <v>37</v>
      </c>
      <c r="I38" s="3">
        <v>4.3749999999999997E-2</v>
      </c>
      <c r="J38" t="s">
        <v>38</v>
      </c>
      <c r="K38">
        <v>45</v>
      </c>
      <c r="L38" s="3">
        <v>2.0833333333333333E-3</v>
      </c>
      <c r="M38" t="s">
        <v>26</v>
      </c>
      <c r="N38" t="s">
        <v>85</v>
      </c>
      <c r="O38">
        <f>IF(Table13[[#This Row],[Goal_assist]]="",1,0)</f>
        <v>0</v>
      </c>
    </row>
    <row r="39" spans="1:15" x14ac:dyDescent="0.35">
      <c r="A39" t="s">
        <v>64</v>
      </c>
      <c r="B39" s="1">
        <v>45448</v>
      </c>
      <c r="C39" t="s">
        <v>65</v>
      </c>
      <c r="D39">
        <v>24</v>
      </c>
      <c r="E39" s="2">
        <v>38766</v>
      </c>
      <c r="F39" t="s">
        <v>16</v>
      </c>
      <c r="G39" t="s">
        <v>66</v>
      </c>
      <c r="H39" t="s">
        <v>95</v>
      </c>
      <c r="I39" s="3">
        <v>0.20902777777777778</v>
      </c>
      <c r="J39" t="s">
        <v>38</v>
      </c>
      <c r="K39">
        <v>84</v>
      </c>
      <c r="L39" s="3">
        <v>0.20902777777777778</v>
      </c>
      <c r="M39" t="s">
        <v>31</v>
      </c>
      <c r="O39">
        <f>IF(Table13[[#This Row],[Goal_assist]]="",1,0)</f>
        <v>1</v>
      </c>
    </row>
    <row r="40" spans="1:15" x14ac:dyDescent="0.35">
      <c r="A40" t="s">
        <v>14</v>
      </c>
      <c r="B40" s="1">
        <v>45448</v>
      </c>
      <c r="C40" t="s">
        <v>80</v>
      </c>
      <c r="D40" t="s">
        <v>46</v>
      </c>
      <c r="E40" s="2">
        <v>38774</v>
      </c>
      <c r="F40" t="s">
        <v>16</v>
      </c>
      <c r="G40" t="s">
        <v>36</v>
      </c>
      <c r="H40" t="s">
        <v>96</v>
      </c>
      <c r="I40" s="3">
        <v>0.16666666666666666</v>
      </c>
      <c r="J40" t="s">
        <v>38</v>
      </c>
      <c r="K40">
        <v>59</v>
      </c>
      <c r="L40" s="3">
        <v>0.125</v>
      </c>
      <c r="M40" t="str">
        <f>M39</f>
        <v>Left-footed shot</v>
      </c>
      <c r="N40" t="s">
        <v>53</v>
      </c>
      <c r="O40">
        <f>IF(Table13[[#This Row],[Goal_assist]]="",1,0)</f>
        <v>0</v>
      </c>
    </row>
    <row r="41" spans="1:15" x14ac:dyDescent="0.35">
      <c r="A41" t="s">
        <v>14</v>
      </c>
      <c r="B41" s="1">
        <v>45448</v>
      </c>
      <c r="C41" t="s">
        <v>35</v>
      </c>
      <c r="D41">
        <v>28</v>
      </c>
      <c r="E41" s="2">
        <v>38782</v>
      </c>
      <c r="F41" t="s">
        <v>24</v>
      </c>
      <c r="G41" t="s">
        <v>36</v>
      </c>
      <c r="H41" t="s">
        <v>96</v>
      </c>
      <c r="I41" s="3">
        <v>4.3055555555555555E-2</v>
      </c>
      <c r="J41" t="str">
        <f>J40</f>
        <v>RW</v>
      </c>
      <c r="K41">
        <v>74</v>
      </c>
      <c r="L41" s="3">
        <v>4.2361111111111113E-2</v>
      </c>
      <c r="M41" t="s">
        <v>26</v>
      </c>
      <c r="N41" t="s">
        <v>59</v>
      </c>
      <c r="O41">
        <f>IF(Table13[[#This Row],[Goal_assist]]="",1,0)</f>
        <v>0</v>
      </c>
    </row>
    <row r="42" spans="1:15" x14ac:dyDescent="0.35">
      <c r="A42" t="s">
        <v>14</v>
      </c>
      <c r="B42" s="1">
        <v>45448</v>
      </c>
      <c r="C42" t="s">
        <v>35</v>
      </c>
      <c r="D42">
        <v>38</v>
      </c>
      <c r="E42" s="2">
        <v>38844</v>
      </c>
      <c r="F42" t="s">
        <v>16</v>
      </c>
      <c r="G42" t="s">
        <v>36</v>
      </c>
      <c r="H42" t="s">
        <v>97</v>
      </c>
      <c r="I42" s="3">
        <v>0.16666666666666666</v>
      </c>
      <c r="J42" t="s">
        <v>38</v>
      </c>
      <c r="K42">
        <v>23</v>
      </c>
      <c r="L42" s="3">
        <v>8.3333333333333329E-2</v>
      </c>
      <c r="M42" t="s">
        <v>31</v>
      </c>
      <c r="N42" t="s">
        <v>44</v>
      </c>
      <c r="O42">
        <f>IF(Table13[[#This Row],[Goal_assist]]="",1,0)</f>
        <v>0</v>
      </c>
    </row>
    <row r="43" spans="1:15" x14ac:dyDescent="0.35">
      <c r="A43" t="s">
        <v>14</v>
      </c>
      <c r="B43" s="1">
        <v>45479</v>
      </c>
      <c r="C43" t="s">
        <v>35</v>
      </c>
      <c r="D43">
        <v>1</v>
      </c>
      <c r="E43" s="2">
        <v>38949</v>
      </c>
      <c r="F43" t="s">
        <v>16</v>
      </c>
      <c r="G43" t="s">
        <v>36</v>
      </c>
      <c r="H43" t="s">
        <v>60</v>
      </c>
      <c r="I43" s="3">
        <v>0.20902777777777778</v>
      </c>
      <c r="J43" t="str">
        <f>J42</f>
        <v>RW</v>
      </c>
      <c r="K43">
        <v>19</v>
      </c>
      <c r="L43" s="3">
        <v>0.16666666666666666</v>
      </c>
      <c r="M43" t="str">
        <f>M42</f>
        <v>Left-footed shot</v>
      </c>
      <c r="N43" t="s">
        <v>85</v>
      </c>
      <c r="O43">
        <f>IF(Table13[[#This Row],[Goal_assist]]="",1,0)</f>
        <v>0</v>
      </c>
    </row>
    <row r="44" spans="1:15" x14ac:dyDescent="0.35">
      <c r="A44" t="s">
        <v>64</v>
      </c>
      <c r="B44" s="1">
        <v>45479</v>
      </c>
      <c r="C44" t="s">
        <v>65</v>
      </c>
      <c r="D44">
        <v>1</v>
      </c>
      <c r="E44" s="2">
        <v>38957</v>
      </c>
      <c r="F44" t="s">
        <v>24</v>
      </c>
      <c r="G44" t="s">
        <v>66</v>
      </c>
      <c r="H44" t="s">
        <v>98</v>
      </c>
      <c r="I44" s="3">
        <v>8.5416666666666669E-2</v>
      </c>
      <c r="J44" t="s">
        <v>19</v>
      </c>
      <c r="K44">
        <v>59</v>
      </c>
      <c r="L44" s="3">
        <v>4.3055555555555555E-2</v>
      </c>
      <c r="M44" t="s">
        <v>31</v>
      </c>
      <c r="N44" t="s">
        <v>99</v>
      </c>
      <c r="O44">
        <f>IF(Table13[[#This Row],[Goal_assist]]="",1,0)</f>
        <v>0</v>
      </c>
    </row>
    <row r="45" spans="1:15" x14ac:dyDescent="0.35">
      <c r="A45" t="s">
        <v>64</v>
      </c>
      <c r="B45" s="1">
        <v>45479</v>
      </c>
      <c r="C45" t="s">
        <v>65</v>
      </c>
      <c r="D45">
        <v>2</v>
      </c>
      <c r="E45" s="2">
        <v>38969</v>
      </c>
      <c r="F45" t="s">
        <v>16</v>
      </c>
      <c r="G45" t="s">
        <v>66</v>
      </c>
      <c r="H45" t="s">
        <v>100</v>
      </c>
      <c r="I45" s="3">
        <v>0.125</v>
      </c>
      <c r="J45" t="s">
        <v>38</v>
      </c>
      <c r="K45">
        <v>36</v>
      </c>
      <c r="L45" s="3">
        <v>0.125</v>
      </c>
      <c r="M45" t="s">
        <v>31</v>
      </c>
      <c r="N45" t="s">
        <v>79</v>
      </c>
      <c r="O45">
        <f>IF(Table13[[#This Row],[Goal_assist]]="",1,0)</f>
        <v>0</v>
      </c>
    </row>
    <row r="46" spans="1:15" x14ac:dyDescent="0.35">
      <c r="A46" t="s">
        <v>14</v>
      </c>
      <c r="B46" s="1">
        <v>45479</v>
      </c>
      <c r="C46" t="s">
        <v>35</v>
      </c>
      <c r="D46">
        <v>6</v>
      </c>
      <c r="E46" s="2">
        <v>38983</v>
      </c>
      <c r="F46" t="s">
        <v>24</v>
      </c>
      <c r="G46" t="s">
        <v>36</v>
      </c>
      <c r="H46" t="s">
        <v>101</v>
      </c>
      <c r="I46" s="3">
        <v>4.2361111111111113E-2</v>
      </c>
      <c r="J46" t="s">
        <v>68</v>
      </c>
      <c r="K46">
        <v>73</v>
      </c>
      <c r="L46" s="3">
        <v>4.2361111111111113E-2</v>
      </c>
      <c r="M46" t="str">
        <f>M45</f>
        <v>Left-footed shot</v>
      </c>
      <c r="N46" t="s">
        <v>102</v>
      </c>
      <c r="O46">
        <f>IF(Table13[[#This Row],[Goal_assist]]="",1,0)</f>
        <v>0</v>
      </c>
    </row>
    <row r="47" spans="1:15" x14ac:dyDescent="0.35">
      <c r="A47" t="s">
        <v>64</v>
      </c>
      <c r="B47" s="1">
        <v>45479</v>
      </c>
      <c r="C47" t="s">
        <v>75</v>
      </c>
      <c r="D47" t="s">
        <v>76</v>
      </c>
      <c r="E47" s="2">
        <v>38987</v>
      </c>
      <c r="F47" t="s">
        <v>24</v>
      </c>
      <c r="G47" t="s">
        <v>66</v>
      </c>
      <c r="H47" t="s">
        <v>103</v>
      </c>
      <c r="I47" s="3">
        <v>4.2361111111111113E-2</v>
      </c>
      <c r="J47" t="s">
        <v>38</v>
      </c>
      <c r="K47">
        <v>89</v>
      </c>
      <c r="L47" s="3">
        <v>4.2361111111111113E-2</v>
      </c>
      <c r="M47" t="s">
        <v>31</v>
      </c>
      <c r="N47" t="s">
        <v>104</v>
      </c>
      <c r="O47">
        <f>IF(Table13[[#This Row],[Goal_assist]]="",1,0)</f>
        <v>0</v>
      </c>
    </row>
    <row r="48" spans="1:15" x14ac:dyDescent="0.35">
      <c r="A48" t="s">
        <v>64</v>
      </c>
      <c r="B48" s="1">
        <v>45479</v>
      </c>
      <c r="C48" t="s">
        <v>65</v>
      </c>
      <c r="D48">
        <v>6</v>
      </c>
      <c r="E48" s="2">
        <v>39005</v>
      </c>
      <c r="F48" t="s">
        <v>16</v>
      </c>
      <c r="G48" t="s">
        <v>66</v>
      </c>
      <c r="H48" t="s">
        <v>105</v>
      </c>
      <c r="I48" s="3">
        <v>0.12569444444444444</v>
      </c>
      <c r="J48" t="s">
        <v>38</v>
      </c>
      <c r="K48">
        <v>80</v>
      </c>
      <c r="L48" s="3">
        <v>0.12569444444444444</v>
      </c>
      <c r="M48" t="s">
        <v>26</v>
      </c>
      <c r="N48" t="s">
        <v>106</v>
      </c>
      <c r="O48">
        <f>IF(Table13[[#This Row],[Goal_assist]]="",1,0)</f>
        <v>0</v>
      </c>
    </row>
    <row r="49" spans="1:15" x14ac:dyDescent="0.35">
      <c r="A49" t="s">
        <v>14</v>
      </c>
      <c r="B49" s="1">
        <v>45479</v>
      </c>
      <c r="C49" t="s">
        <v>35</v>
      </c>
      <c r="D49">
        <v>10</v>
      </c>
      <c r="E49" s="2">
        <v>39018</v>
      </c>
      <c r="F49" t="s">
        <v>24</v>
      </c>
      <c r="G49" t="s">
        <v>36</v>
      </c>
      <c r="H49" t="s">
        <v>84</v>
      </c>
      <c r="I49" s="3">
        <v>2.7777777777777779E-3</v>
      </c>
      <c r="J49" t="str">
        <f>J48</f>
        <v>RW</v>
      </c>
      <c r="K49">
        <v>82</v>
      </c>
      <c r="L49" s="3">
        <v>2.0833333333333333E-3</v>
      </c>
      <c r="M49" t="str">
        <f>M48</f>
        <v>Right-footed shot</v>
      </c>
      <c r="N49" t="s">
        <v>53</v>
      </c>
      <c r="O49">
        <f>IF(Table13[[#This Row],[Goal_assist]]="",1,0)</f>
        <v>0</v>
      </c>
    </row>
    <row r="50" spans="1:15" x14ac:dyDescent="0.35">
      <c r="A50" t="s">
        <v>14</v>
      </c>
      <c r="B50" s="1">
        <v>45479</v>
      </c>
      <c r="C50" t="s">
        <v>35</v>
      </c>
      <c r="D50">
        <v>11</v>
      </c>
      <c r="E50" s="2">
        <v>39025</v>
      </c>
      <c r="F50" t="s">
        <v>16</v>
      </c>
      <c r="G50" t="s">
        <v>36</v>
      </c>
      <c r="H50" t="s">
        <v>37</v>
      </c>
      <c r="I50" s="3">
        <v>0.125</v>
      </c>
      <c r="J50" t="s">
        <v>38</v>
      </c>
      <c r="K50">
        <v>10</v>
      </c>
      <c r="L50" s="3">
        <v>8.3333333333333329E-2</v>
      </c>
      <c r="M50" t="s">
        <v>39</v>
      </c>
      <c r="O50">
        <f>IF(Table13[[#This Row],[Goal_assist]]="",1,0)</f>
        <v>1</v>
      </c>
    </row>
    <row r="51" spans="1:15" x14ac:dyDescent="0.35">
      <c r="A51" t="s">
        <v>14</v>
      </c>
      <c r="B51" s="1">
        <v>45479</v>
      </c>
      <c r="C51" t="s">
        <v>35</v>
      </c>
      <c r="D51">
        <v>15</v>
      </c>
      <c r="E51" s="2">
        <v>39050</v>
      </c>
      <c r="F51" t="s">
        <v>16</v>
      </c>
      <c r="G51" t="s">
        <v>36</v>
      </c>
      <c r="H51" t="s">
        <v>56</v>
      </c>
      <c r="I51" s="3">
        <v>0.125</v>
      </c>
      <c r="J51" t="str">
        <f t="shared" ref="J51:J56" si="7">J50</f>
        <v>RW</v>
      </c>
      <c r="K51">
        <v>39</v>
      </c>
      <c r="L51" s="3">
        <v>4.1666666666666664E-2</v>
      </c>
      <c r="M51" t="str">
        <f t="shared" ref="M51:M54" si="8">M50</f>
        <v>Direct free kick</v>
      </c>
      <c r="O51">
        <f>IF(Table13[[#This Row],[Goal_assist]]="",1,0)</f>
        <v>1</v>
      </c>
    </row>
    <row r="52" spans="1:15" x14ac:dyDescent="0.35">
      <c r="A52" t="s">
        <v>14</v>
      </c>
      <c r="B52" s="1">
        <v>45479</v>
      </c>
      <c r="C52" t="s">
        <v>35</v>
      </c>
      <c r="D52">
        <v>17</v>
      </c>
      <c r="E52" s="2">
        <v>39060</v>
      </c>
      <c r="F52" t="s">
        <v>16</v>
      </c>
      <c r="G52" t="s">
        <v>36</v>
      </c>
      <c r="H52" t="s">
        <v>41</v>
      </c>
      <c r="I52" s="3">
        <v>0.12569444444444444</v>
      </c>
      <c r="J52" t="str">
        <f t="shared" si="7"/>
        <v>RW</v>
      </c>
      <c r="K52">
        <v>84</v>
      </c>
      <c r="L52" s="3">
        <v>0.12569444444444444</v>
      </c>
      <c r="M52" t="str">
        <f t="shared" si="8"/>
        <v>Direct free kick</v>
      </c>
      <c r="O52">
        <f>IF(Table13[[#This Row],[Goal_assist]]="",1,0)</f>
        <v>1</v>
      </c>
    </row>
    <row r="53" spans="1:15" x14ac:dyDescent="0.35">
      <c r="A53" t="s">
        <v>14</v>
      </c>
      <c r="B53" s="1">
        <v>45479</v>
      </c>
      <c r="C53" t="s">
        <v>35</v>
      </c>
      <c r="D53">
        <v>19</v>
      </c>
      <c r="E53" s="2">
        <v>39074</v>
      </c>
      <c r="F53" t="s">
        <v>24</v>
      </c>
      <c r="G53" t="s">
        <v>36</v>
      </c>
      <c r="H53" t="s">
        <v>45</v>
      </c>
      <c r="I53" s="3">
        <v>2.0833333333333333E-3</v>
      </c>
      <c r="J53" t="str">
        <f t="shared" si="7"/>
        <v>RW</v>
      </c>
      <c r="K53">
        <v>85</v>
      </c>
      <c r="L53" s="3">
        <v>2.0833333333333333E-3</v>
      </c>
      <c r="M53" t="str">
        <f t="shared" si="8"/>
        <v>Direct free kick</v>
      </c>
      <c r="N53" t="s">
        <v>48</v>
      </c>
      <c r="O53">
        <f>IF(Table13[[#This Row],[Goal_assist]]="",1,0)</f>
        <v>0</v>
      </c>
    </row>
    <row r="54" spans="1:15" x14ac:dyDescent="0.35">
      <c r="A54" t="s">
        <v>14</v>
      </c>
      <c r="B54" s="1">
        <v>45479</v>
      </c>
      <c r="C54" t="s">
        <v>35</v>
      </c>
      <c r="D54">
        <v>19</v>
      </c>
      <c r="E54" s="2">
        <v>39074</v>
      </c>
      <c r="F54" t="s">
        <v>24</v>
      </c>
      <c r="G54" t="s">
        <v>36</v>
      </c>
      <c r="H54" t="s">
        <v>45</v>
      </c>
      <c r="I54" s="3">
        <v>2.0833333333333333E-3</v>
      </c>
      <c r="J54" t="str">
        <f t="shared" si="7"/>
        <v>RW</v>
      </c>
      <c r="K54">
        <v>58</v>
      </c>
      <c r="L54" s="3">
        <v>6.9444444444444447E-4</v>
      </c>
      <c r="M54" t="str">
        <f t="shared" si="8"/>
        <v>Direct free kick</v>
      </c>
      <c r="O54">
        <f>IF(Table13[[#This Row],[Goal_assist]]="",1,0)</f>
        <v>1</v>
      </c>
    </row>
    <row r="55" spans="1:15" x14ac:dyDescent="0.35">
      <c r="A55" t="s">
        <v>14</v>
      </c>
      <c r="B55" s="1">
        <v>45479</v>
      </c>
      <c r="C55" t="s">
        <v>35</v>
      </c>
      <c r="D55">
        <v>20</v>
      </c>
      <c r="E55" s="2">
        <v>39077</v>
      </c>
      <c r="F55" t="s">
        <v>16</v>
      </c>
      <c r="G55" t="s">
        <v>36</v>
      </c>
      <c r="H55" t="s">
        <v>96</v>
      </c>
      <c r="I55" s="3">
        <v>0.12569444444444444</v>
      </c>
      <c r="J55" t="str">
        <f t="shared" si="7"/>
        <v>RW</v>
      </c>
      <c r="K55">
        <v>50</v>
      </c>
      <c r="L55" s="3">
        <v>8.3333333333333329E-2</v>
      </c>
      <c r="M55" t="s">
        <v>107</v>
      </c>
      <c r="N55" t="s">
        <v>108</v>
      </c>
      <c r="O55">
        <f>IF(Table13[[#This Row],[Goal_assist]]="",1,0)</f>
        <v>0</v>
      </c>
    </row>
    <row r="56" spans="1:15" x14ac:dyDescent="0.35">
      <c r="A56" t="s">
        <v>14</v>
      </c>
      <c r="B56" s="1">
        <v>45479</v>
      </c>
      <c r="C56" t="s">
        <v>35</v>
      </c>
      <c r="D56">
        <v>20</v>
      </c>
      <c r="E56" s="2">
        <v>39077</v>
      </c>
      <c r="F56" t="s">
        <v>16</v>
      </c>
      <c r="G56" t="s">
        <v>36</v>
      </c>
      <c r="H56" t="s">
        <v>96</v>
      </c>
      <c r="I56" s="3">
        <v>0.12569444444444444</v>
      </c>
      <c r="J56" t="str">
        <f t="shared" si="7"/>
        <v>RW</v>
      </c>
      <c r="K56">
        <v>47</v>
      </c>
      <c r="L56" s="3">
        <v>4.1666666666666664E-2</v>
      </c>
      <c r="M56" t="str">
        <f t="shared" ref="M56:M58" si="9">M55</f>
        <v>Penalty rebound</v>
      </c>
      <c r="N56" t="s">
        <v>52</v>
      </c>
      <c r="O56">
        <f>IF(Table13[[#This Row],[Goal_assist]]="",1,0)</f>
        <v>0</v>
      </c>
    </row>
    <row r="57" spans="1:15" x14ac:dyDescent="0.35">
      <c r="A57" t="s">
        <v>14</v>
      </c>
      <c r="B57" s="1">
        <v>45479</v>
      </c>
      <c r="C57" t="s">
        <v>35</v>
      </c>
      <c r="D57">
        <v>21</v>
      </c>
      <c r="E57" s="2">
        <v>39081</v>
      </c>
      <c r="F57" t="s">
        <v>16</v>
      </c>
      <c r="G57" t="s">
        <v>36</v>
      </c>
      <c r="H57" t="s">
        <v>101</v>
      </c>
      <c r="I57" s="3">
        <v>0.12638888888888888</v>
      </c>
      <c r="J57" t="s">
        <v>38</v>
      </c>
      <c r="K57">
        <v>58</v>
      </c>
      <c r="L57" s="3">
        <v>8.4027777777777785E-2</v>
      </c>
      <c r="M57" t="str">
        <f t="shared" si="9"/>
        <v>Penalty rebound</v>
      </c>
      <c r="N57" t="s">
        <v>109</v>
      </c>
      <c r="O57">
        <f>IF(Table13[[#This Row],[Goal_assist]]="",1,0)</f>
        <v>0</v>
      </c>
    </row>
    <row r="58" spans="1:15" x14ac:dyDescent="0.35">
      <c r="A58" t="s">
        <v>14</v>
      </c>
      <c r="B58" s="1">
        <v>45479</v>
      </c>
      <c r="C58" t="s">
        <v>35</v>
      </c>
      <c r="D58">
        <v>21</v>
      </c>
      <c r="E58" s="2">
        <v>39081</v>
      </c>
      <c r="F58" t="s">
        <v>16</v>
      </c>
      <c r="G58" t="s">
        <v>36</v>
      </c>
      <c r="H58" t="s">
        <v>101</v>
      </c>
      <c r="I58" s="3">
        <v>0.12638888888888888</v>
      </c>
      <c r="J58" t="s">
        <v>38</v>
      </c>
      <c r="K58">
        <v>77</v>
      </c>
      <c r="L58" s="3">
        <v>0.12569444444444444</v>
      </c>
      <c r="M58" t="str">
        <f t="shared" si="9"/>
        <v>Penalty rebound</v>
      </c>
      <c r="N58" t="s">
        <v>44</v>
      </c>
      <c r="O58">
        <f>IF(Table13[[#This Row],[Goal_assist]]="",1,0)</f>
        <v>0</v>
      </c>
    </row>
    <row r="59" spans="1:15" x14ac:dyDescent="0.35">
      <c r="A59" t="s">
        <v>14</v>
      </c>
      <c r="B59" s="1">
        <v>45479</v>
      </c>
      <c r="C59" t="s">
        <v>35</v>
      </c>
      <c r="D59">
        <v>23</v>
      </c>
      <c r="E59" s="2">
        <v>39095</v>
      </c>
      <c r="F59" t="s">
        <v>16</v>
      </c>
      <c r="G59" t="s">
        <v>36</v>
      </c>
      <c r="H59" t="s">
        <v>45</v>
      </c>
      <c r="I59" s="3">
        <v>0.12569444444444444</v>
      </c>
      <c r="J59" t="str">
        <f>J58</f>
        <v>RW</v>
      </c>
      <c r="K59">
        <v>34</v>
      </c>
      <c r="L59" s="3">
        <v>0.125</v>
      </c>
      <c r="M59" t="s">
        <v>22</v>
      </c>
      <c r="N59" t="s">
        <v>110</v>
      </c>
      <c r="O59">
        <f>IF(Table13[[#This Row],[Goal_assist]]="",1,0)</f>
        <v>0</v>
      </c>
    </row>
    <row r="60" spans="1:15" x14ac:dyDescent="0.35">
      <c r="A60" t="s">
        <v>14</v>
      </c>
      <c r="B60" s="1">
        <v>45479</v>
      </c>
      <c r="C60" t="s">
        <v>35</v>
      </c>
      <c r="D60">
        <v>25</v>
      </c>
      <c r="E60" s="2">
        <v>39113</v>
      </c>
      <c r="F60" t="s">
        <v>16</v>
      </c>
      <c r="G60" t="s">
        <v>36</v>
      </c>
      <c r="H60" t="s">
        <v>111</v>
      </c>
      <c r="I60" s="3">
        <v>0.16666666666666666</v>
      </c>
      <c r="J60" t="s">
        <v>38</v>
      </c>
      <c r="K60">
        <v>12</v>
      </c>
      <c r="L60" s="3">
        <v>4.1666666666666664E-2</v>
      </c>
      <c r="M60" t="s">
        <v>83</v>
      </c>
      <c r="O60">
        <f>IF(Table13[[#This Row],[Goal_assist]]="",1,0)</f>
        <v>1</v>
      </c>
    </row>
    <row r="61" spans="1:15" x14ac:dyDescent="0.35">
      <c r="A61" t="s">
        <v>14</v>
      </c>
      <c r="B61" s="1">
        <v>45479</v>
      </c>
      <c r="C61" t="s">
        <v>35</v>
      </c>
      <c r="D61">
        <v>26</v>
      </c>
      <c r="E61" s="2">
        <v>39116</v>
      </c>
      <c r="F61" t="s">
        <v>24</v>
      </c>
      <c r="G61" t="s">
        <v>36</v>
      </c>
      <c r="H61" t="s">
        <v>42</v>
      </c>
      <c r="I61" s="3">
        <v>2.7777777777777779E-3</v>
      </c>
      <c r="J61" t="s">
        <v>38</v>
      </c>
      <c r="K61">
        <v>45</v>
      </c>
      <c r="L61" s="3">
        <v>6.9444444444444447E-4</v>
      </c>
      <c r="M61" t="s">
        <v>83</v>
      </c>
      <c r="O61">
        <f>IF(Table13[[#This Row],[Goal_assist]]="",1,0)</f>
        <v>1</v>
      </c>
    </row>
    <row r="62" spans="1:15" x14ac:dyDescent="0.35">
      <c r="A62" t="s">
        <v>14</v>
      </c>
      <c r="B62" s="1">
        <v>45479</v>
      </c>
      <c r="C62" t="s">
        <v>35</v>
      </c>
      <c r="D62">
        <v>28</v>
      </c>
      <c r="E62" s="2">
        <v>39137</v>
      </c>
      <c r="F62" t="s">
        <v>24</v>
      </c>
      <c r="G62" t="s">
        <v>36</v>
      </c>
      <c r="H62" t="s">
        <v>60</v>
      </c>
      <c r="I62" s="3">
        <v>4.3055555555555555E-2</v>
      </c>
      <c r="J62" t="str">
        <f>J61</f>
        <v>RW</v>
      </c>
      <c r="K62">
        <v>88</v>
      </c>
      <c r="L62" s="3">
        <v>4.3055555555555555E-2</v>
      </c>
      <c r="M62" t="s">
        <v>20</v>
      </c>
      <c r="O62">
        <f>IF(Table13[[#This Row],[Goal_assist]]="",1,0)</f>
        <v>1</v>
      </c>
    </row>
    <row r="63" spans="1:15" x14ac:dyDescent="0.35">
      <c r="A63" t="s">
        <v>14</v>
      </c>
      <c r="B63" s="1">
        <v>45479</v>
      </c>
      <c r="C63" t="s">
        <v>40</v>
      </c>
      <c r="D63" t="s">
        <v>57</v>
      </c>
      <c r="E63" s="2">
        <v>39151</v>
      </c>
      <c r="F63" t="s">
        <v>24</v>
      </c>
      <c r="G63" t="s">
        <v>36</v>
      </c>
      <c r="H63" t="s">
        <v>74</v>
      </c>
      <c r="I63" s="3">
        <v>8.4722222222222227E-2</v>
      </c>
      <c r="J63" t="s">
        <v>38</v>
      </c>
      <c r="K63">
        <v>68</v>
      </c>
      <c r="L63" s="3">
        <v>8.4722222222222227E-2</v>
      </c>
      <c r="M63" t="s">
        <v>83</v>
      </c>
      <c r="O63">
        <f>IF(Table13[[#This Row],[Goal_assist]]="",1,0)</f>
        <v>1</v>
      </c>
    </row>
    <row r="64" spans="1:15" x14ac:dyDescent="0.35">
      <c r="A64" t="s">
        <v>64</v>
      </c>
      <c r="B64" s="1">
        <v>45479</v>
      </c>
      <c r="C64" t="s">
        <v>65</v>
      </c>
      <c r="D64">
        <v>26</v>
      </c>
      <c r="E64" s="2">
        <v>39151</v>
      </c>
      <c r="F64" t="s">
        <v>16</v>
      </c>
      <c r="G64" t="s">
        <v>66</v>
      </c>
      <c r="H64" t="s">
        <v>112</v>
      </c>
      <c r="I64" s="3">
        <v>0.12708333333333333</v>
      </c>
      <c r="J64" t="s">
        <v>38</v>
      </c>
      <c r="K64">
        <v>28</v>
      </c>
      <c r="L64" s="3">
        <v>8.4722222222222227E-2</v>
      </c>
      <c r="M64" t="s">
        <v>31</v>
      </c>
      <c r="O64">
        <f>IF(Table13[[#This Row],[Goal_assist]]="",1,0)</f>
        <v>1</v>
      </c>
    </row>
    <row r="65" spans="1:15" x14ac:dyDescent="0.35">
      <c r="A65" t="s">
        <v>64</v>
      </c>
      <c r="B65" s="1">
        <v>45479</v>
      </c>
      <c r="C65" t="s">
        <v>65</v>
      </c>
      <c r="D65">
        <v>26</v>
      </c>
      <c r="E65" s="2">
        <v>39151</v>
      </c>
      <c r="F65" t="s">
        <v>16</v>
      </c>
      <c r="G65" t="s">
        <v>66</v>
      </c>
      <c r="H65" t="s">
        <v>112</v>
      </c>
      <c r="I65" s="3">
        <v>0.12708333333333333</v>
      </c>
      <c r="J65" t="s">
        <v>38</v>
      </c>
      <c r="K65" t="s">
        <v>69</v>
      </c>
      <c r="L65" s="3">
        <v>0.12708333333333333</v>
      </c>
      <c r="M65" t="s">
        <v>31</v>
      </c>
      <c r="N65" t="s">
        <v>70</v>
      </c>
      <c r="O65">
        <f>IF(Table13[[#This Row],[Goal_assist]]="",1,0)</f>
        <v>0</v>
      </c>
    </row>
    <row r="66" spans="1:15" x14ac:dyDescent="0.35">
      <c r="A66" t="s">
        <v>64</v>
      </c>
      <c r="B66" s="1">
        <v>45479</v>
      </c>
      <c r="C66" t="s">
        <v>65</v>
      </c>
      <c r="D66">
        <v>26</v>
      </c>
      <c r="E66" s="2">
        <v>39151</v>
      </c>
      <c r="F66" t="s">
        <v>16</v>
      </c>
      <c r="G66" t="s">
        <v>66</v>
      </c>
      <c r="H66" t="s">
        <v>112</v>
      </c>
      <c r="I66" s="3">
        <v>0.12708333333333333</v>
      </c>
      <c r="J66" t="s">
        <v>38</v>
      </c>
      <c r="K66">
        <v>11</v>
      </c>
      <c r="L66" s="3">
        <v>4.2361111111111113E-2</v>
      </c>
      <c r="M66" t="s">
        <v>31</v>
      </c>
      <c r="N66" t="s">
        <v>79</v>
      </c>
      <c r="O66">
        <f>IF(Table13[[#This Row],[Goal_assist]]="",1,0)</f>
        <v>0</v>
      </c>
    </row>
    <row r="67" spans="1:15" x14ac:dyDescent="0.35">
      <c r="A67" t="s">
        <v>64</v>
      </c>
      <c r="B67" s="1">
        <v>45479</v>
      </c>
      <c r="C67" t="s">
        <v>65</v>
      </c>
      <c r="D67">
        <v>27</v>
      </c>
      <c r="E67" s="2">
        <v>39158</v>
      </c>
      <c r="F67" t="s">
        <v>24</v>
      </c>
      <c r="G67" t="s">
        <v>66</v>
      </c>
      <c r="H67" t="s">
        <v>113</v>
      </c>
      <c r="I67" s="3">
        <v>2.7777777777777779E-3</v>
      </c>
      <c r="J67" t="s">
        <v>38</v>
      </c>
      <c r="K67">
        <v>86</v>
      </c>
      <c r="L67" s="3">
        <v>2.7777777777777779E-3</v>
      </c>
      <c r="M67" t="s">
        <v>31</v>
      </c>
      <c r="O67">
        <f>IF(Table13[[#This Row],[Goal_assist]]="",1,0)</f>
        <v>1</v>
      </c>
    </row>
    <row r="68" spans="1:15" x14ac:dyDescent="0.35">
      <c r="A68" t="s">
        <v>14</v>
      </c>
      <c r="B68" s="1">
        <v>45479</v>
      </c>
      <c r="C68" t="s">
        <v>40</v>
      </c>
      <c r="D68" t="s">
        <v>114</v>
      </c>
      <c r="E68" s="2">
        <v>39160</v>
      </c>
      <c r="F68" t="s">
        <v>16</v>
      </c>
      <c r="G68" t="s">
        <v>36</v>
      </c>
      <c r="H68" t="s">
        <v>74</v>
      </c>
      <c r="I68" s="3">
        <v>4.1666666666666664E-2</v>
      </c>
      <c r="J68" t="str">
        <f>J67</f>
        <v>RW</v>
      </c>
      <c r="K68">
        <v>76</v>
      </c>
      <c r="L68" s="3">
        <v>4.1666666666666664E-2</v>
      </c>
      <c r="M68" t="s">
        <v>83</v>
      </c>
      <c r="O68">
        <f>IF(Table13[[#This Row],[Goal_assist]]="",1,0)</f>
        <v>1</v>
      </c>
    </row>
    <row r="69" spans="1:15" x14ac:dyDescent="0.35">
      <c r="A69" t="s">
        <v>64</v>
      </c>
      <c r="B69" s="1">
        <v>45479</v>
      </c>
      <c r="C69" t="s">
        <v>65</v>
      </c>
      <c r="D69">
        <v>28</v>
      </c>
      <c r="E69" s="2">
        <v>39172</v>
      </c>
      <c r="F69" t="s">
        <v>16</v>
      </c>
      <c r="G69" t="s">
        <v>66</v>
      </c>
      <c r="H69" t="s">
        <v>115</v>
      </c>
      <c r="I69" s="3">
        <v>8.4027777777777785E-2</v>
      </c>
      <c r="J69" t="s">
        <v>38</v>
      </c>
      <c r="K69">
        <v>45</v>
      </c>
      <c r="L69" s="3">
        <v>4.1666666666666664E-2</v>
      </c>
      <c r="M69" t="s">
        <v>31</v>
      </c>
      <c r="N69" t="s">
        <v>70</v>
      </c>
      <c r="O69">
        <f>IF(Table13[[#This Row],[Goal_assist]]="",1,0)</f>
        <v>0</v>
      </c>
    </row>
    <row r="70" spans="1:15" x14ac:dyDescent="0.35">
      <c r="A70" t="s">
        <v>14</v>
      </c>
      <c r="B70" s="1">
        <v>45479</v>
      </c>
      <c r="C70" t="s">
        <v>75</v>
      </c>
      <c r="D70" t="s">
        <v>92</v>
      </c>
      <c r="E70" s="2">
        <v>39182</v>
      </c>
      <c r="F70" t="s">
        <v>16</v>
      </c>
      <c r="G70" t="s">
        <v>36</v>
      </c>
      <c r="H70" t="s">
        <v>116</v>
      </c>
      <c r="I70" s="3">
        <v>0.29236111111111113</v>
      </c>
      <c r="J70" t="s">
        <v>38</v>
      </c>
      <c r="K70">
        <v>49</v>
      </c>
      <c r="L70" s="3">
        <v>0.20833333333333334</v>
      </c>
      <c r="M70" t="s">
        <v>26</v>
      </c>
      <c r="N70" t="s">
        <v>44</v>
      </c>
      <c r="O70">
        <f>IF(Table13[[#This Row],[Goal_assist]]="",1,0)</f>
        <v>0</v>
      </c>
    </row>
    <row r="71" spans="1:15" x14ac:dyDescent="0.35">
      <c r="A71" t="s">
        <v>14</v>
      </c>
      <c r="B71" s="1">
        <v>45479</v>
      </c>
      <c r="C71" t="s">
        <v>75</v>
      </c>
      <c r="D71" t="s">
        <v>92</v>
      </c>
      <c r="E71" s="2">
        <v>39182</v>
      </c>
      <c r="F71" t="s">
        <v>16</v>
      </c>
      <c r="G71" t="s">
        <v>36</v>
      </c>
      <c r="H71" t="s">
        <v>116</v>
      </c>
      <c r="I71" s="3">
        <v>0.29236111111111113</v>
      </c>
      <c r="J71" t="s">
        <v>38</v>
      </c>
      <c r="K71">
        <v>44</v>
      </c>
      <c r="L71" s="3">
        <v>0.16666666666666666</v>
      </c>
      <c r="M71" t="s">
        <v>26</v>
      </c>
      <c r="N71" t="s">
        <v>44</v>
      </c>
      <c r="O71">
        <f>IF(Table13[[#This Row],[Goal_assist]]="",1,0)</f>
        <v>0</v>
      </c>
    </row>
    <row r="72" spans="1:15" x14ac:dyDescent="0.35">
      <c r="A72" t="s">
        <v>14</v>
      </c>
      <c r="B72" s="1">
        <v>45479</v>
      </c>
      <c r="C72" t="s">
        <v>40</v>
      </c>
      <c r="D72" t="s">
        <v>62</v>
      </c>
      <c r="E72" s="2">
        <v>39186</v>
      </c>
      <c r="F72" t="s">
        <v>24</v>
      </c>
      <c r="G72" t="s">
        <v>36</v>
      </c>
      <c r="H72" t="s">
        <v>111</v>
      </c>
      <c r="I72" s="3">
        <v>4.4444444444444446E-2</v>
      </c>
      <c r="J72" t="str">
        <f>J71</f>
        <v>RW</v>
      </c>
      <c r="K72">
        <v>28</v>
      </c>
      <c r="L72" s="3">
        <v>4.3055555555555555E-2</v>
      </c>
      <c r="M72" t="s">
        <v>26</v>
      </c>
      <c r="N72" t="s">
        <v>85</v>
      </c>
      <c r="O72">
        <f>IF(Table13[[#This Row],[Goal_assist]]="",1,0)</f>
        <v>0</v>
      </c>
    </row>
    <row r="73" spans="1:15" x14ac:dyDescent="0.35">
      <c r="A73" t="s">
        <v>64</v>
      </c>
      <c r="B73" s="1">
        <v>45479</v>
      </c>
      <c r="C73" t="s">
        <v>91</v>
      </c>
      <c r="D73" t="s">
        <v>62</v>
      </c>
      <c r="E73" s="2">
        <v>39190</v>
      </c>
      <c r="F73" t="s">
        <v>16</v>
      </c>
      <c r="G73" t="s">
        <v>66</v>
      </c>
      <c r="H73" t="s">
        <v>117</v>
      </c>
      <c r="I73" s="3">
        <v>0.20972222222222223</v>
      </c>
      <c r="J73" t="s">
        <v>38</v>
      </c>
      <c r="K73">
        <v>45</v>
      </c>
      <c r="L73" s="3">
        <v>0.125</v>
      </c>
      <c r="M73" t="s">
        <v>31</v>
      </c>
      <c r="N73" t="s">
        <v>104</v>
      </c>
      <c r="O73">
        <f>IF(Table13[[#This Row],[Goal_assist]]="",1,0)</f>
        <v>0</v>
      </c>
    </row>
    <row r="74" spans="1:15" x14ac:dyDescent="0.35">
      <c r="A74" t="s">
        <v>64</v>
      </c>
      <c r="B74" s="1">
        <v>45479</v>
      </c>
      <c r="C74" t="s">
        <v>91</v>
      </c>
      <c r="D74" t="s">
        <v>62</v>
      </c>
      <c r="E74" s="2">
        <v>39190</v>
      </c>
      <c r="F74" t="s">
        <v>16</v>
      </c>
      <c r="G74" t="s">
        <v>66</v>
      </c>
      <c r="H74" t="s">
        <v>117</v>
      </c>
      <c r="I74" s="3">
        <v>0.20972222222222223</v>
      </c>
      <c r="J74" t="s">
        <v>38</v>
      </c>
      <c r="K74">
        <v>29</v>
      </c>
      <c r="L74" s="3">
        <v>8.3333333333333329E-2</v>
      </c>
      <c r="M74" t="s">
        <v>20</v>
      </c>
      <c r="N74" t="s">
        <v>106</v>
      </c>
      <c r="O74">
        <f>IF(Table13[[#This Row],[Goal_assist]]="",1,0)</f>
        <v>0</v>
      </c>
    </row>
    <row r="75" spans="1:15" x14ac:dyDescent="0.35">
      <c r="A75" t="s">
        <v>14</v>
      </c>
      <c r="B75" s="1">
        <v>45479</v>
      </c>
      <c r="C75" t="s">
        <v>75</v>
      </c>
      <c r="D75" t="s">
        <v>62</v>
      </c>
      <c r="E75" s="2">
        <v>39196</v>
      </c>
      <c r="F75" t="s">
        <v>16</v>
      </c>
      <c r="G75" t="s">
        <v>36</v>
      </c>
      <c r="H75" t="s">
        <v>118</v>
      </c>
      <c r="I75" s="3">
        <v>0.12638888888888888</v>
      </c>
      <c r="J75" t="s">
        <v>38</v>
      </c>
      <c r="K75">
        <v>5</v>
      </c>
      <c r="L75" s="3">
        <v>4.1666666666666664E-2</v>
      </c>
      <c r="M75" t="s">
        <v>22</v>
      </c>
      <c r="N75" t="s">
        <v>44</v>
      </c>
      <c r="O75">
        <f>IF(Table13[[#This Row],[Goal_assist]]="",1,0)</f>
        <v>0</v>
      </c>
    </row>
    <row r="76" spans="1:15" x14ac:dyDescent="0.35">
      <c r="A76" t="s">
        <v>14</v>
      </c>
      <c r="B76" s="1">
        <v>45479</v>
      </c>
      <c r="C76" t="s">
        <v>35</v>
      </c>
      <c r="D76">
        <v>37</v>
      </c>
      <c r="E76" s="2">
        <v>39207</v>
      </c>
      <c r="F76" t="s">
        <v>24</v>
      </c>
      <c r="G76" t="s">
        <v>36</v>
      </c>
      <c r="H76" t="s">
        <v>41</v>
      </c>
      <c r="I76" s="3">
        <v>6.9444444444444447E-4</v>
      </c>
      <c r="J76" t="s">
        <v>38</v>
      </c>
      <c r="K76">
        <v>34</v>
      </c>
      <c r="L76" s="3">
        <v>6.9444444444444447E-4</v>
      </c>
      <c r="M76" t="s">
        <v>83</v>
      </c>
      <c r="O76">
        <f>IF(Table13[[#This Row],[Goal_assist]]="",1,0)</f>
        <v>1</v>
      </c>
    </row>
    <row r="77" spans="1:15" x14ac:dyDescent="0.35">
      <c r="A77" t="s">
        <v>64</v>
      </c>
      <c r="B77" s="1">
        <v>45479</v>
      </c>
      <c r="C77" t="s">
        <v>65</v>
      </c>
      <c r="D77">
        <v>35</v>
      </c>
      <c r="E77" s="2">
        <v>39222</v>
      </c>
      <c r="F77" t="s">
        <v>24</v>
      </c>
      <c r="G77" t="s">
        <v>66</v>
      </c>
      <c r="H77" t="s">
        <v>119</v>
      </c>
      <c r="I77" s="3">
        <v>4.1666666666666666E-3</v>
      </c>
      <c r="J77" t="s">
        <v>38</v>
      </c>
      <c r="K77">
        <v>39</v>
      </c>
      <c r="L77" s="3">
        <v>6.9444444444444447E-4</v>
      </c>
      <c r="M77" t="s">
        <v>31</v>
      </c>
      <c r="N77" t="s">
        <v>79</v>
      </c>
      <c r="O77">
        <f>IF(Table13[[#This Row],[Goal_assist]]="",1,0)</f>
        <v>0</v>
      </c>
    </row>
    <row r="78" spans="1:15" x14ac:dyDescent="0.35">
      <c r="A78" t="s">
        <v>64</v>
      </c>
      <c r="B78" s="1">
        <v>45479</v>
      </c>
      <c r="C78" t="s">
        <v>65</v>
      </c>
      <c r="D78">
        <v>35</v>
      </c>
      <c r="E78" s="2">
        <v>39222</v>
      </c>
      <c r="F78" t="s">
        <v>24</v>
      </c>
      <c r="G78" t="s">
        <v>66</v>
      </c>
      <c r="H78" t="s">
        <v>119</v>
      </c>
      <c r="I78" s="3">
        <v>4.1666666666666666E-3</v>
      </c>
      <c r="J78" t="s">
        <v>38</v>
      </c>
      <c r="K78">
        <v>80</v>
      </c>
      <c r="L78" s="3">
        <v>3.472222222222222E-3</v>
      </c>
      <c r="M78" t="s">
        <v>31</v>
      </c>
      <c r="N78" t="s">
        <v>120</v>
      </c>
      <c r="O78">
        <f>IF(Table13[[#This Row],[Goal_assist]]="",1,0)</f>
        <v>0</v>
      </c>
    </row>
    <row r="79" spans="1:15" x14ac:dyDescent="0.35">
      <c r="A79" t="s">
        <v>64</v>
      </c>
      <c r="B79" s="1">
        <v>45479</v>
      </c>
      <c r="C79" t="s">
        <v>65</v>
      </c>
      <c r="D79">
        <v>37</v>
      </c>
      <c r="E79" s="2">
        <v>39242</v>
      </c>
      <c r="F79" t="s">
        <v>16</v>
      </c>
      <c r="G79" t="s">
        <v>66</v>
      </c>
      <c r="H79" t="s">
        <v>121</v>
      </c>
      <c r="I79" s="3">
        <v>8.4722222222222227E-2</v>
      </c>
      <c r="J79" t="s">
        <v>38</v>
      </c>
      <c r="K79">
        <v>57</v>
      </c>
      <c r="L79" s="3">
        <v>8.4027777777777785E-2</v>
      </c>
      <c r="M79" t="s">
        <v>26</v>
      </c>
      <c r="N79" t="s">
        <v>104</v>
      </c>
      <c r="O79">
        <f>IF(Table13[[#This Row],[Goal_assist]]="",1,0)</f>
        <v>0</v>
      </c>
    </row>
    <row r="80" spans="1:15" x14ac:dyDescent="0.35">
      <c r="A80" t="s">
        <v>64</v>
      </c>
      <c r="B80" s="1">
        <v>45479</v>
      </c>
      <c r="C80" t="s">
        <v>65</v>
      </c>
      <c r="D80">
        <v>37</v>
      </c>
      <c r="E80" s="2">
        <v>39242</v>
      </c>
      <c r="F80" t="s">
        <v>16</v>
      </c>
      <c r="G80" t="s">
        <v>66</v>
      </c>
      <c r="H80" t="s">
        <v>121</v>
      </c>
      <c r="I80" s="3">
        <v>8.4722222222222227E-2</v>
      </c>
      <c r="J80" t="s">
        <v>38</v>
      </c>
      <c r="K80">
        <v>43</v>
      </c>
      <c r="L80" s="3">
        <v>4.2361111111111113E-2</v>
      </c>
      <c r="M80" t="str">
        <f>M79</f>
        <v>Right-footed shot</v>
      </c>
      <c r="N80" t="s">
        <v>122</v>
      </c>
      <c r="O80">
        <f>IF(Table13[[#This Row],[Goal_assist]]="",1,0)</f>
        <v>0</v>
      </c>
    </row>
    <row r="81" spans="1:15" x14ac:dyDescent="0.35">
      <c r="A81" t="s">
        <v>64</v>
      </c>
      <c r="B81" s="1">
        <v>45479</v>
      </c>
      <c r="C81" t="s">
        <v>65</v>
      </c>
      <c r="D81">
        <v>38</v>
      </c>
      <c r="E81" s="2">
        <v>39250</v>
      </c>
      <c r="F81" t="s">
        <v>24</v>
      </c>
      <c r="G81" t="s">
        <v>66</v>
      </c>
      <c r="H81" t="s">
        <v>123</v>
      </c>
      <c r="I81" s="3">
        <v>4.5138888888888888E-2</v>
      </c>
      <c r="J81" t="s">
        <v>38</v>
      </c>
      <c r="K81">
        <v>51</v>
      </c>
      <c r="L81" s="3">
        <v>2.7777777777777779E-3</v>
      </c>
      <c r="M81" t="s">
        <v>31</v>
      </c>
      <c r="N81" t="s">
        <v>104</v>
      </c>
      <c r="O81">
        <f>IF(Table13[[#This Row],[Goal_assist]]="",1,0)</f>
        <v>0</v>
      </c>
    </row>
    <row r="82" spans="1:15" x14ac:dyDescent="0.35">
      <c r="A82" t="s">
        <v>64</v>
      </c>
      <c r="B82" s="1">
        <v>45479</v>
      </c>
      <c r="C82" t="s">
        <v>65</v>
      </c>
      <c r="D82">
        <v>38</v>
      </c>
      <c r="E82" s="2">
        <v>39250</v>
      </c>
      <c r="F82" t="s">
        <v>24</v>
      </c>
      <c r="G82" t="s">
        <v>66</v>
      </c>
      <c r="H82" t="s">
        <v>123</v>
      </c>
      <c r="I82" s="3">
        <v>4.5138888888888888E-2</v>
      </c>
      <c r="J82" t="s">
        <v>38</v>
      </c>
      <c r="K82">
        <v>34</v>
      </c>
      <c r="L82" s="3">
        <v>1.3888888888888889E-3</v>
      </c>
      <c r="M82" t="s">
        <v>31</v>
      </c>
      <c r="N82" t="s">
        <v>104</v>
      </c>
      <c r="O82">
        <f>IF(Table13[[#This Row],[Goal_assist]]="",1,0)</f>
        <v>0</v>
      </c>
    </row>
    <row r="83" spans="1:15" x14ac:dyDescent="0.35">
      <c r="A83" t="s">
        <v>14</v>
      </c>
      <c r="B83" s="1">
        <v>45511</v>
      </c>
      <c r="C83" t="s">
        <v>75</v>
      </c>
      <c r="D83" t="s">
        <v>76</v>
      </c>
      <c r="E83" s="2">
        <v>39344</v>
      </c>
      <c r="F83" t="s">
        <v>24</v>
      </c>
      <c r="G83" t="s">
        <v>36</v>
      </c>
      <c r="H83" t="s">
        <v>17</v>
      </c>
      <c r="I83" s="3">
        <v>6.9444444444444447E-4</v>
      </c>
      <c r="J83" t="s">
        <v>38</v>
      </c>
      <c r="K83">
        <v>62</v>
      </c>
      <c r="L83" s="3">
        <v>6.9444444444444447E-4</v>
      </c>
      <c r="M83" t="s">
        <v>22</v>
      </c>
      <c r="N83" t="s">
        <v>124</v>
      </c>
      <c r="O83">
        <f>IF(Table13[[#This Row],[Goal_assist]]="",1,0)</f>
        <v>0</v>
      </c>
    </row>
    <row r="84" spans="1:15" x14ac:dyDescent="0.35">
      <c r="A84" t="s">
        <v>64</v>
      </c>
      <c r="B84" s="1">
        <v>45511</v>
      </c>
      <c r="C84" t="s">
        <v>75</v>
      </c>
      <c r="D84" t="s">
        <v>76</v>
      </c>
      <c r="E84" s="2">
        <v>39344</v>
      </c>
      <c r="F84" t="s">
        <v>16</v>
      </c>
      <c r="G84" t="s">
        <v>66</v>
      </c>
      <c r="H84" t="s">
        <v>125</v>
      </c>
      <c r="I84" s="3">
        <v>0.125</v>
      </c>
      <c r="J84" t="s">
        <v>38</v>
      </c>
      <c r="K84">
        <v>82</v>
      </c>
      <c r="L84" s="3">
        <v>8.3333333333333329E-2</v>
      </c>
      <c r="M84" t="s">
        <v>31</v>
      </c>
      <c r="N84" t="s">
        <v>99</v>
      </c>
      <c r="O84">
        <f>IF(Table13[[#This Row],[Goal_assist]]="",1,0)</f>
        <v>0</v>
      </c>
    </row>
    <row r="85" spans="1:15" x14ac:dyDescent="0.35">
      <c r="A85" t="s">
        <v>64</v>
      </c>
      <c r="B85" s="1">
        <v>45511</v>
      </c>
      <c r="C85" t="s">
        <v>65</v>
      </c>
      <c r="D85">
        <v>4</v>
      </c>
      <c r="E85" s="2">
        <v>39347</v>
      </c>
      <c r="F85" t="s">
        <v>16</v>
      </c>
      <c r="G85" t="s">
        <v>66</v>
      </c>
      <c r="H85" t="s">
        <v>105</v>
      </c>
      <c r="I85" s="3">
        <v>8.4027777777777785E-2</v>
      </c>
      <c r="J85" t="s">
        <v>38</v>
      </c>
      <c r="K85">
        <v>72</v>
      </c>
      <c r="L85" s="3">
        <v>4.1666666666666664E-2</v>
      </c>
      <c r="M85" t="s">
        <v>31</v>
      </c>
      <c r="N85" t="s">
        <v>126</v>
      </c>
      <c r="O85">
        <f>IF(Table13[[#This Row],[Goal_assist]]="",1,0)</f>
        <v>0</v>
      </c>
    </row>
    <row r="86" spans="1:15" x14ac:dyDescent="0.35">
      <c r="A86" t="s">
        <v>64</v>
      </c>
      <c r="B86" s="1">
        <v>45511</v>
      </c>
      <c r="C86" t="s">
        <v>65</v>
      </c>
      <c r="D86">
        <v>4</v>
      </c>
      <c r="E86" s="2">
        <v>39347</v>
      </c>
      <c r="F86" t="s">
        <v>16</v>
      </c>
      <c r="G86" t="s">
        <v>66</v>
      </c>
      <c r="H86" t="s">
        <v>105</v>
      </c>
      <c r="I86" s="3">
        <v>8.4027777777777785E-2</v>
      </c>
      <c r="J86" t="s">
        <v>38</v>
      </c>
      <c r="K86">
        <v>79</v>
      </c>
      <c r="L86" s="3">
        <v>8.3333333333333329E-2</v>
      </c>
      <c r="M86" t="s">
        <v>83</v>
      </c>
      <c r="O86">
        <f>IF(Table13[[#This Row],[Goal_assist]]="",1,0)</f>
        <v>1</v>
      </c>
    </row>
    <row r="87" spans="1:15" x14ac:dyDescent="0.35">
      <c r="A87" t="s">
        <v>64</v>
      </c>
      <c r="B87" s="1">
        <v>45511</v>
      </c>
      <c r="C87" t="s">
        <v>65</v>
      </c>
      <c r="D87">
        <v>5</v>
      </c>
      <c r="E87" s="2">
        <v>39351</v>
      </c>
      <c r="F87" t="s">
        <v>16</v>
      </c>
      <c r="G87" t="s">
        <v>66</v>
      </c>
      <c r="H87" t="s">
        <v>93</v>
      </c>
      <c r="I87" s="3">
        <v>0.1673611111111111</v>
      </c>
      <c r="J87" t="s">
        <v>38</v>
      </c>
      <c r="K87">
        <v>10</v>
      </c>
      <c r="L87" s="3">
        <v>8.4027777777777785E-2</v>
      </c>
      <c r="M87" t="s">
        <v>31</v>
      </c>
      <c r="N87" t="s">
        <v>104</v>
      </c>
      <c r="O87">
        <f>IF(Table13[[#This Row],[Goal_assist]]="",1,0)</f>
        <v>0</v>
      </c>
    </row>
    <row r="88" spans="1:15" x14ac:dyDescent="0.35">
      <c r="A88" t="s">
        <v>64</v>
      </c>
      <c r="B88" s="1">
        <v>45511</v>
      </c>
      <c r="C88" t="s">
        <v>65</v>
      </c>
      <c r="D88">
        <v>5</v>
      </c>
      <c r="E88" s="2">
        <v>39351</v>
      </c>
      <c r="F88" t="s">
        <v>16</v>
      </c>
      <c r="G88" t="s">
        <v>66</v>
      </c>
      <c r="H88" t="s">
        <v>93</v>
      </c>
      <c r="I88" s="3">
        <v>0.1673611111111111</v>
      </c>
      <c r="J88" t="s">
        <v>38</v>
      </c>
      <c r="K88">
        <v>5</v>
      </c>
      <c r="L88" s="3">
        <v>4.1666666666666664E-2</v>
      </c>
      <c r="M88" t="s">
        <v>31</v>
      </c>
      <c r="N88" t="s">
        <v>126</v>
      </c>
      <c r="O88">
        <f>IF(Table13[[#This Row],[Goal_assist]]="",1,0)</f>
        <v>0</v>
      </c>
    </row>
    <row r="89" spans="1:15" x14ac:dyDescent="0.35">
      <c r="A89" t="s">
        <v>14</v>
      </c>
      <c r="B89" s="1">
        <v>45511</v>
      </c>
      <c r="C89" t="s">
        <v>35</v>
      </c>
      <c r="D89">
        <v>8</v>
      </c>
      <c r="E89" s="2">
        <v>39354</v>
      </c>
      <c r="F89" t="s">
        <v>24</v>
      </c>
      <c r="G89" t="s">
        <v>36</v>
      </c>
      <c r="H89" t="s">
        <v>43</v>
      </c>
      <c r="I89" s="3">
        <v>6.9444444444444447E-4</v>
      </c>
      <c r="J89" t="s">
        <v>38</v>
      </c>
      <c r="K89">
        <v>51</v>
      </c>
      <c r="L89" s="3">
        <v>6.9444444444444447E-4</v>
      </c>
      <c r="M89" t="str">
        <f>M88</f>
        <v>Left-footed shot</v>
      </c>
      <c r="O89">
        <f>IF(Table13[[#This Row],[Goal_assist]]="",1,0)</f>
        <v>1</v>
      </c>
    </row>
    <row r="90" spans="1:15" x14ac:dyDescent="0.35">
      <c r="A90" t="s">
        <v>64</v>
      </c>
      <c r="B90" s="1">
        <v>45511</v>
      </c>
      <c r="C90" t="s">
        <v>65</v>
      </c>
      <c r="D90">
        <v>6</v>
      </c>
      <c r="E90" s="2">
        <v>39354</v>
      </c>
      <c r="F90" t="s">
        <v>24</v>
      </c>
      <c r="G90" t="s">
        <v>66</v>
      </c>
      <c r="H90" t="s">
        <v>127</v>
      </c>
      <c r="I90" s="3">
        <v>4.4444444444444446E-2</v>
      </c>
      <c r="J90" t="s">
        <v>38</v>
      </c>
      <c r="K90">
        <v>50</v>
      </c>
      <c r="L90" s="3">
        <v>2.7777777777777779E-3</v>
      </c>
      <c r="M90" t="s">
        <v>31</v>
      </c>
      <c r="N90" t="s">
        <v>104</v>
      </c>
      <c r="O90">
        <f>IF(Table13[[#This Row],[Goal_assist]]="",1,0)</f>
        <v>0</v>
      </c>
    </row>
    <row r="91" spans="1:15" x14ac:dyDescent="0.35">
      <c r="A91" t="s">
        <v>64</v>
      </c>
      <c r="B91" s="1">
        <v>45511</v>
      </c>
      <c r="C91" t="s">
        <v>75</v>
      </c>
      <c r="D91" t="s">
        <v>76</v>
      </c>
      <c r="E91" s="2">
        <v>39357</v>
      </c>
      <c r="F91" t="s">
        <v>24</v>
      </c>
      <c r="G91" t="s">
        <v>66</v>
      </c>
      <c r="H91" t="s">
        <v>128</v>
      </c>
      <c r="I91" s="3">
        <v>1.3888888888888889E-3</v>
      </c>
      <c r="J91" t="s">
        <v>38</v>
      </c>
      <c r="K91">
        <v>66</v>
      </c>
      <c r="L91" s="3">
        <v>1.3888888888888889E-3</v>
      </c>
      <c r="M91" t="s">
        <v>129</v>
      </c>
      <c r="N91" t="s">
        <v>126</v>
      </c>
      <c r="O91">
        <f>IF(Table13[[#This Row],[Goal_assist]]="",1,0)</f>
        <v>0</v>
      </c>
    </row>
    <row r="92" spans="1:15" x14ac:dyDescent="0.35">
      <c r="A92" t="s">
        <v>14</v>
      </c>
      <c r="B92" s="1">
        <v>45511</v>
      </c>
      <c r="C92" t="s">
        <v>35</v>
      </c>
      <c r="D92">
        <v>9</v>
      </c>
      <c r="E92" s="2">
        <v>39361</v>
      </c>
      <c r="F92" t="s">
        <v>16</v>
      </c>
      <c r="G92" t="s">
        <v>36</v>
      </c>
      <c r="H92" t="s">
        <v>96</v>
      </c>
      <c r="I92" s="3">
        <v>0.16666666666666666</v>
      </c>
      <c r="J92" t="s">
        <v>38</v>
      </c>
      <c r="K92">
        <v>76</v>
      </c>
      <c r="L92" s="3">
        <v>0.125</v>
      </c>
      <c r="M92" t="s">
        <v>26</v>
      </c>
      <c r="N92" t="s">
        <v>85</v>
      </c>
      <c r="O92">
        <f>IF(Table13[[#This Row],[Goal_assist]]="",1,0)</f>
        <v>0</v>
      </c>
    </row>
    <row r="93" spans="1:15" x14ac:dyDescent="0.35">
      <c r="A93" t="s">
        <v>14</v>
      </c>
      <c r="B93" s="1">
        <v>45511</v>
      </c>
      <c r="C93" t="s">
        <v>35</v>
      </c>
      <c r="D93">
        <v>9</v>
      </c>
      <c r="E93" s="2">
        <v>39361</v>
      </c>
      <c r="F93" t="s">
        <v>16</v>
      </c>
      <c r="G93" t="s">
        <v>36</v>
      </c>
      <c r="H93" t="s">
        <v>96</v>
      </c>
      <c r="I93" s="3">
        <v>0.16666666666666666</v>
      </c>
      <c r="J93" t="s">
        <v>38</v>
      </c>
      <c r="K93">
        <v>59</v>
      </c>
      <c r="L93" s="3">
        <v>8.3333333333333329E-2</v>
      </c>
      <c r="M93" t="s">
        <v>22</v>
      </c>
      <c r="N93" t="s">
        <v>44</v>
      </c>
      <c r="O93">
        <f>IF(Table13[[#This Row],[Goal_assist]]="",1,0)</f>
        <v>0</v>
      </c>
    </row>
    <row r="94" spans="1:15" x14ac:dyDescent="0.35">
      <c r="A94" t="s">
        <v>64</v>
      </c>
      <c r="B94" s="1">
        <v>45511</v>
      </c>
      <c r="C94" t="s">
        <v>65</v>
      </c>
      <c r="D94">
        <v>7</v>
      </c>
      <c r="E94" s="2">
        <v>39362</v>
      </c>
      <c r="F94" t="s">
        <v>16</v>
      </c>
      <c r="G94" t="s">
        <v>66</v>
      </c>
      <c r="H94" t="s">
        <v>119</v>
      </c>
      <c r="I94" s="3">
        <v>0.125</v>
      </c>
      <c r="J94" t="s">
        <v>38</v>
      </c>
      <c r="K94">
        <v>19</v>
      </c>
      <c r="L94" s="3">
        <v>8.3333333333333329E-2</v>
      </c>
      <c r="M94" t="s">
        <v>31</v>
      </c>
      <c r="N94" t="s">
        <v>70</v>
      </c>
      <c r="O94">
        <f>IF(Table13[[#This Row],[Goal_assist]]="",1,0)</f>
        <v>0</v>
      </c>
    </row>
    <row r="95" spans="1:15" x14ac:dyDescent="0.35">
      <c r="A95" t="s">
        <v>14</v>
      </c>
      <c r="B95" s="1">
        <v>45511</v>
      </c>
      <c r="C95" t="s">
        <v>75</v>
      </c>
      <c r="D95" t="s">
        <v>76</v>
      </c>
      <c r="E95" s="2">
        <v>39378</v>
      </c>
      <c r="F95" t="s">
        <v>24</v>
      </c>
      <c r="G95" t="s">
        <v>36</v>
      </c>
      <c r="H95" t="s">
        <v>130</v>
      </c>
      <c r="I95" s="3">
        <v>8.611111111111111E-2</v>
      </c>
      <c r="J95" t="s">
        <v>38</v>
      </c>
      <c r="K95">
        <v>41</v>
      </c>
      <c r="L95" s="3">
        <v>4.3749999999999997E-2</v>
      </c>
      <c r="M95" t="s">
        <v>83</v>
      </c>
      <c r="O95">
        <f>IF(Table13[[#This Row],[Goal_assist]]="",1,0)</f>
        <v>1</v>
      </c>
    </row>
    <row r="96" spans="1:15" x14ac:dyDescent="0.35">
      <c r="A96" t="s">
        <v>14</v>
      </c>
      <c r="B96" s="1">
        <v>45511</v>
      </c>
      <c r="C96" t="s">
        <v>75</v>
      </c>
      <c r="D96" t="s">
        <v>76</v>
      </c>
      <c r="E96" s="2">
        <v>39378</v>
      </c>
      <c r="F96" t="s">
        <v>24</v>
      </c>
      <c r="G96" t="s">
        <v>36</v>
      </c>
      <c r="H96" t="s">
        <v>130</v>
      </c>
      <c r="I96" s="3">
        <v>8.611111111111111E-2</v>
      </c>
      <c r="J96" t="s">
        <v>38</v>
      </c>
      <c r="K96">
        <v>68</v>
      </c>
      <c r="L96" s="3">
        <v>4.4444444444444446E-2</v>
      </c>
      <c r="M96" t="s">
        <v>22</v>
      </c>
      <c r="N96" t="s">
        <v>44</v>
      </c>
      <c r="O96">
        <f>IF(Table13[[#This Row],[Goal_assist]]="",1,0)</f>
        <v>0</v>
      </c>
    </row>
    <row r="97" spans="1:15" x14ac:dyDescent="0.35">
      <c r="A97" t="s">
        <v>64</v>
      </c>
      <c r="B97" s="1">
        <v>45511</v>
      </c>
      <c r="C97" t="s">
        <v>65</v>
      </c>
      <c r="D97">
        <v>9</v>
      </c>
      <c r="E97" s="2">
        <v>39383</v>
      </c>
      <c r="F97" t="s">
        <v>16</v>
      </c>
      <c r="G97" t="s">
        <v>66</v>
      </c>
      <c r="H97" t="s">
        <v>131</v>
      </c>
      <c r="I97" s="3">
        <v>8.3333333333333329E-2</v>
      </c>
      <c r="J97" t="s">
        <v>38</v>
      </c>
      <c r="K97">
        <v>80</v>
      </c>
      <c r="L97" s="3">
        <v>8.3333333333333329E-2</v>
      </c>
      <c r="M97" t="s">
        <v>83</v>
      </c>
      <c r="O97">
        <f>IF(Table13[[#This Row],[Goal_assist]]="",1,0)</f>
        <v>1</v>
      </c>
    </row>
    <row r="98" spans="1:15" x14ac:dyDescent="0.35">
      <c r="A98" t="s">
        <v>14</v>
      </c>
      <c r="B98" s="1">
        <v>45511</v>
      </c>
      <c r="C98" t="s">
        <v>35</v>
      </c>
      <c r="D98">
        <v>12</v>
      </c>
      <c r="E98" s="2">
        <v>39389</v>
      </c>
      <c r="F98" t="s">
        <v>24</v>
      </c>
      <c r="G98" t="s">
        <v>36</v>
      </c>
      <c r="H98" t="s">
        <v>54</v>
      </c>
      <c r="I98" s="3">
        <v>8.4722222222222227E-2</v>
      </c>
      <c r="J98" t="s">
        <v>38</v>
      </c>
      <c r="K98">
        <v>82</v>
      </c>
      <c r="L98" s="3">
        <v>4.3055555555555555E-2</v>
      </c>
      <c r="M98" t="str">
        <f>M97</f>
        <v>Penalty</v>
      </c>
      <c r="N98" t="s">
        <v>132</v>
      </c>
      <c r="O98">
        <f>IF(Table13[[#This Row],[Goal_assist]]="",1,0)</f>
        <v>0</v>
      </c>
    </row>
    <row r="99" spans="1:15" x14ac:dyDescent="0.35">
      <c r="A99" t="s">
        <v>64</v>
      </c>
      <c r="B99" s="1">
        <v>45511</v>
      </c>
      <c r="C99" t="s">
        <v>75</v>
      </c>
      <c r="D99" t="s">
        <v>76</v>
      </c>
      <c r="E99" s="2">
        <v>39393</v>
      </c>
      <c r="F99" t="s">
        <v>16</v>
      </c>
      <c r="G99" t="s">
        <v>66</v>
      </c>
      <c r="H99" t="s">
        <v>133</v>
      </c>
      <c r="I99" s="3">
        <v>8.3333333333333329E-2</v>
      </c>
      <c r="J99" t="s">
        <v>38</v>
      </c>
      <c r="K99">
        <v>41</v>
      </c>
      <c r="L99" s="3">
        <v>8.3333333333333329E-2</v>
      </c>
      <c r="M99" t="s">
        <v>31</v>
      </c>
      <c r="N99" t="s">
        <v>70</v>
      </c>
      <c r="O99">
        <f>IF(Table13[[#This Row],[Goal_assist]]="",1,0)</f>
        <v>0</v>
      </c>
    </row>
    <row r="100" spans="1:15" x14ac:dyDescent="0.35">
      <c r="A100" t="s">
        <v>14</v>
      </c>
      <c r="B100" s="1">
        <v>45511</v>
      </c>
      <c r="C100" t="s">
        <v>75</v>
      </c>
      <c r="D100" t="s">
        <v>76</v>
      </c>
      <c r="E100" s="2">
        <v>39393</v>
      </c>
      <c r="F100" t="s">
        <v>16</v>
      </c>
      <c r="G100" t="s">
        <v>36</v>
      </c>
      <c r="H100" t="s">
        <v>130</v>
      </c>
      <c r="I100" s="3">
        <v>0.16666666666666666</v>
      </c>
      <c r="J100" t="s">
        <v>38</v>
      </c>
      <c r="K100">
        <v>88</v>
      </c>
      <c r="L100" s="3">
        <v>0.16666666666666666</v>
      </c>
      <c r="M100" t="s">
        <v>26</v>
      </c>
      <c r="N100" t="s">
        <v>132</v>
      </c>
      <c r="O100">
        <f>IF(Table13[[#This Row],[Goal_assist]]="",1,0)</f>
        <v>0</v>
      </c>
    </row>
    <row r="101" spans="1:15" x14ac:dyDescent="0.35">
      <c r="A101" t="s">
        <v>14</v>
      </c>
      <c r="B101" s="1">
        <v>45511</v>
      </c>
      <c r="C101" t="s">
        <v>35</v>
      </c>
      <c r="D101">
        <v>13</v>
      </c>
      <c r="E101" s="2">
        <v>39397</v>
      </c>
      <c r="F101" t="s">
        <v>16</v>
      </c>
      <c r="G101" t="s">
        <v>36</v>
      </c>
      <c r="H101" t="s">
        <v>134</v>
      </c>
      <c r="I101" s="3">
        <v>8.3333333333333329E-2</v>
      </c>
      <c r="J101" t="s">
        <v>38</v>
      </c>
      <c r="K101">
        <v>34</v>
      </c>
      <c r="L101" s="3">
        <v>4.1666666666666664E-2</v>
      </c>
      <c r="M101" t="s">
        <v>22</v>
      </c>
      <c r="N101" t="s">
        <v>44</v>
      </c>
      <c r="O101">
        <f>IF(Table13[[#This Row],[Goal_assist]]="",1,0)</f>
        <v>0</v>
      </c>
    </row>
    <row r="102" spans="1:15" x14ac:dyDescent="0.35">
      <c r="A102" t="s">
        <v>14</v>
      </c>
      <c r="B102" s="1">
        <v>45511</v>
      </c>
      <c r="C102" t="s">
        <v>35</v>
      </c>
      <c r="D102">
        <v>13</v>
      </c>
      <c r="E102" s="2">
        <v>39397</v>
      </c>
      <c r="F102" t="s">
        <v>16</v>
      </c>
      <c r="G102" t="s">
        <v>36</v>
      </c>
      <c r="H102" t="s">
        <v>134</v>
      </c>
      <c r="I102" s="3">
        <v>8.3333333333333329E-2</v>
      </c>
      <c r="J102" t="s">
        <v>38</v>
      </c>
      <c r="K102">
        <v>35</v>
      </c>
      <c r="L102" s="3">
        <v>8.3333333333333329E-2</v>
      </c>
      <c r="M102" t="s">
        <v>26</v>
      </c>
      <c r="N102" t="s">
        <v>135</v>
      </c>
      <c r="O102">
        <f>IF(Table13[[#This Row],[Goal_assist]]="",1,0)</f>
        <v>0</v>
      </c>
    </row>
    <row r="103" spans="1:15" x14ac:dyDescent="0.35">
      <c r="A103" t="s">
        <v>64</v>
      </c>
      <c r="B103" s="1">
        <v>45511</v>
      </c>
      <c r="C103" t="s">
        <v>65</v>
      </c>
      <c r="D103">
        <v>13</v>
      </c>
      <c r="E103" s="2">
        <v>39410</v>
      </c>
      <c r="F103" t="s">
        <v>16</v>
      </c>
      <c r="G103" t="s">
        <v>66</v>
      </c>
      <c r="H103" t="s">
        <v>113</v>
      </c>
      <c r="I103" s="3">
        <v>0.125</v>
      </c>
      <c r="J103" t="s">
        <v>38</v>
      </c>
      <c r="K103">
        <v>81</v>
      </c>
      <c r="L103" s="3">
        <v>0.125</v>
      </c>
      <c r="M103" t="s">
        <v>83</v>
      </c>
      <c r="O103">
        <f>IF(Table13[[#This Row],[Goal_assist]]="",1,0)</f>
        <v>1</v>
      </c>
    </row>
    <row r="104" spans="1:15" x14ac:dyDescent="0.35">
      <c r="A104" t="s">
        <v>64</v>
      </c>
      <c r="B104" s="1">
        <v>45511</v>
      </c>
      <c r="C104" t="s">
        <v>75</v>
      </c>
      <c r="D104" t="s">
        <v>76</v>
      </c>
      <c r="E104" s="2">
        <v>39413</v>
      </c>
      <c r="F104" t="s">
        <v>24</v>
      </c>
      <c r="G104" t="s">
        <v>66</v>
      </c>
      <c r="H104" t="s">
        <v>125</v>
      </c>
      <c r="I104" s="3">
        <v>8.4722222222222227E-2</v>
      </c>
      <c r="J104" t="s">
        <v>38</v>
      </c>
      <c r="K104">
        <v>58</v>
      </c>
      <c r="L104" s="3">
        <v>4.3055555555555555E-2</v>
      </c>
      <c r="M104" t="s">
        <v>83</v>
      </c>
      <c r="O104">
        <f>IF(Table13[[#This Row],[Goal_assist]]="",1,0)</f>
        <v>1</v>
      </c>
    </row>
    <row r="105" spans="1:15" x14ac:dyDescent="0.35">
      <c r="A105" t="s">
        <v>14</v>
      </c>
      <c r="B105" s="1">
        <v>45511</v>
      </c>
      <c r="C105" t="s">
        <v>75</v>
      </c>
      <c r="D105" t="s">
        <v>76</v>
      </c>
      <c r="E105" s="2">
        <v>39413</v>
      </c>
      <c r="F105" t="s">
        <v>16</v>
      </c>
      <c r="G105" t="s">
        <v>36</v>
      </c>
      <c r="H105" t="s">
        <v>17</v>
      </c>
      <c r="I105" s="3">
        <v>8.4027777777777785E-2</v>
      </c>
      <c r="J105" t="s">
        <v>38</v>
      </c>
      <c r="K105" t="s">
        <v>136</v>
      </c>
      <c r="L105" s="3">
        <v>8.4027777777777785E-2</v>
      </c>
      <c r="M105" t="s">
        <v>39</v>
      </c>
      <c r="O105">
        <f>IF(Table13[[#This Row],[Goal_assist]]="",1,0)</f>
        <v>1</v>
      </c>
    </row>
    <row r="106" spans="1:15" x14ac:dyDescent="0.35">
      <c r="A106" t="s">
        <v>14</v>
      </c>
      <c r="B106" s="1">
        <v>45511</v>
      </c>
      <c r="C106" t="s">
        <v>35</v>
      </c>
      <c r="D106">
        <v>15</v>
      </c>
      <c r="E106" s="2">
        <v>39419</v>
      </c>
      <c r="F106" t="s">
        <v>16</v>
      </c>
      <c r="G106" t="s">
        <v>36</v>
      </c>
      <c r="H106" t="s">
        <v>60</v>
      </c>
      <c r="I106" s="3">
        <v>8.3333333333333329E-2</v>
      </c>
      <c r="J106" t="str">
        <f t="shared" ref="J106:J108" si="10">J105</f>
        <v>RW</v>
      </c>
      <c r="K106">
        <v>58</v>
      </c>
      <c r="L106" s="3">
        <v>8.3333333333333329E-2</v>
      </c>
      <c r="M106" t="s">
        <v>22</v>
      </c>
      <c r="N106" t="s">
        <v>102</v>
      </c>
      <c r="O106">
        <f>IF(Table13[[#This Row],[Goal_assist]]="",1,0)</f>
        <v>0</v>
      </c>
    </row>
    <row r="107" spans="1:15" x14ac:dyDescent="0.35">
      <c r="A107" t="s">
        <v>14</v>
      </c>
      <c r="B107" s="1">
        <v>45511</v>
      </c>
      <c r="C107" t="s">
        <v>35</v>
      </c>
      <c r="D107">
        <v>15</v>
      </c>
      <c r="E107" s="2">
        <v>39419</v>
      </c>
      <c r="F107" t="s">
        <v>16</v>
      </c>
      <c r="G107" t="s">
        <v>36</v>
      </c>
      <c r="H107" t="s">
        <v>60</v>
      </c>
      <c r="I107" s="3">
        <v>8.3333333333333329E-2</v>
      </c>
      <c r="J107" t="str">
        <f t="shared" si="10"/>
        <v>RW</v>
      </c>
      <c r="K107">
        <v>10</v>
      </c>
      <c r="L107" s="3">
        <v>4.1666666666666664E-2</v>
      </c>
      <c r="M107" t="s">
        <v>26</v>
      </c>
      <c r="N107" t="s">
        <v>137</v>
      </c>
      <c r="O107">
        <f>IF(Table13[[#This Row],[Goal_assist]]="",1,0)</f>
        <v>0</v>
      </c>
    </row>
    <row r="108" spans="1:15" x14ac:dyDescent="0.35">
      <c r="A108" t="s">
        <v>14</v>
      </c>
      <c r="B108" s="1">
        <v>45511</v>
      </c>
      <c r="C108" t="s">
        <v>35</v>
      </c>
      <c r="D108">
        <v>16</v>
      </c>
      <c r="E108" s="2">
        <v>39424</v>
      </c>
      <c r="F108" t="s">
        <v>16</v>
      </c>
      <c r="G108" t="s">
        <v>36</v>
      </c>
      <c r="H108" t="s">
        <v>138</v>
      </c>
      <c r="I108" s="3">
        <v>0.1673611111111111</v>
      </c>
      <c r="J108" t="str">
        <f t="shared" si="10"/>
        <v>RW</v>
      </c>
      <c r="K108">
        <v>90</v>
      </c>
      <c r="L108" s="3">
        <v>0.1673611111111111</v>
      </c>
      <c r="M108" t="s">
        <v>83</v>
      </c>
      <c r="O108">
        <f>IF(Table13[[#This Row],[Goal_assist]]="",1,0)</f>
        <v>1</v>
      </c>
    </row>
    <row r="109" spans="1:15" x14ac:dyDescent="0.35">
      <c r="A109" t="s">
        <v>14</v>
      </c>
      <c r="B109" s="1">
        <v>45511</v>
      </c>
      <c r="C109" t="s">
        <v>35</v>
      </c>
      <c r="D109">
        <v>18</v>
      </c>
      <c r="E109" s="2">
        <v>39439</v>
      </c>
      <c r="F109" t="s">
        <v>16</v>
      </c>
      <c r="G109" t="s">
        <v>36</v>
      </c>
      <c r="H109" t="s">
        <v>56</v>
      </c>
      <c r="I109" s="3">
        <v>8.4027777777777785E-2</v>
      </c>
      <c r="J109" t="s">
        <v>38</v>
      </c>
      <c r="K109">
        <v>87</v>
      </c>
      <c r="L109" s="3">
        <v>8.4027777777777785E-2</v>
      </c>
      <c r="M109" t="s">
        <v>83</v>
      </c>
      <c r="O109">
        <f>IF(Table13[[#This Row],[Goal_assist]]="",1,0)</f>
        <v>1</v>
      </c>
    </row>
    <row r="110" spans="1:15" x14ac:dyDescent="0.35">
      <c r="A110" t="s">
        <v>14</v>
      </c>
      <c r="B110" s="1">
        <v>45511</v>
      </c>
      <c r="C110" t="s">
        <v>35</v>
      </c>
      <c r="D110">
        <v>18</v>
      </c>
      <c r="E110" s="2">
        <v>39439</v>
      </c>
      <c r="F110" t="s">
        <v>16</v>
      </c>
      <c r="G110" t="s">
        <v>36</v>
      </c>
      <c r="H110" t="s">
        <v>56</v>
      </c>
      <c r="I110" s="3">
        <v>8.4027777777777785E-2</v>
      </c>
      <c r="J110" t="s">
        <v>38</v>
      </c>
      <c r="K110">
        <v>22</v>
      </c>
      <c r="L110" s="3">
        <v>4.1666666666666664E-2</v>
      </c>
      <c r="M110" t="s">
        <v>31</v>
      </c>
      <c r="N110" t="s">
        <v>135</v>
      </c>
      <c r="O110">
        <f>IF(Table13[[#This Row],[Goal_assist]]="",1,0)</f>
        <v>0</v>
      </c>
    </row>
    <row r="111" spans="1:15" x14ac:dyDescent="0.35">
      <c r="A111" t="s">
        <v>14</v>
      </c>
      <c r="B111" s="1">
        <v>45511</v>
      </c>
      <c r="C111" t="s">
        <v>35</v>
      </c>
      <c r="D111">
        <v>19</v>
      </c>
      <c r="E111" s="2">
        <v>39442</v>
      </c>
      <c r="F111" t="s">
        <v>24</v>
      </c>
      <c r="G111" t="s">
        <v>36</v>
      </c>
      <c r="H111" t="s">
        <v>139</v>
      </c>
      <c r="I111" s="3">
        <v>2.7777777777777779E-3</v>
      </c>
      <c r="J111" t="str">
        <f>J110</f>
        <v>RW</v>
      </c>
      <c r="K111">
        <v>45</v>
      </c>
      <c r="L111" s="3">
        <v>2.0833333333333333E-3</v>
      </c>
      <c r="M111" t="s">
        <v>39</v>
      </c>
      <c r="O111">
        <f>IF(Table13[[#This Row],[Goal_assist]]="",1,0)</f>
        <v>1</v>
      </c>
    </row>
    <row r="112" spans="1:15" x14ac:dyDescent="0.35">
      <c r="A112" t="s">
        <v>14</v>
      </c>
      <c r="B112" s="1">
        <v>45511</v>
      </c>
      <c r="C112" t="s">
        <v>35</v>
      </c>
      <c r="D112">
        <v>20</v>
      </c>
      <c r="E112" s="2">
        <v>39445</v>
      </c>
      <c r="F112" t="s">
        <v>24</v>
      </c>
      <c r="G112" t="s">
        <v>36</v>
      </c>
      <c r="H112" t="s">
        <v>140</v>
      </c>
      <c r="I112" s="3">
        <v>8.4027777777777785E-2</v>
      </c>
      <c r="J112" t="s">
        <v>38</v>
      </c>
      <c r="K112">
        <v>14</v>
      </c>
      <c r="L112" s="3">
        <v>6.9444444444444447E-4</v>
      </c>
      <c r="M112" t="s">
        <v>22</v>
      </c>
      <c r="N112" t="s">
        <v>44</v>
      </c>
      <c r="O112">
        <f>IF(Table13[[#This Row],[Goal_assist]]="",1,0)</f>
        <v>0</v>
      </c>
    </row>
    <row r="113" spans="1:15" x14ac:dyDescent="0.35">
      <c r="A113" t="s">
        <v>14</v>
      </c>
      <c r="B113" s="1">
        <v>45511</v>
      </c>
      <c r="C113" t="s">
        <v>40</v>
      </c>
      <c r="D113" t="s">
        <v>50</v>
      </c>
      <c r="E113" s="2">
        <v>39452</v>
      </c>
      <c r="F113" t="s">
        <v>24</v>
      </c>
      <c r="G113" t="s">
        <v>36</v>
      </c>
      <c r="H113" t="s">
        <v>45</v>
      </c>
      <c r="I113" s="3">
        <v>1.3888888888888889E-3</v>
      </c>
      <c r="J113" t="str">
        <f>J112</f>
        <v>RW</v>
      </c>
      <c r="K113">
        <v>81</v>
      </c>
      <c r="L113" s="3">
        <v>6.9444444444444447E-4</v>
      </c>
      <c r="M113" t="s">
        <v>31</v>
      </c>
      <c r="N113" t="s">
        <v>44</v>
      </c>
      <c r="O113">
        <f>IF(Table13[[#This Row],[Goal_assist]]="",1,0)</f>
        <v>0</v>
      </c>
    </row>
    <row r="114" spans="1:15" x14ac:dyDescent="0.35">
      <c r="A114" t="s">
        <v>14</v>
      </c>
      <c r="B114" s="1">
        <v>45511</v>
      </c>
      <c r="C114" t="s">
        <v>35</v>
      </c>
      <c r="D114">
        <v>22</v>
      </c>
      <c r="E114" s="2">
        <v>39459</v>
      </c>
      <c r="F114" t="s">
        <v>16</v>
      </c>
      <c r="G114" t="s">
        <v>36</v>
      </c>
      <c r="H114" t="s">
        <v>63</v>
      </c>
      <c r="I114" s="3">
        <v>0.25</v>
      </c>
      <c r="J114" t="s">
        <v>38</v>
      </c>
      <c r="K114">
        <v>48</v>
      </c>
      <c r="L114" s="3">
        <v>4.1666666666666664E-2</v>
      </c>
      <c r="M114" t="s">
        <v>39</v>
      </c>
      <c r="O114">
        <f>IF(Table13[[#This Row],[Goal_assist]]="",1,0)</f>
        <v>1</v>
      </c>
    </row>
    <row r="115" spans="1:15" x14ac:dyDescent="0.35">
      <c r="A115" t="s">
        <v>14</v>
      </c>
      <c r="B115" s="1">
        <v>45511</v>
      </c>
      <c r="C115" t="s">
        <v>35</v>
      </c>
      <c r="D115">
        <v>22</v>
      </c>
      <c r="E115" s="2">
        <v>39459</v>
      </c>
      <c r="F115" t="s">
        <v>16</v>
      </c>
      <c r="G115" t="s">
        <v>36</v>
      </c>
      <c r="H115" t="s">
        <v>63</v>
      </c>
      <c r="I115" s="3">
        <v>0.25</v>
      </c>
      <c r="J115" t="s">
        <v>38</v>
      </c>
      <c r="K115">
        <v>70</v>
      </c>
      <c r="L115" s="3">
        <v>0.125</v>
      </c>
      <c r="M115" t="s">
        <v>26</v>
      </c>
      <c r="N115" t="s">
        <v>135</v>
      </c>
      <c r="O115">
        <f>IF(Table13[[#This Row],[Goal_assist]]="",1,0)</f>
        <v>0</v>
      </c>
    </row>
    <row r="116" spans="1:15" x14ac:dyDescent="0.35">
      <c r="A116" t="s">
        <v>14</v>
      </c>
      <c r="B116" s="1">
        <v>45511</v>
      </c>
      <c r="C116" t="s">
        <v>35</v>
      </c>
      <c r="D116">
        <v>22</v>
      </c>
      <c r="E116" s="2">
        <v>39459</v>
      </c>
      <c r="F116" t="s">
        <v>16</v>
      </c>
      <c r="G116" t="s">
        <v>36</v>
      </c>
      <c r="H116" t="s">
        <v>63</v>
      </c>
      <c r="I116" s="3">
        <v>0.25</v>
      </c>
      <c r="J116" t="s">
        <v>38</v>
      </c>
      <c r="K116">
        <v>88</v>
      </c>
      <c r="L116" s="3">
        <v>0.20833333333333334</v>
      </c>
      <c r="M116" t="s">
        <v>31</v>
      </c>
      <c r="O116">
        <f>IF(Table13[[#This Row],[Goal_assist]]="",1,0)</f>
        <v>1</v>
      </c>
    </row>
    <row r="117" spans="1:15" x14ac:dyDescent="0.35">
      <c r="A117" t="s">
        <v>14</v>
      </c>
      <c r="B117" s="1">
        <v>45511</v>
      </c>
      <c r="C117" t="s">
        <v>35</v>
      </c>
      <c r="D117">
        <v>23</v>
      </c>
      <c r="E117" s="2">
        <v>39466</v>
      </c>
      <c r="F117" t="s">
        <v>24</v>
      </c>
      <c r="G117" t="s">
        <v>36</v>
      </c>
      <c r="H117" t="s">
        <v>101</v>
      </c>
      <c r="I117" s="3">
        <v>1.3888888888888889E-3</v>
      </c>
      <c r="J117" t="s">
        <v>38</v>
      </c>
      <c r="K117" t="s">
        <v>141</v>
      </c>
      <c r="L117" s="3">
        <v>1.3888888888888889E-3</v>
      </c>
      <c r="M117" t="s">
        <v>26</v>
      </c>
      <c r="O117">
        <f>IF(Table13[[#This Row],[Goal_assist]]="",1,0)</f>
        <v>1</v>
      </c>
    </row>
    <row r="118" spans="1:15" x14ac:dyDescent="0.35">
      <c r="A118" t="s">
        <v>14</v>
      </c>
      <c r="B118" s="1">
        <v>45511</v>
      </c>
      <c r="C118" t="s">
        <v>40</v>
      </c>
      <c r="D118" t="s">
        <v>29</v>
      </c>
      <c r="E118" s="2">
        <v>39474</v>
      </c>
      <c r="F118" t="s">
        <v>16</v>
      </c>
      <c r="G118" t="s">
        <v>36</v>
      </c>
      <c r="H118" t="s">
        <v>42</v>
      </c>
      <c r="I118" s="3">
        <v>0.12569444444444444</v>
      </c>
      <c r="J118" t="s">
        <v>38</v>
      </c>
      <c r="K118">
        <v>69</v>
      </c>
      <c r="L118" s="3">
        <v>8.4027777777777785E-2</v>
      </c>
      <c r="M118" t="s">
        <v>83</v>
      </c>
      <c r="O118">
        <f>IF(Table13[[#This Row],[Goal_assist]]="",1,0)</f>
        <v>1</v>
      </c>
    </row>
    <row r="119" spans="1:15" x14ac:dyDescent="0.35">
      <c r="A119" t="s">
        <v>14</v>
      </c>
      <c r="B119" s="1">
        <v>45511</v>
      </c>
      <c r="C119" t="s">
        <v>40</v>
      </c>
      <c r="D119" t="s">
        <v>29</v>
      </c>
      <c r="E119" s="2">
        <v>39474</v>
      </c>
      <c r="F119" t="s">
        <v>16</v>
      </c>
      <c r="G119" t="s">
        <v>36</v>
      </c>
      <c r="H119" t="s">
        <v>42</v>
      </c>
      <c r="I119" s="3">
        <v>0.12569444444444444</v>
      </c>
      <c r="J119" t="s">
        <v>38</v>
      </c>
      <c r="K119">
        <v>88</v>
      </c>
      <c r="L119" s="3">
        <v>0.12569444444444444</v>
      </c>
      <c r="M119" t="s">
        <v>26</v>
      </c>
      <c r="N119" t="s">
        <v>44</v>
      </c>
      <c r="O119">
        <f>IF(Table13[[#This Row],[Goal_assist]]="",1,0)</f>
        <v>0</v>
      </c>
    </row>
    <row r="120" spans="1:15" x14ac:dyDescent="0.35">
      <c r="A120" t="s">
        <v>14</v>
      </c>
      <c r="B120" s="1">
        <v>45511</v>
      </c>
      <c r="C120" t="s">
        <v>35</v>
      </c>
      <c r="D120">
        <v>24</v>
      </c>
      <c r="E120" s="2">
        <v>39477</v>
      </c>
      <c r="F120" t="s">
        <v>16</v>
      </c>
      <c r="G120" t="s">
        <v>36</v>
      </c>
      <c r="H120" t="s">
        <v>37</v>
      </c>
      <c r="I120" s="3">
        <v>8.3333333333333329E-2</v>
      </c>
      <c r="J120" t="s">
        <v>38</v>
      </c>
      <c r="K120">
        <v>10</v>
      </c>
      <c r="L120" s="3">
        <v>4.1666666666666664E-2</v>
      </c>
      <c r="M120" t="s">
        <v>26</v>
      </c>
      <c r="N120" t="s">
        <v>142</v>
      </c>
      <c r="O120">
        <f>IF(Table13[[#This Row],[Goal_assist]]="",1,0)</f>
        <v>0</v>
      </c>
    </row>
    <row r="121" spans="1:15" x14ac:dyDescent="0.35">
      <c r="A121" t="s">
        <v>14</v>
      </c>
      <c r="B121" s="1">
        <v>45511</v>
      </c>
      <c r="C121" t="s">
        <v>35</v>
      </c>
      <c r="D121">
        <v>24</v>
      </c>
      <c r="E121" s="2">
        <v>39477</v>
      </c>
      <c r="F121" t="s">
        <v>16</v>
      </c>
      <c r="G121" t="s">
        <v>36</v>
      </c>
      <c r="H121" t="s">
        <v>37</v>
      </c>
      <c r="I121" s="3">
        <v>8.3333333333333329E-2</v>
      </c>
      <c r="J121" t="s">
        <v>38</v>
      </c>
      <c r="K121">
        <v>12</v>
      </c>
      <c r="L121" s="3">
        <v>8.3333333333333329E-2</v>
      </c>
      <c r="M121" t="s">
        <v>39</v>
      </c>
      <c r="O121">
        <f>IF(Table13[[#This Row],[Goal_assist]]="",1,0)</f>
        <v>1</v>
      </c>
    </row>
    <row r="122" spans="1:15" x14ac:dyDescent="0.35">
      <c r="A122" t="s">
        <v>64</v>
      </c>
      <c r="B122" s="1">
        <v>45511</v>
      </c>
      <c r="C122" t="s">
        <v>75</v>
      </c>
      <c r="D122" t="s">
        <v>143</v>
      </c>
      <c r="E122" s="2">
        <v>39498</v>
      </c>
      <c r="F122" t="s">
        <v>24</v>
      </c>
      <c r="G122" t="s">
        <v>66</v>
      </c>
      <c r="H122" t="s">
        <v>144</v>
      </c>
      <c r="I122" s="3">
        <v>8.5416666666666669E-2</v>
      </c>
      <c r="J122" t="s">
        <v>38</v>
      </c>
      <c r="K122">
        <v>18</v>
      </c>
      <c r="L122" s="3">
        <v>4.2361111111111113E-2</v>
      </c>
      <c r="M122" t="s">
        <v>31</v>
      </c>
      <c r="N122" t="s">
        <v>104</v>
      </c>
      <c r="O122">
        <f>IF(Table13[[#This Row],[Goal_assist]]="",1,0)</f>
        <v>0</v>
      </c>
    </row>
    <row r="123" spans="1:15" x14ac:dyDescent="0.35">
      <c r="A123" t="s">
        <v>64</v>
      </c>
      <c r="B123" s="1">
        <v>45511</v>
      </c>
      <c r="C123" t="s">
        <v>75</v>
      </c>
      <c r="D123" t="s">
        <v>143</v>
      </c>
      <c r="E123" s="2">
        <v>39498</v>
      </c>
      <c r="F123" t="s">
        <v>24</v>
      </c>
      <c r="G123" t="s">
        <v>66</v>
      </c>
      <c r="H123" t="s">
        <v>144</v>
      </c>
      <c r="I123" s="3">
        <v>8.5416666666666669E-2</v>
      </c>
      <c r="J123" t="s">
        <v>38</v>
      </c>
      <c r="K123">
        <v>79</v>
      </c>
      <c r="L123" s="3">
        <v>8.5416666666666669E-2</v>
      </c>
      <c r="M123" t="s">
        <v>31</v>
      </c>
      <c r="O123">
        <f>IF(Table13[[#This Row],[Goal_assist]]="",1,0)</f>
        <v>1</v>
      </c>
    </row>
    <row r="124" spans="1:15" x14ac:dyDescent="0.35">
      <c r="A124" t="s">
        <v>14</v>
      </c>
      <c r="B124" s="1">
        <v>45511</v>
      </c>
      <c r="C124" t="s">
        <v>35</v>
      </c>
      <c r="D124">
        <v>27</v>
      </c>
      <c r="E124" s="2">
        <v>39501</v>
      </c>
      <c r="F124" t="s">
        <v>24</v>
      </c>
      <c r="G124" t="s">
        <v>36</v>
      </c>
      <c r="H124" t="s">
        <v>63</v>
      </c>
      <c r="I124" s="3">
        <v>4.5138888888888888E-2</v>
      </c>
      <c r="J124" t="s">
        <v>38</v>
      </c>
      <c r="K124">
        <v>56</v>
      </c>
      <c r="L124" s="3">
        <v>2.0833333333333333E-3</v>
      </c>
      <c r="M124" t="s">
        <v>26</v>
      </c>
      <c r="O124">
        <f>IF(Table13[[#This Row],[Goal_assist]]="",1,0)</f>
        <v>1</v>
      </c>
    </row>
    <row r="125" spans="1:15" x14ac:dyDescent="0.35">
      <c r="A125" t="s">
        <v>14</v>
      </c>
      <c r="B125" s="1">
        <v>45511</v>
      </c>
      <c r="C125" t="s">
        <v>35</v>
      </c>
      <c r="D125">
        <v>27</v>
      </c>
      <c r="E125" s="2">
        <v>39501</v>
      </c>
      <c r="F125" t="s">
        <v>24</v>
      </c>
      <c r="G125" t="s">
        <v>36</v>
      </c>
      <c r="H125" t="s">
        <v>63</v>
      </c>
      <c r="I125" s="3">
        <v>4.5138888888888888E-2</v>
      </c>
      <c r="J125" t="s">
        <v>38</v>
      </c>
      <c r="K125">
        <v>45</v>
      </c>
      <c r="L125" s="3">
        <v>1.3888888888888889E-3</v>
      </c>
      <c r="M125" t="s">
        <v>26</v>
      </c>
      <c r="N125" t="s">
        <v>110</v>
      </c>
      <c r="O125">
        <f>IF(Table13[[#This Row],[Goal_assist]]="",1,0)</f>
        <v>0</v>
      </c>
    </row>
    <row r="126" spans="1:15" x14ac:dyDescent="0.35">
      <c r="A126" t="s">
        <v>64</v>
      </c>
      <c r="B126" s="1">
        <v>45511</v>
      </c>
      <c r="C126" t="s">
        <v>65</v>
      </c>
      <c r="D126">
        <v>25</v>
      </c>
      <c r="E126" s="2">
        <v>39502</v>
      </c>
      <c r="F126" t="s">
        <v>16</v>
      </c>
      <c r="G126" t="s">
        <v>66</v>
      </c>
      <c r="H126" t="s">
        <v>127</v>
      </c>
      <c r="I126" s="3">
        <v>0.20902777777777778</v>
      </c>
      <c r="J126" t="s">
        <v>38</v>
      </c>
      <c r="K126">
        <v>44</v>
      </c>
      <c r="L126" s="3">
        <v>8.4027777777777785E-2</v>
      </c>
      <c r="M126" t="s">
        <v>31</v>
      </c>
      <c r="N126" t="s">
        <v>106</v>
      </c>
      <c r="O126">
        <f>IF(Table13[[#This Row],[Goal_assist]]="",1,0)</f>
        <v>0</v>
      </c>
    </row>
    <row r="127" spans="1:15" x14ac:dyDescent="0.35">
      <c r="A127" t="s">
        <v>14</v>
      </c>
      <c r="B127" s="1">
        <v>45511</v>
      </c>
      <c r="C127" t="s">
        <v>75</v>
      </c>
      <c r="D127" t="s">
        <v>143</v>
      </c>
      <c r="E127" s="2">
        <v>39511</v>
      </c>
      <c r="F127" t="s">
        <v>16</v>
      </c>
      <c r="G127" t="s">
        <v>36</v>
      </c>
      <c r="H127" t="s">
        <v>125</v>
      </c>
      <c r="I127" s="3">
        <v>4.1666666666666664E-2</v>
      </c>
      <c r="J127" t="s">
        <v>38</v>
      </c>
      <c r="K127">
        <v>41</v>
      </c>
      <c r="L127" s="3">
        <v>4.1666666666666664E-2</v>
      </c>
      <c r="M127" t="s">
        <v>31</v>
      </c>
      <c r="O127">
        <f>IF(Table13[[#This Row],[Goal_assist]]="",1,0)</f>
        <v>1</v>
      </c>
    </row>
    <row r="128" spans="1:15" x14ac:dyDescent="0.35">
      <c r="A128" t="s">
        <v>14</v>
      </c>
      <c r="B128" s="1">
        <v>45511</v>
      </c>
      <c r="C128" t="s">
        <v>35</v>
      </c>
      <c r="D128">
        <v>29</v>
      </c>
      <c r="E128" s="2">
        <v>39522</v>
      </c>
      <c r="F128" t="s">
        <v>24</v>
      </c>
      <c r="G128" t="s">
        <v>36</v>
      </c>
      <c r="H128" t="s">
        <v>138</v>
      </c>
      <c r="I128" s="3">
        <v>6.9444444444444447E-4</v>
      </c>
      <c r="J128" t="str">
        <f t="shared" ref="J128:J130" si="11">J127</f>
        <v>RW</v>
      </c>
      <c r="K128">
        <v>76</v>
      </c>
      <c r="L128" s="3">
        <v>6.9444444444444447E-4</v>
      </c>
      <c r="M128" t="s">
        <v>26</v>
      </c>
      <c r="N128" t="s">
        <v>85</v>
      </c>
      <c r="O128">
        <f>IF(Table13[[#This Row],[Goal_assist]]="",1,0)</f>
        <v>0</v>
      </c>
    </row>
    <row r="129" spans="1:15" x14ac:dyDescent="0.35">
      <c r="A129" t="s">
        <v>14</v>
      </c>
      <c r="B129" s="1">
        <v>45511</v>
      </c>
      <c r="C129" t="s">
        <v>35</v>
      </c>
      <c r="D129">
        <v>30</v>
      </c>
      <c r="E129" s="2">
        <v>39526</v>
      </c>
      <c r="F129" t="s">
        <v>16</v>
      </c>
      <c r="G129" t="s">
        <v>36</v>
      </c>
      <c r="H129" t="s">
        <v>84</v>
      </c>
      <c r="I129" s="3">
        <v>8.3333333333333329E-2</v>
      </c>
      <c r="J129" t="str">
        <f t="shared" si="11"/>
        <v>RW</v>
      </c>
      <c r="K129">
        <v>8</v>
      </c>
      <c r="L129" s="3">
        <v>4.1666666666666664E-2</v>
      </c>
      <c r="M129" t="s">
        <v>26</v>
      </c>
      <c r="O129">
        <f>IF(Table13[[#This Row],[Goal_assist]]="",1,0)</f>
        <v>1</v>
      </c>
    </row>
    <row r="130" spans="1:15" x14ac:dyDescent="0.35">
      <c r="A130" t="s">
        <v>14</v>
      </c>
      <c r="B130" s="1">
        <v>45511</v>
      </c>
      <c r="C130" t="s">
        <v>35</v>
      </c>
      <c r="D130">
        <v>30</v>
      </c>
      <c r="E130" s="2">
        <v>39526</v>
      </c>
      <c r="F130" t="s">
        <v>16</v>
      </c>
      <c r="G130" t="s">
        <v>36</v>
      </c>
      <c r="H130" t="s">
        <v>84</v>
      </c>
      <c r="I130" s="3">
        <v>8.3333333333333329E-2</v>
      </c>
      <c r="J130" t="str">
        <f t="shared" si="11"/>
        <v>RW</v>
      </c>
      <c r="K130">
        <v>19</v>
      </c>
      <c r="L130" s="3">
        <v>8.3333333333333329E-2</v>
      </c>
      <c r="M130" t="s">
        <v>39</v>
      </c>
      <c r="O130">
        <f>IF(Table13[[#This Row],[Goal_assist]]="",1,0)</f>
        <v>1</v>
      </c>
    </row>
    <row r="131" spans="1:15" x14ac:dyDescent="0.35">
      <c r="A131" t="s">
        <v>14</v>
      </c>
      <c r="B131" s="1">
        <v>45511</v>
      </c>
      <c r="C131" t="s">
        <v>35</v>
      </c>
      <c r="D131">
        <v>31</v>
      </c>
      <c r="E131" s="2">
        <v>39530</v>
      </c>
      <c r="F131" t="s">
        <v>16</v>
      </c>
      <c r="G131" t="s">
        <v>36</v>
      </c>
      <c r="H131" t="s">
        <v>145</v>
      </c>
      <c r="I131" s="3">
        <v>0.125</v>
      </c>
      <c r="J131" t="s">
        <v>38</v>
      </c>
      <c r="K131">
        <v>79</v>
      </c>
      <c r="L131" s="3">
        <v>8.3333333333333329E-2</v>
      </c>
      <c r="M131" t="s">
        <v>22</v>
      </c>
      <c r="N131" t="s">
        <v>142</v>
      </c>
      <c r="O131">
        <f>IF(Table13[[#This Row],[Goal_assist]]="",1,0)</f>
        <v>0</v>
      </c>
    </row>
    <row r="132" spans="1:15" x14ac:dyDescent="0.35">
      <c r="A132" t="s">
        <v>14</v>
      </c>
      <c r="B132" s="1">
        <v>45511</v>
      </c>
      <c r="C132" t="s">
        <v>35</v>
      </c>
      <c r="D132">
        <v>32</v>
      </c>
      <c r="E132" s="2">
        <v>39536</v>
      </c>
      <c r="F132" t="s">
        <v>16</v>
      </c>
      <c r="G132" t="s">
        <v>36</v>
      </c>
      <c r="H132" t="s">
        <v>45</v>
      </c>
      <c r="I132" s="3">
        <v>0.16666666666666666</v>
      </c>
      <c r="J132" t="s">
        <v>38</v>
      </c>
      <c r="K132">
        <v>16</v>
      </c>
      <c r="L132" s="3">
        <v>4.1666666666666664E-2</v>
      </c>
      <c r="M132" t="s">
        <v>26</v>
      </c>
      <c r="O132">
        <f>IF(Table13[[#This Row],[Goal_assist]]="",1,0)</f>
        <v>1</v>
      </c>
    </row>
    <row r="133" spans="1:15" x14ac:dyDescent="0.35">
      <c r="A133" t="s">
        <v>14</v>
      </c>
      <c r="B133" s="1">
        <v>45511</v>
      </c>
      <c r="C133" t="s">
        <v>75</v>
      </c>
      <c r="D133" t="s">
        <v>92</v>
      </c>
      <c r="E133" s="2">
        <v>39539</v>
      </c>
      <c r="F133" t="s">
        <v>24</v>
      </c>
      <c r="G133" t="s">
        <v>36</v>
      </c>
      <c r="H133" t="s">
        <v>116</v>
      </c>
      <c r="I133" s="3">
        <v>1.3888888888888889E-3</v>
      </c>
      <c r="J133" t="s">
        <v>38</v>
      </c>
      <c r="K133">
        <v>39</v>
      </c>
      <c r="L133" s="3">
        <v>6.9444444444444447E-4</v>
      </c>
      <c r="M133" t="s">
        <v>22</v>
      </c>
      <c r="N133" t="s">
        <v>52</v>
      </c>
      <c r="O133">
        <f>IF(Table13[[#This Row],[Goal_assist]]="",1,0)</f>
        <v>0</v>
      </c>
    </row>
    <row r="134" spans="1:15" x14ac:dyDescent="0.35">
      <c r="A134" t="s">
        <v>14</v>
      </c>
      <c r="B134" s="1">
        <v>45511</v>
      </c>
      <c r="C134" t="s">
        <v>35</v>
      </c>
      <c r="D134">
        <v>33</v>
      </c>
      <c r="E134" s="2">
        <v>39544</v>
      </c>
      <c r="F134" t="s">
        <v>24</v>
      </c>
      <c r="G134" t="s">
        <v>36</v>
      </c>
      <c r="H134" t="s">
        <v>74</v>
      </c>
      <c r="I134" s="3">
        <v>8.4722222222222227E-2</v>
      </c>
      <c r="J134" t="s">
        <v>38</v>
      </c>
      <c r="K134">
        <v>9</v>
      </c>
      <c r="L134" s="3">
        <v>6.9444444444444447E-4</v>
      </c>
      <c r="M134" t="s">
        <v>31</v>
      </c>
      <c r="N134" t="s">
        <v>110</v>
      </c>
      <c r="O134">
        <f>IF(Table13[[#This Row],[Goal_assist]]="",1,0)</f>
        <v>0</v>
      </c>
    </row>
    <row r="135" spans="1:15" x14ac:dyDescent="0.35">
      <c r="A135" t="s">
        <v>14</v>
      </c>
      <c r="B135" s="1">
        <v>45511</v>
      </c>
      <c r="C135" t="s">
        <v>35</v>
      </c>
      <c r="D135">
        <v>34</v>
      </c>
      <c r="E135" s="2">
        <v>39551</v>
      </c>
      <c r="F135" t="s">
        <v>16</v>
      </c>
      <c r="G135" t="s">
        <v>36</v>
      </c>
      <c r="H135" t="s">
        <v>54</v>
      </c>
      <c r="I135" s="3">
        <v>8.4027777777777785E-2</v>
      </c>
      <c r="J135" t="s">
        <v>38</v>
      </c>
      <c r="K135">
        <v>53</v>
      </c>
      <c r="L135" s="3">
        <v>4.2361111111111113E-2</v>
      </c>
      <c r="M135" t="s">
        <v>83</v>
      </c>
      <c r="O135">
        <f>IF(Table13[[#This Row],[Goal_assist]]="",1,0)</f>
        <v>1</v>
      </c>
    </row>
    <row r="136" spans="1:15" x14ac:dyDescent="0.35">
      <c r="A136" t="s">
        <v>14</v>
      </c>
      <c r="B136" s="1">
        <v>45511</v>
      </c>
      <c r="C136" t="s">
        <v>35</v>
      </c>
      <c r="D136">
        <v>37</v>
      </c>
      <c r="E136" s="2">
        <v>39571</v>
      </c>
      <c r="F136" t="s">
        <v>16</v>
      </c>
      <c r="G136" t="s">
        <v>36</v>
      </c>
      <c r="H136" t="s">
        <v>140</v>
      </c>
      <c r="I136" s="3">
        <v>0.1673611111111111</v>
      </c>
      <c r="J136" t="s">
        <v>38</v>
      </c>
      <c r="K136">
        <v>3</v>
      </c>
      <c r="L136" s="3">
        <v>4.1666666666666664E-2</v>
      </c>
      <c r="M136" t="s">
        <v>26</v>
      </c>
      <c r="N136" t="s">
        <v>146</v>
      </c>
      <c r="O136">
        <f>IF(Table13[[#This Row],[Goal_assist]]="",1,0)</f>
        <v>0</v>
      </c>
    </row>
    <row r="137" spans="1:15" x14ac:dyDescent="0.35">
      <c r="A137" t="s">
        <v>14</v>
      </c>
      <c r="B137" s="1">
        <v>45511</v>
      </c>
      <c r="C137" t="s">
        <v>35</v>
      </c>
      <c r="D137">
        <v>37</v>
      </c>
      <c r="E137" s="2">
        <v>39571</v>
      </c>
      <c r="F137" t="s">
        <v>16</v>
      </c>
      <c r="G137" t="s">
        <v>36</v>
      </c>
      <c r="H137" t="s">
        <v>140</v>
      </c>
      <c r="I137" s="3">
        <v>0.1673611111111111</v>
      </c>
      <c r="J137" t="s">
        <v>38</v>
      </c>
      <c r="K137">
        <v>24</v>
      </c>
      <c r="L137" s="3">
        <v>8.3333333333333329E-2</v>
      </c>
      <c r="M137" t="s">
        <v>26</v>
      </c>
      <c r="N137" t="s">
        <v>147</v>
      </c>
      <c r="O137">
        <f>IF(Table13[[#This Row],[Goal_assist]]="",1,0)</f>
        <v>0</v>
      </c>
    </row>
    <row r="138" spans="1:15" x14ac:dyDescent="0.35">
      <c r="A138" t="s">
        <v>64</v>
      </c>
      <c r="B138" s="1">
        <v>45511</v>
      </c>
      <c r="C138" t="s">
        <v>65</v>
      </c>
      <c r="D138">
        <v>35</v>
      </c>
      <c r="E138" s="2">
        <v>39572</v>
      </c>
      <c r="F138" t="s">
        <v>16</v>
      </c>
      <c r="G138" t="s">
        <v>66</v>
      </c>
      <c r="H138" t="s">
        <v>148</v>
      </c>
      <c r="I138" s="3">
        <v>0.25</v>
      </c>
      <c r="J138" t="s">
        <v>38</v>
      </c>
      <c r="K138">
        <v>5</v>
      </c>
      <c r="L138" s="3">
        <v>4.1666666666666664E-2</v>
      </c>
      <c r="M138" t="s">
        <v>83</v>
      </c>
      <c r="O138">
        <f>IF(Table13[[#This Row],[Goal_assist]]="",1,0)</f>
        <v>1</v>
      </c>
    </row>
    <row r="139" spans="1:15" x14ac:dyDescent="0.35">
      <c r="A139" t="s">
        <v>14</v>
      </c>
      <c r="B139" s="1">
        <v>45511</v>
      </c>
      <c r="C139" t="s">
        <v>35</v>
      </c>
      <c r="D139">
        <v>38</v>
      </c>
      <c r="E139" s="2">
        <v>39579</v>
      </c>
      <c r="F139" t="s">
        <v>24</v>
      </c>
      <c r="G139" t="s">
        <v>36</v>
      </c>
      <c r="H139" t="s">
        <v>96</v>
      </c>
      <c r="I139" s="3">
        <v>1.3888888888888889E-3</v>
      </c>
      <c r="J139" t="s">
        <v>38</v>
      </c>
      <c r="K139">
        <v>32</v>
      </c>
      <c r="L139" s="3">
        <v>6.9444444444444447E-4</v>
      </c>
      <c r="M139" t="s">
        <v>83</v>
      </c>
      <c r="O139">
        <f>IF(Table13[[#This Row],[Goal_assist]]="",1,0)</f>
        <v>1</v>
      </c>
    </row>
    <row r="140" spans="1:15" x14ac:dyDescent="0.35">
      <c r="A140" t="s">
        <v>14</v>
      </c>
      <c r="B140" s="1">
        <v>45511</v>
      </c>
      <c r="C140" t="s">
        <v>75</v>
      </c>
      <c r="D140" t="s">
        <v>46</v>
      </c>
      <c r="E140" s="2">
        <v>39589</v>
      </c>
      <c r="F140" t="s">
        <v>16</v>
      </c>
      <c r="G140" t="s">
        <v>36</v>
      </c>
      <c r="H140" t="s">
        <v>149</v>
      </c>
      <c r="I140" t="s">
        <v>150</v>
      </c>
      <c r="J140" t="s">
        <v>19</v>
      </c>
      <c r="K140">
        <v>26</v>
      </c>
      <c r="L140" s="3">
        <v>4.1666666666666664E-2</v>
      </c>
      <c r="M140" t="s">
        <v>22</v>
      </c>
      <c r="N140" t="s">
        <v>124</v>
      </c>
      <c r="O140">
        <f>IF(Table13[[#This Row],[Goal_assist]]="",1,0)</f>
        <v>0</v>
      </c>
    </row>
    <row r="141" spans="1:15" x14ac:dyDescent="0.35">
      <c r="A141" t="s">
        <v>64</v>
      </c>
      <c r="B141" s="1">
        <v>45543</v>
      </c>
      <c r="C141" t="s">
        <v>65</v>
      </c>
      <c r="D141">
        <v>2</v>
      </c>
      <c r="E141" s="2">
        <v>39704</v>
      </c>
      <c r="F141" t="s">
        <v>16</v>
      </c>
      <c r="G141" t="s">
        <v>66</v>
      </c>
      <c r="H141" t="s">
        <v>78</v>
      </c>
      <c r="I141" s="3">
        <v>4.2361111111111113E-2</v>
      </c>
      <c r="J141" t="s">
        <v>38</v>
      </c>
      <c r="K141">
        <v>70</v>
      </c>
      <c r="L141" s="3">
        <v>4.1666666666666664E-2</v>
      </c>
      <c r="M141" t="s">
        <v>83</v>
      </c>
      <c r="O141">
        <f>IF(Table13[[#This Row],[Goal_assist]]="",1,0)</f>
        <v>1</v>
      </c>
    </row>
    <row r="142" spans="1:15" x14ac:dyDescent="0.35">
      <c r="A142" t="s">
        <v>64</v>
      </c>
      <c r="B142" s="1">
        <v>45543</v>
      </c>
      <c r="C142" t="s">
        <v>65</v>
      </c>
      <c r="D142">
        <v>3</v>
      </c>
      <c r="E142" s="2">
        <v>39712</v>
      </c>
      <c r="F142" t="s">
        <v>24</v>
      </c>
      <c r="G142" t="s">
        <v>66</v>
      </c>
      <c r="H142" t="s">
        <v>151</v>
      </c>
      <c r="I142" s="3">
        <v>4.583333333333333E-2</v>
      </c>
      <c r="J142" t="s">
        <v>38</v>
      </c>
      <c r="K142">
        <v>85</v>
      </c>
      <c r="L142" s="3">
        <v>4.5138888888888888E-2</v>
      </c>
      <c r="M142" t="s">
        <v>31</v>
      </c>
      <c r="N142" t="s">
        <v>99</v>
      </c>
      <c r="O142">
        <f>IF(Table13[[#This Row],[Goal_assist]]="",1,0)</f>
        <v>0</v>
      </c>
    </row>
    <row r="143" spans="1:15" x14ac:dyDescent="0.35">
      <c r="A143" t="s">
        <v>64</v>
      </c>
      <c r="B143" s="1">
        <v>45543</v>
      </c>
      <c r="C143" t="s">
        <v>65</v>
      </c>
      <c r="D143">
        <v>3</v>
      </c>
      <c r="E143" s="2">
        <v>39712</v>
      </c>
      <c r="F143" t="s">
        <v>24</v>
      </c>
      <c r="G143" t="s">
        <v>66</v>
      </c>
      <c r="H143" t="s">
        <v>151</v>
      </c>
      <c r="I143" s="3">
        <v>4.583333333333333E-2</v>
      </c>
      <c r="J143" t="s">
        <v>38</v>
      </c>
      <c r="K143">
        <v>89</v>
      </c>
      <c r="L143" s="3">
        <v>4.583333333333333E-2</v>
      </c>
      <c r="M143" t="s">
        <v>22</v>
      </c>
      <c r="N143" t="s">
        <v>106</v>
      </c>
      <c r="O143">
        <f>IF(Table13[[#This Row],[Goal_assist]]="",1,0)</f>
        <v>0</v>
      </c>
    </row>
    <row r="144" spans="1:15" x14ac:dyDescent="0.35">
      <c r="A144" t="s">
        <v>14</v>
      </c>
      <c r="B144" s="1">
        <v>45543</v>
      </c>
      <c r="C144" t="s">
        <v>80</v>
      </c>
      <c r="D144" t="s">
        <v>50</v>
      </c>
      <c r="E144" s="2">
        <v>39714</v>
      </c>
      <c r="F144" t="s">
        <v>16</v>
      </c>
      <c r="G144" t="s">
        <v>36</v>
      </c>
      <c r="H144" t="s">
        <v>74</v>
      </c>
      <c r="I144" s="3">
        <v>0.12569444444444444</v>
      </c>
      <c r="J144" t="str">
        <f>J143</f>
        <v>RW</v>
      </c>
      <c r="K144">
        <v>25</v>
      </c>
      <c r="L144" s="3">
        <v>4.1666666666666664E-2</v>
      </c>
      <c r="M144" t="s">
        <v>22</v>
      </c>
      <c r="N144" t="s">
        <v>44</v>
      </c>
      <c r="O144">
        <f>IF(Table13[[#This Row],[Goal_assist]]="",1,0)</f>
        <v>0</v>
      </c>
    </row>
    <row r="145" spans="1:15" x14ac:dyDescent="0.35">
      <c r="A145" t="s">
        <v>14</v>
      </c>
      <c r="B145" s="1">
        <v>45543</v>
      </c>
      <c r="C145" t="s">
        <v>35</v>
      </c>
      <c r="D145">
        <v>6</v>
      </c>
      <c r="E145" s="2">
        <v>39718</v>
      </c>
      <c r="F145" t="s">
        <v>16</v>
      </c>
      <c r="G145" t="s">
        <v>36</v>
      </c>
      <c r="H145" t="s">
        <v>84</v>
      </c>
      <c r="I145" s="3">
        <v>8.3333333333333329E-2</v>
      </c>
      <c r="J145" t="s">
        <v>38</v>
      </c>
      <c r="K145">
        <v>59</v>
      </c>
      <c r="L145" s="3">
        <v>4.1666666666666664E-2</v>
      </c>
      <c r="M145" t="s">
        <v>83</v>
      </c>
      <c r="O145">
        <f>IF(Table13[[#This Row],[Goal_assist]]="",1,0)</f>
        <v>1</v>
      </c>
    </row>
    <row r="146" spans="1:15" x14ac:dyDescent="0.35">
      <c r="A146" t="s">
        <v>64</v>
      </c>
      <c r="B146" s="1">
        <v>45543</v>
      </c>
      <c r="C146" t="s">
        <v>65</v>
      </c>
      <c r="D146">
        <v>5</v>
      </c>
      <c r="E146" s="2">
        <v>39718</v>
      </c>
      <c r="F146" t="s">
        <v>24</v>
      </c>
      <c r="G146" t="s">
        <v>66</v>
      </c>
      <c r="H146" t="s">
        <v>121</v>
      </c>
      <c r="I146" s="3">
        <v>4.3055555555555555E-2</v>
      </c>
      <c r="J146" t="s">
        <v>38</v>
      </c>
      <c r="K146">
        <v>90</v>
      </c>
      <c r="L146" s="3">
        <v>4.3055555555555555E-2</v>
      </c>
      <c r="M146" t="s">
        <v>83</v>
      </c>
      <c r="O146">
        <f>IF(Table13[[#This Row],[Goal_assist]]="",1,0)</f>
        <v>1</v>
      </c>
    </row>
    <row r="147" spans="1:15" x14ac:dyDescent="0.35">
      <c r="A147" t="s">
        <v>64</v>
      </c>
      <c r="B147" s="1">
        <v>45543</v>
      </c>
      <c r="C147" t="s">
        <v>75</v>
      </c>
      <c r="D147" t="s">
        <v>76</v>
      </c>
      <c r="E147" s="2">
        <v>39722</v>
      </c>
      <c r="F147" t="s">
        <v>24</v>
      </c>
      <c r="G147" t="s">
        <v>66</v>
      </c>
      <c r="H147" t="s">
        <v>152</v>
      </c>
      <c r="I147" s="3">
        <v>4.3055555555555555E-2</v>
      </c>
      <c r="J147" t="s">
        <v>38</v>
      </c>
      <c r="K147" t="s">
        <v>141</v>
      </c>
      <c r="L147" s="3">
        <v>4.3055555555555555E-2</v>
      </c>
      <c r="M147" t="s">
        <v>31</v>
      </c>
      <c r="N147" t="s">
        <v>106</v>
      </c>
      <c r="O147">
        <f>IF(Table13[[#This Row],[Goal_assist]]="",1,0)</f>
        <v>0</v>
      </c>
    </row>
    <row r="148" spans="1:15" x14ac:dyDescent="0.35">
      <c r="A148" t="s">
        <v>64</v>
      </c>
      <c r="B148" s="1">
        <v>45543</v>
      </c>
      <c r="C148" t="s">
        <v>75</v>
      </c>
      <c r="D148" t="s">
        <v>76</v>
      </c>
      <c r="E148" s="2">
        <v>39722</v>
      </c>
      <c r="F148" t="s">
        <v>24</v>
      </c>
      <c r="G148" t="s">
        <v>66</v>
      </c>
      <c r="H148" t="s">
        <v>152</v>
      </c>
      <c r="I148" s="3">
        <v>4.3055555555555555E-2</v>
      </c>
      <c r="J148" t="s">
        <v>38</v>
      </c>
      <c r="K148">
        <v>87</v>
      </c>
      <c r="L148" s="3">
        <v>4.2361111111111113E-2</v>
      </c>
      <c r="M148" t="s">
        <v>26</v>
      </c>
      <c r="N148" t="s">
        <v>153</v>
      </c>
      <c r="O148">
        <f>IF(Table13[[#This Row],[Goal_assist]]="",1,0)</f>
        <v>0</v>
      </c>
    </row>
    <row r="149" spans="1:15" x14ac:dyDescent="0.35">
      <c r="A149" t="s">
        <v>64</v>
      </c>
      <c r="B149" s="1">
        <v>45543</v>
      </c>
      <c r="C149" t="s">
        <v>65</v>
      </c>
      <c r="D149">
        <v>6</v>
      </c>
      <c r="E149" s="2">
        <v>39725</v>
      </c>
      <c r="F149" t="s">
        <v>16</v>
      </c>
      <c r="G149" t="s">
        <v>66</v>
      </c>
      <c r="H149" t="s">
        <v>119</v>
      </c>
      <c r="I149" s="3">
        <v>0.25069444444444444</v>
      </c>
      <c r="J149" t="s">
        <v>38</v>
      </c>
      <c r="K149">
        <v>8</v>
      </c>
      <c r="L149" s="3">
        <v>0.125</v>
      </c>
      <c r="M149" t="s">
        <v>39</v>
      </c>
      <c r="O149">
        <f>IF(Table13[[#This Row],[Goal_assist]]="",1,0)</f>
        <v>1</v>
      </c>
    </row>
    <row r="150" spans="1:15" x14ac:dyDescent="0.35">
      <c r="A150" t="s">
        <v>14</v>
      </c>
      <c r="B150" s="1">
        <v>45543</v>
      </c>
      <c r="C150" t="s">
        <v>35</v>
      </c>
      <c r="D150">
        <v>8</v>
      </c>
      <c r="E150" s="2">
        <v>39739</v>
      </c>
      <c r="F150" t="s">
        <v>16</v>
      </c>
      <c r="G150" t="s">
        <v>36</v>
      </c>
      <c r="H150" t="s">
        <v>82</v>
      </c>
      <c r="I150" s="3">
        <v>0.16666666666666666</v>
      </c>
      <c r="J150" t="s">
        <v>38</v>
      </c>
      <c r="K150">
        <v>69</v>
      </c>
      <c r="L150" s="3">
        <v>8.3333333333333329E-2</v>
      </c>
      <c r="M150" t="s">
        <v>31</v>
      </c>
      <c r="N150" t="s">
        <v>85</v>
      </c>
      <c r="O150">
        <f>IF(Table13[[#This Row],[Goal_assist]]="",1,0)</f>
        <v>0</v>
      </c>
    </row>
    <row r="151" spans="1:15" x14ac:dyDescent="0.35">
      <c r="A151" t="s">
        <v>64</v>
      </c>
      <c r="B151" s="1">
        <v>45543</v>
      </c>
      <c r="C151" t="s">
        <v>75</v>
      </c>
      <c r="D151" t="s">
        <v>76</v>
      </c>
      <c r="E151" s="2">
        <v>39743</v>
      </c>
      <c r="F151" t="s">
        <v>24</v>
      </c>
      <c r="G151" t="s">
        <v>66</v>
      </c>
      <c r="H151" t="s">
        <v>154</v>
      </c>
      <c r="I151" s="3">
        <v>3.472222222222222E-3</v>
      </c>
      <c r="J151" t="s">
        <v>68</v>
      </c>
      <c r="K151">
        <v>4</v>
      </c>
      <c r="L151" s="3">
        <v>6.9444444444444447E-4</v>
      </c>
      <c r="M151" t="s">
        <v>31</v>
      </c>
      <c r="N151" t="s">
        <v>155</v>
      </c>
      <c r="O151">
        <f>IF(Table13[[#This Row],[Goal_assist]]="",1,0)</f>
        <v>0</v>
      </c>
    </row>
    <row r="152" spans="1:15" x14ac:dyDescent="0.35">
      <c r="A152" t="s">
        <v>14</v>
      </c>
      <c r="B152" s="1">
        <v>45543</v>
      </c>
      <c r="C152" t="s">
        <v>35</v>
      </c>
      <c r="D152">
        <v>10</v>
      </c>
      <c r="E152" s="2">
        <v>39750</v>
      </c>
      <c r="F152" t="s">
        <v>16</v>
      </c>
      <c r="G152" t="s">
        <v>36</v>
      </c>
      <c r="H152" t="s">
        <v>140</v>
      </c>
      <c r="I152" s="3">
        <v>8.3333333333333329E-2</v>
      </c>
      <c r="J152" t="s">
        <v>38</v>
      </c>
      <c r="K152">
        <v>30</v>
      </c>
      <c r="L152" s="3">
        <v>8.3333333333333329E-2</v>
      </c>
      <c r="M152" t="s">
        <v>26</v>
      </c>
      <c r="N152" t="s">
        <v>156</v>
      </c>
      <c r="O152">
        <f>IF(Table13[[#This Row],[Goal_assist]]="",1,0)</f>
        <v>0</v>
      </c>
    </row>
    <row r="153" spans="1:15" x14ac:dyDescent="0.35">
      <c r="A153" t="s">
        <v>14</v>
      </c>
      <c r="B153" s="1">
        <v>45543</v>
      </c>
      <c r="C153" t="s">
        <v>35</v>
      </c>
      <c r="D153">
        <v>10</v>
      </c>
      <c r="E153" s="2">
        <v>39750</v>
      </c>
      <c r="F153" t="s">
        <v>16</v>
      </c>
      <c r="G153" t="s">
        <v>36</v>
      </c>
      <c r="H153" t="s">
        <v>140</v>
      </c>
      <c r="I153" s="3">
        <v>8.3333333333333329E-2</v>
      </c>
      <c r="J153" t="s">
        <v>38</v>
      </c>
      <c r="K153">
        <v>14</v>
      </c>
      <c r="L153" s="3">
        <v>4.1666666666666664E-2</v>
      </c>
      <c r="M153" t="s">
        <v>31</v>
      </c>
      <c r="N153" t="s">
        <v>142</v>
      </c>
      <c r="O153">
        <f>IF(Table13[[#This Row],[Goal_assist]]="",1,0)</f>
        <v>0</v>
      </c>
    </row>
    <row r="154" spans="1:15" x14ac:dyDescent="0.35">
      <c r="A154" t="s">
        <v>64</v>
      </c>
      <c r="B154" s="1">
        <v>45543</v>
      </c>
      <c r="C154" t="s">
        <v>65</v>
      </c>
      <c r="D154">
        <v>9</v>
      </c>
      <c r="E154" s="2">
        <v>39753</v>
      </c>
      <c r="F154" t="s">
        <v>24</v>
      </c>
      <c r="G154" t="s">
        <v>66</v>
      </c>
      <c r="H154" t="s">
        <v>157</v>
      </c>
      <c r="I154" s="3">
        <v>4.4444444444444446E-2</v>
      </c>
      <c r="J154" t="s">
        <v>38</v>
      </c>
      <c r="K154">
        <v>19</v>
      </c>
      <c r="L154" s="3">
        <v>4.3055555555555555E-2</v>
      </c>
      <c r="M154" t="s">
        <v>31</v>
      </c>
      <c r="O154">
        <f>IF(Table13[[#This Row],[Goal_assist]]="",1,0)</f>
        <v>1</v>
      </c>
    </row>
    <row r="155" spans="1:15" x14ac:dyDescent="0.35">
      <c r="A155" t="s">
        <v>14</v>
      </c>
      <c r="B155" s="1">
        <v>45543</v>
      </c>
      <c r="C155" t="s">
        <v>35</v>
      </c>
      <c r="D155">
        <v>11</v>
      </c>
      <c r="E155" s="2">
        <v>39753</v>
      </c>
      <c r="F155" t="s">
        <v>16</v>
      </c>
      <c r="G155" t="s">
        <v>36</v>
      </c>
      <c r="H155" t="s">
        <v>158</v>
      </c>
      <c r="I155" s="3">
        <v>0.16875000000000001</v>
      </c>
      <c r="J155" t="s">
        <v>38</v>
      </c>
      <c r="K155">
        <v>43</v>
      </c>
      <c r="L155" s="3">
        <v>0.12569444444444444</v>
      </c>
      <c r="M155" t="s">
        <v>22</v>
      </c>
      <c r="N155" t="s">
        <v>142</v>
      </c>
      <c r="O155">
        <f>IF(Table13[[#This Row],[Goal_assist]]="",1,0)</f>
        <v>0</v>
      </c>
    </row>
    <row r="156" spans="1:15" x14ac:dyDescent="0.35">
      <c r="A156" t="s">
        <v>14</v>
      </c>
      <c r="B156" s="1">
        <v>45543</v>
      </c>
      <c r="C156" t="s">
        <v>35</v>
      </c>
      <c r="D156">
        <v>11</v>
      </c>
      <c r="E156" s="2">
        <v>39753</v>
      </c>
      <c r="F156" t="s">
        <v>16</v>
      </c>
      <c r="G156" t="s">
        <v>36</v>
      </c>
      <c r="H156" t="s">
        <v>158</v>
      </c>
      <c r="I156" s="3">
        <v>0.16875000000000001</v>
      </c>
      <c r="J156" t="s">
        <v>38</v>
      </c>
      <c r="K156">
        <v>3</v>
      </c>
      <c r="L156" s="3">
        <v>4.1666666666666664E-2</v>
      </c>
      <c r="M156" t="s">
        <v>31</v>
      </c>
      <c r="N156" t="s">
        <v>156</v>
      </c>
      <c r="O156">
        <f>IF(Table13[[#This Row],[Goal_assist]]="",1,0)</f>
        <v>0</v>
      </c>
    </row>
    <row r="157" spans="1:15" x14ac:dyDescent="0.35">
      <c r="A157" t="s">
        <v>64</v>
      </c>
      <c r="B157" s="1">
        <v>45543</v>
      </c>
      <c r="C157" t="s">
        <v>75</v>
      </c>
      <c r="D157" t="s">
        <v>76</v>
      </c>
      <c r="E157" s="2">
        <v>39756</v>
      </c>
      <c r="F157" t="s">
        <v>16</v>
      </c>
      <c r="G157" t="s">
        <v>66</v>
      </c>
      <c r="H157" t="s">
        <v>154</v>
      </c>
      <c r="I157" s="3">
        <v>4.2361111111111113E-2</v>
      </c>
      <c r="J157" t="s">
        <v>38</v>
      </c>
      <c r="K157">
        <v>61</v>
      </c>
      <c r="L157" s="3">
        <v>4.1666666666666664E-2</v>
      </c>
      <c r="M157" t="s">
        <v>31</v>
      </c>
      <c r="N157" t="s">
        <v>126</v>
      </c>
      <c r="O157">
        <f>IF(Table13[[#This Row],[Goal_assist]]="",1,0)</f>
        <v>0</v>
      </c>
    </row>
    <row r="158" spans="1:15" x14ac:dyDescent="0.35">
      <c r="A158" t="s">
        <v>64</v>
      </c>
      <c r="B158" s="1">
        <v>45543</v>
      </c>
      <c r="C158" t="s">
        <v>91</v>
      </c>
      <c r="D158" t="s">
        <v>33</v>
      </c>
      <c r="E158" s="2">
        <v>39764</v>
      </c>
      <c r="F158" t="s">
        <v>16</v>
      </c>
      <c r="G158" t="s">
        <v>66</v>
      </c>
      <c r="H158" t="s">
        <v>159</v>
      </c>
      <c r="I158" s="3">
        <v>4.1666666666666664E-2</v>
      </c>
      <c r="J158" t="s">
        <v>38</v>
      </c>
      <c r="K158">
        <v>86</v>
      </c>
      <c r="L158" s="3">
        <v>4.1666666666666664E-2</v>
      </c>
      <c r="M158" t="s">
        <v>107</v>
      </c>
      <c r="O158">
        <f>IF(Table13[[#This Row],[Goal_assist]]="",1,0)</f>
        <v>1</v>
      </c>
    </row>
    <row r="159" spans="1:15" x14ac:dyDescent="0.35">
      <c r="A159" t="s">
        <v>14</v>
      </c>
      <c r="B159" s="1">
        <v>45543</v>
      </c>
      <c r="C159" t="s">
        <v>35</v>
      </c>
      <c r="D159">
        <v>13</v>
      </c>
      <c r="E159" s="2">
        <v>39767</v>
      </c>
      <c r="F159" t="s">
        <v>16</v>
      </c>
      <c r="G159" t="s">
        <v>36</v>
      </c>
      <c r="H159" t="s">
        <v>160</v>
      </c>
      <c r="I159" s="3">
        <v>0.20833333333333334</v>
      </c>
      <c r="J159" t="s">
        <v>38</v>
      </c>
      <c r="K159">
        <v>88</v>
      </c>
      <c r="L159" s="3">
        <v>0.20833333333333334</v>
      </c>
      <c r="M159" t="s">
        <v>39</v>
      </c>
      <c r="O159">
        <f>IF(Table13[[#This Row],[Goal_assist]]="",1,0)</f>
        <v>1</v>
      </c>
    </row>
    <row r="160" spans="1:15" x14ac:dyDescent="0.35">
      <c r="A160" t="s">
        <v>14</v>
      </c>
      <c r="B160" s="1">
        <v>45543</v>
      </c>
      <c r="C160" t="s">
        <v>35</v>
      </c>
      <c r="D160">
        <v>13</v>
      </c>
      <c r="E160" s="2">
        <v>39767</v>
      </c>
      <c r="F160" t="s">
        <v>16</v>
      </c>
      <c r="G160" t="s">
        <v>36</v>
      </c>
      <c r="H160" t="s">
        <v>160</v>
      </c>
      <c r="I160" s="3">
        <v>0.20833333333333334</v>
      </c>
      <c r="J160" t="s">
        <v>38</v>
      </c>
      <c r="K160">
        <v>3</v>
      </c>
      <c r="L160" s="3">
        <v>4.1666666666666664E-2</v>
      </c>
      <c r="M160" t="s">
        <v>39</v>
      </c>
      <c r="O160">
        <f>IF(Table13[[#This Row],[Goal_assist]]="",1,0)</f>
        <v>1</v>
      </c>
    </row>
    <row r="161" spans="1:15" x14ac:dyDescent="0.35">
      <c r="A161" t="s">
        <v>64</v>
      </c>
      <c r="B161" s="1">
        <v>45543</v>
      </c>
      <c r="C161" t="s">
        <v>65</v>
      </c>
      <c r="D161">
        <v>11</v>
      </c>
      <c r="E161" s="2">
        <v>39768</v>
      </c>
      <c r="F161" t="s">
        <v>24</v>
      </c>
      <c r="G161" t="s">
        <v>66</v>
      </c>
      <c r="H161" t="s">
        <v>113</v>
      </c>
      <c r="I161" s="3">
        <v>1.3888888888888889E-3</v>
      </c>
      <c r="J161" t="s">
        <v>38</v>
      </c>
      <c r="K161">
        <v>51</v>
      </c>
      <c r="L161" s="3">
        <v>6.9444444444444447E-4</v>
      </c>
      <c r="M161" t="s">
        <v>31</v>
      </c>
      <c r="N161" t="s">
        <v>106</v>
      </c>
      <c r="O161">
        <f>IF(Table13[[#This Row],[Goal_assist]]="",1,0)</f>
        <v>0</v>
      </c>
    </row>
    <row r="162" spans="1:15" x14ac:dyDescent="0.35">
      <c r="A162" t="s">
        <v>64</v>
      </c>
      <c r="B162" s="1">
        <v>45543</v>
      </c>
      <c r="C162" t="s">
        <v>75</v>
      </c>
      <c r="D162" t="s">
        <v>76</v>
      </c>
      <c r="E162" s="2">
        <v>39778</v>
      </c>
      <c r="F162" t="s">
        <v>24</v>
      </c>
      <c r="G162" t="s">
        <v>66</v>
      </c>
      <c r="H162" t="s">
        <v>17</v>
      </c>
      <c r="I162" s="3">
        <v>8.6805555555555552E-2</v>
      </c>
      <c r="J162" t="s">
        <v>38</v>
      </c>
      <c r="K162">
        <v>49</v>
      </c>
      <c r="L162" s="3">
        <v>2.0833333333333333E-3</v>
      </c>
      <c r="M162" t="s">
        <v>31</v>
      </c>
      <c r="N162" t="s">
        <v>155</v>
      </c>
      <c r="O162">
        <f>IF(Table13[[#This Row],[Goal_assist]]="",1,0)</f>
        <v>0</v>
      </c>
    </row>
    <row r="163" spans="1:15" x14ac:dyDescent="0.35">
      <c r="A163" t="s">
        <v>64</v>
      </c>
      <c r="B163" s="1">
        <v>45543</v>
      </c>
      <c r="C163" t="s">
        <v>65</v>
      </c>
      <c r="D163">
        <v>13</v>
      </c>
      <c r="E163" s="2">
        <v>39781</v>
      </c>
      <c r="F163" t="s">
        <v>24</v>
      </c>
      <c r="G163" t="s">
        <v>66</v>
      </c>
      <c r="H163" t="s">
        <v>105</v>
      </c>
      <c r="I163" s="3">
        <v>2.0833333333333333E-3</v>
      </c>
      <c r="J163" t="s">
        <v>38</v>
      </c>
      <c r="K163">
        <v>78</v>
      </c>
      <c r="L163" s="3">
        <v>1.3888888888888889E-3</v>
      </c>
      <c r="M163" t="s">
        <v>31</v>
      </c>
      <c r="N163" t="s">
        <v>106</v>
      </c>
      <c r="O163">
        <f>IF(Table13[[#This Row],[Goal_assist]]="",1,0)</f>
        <v>0</v>
      </c>
    </row>
    <row r="164" spans="1:15" x14ac:dyDescent="0.35">
      <c r="A164" t="s">
        <v>64</v>
      </c>
      <c r="B164" s="1">
        <v>45543</v>
      </c>
      <c r="C164" t="s">
        <v>65</v>
      </c>
      <c r="D164">
        <v>13</v>
      </c>
      <c r="E164" s="2">
        <v>39781</v>
      </c>
      <c r="F164" t="s">
        <v>24</v>
      </c>
      <c r="G164" t="s">
        <v>66</v>
      </c>
      <c r="H164" t="s">
        <v>105</v>
      </c>
      <c r="I164" s="3">
        <v>2.0833333333333333E-3</v>
      </c>
      <c r="J164" t="s">
        <v>38</v>
      </c>
      <c r="K164" t="s">
        <v>141</v>
      </c>
      <c r="L164" s="3">
        <v>2.0833333333333333E-3</v>
      </c>
      <c r="M164" t="s">
        <v>31</v>
      </c>
      <c r="N164" t="s">
        <v>161</v>
      </c>
      <c r="O164">
        <f>IF(Table13[[#This Row],[Goal_assist]]="",1,0)</f>
        <v>0</v>
      </c>
    </row>
    <row r="165" spans="1:15" x14ac:dyDescent="0.35">
      <c r="A165" t="s">
        <v>64</v>
      </c>
      <c r="B165" s="1">
        <v>45543</v>
      </c>
      <c r="C165" t="s">
        <v>65</v>
      </c>
      <c r="D165">
        <v>15</v>
      </c>
      <c r="E165" s="2">
        <v>39795</v>
      </c>
      <c r="F165" t="s">
        <v>16</v>
      </c>
      <c r="G165" t="s">
        <v>66</v>
      </c>
      <c r="H165" t="s">
        <v>112</v>
      </c>
      <c r="I165" s="3">
        <v>8.3333333333333329E-2</v>
      </c>
      <c r="J165" t="s">
        <v>38</v>
      </c>
      <c r="K165">
        <v>89</v>
      </c>
      <c r="L165" s="3">
        <v>8.3333333333333329E-2</v>
      </c>
      <c r="M165" t="s">
        <v>162</v>
      </c>
      <c r="N165" t="s">
        <v>126</v>
      </c>
      <c r="O165">
        <f>IF(Table13[[#This Row],[Goal_assist]]="",1,0)</f>
        <v>0</v>
      </c>
    </row>
    <row r="166" spans="1:15" x14ac:dyDescent="0.35">
      <c r="A166" t="s">
        <v>14</v>
      </c>
      <c r="B166" s="1">
        <v>45543</v>
      </c>
      <c r="C166" t="s">
        <v>163</v>
      </c>
      <c r="D166" t="s">
        <v>62</v>
      </c>
      <c r="E166" s="2">
        <v>39800</v>
      </c>
      <c r="F166" t="s">
        <v>24</v>
      </c>
      <c r="G166" t="s">
        <v>36</v>
      </c>
      <c r="H166" t="s">
        <v>164</v>
      </c>
      <c r="I166" s="3">
        <v>0.12847222222222221</v>
      </c>
      <c r="J166" t="s">
        <v>19</v>
      </c>
      <c r="K166" t="s">
        <v>58</v>
      </c>
      <c r="L166" s="3">
        <v>1.3888888888888889E-3</v>
      </c>
      <c r="M166" t="s">
        <v>22</v>
      </c>
      <c r="N166" t="s">
        <v>44</v>
      </c>
      <c r="O166">
        <f>IF(Table13[[#This Row],[Goal_assist]]="",1,0)</f>
        <v>0</v>
      </c>
    </row>
    <row r="167" spans="1:15" x14ac:dyDescent="0.35">
      <c r="A167" t="s">
        <v>64</v>
      </c>
      <c r="B167" s="1">
        <v>45543</v>
      </c>
      <c r="C167" t="s">
        <v>91</v>
      </c>
      <c r="D167" t="s">
        <v>81</v>
      </c>
      <c r="E167" s="2">
        <v>39819</v>
      </c>
      <c r="F167" t="s">
        <v>24</v>
      </c>
      <c r="G167" t="s">
        <v>66</v>
      </c>
      <c r="H167" t="s">
        <v>119</v>
      </c>
      <c r="I167" s="3">
        <v>4.3749999999999997E-2</v>
      </c>
      <c r="J167" t="s">
        <v>38</v>
      </c>
      <c r="K167">
        <v>57</v>
      </c>
      <c r="L167" s="3">
        <v>1.3888888888888889E-3</v>
      </c>
      <c r="M167" t="s">
        <v>83</v>
      </c>
      <c r="O167">
        <f>IF(Table13[[#This Row],[Goal_assist]]="",1,0)</f>
        <v>1</v>
      </c>
    </row>
    <row r="168" spans="1:15" x14ac:dyDescent="0.35">
      <c r="A168" t="s">
        <v>64</v>
      </c>
      <c r="B168" s="1">
        <v>45543</v>
      </c>
      <c r="C168" t="s">
        <v>91</v>
      </c>
      <c r="D168" t="s">
        <v>81</v>
      </c>
      <c r="E168" s="2">
        <v>39819</v>
      </c>
      <c r="F168" t="s">
        <v>24</v>
      </c>
      <c r="G168" t="s">
        <v>66</v>
      </c>
      <c r="H168" t="s">
        <v>119</v>
      </c>
      <c r="I168" s="3">
        <v>4.3749999999999997E-2</v>
      </c>
      <c r="J168" t="s">
        <v>38</v>
      </c>
      <c r="K168">
        <v>79</v>
      </c>
      <c r="L168" s="3">
        <v>4.3749999999999997E-2</v>
      </c>
      <c r="M168" t="s">
        <v>26</v>
      </c>
      <c r="N168" t="s">
        <v>99</v>
      </c>
      <c r="O168">
        <f>IF(Table13[[#This Row],[Goal_assist]]="",1,0)</f>
        <v>0</v>
      </c>
    </row>
    <row r="169" spans="1:15" x14ac:dyDescent="0.35">
      <c r="A169" t="s">
        <v>64</v>
      </c>
      <c r="B169" s="1">
        <v>45543</v>
      </c>
      <c r="C169" t="s">
        <v>91</v>
      </c>
      <c r="D169" t="s">
        <v>81</v>
      </c>
      <c r="E169" s="2">
        <v>39819</v>
      </c>
      <c r="F169" t="s">
        <v>24</v>
      </c>
      <c r="G169" t="s">
        <v>66</v>
      </c>
      <c r="H169" t="s">
        <v>119</v>
      </c>
      <c r="I169" s="3">
        <v>4.3749999999999997E-2</v>
      </c>
      <c r="J169" t="s">
        <v>38</v>
      </c>
      <c r="K169">
        <v>11</v>
      </c>
      <c r="L169" s="3">
        <v>6.9444444444444447E-4</v>
      </c>
      <c r="M169" t="s">
        <v>31</v>
      </c>
      <c r="N169" t="s">
        <v>155</v>
      </c>
      <c r="O169">
        <f>IF(Table13[[#This Row],[Goal_assist]]="",1,0)</f>
        <v>0</v>
      </c>
    </row>
    <row r="170" spans="1:15" x14ac:dyDescent="0.35">
      <c r="A170" t="s">
        <v>64</v>
      </c>
      <c r="B170" s="1">
        <v>45543</v>
      </c>
      <c r="C170" t="s">
        <v>65</v>
      </c>
      <c r="D170">
        <v>18</v>
      </c>
      <c r="E170" s="2">
        <v>39824</v>
      </c>
      <c r="F170" t="s">
        <v>24</v>
      </c>
      <c r="G170" t="s">
        <v>66</v>
      </c>
      <c r="H170" t="s">
        <v>100</v>
      </c>
      <c r="I170" s="3">
        <v>8.5416666666666669E-2</v>
      </c>
      <c r="J170" t="s">
        <v>38</v>
      </c>
      <c r="K170">
        <v>84</v>
      </c>
      <c r="L170" s="3">
        <v>8.5416666666666669E-2</v>
      </c>
      <c r="M170" t="s">
        <v>31</v>
      </c>
      <c r="N170" t="s">
        <v>155</v>
      </c>
      <c r="O170">
        <f>IF(Table13[[#This Row],[Goal_assist]]="",1,0)</f>
        <v>0</v>
      </c>
    </row>
    <row r="171" spans="1:15" x14ac:dyDescent="0.35">
      <c r="A171" t="s">
        <v>64</v>
      </c>
      <c r="B171" s="1">
        <v>45543</v>
      </c>
      <c r="C171" t="s">
        <v>65</v>
      </c>
      <c r="D171">
        <v>19</v>
      </c>
      <c r="E171" s="2">
        <v>39830</v>
      </c>
      <c r="F171" t="s">
        <v>16</v>
      </c>
      <c r="G171" t="s">
        <v>66</v>
      </c>
      <c r="H171" t="s">
        <v>115</v>
      </c>
      <c r="I171" s="3">
        <v>0.20833333333333334</v>
      </c>
      <c r="J171" t="s">
        <v>38</v>
      </c>
      <c r="K171">
        <v>21</v>
      </c>
      <c r="L171" s="3">
        <v>4.1666666666666664E-2</v>
      </c>
      <c r="M171" t="s">
        <v>31</v>
      </c>
      <c r="O171">
        <f>IF(Table13[[#This Row],[Goal_assist]]="",1,0)</f>
        <v>1</v>
      </c>
    </row>
    <row r="172" spans="1:15" x14ac:dyDescent="0.35">
      <c r="A172" t="s">
        <v>14</v>
      </c>
      <c r="B172" s="1">
        <v>45543</v>
      </c>
      <c r="C172" t="s">
        <v>80</v>
      </c>
      <c r="D172" t="s">
        <v>62</v>
      </c>
      <c r="E172" s="2">
        <v>39833</v>
      </c>
      <c r="F172" t="s">
        <v>16</v>
      </c>
      <c r="G172" t="s">
        <v>36</v>
      </c>
      <c r="H172" t="s">
        <v>138</v>
      </c>
      <c r="I172" s="3">
        <v>0.16805555555555557</v>
      </c>
      <c r="J172" t="str">
        <f>J171</f>
        <v>RW</v>
      </c>
      <c r="K172">
        <v>89</v>
      </c>
      <c r="L172" s="3">
        <v>0.1673611111111111</v>
      </c>
      <c r="M172" t="s">
        <v>83</v>
      </c>
      <c r="O172">
        <f>IF(Table13[[#This Row],[Goal_assist]]="",1,0)</f>
        <v>1</v>
      </c>
    </row>
    <row r="173" spans="1:15" x14ac:dyDescent="0.35">
      <c r="A173" t="s">
        <v>64</v>
      </c>
      <c r="B173" s="1">
        <v>45543</v>
      </c>
      <c r="C173" t="s">
        <v>65</v>
      </c>
      <c r="D173">
        <v>20</v>
      </c>
      <c r="E173" s="2">
        <v>39837</v>
      </c>
      <c r="F173" t="s">
        <v>16</v>
      </c>
      <c r="G173" t="s">
        <v>66</v>
      </c>
      <c r="H173" t="s">
        <v>165</v>
      </c>
      <c r="I173" s="3">
        <v>0.1673611111111111</v>
      </c>
      <c r="J173" t="s">
        <v>38</v>
      </c>
      <c r="K173">
        <v>49</v>
      </c>
      <c r="L173" s="3">
        <v>4.1666666666666664E-2</v>
      </c>
      <c r="M173" t="s">
        <v>31</v>
      </c>
      <c r="N173" t="s">
        <v>155</v>
      </c>
      <c r="O173">
        <f>IF(Table13[[#This Row],[Goal_assist]]="",1,0)</f>
        <v>0</v>
      </c>
    </row>
    <row r="174" spans="1:15" x14ac:dyDescent="0.35">
      <c r="A174" t="s">
        <v>64</v>
      </c>
      <c r="B174" s="1">
        <v>45543</v>
      </c>
      <c r="C174" t="s">
        <v>65</v>
      </c>
      <c r="D174">
        <v>20</v>
      </c>
      <c r="E174" s="2">
        <v>39837</v>
      </c>
      <c r="F174" t="s">
        <v>16</v>
      </c>
      <c r="G174" t="s">
        <v>66</v>
      </c>
      <c r="H174" t="s">
        <v>165</v>
      </c>
      <c r="I174" s="3">
        <v>0.1673611111111111</v>
      </c>
      <c r="J174" t="s">
        <v>38</v>
      </c>
      <c r="K174">
        <v>76</v>
      </c>
      <c r="L174" s="3">
        <v>0.1673611111111111</v>
      </c>
      <c r="M174" t="s">
        <v>26</v>
      </c>
      <c r="O174">
        <f>IF(Table13[[#This Row],[Goal_assist]]="",1,0)</f>
        <v>1</v>
      </c>
    </row>
    <row r="175" spans="1:15" x14ac:dyDescent="0.35">
      <c r="A175" t="s">
        <v>14</v>
      </c>
      <c r="B175" s="1">
        <v>45543</v>
      </c>
      <c r="C175" t="s">
        <v>35</v>
      </c>
      <c r="D175">
        <v>23</v>
      </c>
      <c r="E175" s="2">
        <v>39840</v>
      </c>
      <c r="F175" t="s">
        <v>24</v>
      </c>
      <c r="G175" t="s">
        <v>36</v>
      </c>
      <c r="H175" t="s">
        <v>82</v>
      </c>
      <c r="I175" s="3">
        <v>3.472222222222222E-3</v>
      </c>
      <c r="J175" t="s">
        <v>19</v>
      </c>
      <c r="K175">
        <v>65</v>
      </c>
      <c r="L175" s="3">
        <v>2.7777777777777779E-3</v>
      </c>
      <c r="M175" t="s">
        <v>26</v>
      </c>
      <c r="N175" t="s">
        <v>44</v>
      </c>
      <c r="O175">
        <f>IF(Table13[[#This Row],[Goal_assist]]="",1,0)</f>
        <v>0</v>
      </c>
    </row>
    <row r="176" spans="1:15" x14ac:dyDescent="0.35">
      <c r="A176" t="s">
        <v>14</v>
      </c>
      <c r="B176" s="1">
        <v>45543</v>
      </c>
      <c r="C176" t="s">
        <v>35</v>
      </c>
      <c r="D176">
        <v>23</v>
      </c>
      <c r="E176" s="2">
        <v>39840</v>
      </c>
      <c r="F176" t="s">
        <v>24</v>
      </c>
      <c r="G176" t="s">
        <v>36</v>
      </c>
      <c r="H176" t="s">
        <v>82</v>
      </c>
      <c r="I176" s="3">
        <v>3.472222222222222E-3</v>
      </c>
      <c r="J176" t="s">
        <v>19</v>
      </c>
      <c r="K176">
        <v>73</v>
      </c>
      <c r="L176" s="3">
        <v>3.472222222222222E-3</v>
      </c>
      <c r="M176" t="s">
        <v>26</v>
      </c>
      <c r="N176" t="s">
        <v>156</v>
      </c>
      <c r="O176">
        <f>IF(Table13[[#This Row],[Goal_assist]]="",1,0)</f>
        <v>0</v>
      </c>
    </row>
    <row r="177" spans="1:15" x14ac:dyDescent="0.35">
      <c r="A177" t="s">
        <v>14</v>
      </c>
      <c r="B177" s="1">
        <v>45543</v>
      </c>
      <c r="C177" t="s">
        <v>35</v>
      </c>
      <c r="D177">
        <v>24</v>
      </c>
      <c r="E177" s="2">
        <v>39844</v>
      </c>
      <c r="F177" t="s">
        <v>16</v>
      </c>
      <c r="G177" t="s">
        <v>36</v>
      </c>
      <c r="H177" t="s">
        <v>56</v>
      </c>
      <c r="I177" s="3">
        <v>4.1666666666666664E-2</v>
      </c>
      <c r="J177" t="s">
        <v>19</v>
      </c>
      <c r="K177">
        <v>43</v>
      </c>
      <c r="L177" s="3">
        <v>4.1666666666666664E-2</v>
      </c>
      <c r="M177" t="s">
        <v>83</v>
      </c>
      <c r="O177">
        <f>IF(Table13[[#This Row],[Goal_assist]]="",1,0)</f>
        <v>1</v>
      </c>
    </row>
    <row r="178" spans="1:15" x14ac:dyDescent="0.35">
      <c r="A178" t="s">
        <v>64</v>
      </c>
      <c r="B178" s="1">
        <v>45543</v>
      </c>
      <c r="C178" t="s">
        <v>65</v>
      </c>
      <c r="D178">
        <v>21</v>
      </c>
      <c r="E178" s="2">
        <v>39845</v>
      </c>
      <c r="F178" t="s">
        <v>24</v>
      </c>
      <c r="G178" t="s">
        <v>66</v>
      </c>
      <c r="H178" t="s">
        <v>78</v>
      </c>
      <c r="I178" s="3">
        <v>4.3055555555555555E-2</v>
      </c>
      <c r="J178" t="s">
        <v>38</v>
      </c>
      <c r="K178">
        <v>65</v>
      </c>
      <c r="L178" s="3">
        <v>4.2361111111111113E-2</v>
      </c>
      <c r="M178" t="s">
        <v>26</v>
      </c>
      <c r="N178" t="s">
        <v>106</v>
      </c>
      <c r="O178">
        <f>IF(Table13[[#This Row],[Goal_assist]]="",1,0)</f>
        <v>0</v>
      </c>
    </row>
    <row r="179" spans="1:15" x14ac:dyDescent="0.35">
      <c r="A179" t="s">
        <v>64</v>
      </c>
      <c r="B179" s="1">
        <v>45543</v>
      </c>
      <c r="C179" t="s">
        <v>65</v>
      </c>
      <c r="D179">
        <v>21</v>
      </c>
      <c r="E179" s="2">
        <v>39845</v>
      </c>
      <c r="F179" t="s">
        <v>24</v>
      </c>
      <c r="G179" t="s">
        <v>66</v>
      </c>
      <c r="H179" t="s">
        <v>78</v>
      </c>
      <c r="I179" s="3">
        <v>4.3055555555555555E-2</v>
      </c>
      <c r="J179" t="s">
        <v>38</v>
      </c>
      <c r="K179">
        <v>81</v>
      </c>
      <c r="L179" s="3">
        <v>4.3055555555555555E-2</v>
      </c>
      <c r="M179" t="s">
        <v>26</v>
      </c>
      <c r="O179">
        <f>IF(Table13[[#This Row],[Goal_assist]]="",1,0)</f>
        <v>1</v>
      </c>
    </row>
    <row r="180" spans="1:15" x14ac:dyDescent="0.35">
      <c r="A180" t="s">
        <v>14</v>
      </c>
      <c r="B180" s="1">
        <v>45543</v>
      </c>
      <c r="C180" t="s">
        <v>40</v>
      </c>
      <c r="D180" t="s">
        <v>33</v>
      </c>
      <c r="E180" s="2">
        <v>39859</v>
      </c>
      <c r="F180" t="s">
        <v>24</v>
      </c>
      <c r="G180" t="s">
        <v>36</v>
      </c>
      <c r="H180" t="s">
        <v>138</v>
      </c>
      <c r="I180" s="3">
        <v>4.4444444444444446E-2</v>
      </c>
      <c r="J180" t="s">
        <v>68</v>
      </c>
      <c r="K180">
        <v>68</v>
      </c>
      <c r="L180" s="3">
        <v>4.3749999999999997E-2</v>
      </c>
      <c r="M180" t="s">
        <v>22</v>
      </c>
      <c r="N180" t="s">
        <v>44</v>
      </c>
      <c r="O180">
        <f>IF(Table13[[#This Row],[Goal_assist]]="",1,0)</f>
        <v>0</v>
      </c>
    </row>
    <row r="181" spans="1:15" x14ac:dyDescent="0.35">
      <c r="A181" t="s">
        <v>14</v>
      </c>
      <c r="B181" s="1">
        <v>45543</v>
      </c>
      <c r="C181" t="s">
        <v>35</v>
      </c>
      <c r="D181">
        <v>26</v>
      </c>
      <c r="E181" s="2">
        <v>39865</v>
      </c>
      <c r="F181" t="s">
        <v>16</v>
      </c>
      <c r="G181" t="s">
        <v>36</v>
      </c>
      <c r="H181" t="s">
        <v>134</v>
      </c>
      <c r="I181" s="3">
        <v>8.4027777777777785E-2</v>
      </c>
      <c r="J181" t="str">
        <f>J180</f>
        <v>CF</v>
      </c>
      <c r="K181">
        <v>60</v>
      </c>
      <c r="L181" s="3">
        <v>8.4027777777777785E-2</v>
      </c>
      <c r="M181" t="s">
        <v>39</v>
      </c>
      <c r="O181">
        <f>IF(Table13[[#This Row],[Goal_assist]]="",1,0)</f>
        <v>1</v>
      </c>
    </row>
    <row r="182" spans="1:15" x14ac:dyDescent="0.35">
      <c r="A182" t="s">
        <v>64</v>
      </c>
      <c r="B182" s="1">
        <v>45543</v>
      </c>
      <c r="C182" t="s">
        <v>65</v>
      </c>
      <c r="D182">
        <v>25</v>
      </c>
      <c r="E182" s="2">
        <v>39873</v>
      </c>
      <c r="F182" t="s">
        <v>24</v>
      </c>
      <c r="G182" t="s">
        <v>66</v>
      </c>
      <c r="H182" t="s">
        <v>119</v>
      </c>
      <c r="I182" s="3">
        <v>0.16875000000000001</v>
      </c>
      <c r="J182" t="s">
        <v>38</v>
      </c>
      <c r="K182">
        <v>30</v>
      </c>
      <c r="L182" s="3">
        <v>1.3888888888888889E-3</v>
      </c>
      <c r="M182" t="s">
        <v>31</v>
      </c>
      <c r="O182">
        <f>IF(Table13[[#This Row],[Goal_assist]]="",1,0)</f>
        <v>1</v>
      </c>
    </row>
    <row r="183" spans="1:15" x14ac:dyDescent="0.35">
      <c r="A183" t="s">
        <v>64</v>
      </c>
      <c r="B183" s="1">
        <v>45543</v>
      </c>
      <c r="C183" t="s">
        <v>91</v>
      </c>
      <c r="D183" t="s">
        <v>62</v>
      </c>
      <c r="E183" s="2">
        <v>39876</v>
      </c>
      <c r="F183" t="s">
        <v>24</v>
      </c>
      <c r="G183" t="s">
        <v>66</v>
      </c>
      <c r="H183" t="s">
        <v>89</v>
      </c>
      <c r="I183" s="3">
        <v>4.2361111111111113E-2</v>
      </c>
      <c r="J183" t="s">
        <v>38</v>
      </c>
      <c r="K183">
        <v>81</v>
      </c>
      <c r="L183" s="3">
        <v>4.2361111111111113E-2</v>
      </c>
      <c r="M183" t="s">
        <v>31</v>
      </c>
      <c r="N183" t="s">
        <v>166</v>
      </c>
      <c r="O183">
        <f>IF(Table13[[#This Row],[Goal_assist]]="",1,0)</f>
        <v>0</v>
      </c>
    </row>
    <row r="184" spans="1:15" x14ac:dyDescent="0.35">
      <c r="A184" t="s">
        <v>64</v>
      </c>
      <c r="B184" s="1">
        <v>45543</v>
      </c>
      <c r="C184" t="s">
        <v>65</v>
      </c>
      <c r="D184">
        <v>26</v>
      </c>
      <c r="E184" s="2">
        <v>39879</v>
      </c>
      <c r="F184" t="s">
        <v>16</v>
      </c>
      <c r="G184" t="s">
        <v>66</v>
      </c>
      <c r="H184" t="s">
        <v>86</v>
      </c>
      <c r="I184" s="3">
        <v>8.3333333333333329E-2</v>
      </c>
      <c r="J184" t="s">
        <v>38</v>
      </c>
      <c r="K184">
        <v>31</v>
      </c>
      <c r="L184" s="3">
        <v>8.3333333333333329E-2</v>
      </c>
      <c r="M184" t="s">
        <v>83</v>
      </c>
      <c r="O184">
        <f>IF(Table13[[#This Row],[Goal_assist]]="",1,0)</f>
        <v>1</v>
      </c>
    </row>
    <row r="185" spans="1:15" x14ac:dyDescent="0.35">
      <c r="A185" t="s">
        <v>14</v>
      </c>
      <c r="B185" s="1">
        <v>45543</v>
      </c>
      <c r="C185" t="s">
        <v>75</v>
      </c>
      <c r="D185" t="s">
        <v>143</v>
      </c>
      <c r="E185" s="2">
        <v>39883</v>
      </c>
      <c r="F185" t="s">
        <v>16</v>
      </c>
      <c r="G185" t="s">
        <v>36</v>
      </c>
      <c r="H185" t="s">
        <v>167</v>
      </c>
      <c r="I185" s="3">
        <v>8.3333333333333329E-2</v>
      </c>
      <c r="J185" t="s">
        <v>38</v>
      </c>
      <c r="K185">
        <v>49</v>
      </c>
      <c r="L185" s="3">
        <v>8.3333333333333329E-2</v>
      </c>
      <c r="M185" t="s">
        <v>22</v>
      </c>
      <c r="N185" t="s">
        <v>85</v>
      </c>
      <c r="O185">
        <f>IF(Table13[[#This Row],[Goal_assist]]="",1,0)</f>
        <v>0</v>
      </c>
    </row>
    <row r="186" spans="1:15" x14ac:dyDescent="0.35">
      <c r="A186" t="s">
        <v>64</v>
      </c>
      <c r="B186" s="1">
        <v>45543</v>
      </c>
      <c r="C186" t="s">
        <v>75</v>
      </c>
      <c r="D186" t="s">
        <v>143</v>
      </c>
      <c r="E186" s="2">
        <v>39883</v>
      </c>
      <c r="F186" t="s">
        <v>16</v>
      </c>
      <c r="G186" t="s">
        <v>66</v>
      </c>
      <c r="H186" t="s">
        <v>125</v>
      </c>
      <c r="I186" s="3">
        <v>0.20972222222222223</v>
      </c>
      <c r="J186" t="s">
        <v>38</v>
      </c>
      <c r="K186">
        <v>40</v>
      </c>
      <c r="L186" s="3">
        <v>0.125</v>
      </c>
      <c r="M186" t="s">
        <v>31</v>
      </c>
      <c r="N186" t="s">
        <v>79</v>
      </c>
      <c r="O186">
        <f>IF(Table13[[#This Row],[Goal_assist]]="",1,0)</f>
        <v>0</v>
      </c>
    </row>
    <row r="187" spans="1:15" x14ac:dyDescent="0.35">
      <c r="A187" t="s">
        <v>14</v>
      </c>
      <c r="B187" s="1">
        <v>45543</v>
      </c>
      <c r="C187" t="s">
        <v>35</v>
      </c>
      <c r="D187">
        <v>29</v>
      </c>
      <c r="E187" s="2">
        <v>39886</v>
      </c>
      <c r="F187" t="s">
        <v>16</v>
      </c>
      <c r="G187" t="s">
        <v>36</v>
      </c>
      <c r="H187" t="s">
        <v>145</v>
      </c>
      <c r="I187" s="3">
        <v>4.4444444444444446E-2</v>
      </c>
      <c r="J187" t="s">
        <v>38</v>
      </c>
      <c r="K187">
        <v>22</v>
      </c>
      <c r="L187" s="3">
        <v>4.1666666666666664E-2</v>
      </c>
      <c r="M187" t="s">
        <v>83</v>
      </c>
      <c r="O187">
        <f>IF(Table13[[#This Row],[Goal_assist]]="",1,0)</f>
        <v>1</v>
      </c>
    </row>
    <row r="188" spans="1:15" x14ac:dyDescent="0.35">
      <c r="A188" t="s">
        <v>64</v>
      </c>
      <c r="B188" s="1">
        <v>45543</v>
      </c>
      <c r="C188" t="s">
        <v>65</v>
      </c>
      <c r="D188">
        <v>28</v>
      </c>
      <c r="E188" s="2">
        <v>39894</v>
      </c>
      <c r="F188" t="s">
        <v>16</v>
      </c>
      <c r="G188" t="s">
        <v>66</v>
      </c>
      <c r="H188" t="s">
        <v>157</v>
      </c>
      <c r="I188" s="3">
        <v>0.25</v>
      </c>
      <c r="J188" t="s">
        <v>38</v>
      </c>
      <c r="K188">
        <v>26</v>
      </c>
      <c r="L188" s="3">
        <v>8.3333333333333329E-2</v>
      </c>
      <c r="M188" t="s">
        <v>26</v>
      </c>
      <c r="N188" t="s">
        <v>106</v>
      </c>
      <c r="O188">
        <f>IF(Table13[[#This Row],[Goal_assist]]="",1,0)</f>
        <v>0</v>
      </c>
    </row>
    <row r="189" spans="1:15" x14ac:dyDescent="0.35">
      <c r="A189" t="s">
        <v>14</v>
      </c>
      <c r="B189" s="1">
        <v>45543</v>
      </c>
      <c r="C189" t="s">
        <v>35</v>
      </c>
      <c r="D189">
        <v>31</v>
      </c>
      <c r="E189" s="2">
        <v>39908</v>
      </c>
      <c r="F189" t="s">
        <v>16</v>
      </c>
      <c r="G189" t="s">
        <v>36</v>
      </c>
      <c r="H189" t="s">
        <v>45</v>
      </c>
      <c r="I189" s="3">
        <v>0.12638888888888888</v>
      </c>
      <c r="J189" t="s">
        <v>38</v>
      </c>
      <c r="K189">
        <v>11</v>
      </c>
      <c r="L189" s="3">
        <v>4.1666666666666664E-2</v>
      </c>
      <c r="M189" t="s">
        <v>39</v>
      </c>
      <c r="O189">
        <f>IF(Table13[[#This Row],[Goal_assist]]="",1,0)</f>
        <v>1</v>
      </c>
    </row>
    <row r="190" spans="1:15" x14ac:dyDescent="0.35">
      <c r="A190" t="s">
        <v>14</v>
      </c>
      <c r="B190" s="1">
        <v>45543</v>
      </c>
      <c r="C190" t="s">
        <v>35</v>
      </c>
      <c r="D190">
        <v>31</v>
      </c>
      <c r="E190" s="2">
        <v>39908</v>
      </c>
      <c r="F190" t="s">
        <v>16</v>
      </c>
      <c r="G190" t="s">
        <v>36</v>
      </c>
      <c r="H190" t="s">
        <v>45</v>
      </c>
      <c r="I190" s="3">
        <v>0.12638888888888888</v>
      </c>
      <c r="J190" t="s">
        <v>38</v>
      </c>
      <c r="K190">
        <v>80</v>
      </c>
      <c r="L190" s="3">
        <v>8.4722222222222227E-2</v>
      </c>
      <c r="M190" t="s">
        <v>31</v>
      </c>
      <c r="N190" t="s">
        <v>110</v>
      </c>
      <c r="O190">
        <f>IF(Table13[[#This Row],[Goal_assist]]="",1,0)</f>
        <v>0</v>
      </c>
    </row>
    <row r="191" spans="1:15" x14ac:dyDescent="0.35">
      <c r="A191" t="s">
        <v>64</v>
      </c>
      <c r="B191" s="1">
        <v>45543</v>
      </c>
      <c r="C191" t="s">
        <v>75</v>
      </c>
      <c r="D191" t="s">
        <v>92</v>
      </c>
      <c r="E191" s="2">
        <v>39911</v>
      </c>
      <c r="F191" t="s">
        <v>16</v>
      </c>
      <c r="G191" t="s">
        <v>66</v>
      </c>
      <c r="H191" t="s">
        <v>168</v>
      </c>
      <c r="I191" s="3">
        <v>0.16666666666666666</v>
      </c>
      <c r="J191" t="s">
        <v>38</v>
      </c>
      <c r="K191">
        <v>9</v>
      </c>
      <c r="L191" s="3">
        <v>4.1666666666666664E-2</v>
      </c>
      <c r="M191" t="s">
        <v>31</v>
      </c>
      <c r="N191" t="s">
        <v>79</v>
      </c>
      <c r="O191">
        <f>IF(Table13[[#This Row],[Goal_assist]]="",1,0)</f>
        <v>0</v>
      </c>
    </row>
    <row r="192" spans="1:15" x14ac:dyDescent="0.35">
      <c r="A192" t="s">
        <v>64</v>
      </c>
      <c r="B192" s="1">
        <v>45543</v>
      </c>
      <c r="C192" t="s">
        <v>75</v>
      </c>
      <c r="D192" t="s">
        <v>92</v>
      </c>
      <c r="E192" s="2">
        <v>39911</v>
      </c>
      <c r="F192" t="s">
        <v>16</v>
      </c>
      <c r="G192" t="s">
        <v>66</v>
      </c>
      <c r="H192" t="s">
        <v>168</v>
      </c>
      <c r="I192" s="3">
        <v>0.16666666666666666</v>
      </c>
      <c r="J192" t="s">
        <v>38</v>
      </c>
      <c r="K192">
        <v>38</v>
      </c>
      <c r="L192" s="3">
        <v>0.125</v>
      </c>
      <c r="M192" t="s">
        <v>26</v>
      </c>
      <c r="N192" t="s">
        <v>126</v>
      </c>
      <c r="O192">
        <f>IF(Table13[[#This Row],[Goal_assist]]="",1,0)</f>
        <v>0</v>
      </c>
    </row>
    <row r="193" spans="1:15" x14ac:dyDescent="0.35">
      <c r="A193" t="s">
        <v>14</v>
      </c>
      <c r="B193" s="1">
        <v>45543</v>
      </c>
      <c r="C193" t="s">
        <v>75</v>
      </c>
      <c r="D193" t="s">
        <v>92</v>
      </c>
      <c r="E193" s="2">
        <v>39918</v>
      </c>
      <c r="F193" t="s">
        <v>24</v>
      </c>
      <c r="G193" t="s">
        <v>36</v>
      </c>
      <c r="H193" t="s">
        <v>169</v>
      </c>
      <c r="I193" s="3">
        <v>6.9444444444444447E-4</v>
      </c>
      <c r="J193" t="s">
        <v>38</v>
      </c>
      <c r="K193">
        <v>6</v>
      </c>
      <c r="L193" s="3">
        <v>6.9444444444444447E-4</v>
      </c>
      <c r="M193" t="s">
        <v>170</v>
      </c>
      <c r="N193" t="s">
        <v>171</v>
      </c>
      <c r="O193">
        <f>IF(Table13[[#This Row],[Goal_assist]]="",1,0)</f>
        <v>0</v>
      </c>
    </row>
    <row r="194" spans="1:15" x14ac:dyDescent="0.35">
      <c r="A194" t="s">
        <v>64</v>
      </c>
      <c r="B194" s="1">
        <v>45543</v>
      </c>
      <c r="C194" t="s">
        <v>65</v>
      </c>
      <c r="D194">
        <v>31</v>
      </c>
      <c r="E194" s="2">
        <v>39921</v>
      </c>
      <c r="F194" t="s">
        <v>24</v>
      </c>
      <c r="G194" t="s">
        <v>66</v>
      </c>
      <c r="H194" t="s">
        <v>117</v>
      </c>
      <c r="I194" s="3">
        <v>6.9444444444444447E-4</v>
      </c>
      <c r="J194" t="s">
        <v>38</v>
      </c>
      <c r="K194">
        <v>18</v>
      </c>
      <c r="L194" s="3">
        <v>6.9444444444444447E-4</v>
      </c>
      <c r="M194" t="s">
        <v>31</v>
      </c>
      <c r="N194" t="s">
        <v>106</v>
      </c>
      <c r="O194">
        <f>IF(Table13[[#This Row],[Goal_assist]]="",1,0)</f>
        <v>0</v>
      </c>
    </row>
    <row r="195" spans="1:15" x14ac:dyDescent="0.35">
      <c r="A195" t="s">
        <v>14</v>
      </c>
      <c r="B195" s="1">
        <v>45543</v>
      </c>
      <c r="C195" t="s">
        <v>35</v>
      </c>
      <c r="D195">
        <v>34</v>
      </c>
      <c r="E195" s="2">
        <v>39928</v>
      </c>
      <c r="F195" t="s">
        <v>16</v>
      </c>
      <c r="G195" t="s">
        <v>36</v>
      </c>
      <c r="H195" t="s">
        <v>42</v>
      </c>
      <c r="I195" s="3">
        <v>0.20972222222222223</v>
      </c>
      <c r="J195" t="s">
        <v>38</v>
      </c>
      <c r="K195">
        <v>68</v>
      </c>
      <c r="L195" s="3">
        <v>0.12638888888888888</v>
      </c>
      <c r="M195" t="s">
        <v>22</v>
      </c>
      <c r="N195" t="s">
        <v>85</v>
      </c>
      <c r="O195">
        <f>IF(Table13[[#This Row],[Goal_assist]]="",1,0)</f>
        <v>0</v>
      </c>
    </row>
    <row r="196" spans="1:15" x14ac:dyDescent="0.35">
      <c r="A196" t="s">
        <v>14</v>
      </c>
      <c r="B196" s="1">
        <v>45543</v>
      </c>
      <c r="C196" t="s">
        <v>35</v>
      </c>
      <c r="D196">
        <v>34</v>
      </c>
      <c r="E196" s="2">
        <v>39928</v>
      </c>
      <c r="F196" t="s">
        <v>16</v>
      </c>
      <c r="G196" t="s">
        <v>36</v>
      </c>
      <c r="H196" t="s">
        <v>42</v>
      </c>
      <c r="I196" s="3">
        <v>0.20972222222222223</v>
      </c>
      <c r="J196" t="s">
        <v>38</v>
      </c>
      <c r="K196">
        <v>57</v>
      </c>
      <c r="L196" s="3">
        <v>4.3055555555555555E-2</v>
      </c>
      <c r="M196" t="s">
        <v>83</v>
      </c>
      <c r="O196">
        <f>IF(Table13[[#This Row],[Goal_assist]]="",1,0)</f>
        <v>1</v>
      </c>
    </row>
    <row r="197" spans="1:15" x14ac:dyDescent="0.35">
      <c r="A197" t="s">
        <v>64</v>
      </c>
      <c r="B197" s="1">
        <v>45543</v>
      </c>
      <c r="C197" t="s">
        <v>65</v>
      </c>
      <c r="D197">
        <v>33</v>
      </c>
      <c r="E197" s="2">
        <v>39928</v>
      </c>
      <c r="F197" t="s">
        <v>24</v>
      </c>
      <c r="G197" t="s">
        <v>66</v>
      </c>
      <c r="H197" t="s">
        <v>148</v>
      </c>
      <c r="I197" s="3">
        <v>8.4722222222222227E-2</v>
      </c>
      <c r="J197" t="s">
        <v>38</v>
      </c>
      <c r="K197">
        <v>23</v>
      </c>
      <c r="L197" s="3">
        <v>6.9444444444444447E-4</v>
      </c>
      <c r="M197" t="s">
        <v>31</v>
      </c>
      <c r="N197" t="s">
        <v>99</v>
      </c>
      <c r="O197">
        <f>IF(Table13[[#This Row],[Goal_assist]]="",1,0)</f>
        <v>0</v>
      </c>
    </row>
    <row r="198" spans="1:15" x14ac:dyDescent="0.35">
      <c r="A198" t="s">
        <v>64</v>
      </c>
      <c r="B198" s="1">
        <v>45543</v>
      </c>
      <c r="C198" t="s">
        <v>65</v>
      </c>
      <c r="D198">
        <v>34</v>
      </c>
      <c r="E198" s="2">
        <v>39935</v>
      </c>
      <c r="F198" t="s">
        <v>24</v>
      </c>
      <c r="G198" t="s">
        <v>66</v>
      </c>
      <c r="H198" t="s">
        <v>112</v>
      </c>
      <c r="I198" s="3">
        <v>8.7499999999999994E-2</v>
      </c>
      <c r="J198" t="s">
        <v>68</v>
      </c>
      <c r="K198">
        <v>35</v>
      </c>
      <c r="L198" s="3">
        <v>4.3749999999999997E-2</v>
      </c>
      <c r="M198" t="s">
        <v>31</v>
      </c>
      <c r="N198" t="s">
        <v>106</v>
      </c>
      <c r="O198">
        <f>IF(Table13[[#This Row],[Goal_assist]]="",1,0)</f>
        <v>0</v>
      </c>
    </row>
    <row r="199" spans="1:15" x14ac:dyDescent="0.35">
      <c r="A199" t="s">
        <v>64</v>
      </c>
      <c r="B199" s="1">
        <v>45543</v>
      </c>
      <c r="C199" t="s">
        <v>65</v>
      </c>
      <c r="D199">
        <v>34</v>
      </c>
      <c r="E199" s="2">
        <v>39935</v>
      </c>
      <c r="F199" t="s">
        <v>24</v>
      </c>
      <c r="G199" t="s">
        <v>66</v>
      </c>
      <c r="H199" t="s">
        <v>112</v>
      </c>
      <c r="I199" s="3">
        <v>8.7499999999999994E-2</v>
      </c>
      <c r="J199" t="s">
        <v>68</v>
      </c>
      <c r="K199">
        <v>75</v>
      </c>
      <c r="L199" s="3">
        <v>8.6805555555555552E-2</v>
      </c>
      <c r="M199" t="s">
        <v>31</v>
      </c>
      <c r="N199" t="s">
        <v>106</v>
      </c>
      <c r="O199">
        <f>IF(Table13[[#This Row],[Goal_assist]]="",1,0)</f>
        <v>0</v>
      </c>
    </row>
    <row r="200" spans="1:15" x14ac:dyDescent="0.35">
      <c r="A200" t="s">
        <v>14</v>
      </c>
      <c r="B200" s="1">
        <v>45543</v>
      </c>
      <c r="C200" t="s">
        <v>75</v>
      </c>
      <c r="D200" t="s">
        <v>62</v>
      </c>
      <c r="E200" s="2">
        <v>39938</v>
      </c>
      <c r="F200" t="s">
        <v>24</v>
      </c>
      <c r="G200" t="s">
        <v>36</v>
      </c>
      <c r="H200" t="s">
        <v>54</v>
      </c>
      <c r="I200" s="3">
        <v>4.3749999999999997E-2</v>
      </c>
      <c r="J200" t="s">
        <v>68</v>
      </c>
      <c r="K200">
        <v>11</v>
      </c>
      <c r="L200" s="3">
        <v>1.3888888888888889E-3</v>
      </c>
      <c r="M200" t="s">
        <v>39</v>
      </c>
      <c r="O200">
        <f>IF(Table13[[#This Row],[Goal_assist]]="",1,0)</f>
        <v>1</v>
      </c>
    </row>
    <row r="201" spans="1:15" x14ac:dyDescent="0.35">
      <c r="A201" t="s">
        <v>14</v>
      </c>
      <c r="B201" s="1">
        <v>45543</v>
      </c>
      <c r="C201" t="s">
        <v>75</v>
      </c>
      <c r="D201" t="s">
        <v>62</v>
      </c>
      <c r="E201" s="2">
        <v>39938</v>
      </c>
      <c r="F201" t="s">
        <v>24</v>
      </c>
      <c r="G201" t="s">
        <v>36</v>
      </c>
      <c r="H201" t="s">
        <v>54</v>
      </c>
      <c r="I201" s="3">
        <v>4.3749999999999997E-2</v>
      </c>
      <c r="J201" t="s">
        <v>68</v>
      </c>
      <c r="K201">
        <v>61</v>
      </c>
      <c r="L201" s="3">
        <v>2.0833333333333333E-3</v>
      </c>
      <c r="M201" t="s">
        <v>26</v>
      </c>
      <c r="N201" t="s">
        <v>85</v>
      </c>
      <c r="O201">
        <f>IF(Table13[[#This Row],[Goal_assist]]="",1,0)</f>
        <v>0</v>
      </c>
    </row>
    <row r="202" spans="1:15" x14ac:dyDescent="0.35">
      <c r="A202" t="s">
        <v>14</v>
      </c>
      <c r="B202" s="1">
        <v>45543</v>
      </c>
      <c r="C202" t="s">
        <v>35</v>
      </c>
      <c r="D202">
        <v>36</v>
      </c>
      <c r="E202" s="2">
        <v>39943</v>
      </c>
      <c r="F202" t="s">
        <v>16</v>
      </c>
      <c r="G202" t="s">
        <v>36</v>
      </c>
      <c r="H202" t="s">
        <v>41</v>
      </c>
      <c r="I202" s="3">
        <v>8.3333333333333329E-2</v>
      </c>
      <c r="J202" t="s">
        <v>38</v>
      </c>
      <c r="K202">
        <v>17</v>
      </c>
      <c r="L202" s="3">
        <v>4.1666666666666664E-2</v>
      </c>
      <c r="M202" t="s">
        <v>39</v>
      </c>
      <c r="O202">
        <f>IF(Table13[[#This Row],[Goal_assist]]="",1,0)</f>
        <v>1</v>
      </c>
    </row>
    <row r="203" spans="1:15" x14ac:dyDescent="0.35">
      <c r="A203" t="s">
        <v>64</v>
      </c>
      <c r="B203" s="1">
        <v>45543</v>
      </c>
      <c r="C203" t="s">
        <v>91</v>
      </c>
      <c r="D203" t="s">
        <v>46</v>
      </c>
      <c r="E203" s="2">
        <v>39946</v>
      </c>
      <c r="F203" t="s">
        <v>16</v>
      </c>
      <c r="G203" t="s">
        <v>66</v>
      </c>
      <c r="H203" t="s">
        <v>86</v>
      </c>
      <c r="I203" s="3">
        <v>0.1673611111111111</v>
      </c>
      <c r="J203" t="s">
        <v>38</v>
      </c>
      <c r="K203">
        <v>55</v>
      </c>
      <c r="L203" s="3">
        <v>8.4027777777777785E-2</v>
      </c>
      <c r="M203" t="s">
        <v>31</v>
      </c>
      <c r="N203" t="s">
        <v>79</v>
      </c>
      <c r="O203">
        <f>IF(Table13[[#This Row],[Goal_assist]]="",1,0)</f>
        <v>0</v>
      </c>
    </row>
    <row r="204" spans="1:15" x14ac:dyDescent="0.35">
      <c r="A204" t="s">
        <v>64</v>
      </c>
      <c r="B204" s="1">
        <v>45543</v>
      </c>
      <c r="C204" t="s">
        <v>75</v>
      </c>
      <c r="D204" t="s">
        <v>46</v>
      </c>
      <c r="E204" s="2">
        <v>39960</v>
      </c>
      <c r="F204" t="s">
        <v>16</v>
      </c>
      <c r="G204" t="s">
        <v>66</v>
      </c>
      <c r="H204" t="s">
        <v>36</v>
      </c>
      <c r="I204" s="3">
        <v>8.3333333333333329E-2</v>
      </c>
      <c r="J204" t="s">
        <v>68</v>
      </c>
      <c r="K204">
        <v>70</v>
      </c>
      <c r="L204" s="3">
        <v>8.3333333333333329E-2</v>
      </c>
      <c r="M204" t="s">
        <v>22</v>
      </c>
      <c r="N204" t="s">
        <v>106</v>
      </c>
      <c r="O204">
        <f>IF(Table13[[#This Row],[Goal_assist]]="",1,0)</f>
        <v>0</v>
      </c>
    </row>
    <row r="205" spans="1:15" x14ac:dyDescent="0.35">
      <c r="A205" t="s">
        <v>64</v>
      </c>
      <c r="B205" s="1">
        <v>45574</v>
      </c>
      <c r="C205" t="s">
        <v>172</v>
      </c>
      <c r="D205" t="s">
        <v>173</v>
      </c>
      <c r="E205" s="2">
        <v>40048</v>
      </c>
      <c r="F205" t="s">
        <v>16</v>
      </c>
      <c r="G205" t="s">
        <v>66</v>
      </c>
      <c r="H205" t="s">
        <v>86</v>
      </c>
      <c r="I205" s="3">
        <v>0.125</v>
      </c>
      <c r="J205" t="s">
        <v>38</v>
      </c>
      <c r="K205">
        <v>68</v>
      </c>
      <c r="L205" s="3">
        <v>8.3333333333333329E-2</v>
      </c>
      <c r="M205" t="s">
        <v>83</v>
      </c>
      <c r="O205">
        <f>IF(Table13[[#This Row],[Goal_assist]]="",1,0)</f>
        <v>1</v>
      </c>
    </row>
    <row r="206" spans="1:15" x14ac:dyDescent="0.35">
      <c r="A206" t="s">
        <v>64</v>
      </c>
      <c r="B206" s="1">
        <v>45574</v>
      </c>
      <c r="C206" t="s">
        <v>172</v>
      </c>
      <c r="D206" t="s">
        <v>173</v>
      </c>
      <c r="E206" s="2">
        <v>40048</v>
      </c>
      <c r="F206" t="s">
        <v>16</v>
      </c>
      <c r="G206" t="s">
        <v>66</v>
      </c>
      <c r="H206" t="s">
        <v>86</v>
      </c>
      <c r="I206" s="3">
        <v>0.125</v>
      </c>
      <c r="J206" t="s">
        <v>38</v>
      </c>
      <c r="K206">
        <v>50</v>
      </c>
      <c r="L206" s="3">
        <v>4.1666666666666664E-2</v>
      </c>
      <c r="M206" t="s">
        <v>26</v>
      </c>
      <c r="N206" t="s">
        <v>174</v>
      </c>
      <c r="O206">
        <f>IF(Table13[[#This Row],[Goal_assist]]="",1,0)</f>
        <v>0</v>
      </c>
    </row>
    <row r="207" spans="1:15" x14ac:dyDescent="0.35">
      <c r="A207" t="s">
        <v>14</v>
      </c>
      <c r="B207" s="1">
        <v>45574</v>
      </c>
      <c r="C207" t="s">
        <v>65</v>
      </c>
      <c r="D207">
        <v>1</v>
      </c>
      <c r="E207" s="2">
        <v>40054</v>
      </c>
      <c r="F207" t="s">
        <v>16</v>
      </c>
      <c r="G207" t="s">
        <v>112</v>
      </c>
      <c r="H207" t="s">
        <v>175</v>
      </c>
      <c r="I207" s="3">
        <v>0.12638888888888888</v>
      </c>
      <c r="J207" t="s">
        <v>38</v>
      </c>
      <c r="K207">
        <v>35</v>
      </c>
      <c r="L207" s="3">
        <v>8.4027777777777785E-2</v>
      </c>
      <c r="M207" t="s">
        <v>83</v>
      </c>
      <c r="O207">
        <f>IF(Table13[[#This Row],[Goal_assist]]="",1,0)</f>
        <v>1</v>
      </c>
    </row>
    <row r="208" spans="1:15" x14ac:dyDescent="0.35">
      <c r="A208" t="s">
        <v>64</v>
      </c>
      <c r="B208" s="1">
        <v>45574</v>
      </c>
      <c r="C208" t="s">
        <v>65</v>
      </c>
      <c r="D208">
        <v>2</v>
      </c>
      <c r="E208" s="2">
        <v>40068</v>
      </c>
      <c r="F208" t="s">
        <v>24</v>
      </c>
      <c r="G208" t="s">
        <v>66</v>
      </c>
      <c r="H208" t="s">
        <v>117</v>
      </c>
      <c r="I208" s="3">
        <v>1.3888888888888889E-3</v>
      </c>
      <c r="J208" t="s">
        <v>38</v>
      </c>
      <c r="K208">
        <v>78</v>
      </c>
      <c r="L208" s="3">
        <v>1.3888888888888889E-3</v>
      </c>
      <c r="M208" t="s">
        <v>22</v>
      </c>
      <c r="N208" t="s">
        <v>174</v>
      </c>
      <c r="O208">
        <f>IF(Table13[[#This Row],[Goal_assist]]="",1,0)</f>
        <v>0</v>
      </c>
    </row>
    <row r="209" spans="1:15" x14ac:dyDescent="0.35">
      <c r="A209" t="s">
        <v>14</v>
      </c>
      <c r="B209" s="1">
        <v>45574</v>
      </c>
      <c r="C209" t="s">
        <v>65</v>
      </c>
      <c r="D209">
        <v>2</v>
      </c>
      <c r="E209" s="2">
        <v>40068</v>
      </c>
      <c r="F209" t="s">
        <v>24</v>
      </c>
      <c r="G209" t="s">
        <v>112</v>
      </c>
      <c r="H209" t="s">
        <v>121</v>
      </c>
      <c r="I209" s="3">
        <v>2.0833333333333333E-3</v>
      </c>
      <c r="J209" t="str">
        <f>J208</f>
        <v>RW</v>
      </c>
      <c r="K209">
        <v>90</v>
      </c>
      <c r="L209" s="3">
        <v>2.0833333333333333E-3</v>
      </c>
      <c r="M209" t="s">
        <v>26</v>
      </c>
      <c r="N209" t="s">
        <v>176</v>
      </c>
      <c r="O209">
        <f>IF(Table13[[#This Row],[Goal_assist]]="",1,0)</f>
        <v>0</v>
      </c>
    </row>
    <row r="210" spans="1:15" x14ac:dyDescent="0.35">
      <c r="A210" t="s">
        <v>14</v>
      </c>
      <c r="B210" s="1">
        <v>45574</v>
      </c>
      <c r="C210" t="s">
        <v>75</v>
      </c>
      <c r="D210" t="s">
        <v>76</v>
      </c>
      <c r="E210" s="2">
        <v>40071</v>
      </c>
      <c r="F210" t="s">
        <v>24</v>
      </c>
      <c r="G210" t="s">
        <v>112</v>
      </c>
      <c r="H210" t="s">
        <v>177</v>
      </c>
      <c r="I210" s="3">
        <v>8.6805555555555552E-2</v>
      </c>
      <c r="J210" t="s">
        <v>68</v>
      </c>
      <c r="K210">
        <v>89</v>
      </c>
      <c r="L210" s="3">
        <v>8.611111111111111E-2</v>
      </c>
      <c r="M210" t="s">
        <v>39</v>
      </c>
      <c r="O210">
        <f>IF(Table13[[#This Row],[Goal_assist]]="",1,0)</f>
        <v>1</v>
      </c>
    </row>
    <row r="211" spans="1:15" x14ac:dyDescent="0.35">
      <c r="A211" t="s">
        <v>14</v>
      </c>
      <c r="B211" s="1">
        <v>45574</v>
      </c>
      <c r="C211" t="s">
        <v>75</v>
      </c>
      <c r="D211" t="s">
        <v>76</v>
      </c>
      <c r="E211" s="2">
        <v>40071</v>
      </c>
      <c r="F211" t="s">
        <v>24</v>
      </c>
      <c r="G211" t="s">
        <v>112</v>
      </c>
      <c r="H211" t="s">
        <v>177</v>
      </c>
      <c r="I211" s="3">
        <v>8.6805555555555552E-2</v>
      </c>
      <c r="J211" t="s">
        <v>68</v>
      </c>
      <c r="K211">
        <v>27</v>
      </c>
      <c r="L211" s="3">
        <v>6.9444444444444447E-4</v>
      </c>
      <c r="M211" t="s">
        <v>39</v>
      </c>
      <c r="O211">
        <f>IF(Table13[[#This Row],[Goal_assist]]="",1,0)</f>
        <v>1</v>
      </c>
    </row>
    <row r="212" spans="1:15" x14ac:dyDescent="0.35">
      <c r="A212" t="s">
        <v>64</v>
      </c>
      <c r="B212" s="1">
        <v>45574</v>
      </c>
      <c r="C212" t="s">
        <v>65</v>
      </c>
      <c r="D212">
        <v>3</v>
      </c>
      <c r="E212" s="2">
        <v>40075</v>
      </c>
      <c r="F212" t="s">
        <v>16</v>
      </c>
      <c r="G212" t="s">
        <v>66</v>
      </c>
      <c r="H212" t="s">
        <v>119</v>
      </c>
      <c r="I212" s="3">
        <v>0.20972222222222223</v>
      </c>
      <c r="J212" t="s">
        <v>38</v>
      </c>
      <c r="K212">
        <v>15</v>
      </c>
      <c r="L212" s="3">
        <v>8.3333333333333329E-2</v>
      </c>
      <c r="M212" t="s">
        <v>31</v>
      </c>
      <c r="N212" t="s">
        <v>106</v>
      </c>
      <c r="O212">
        <f>IF(Table13[[#This Row],[Goal_assist]]="",1,0)</f>
        <v>0</v>
      </c>
    </row>
    <row r="213" spans="1:15" x14ac:dyDescent="0.35">
      <c r="A213" t="s">
        <v>64</v>
      </c>
      <c r="B213" s="1">
        <v>45574</v>
      </c>
      <c r="C213" t="s">
        <v>65</v>
      </c>
      <c r="D213">
        <v>3</v>
      </c>
      <c r="E213" s="2">
        <v>40075</v>
      </c>
      <c r="F213" t="s">
        <v>16</v>
      </c>
      <c r="G213" t="s">
        <v>66</v>
      </c>
      <c r="H213" t="s">
        <v>119</v>
      </c>
      <c r="I213" s="3">
        <v>0.20972222222222223</v>
      </c>
      <c r="J213" t="s">
        <v>38</v>
      </c>
      <c r="K213" t="s">
        <v>136</v>
      </c>
      <c r="L213" s="3">
        <v>0.20972222222222223</v>
      </c>
      <c r="M213" t="s">
        <v>26</v>
      </c>
      <c r="N213" t="s">
        <v>155</v>
      </c>
      <c r="O213">
        <f>IF(Table13[[#This Row],[Goal_assist]]="",1,0)</f>
        <v>0</v>
      </c>
    </row>
    <row r="214" spans="1:15" x14ac:dyDescent="0.35">
      <c r="A214" t="s">
        <v>14</v>
      </c>
      <c r="B214" s="1">
        <v>45574</v>
      </c>
      <c r="C214" t="s">
        <v>65</v>
      </c>
      <c r="D214">
        <v>3</v>
      </c>
      <c r="E214" s="2">
        <v>40076</v>
      </c>
      <c r="F214" t="s">
        <v>16</v>
      </c>
      <c r="G214" t="s">
        <v>112</v>
      </c>
      <c r="H214" t="s">
        <v>178</v>
      </c>
      <c r="I214" s="3">
        <v>0.20833333333333334</v>
      </c>
      <c r="J214" t="s">
        <v>38</v>
      </c>
      <c r="K214">
        <v>75</v>
      </c>
      <c r="L214" s="3">
        <v>8.3333333333333329E-2</v>
      </c>
      <c r="M214" t="s">
        <v>22</v>
      </c>
      <c r="N214" t="s">
        <v>179</v>
      </c>
      <c r="O214">
        <f>IF(Table13[[#This Row],[Goal_assist]]="",1,0)</f>
        <v>0</v>
      </c>
    </row>
    <row r="215" spans="1:15" x14ac:dyDescent="0.35">
      <c r="A215" t="s">
        <v>14</v>
      </c>
      <c r="B215" s="1">
        <v>45574</v>
      </c>
      <c r="C215" t="s">
        <v>65</v>
      </c>
      <c r="D215">
        <v>3</v>
      </c>
      <c r="E215" s="2">
        <v>40076</v>
      </c>
      <c r="F215" t="s">
        <v>16</v>
      </c>
      <c r="G215" t="s">
        <v>112</v>
      </c>
      <c r="H215" t="s">
        <v>178</v>
      </c>
      <c r="I215" s="3">
        <v>0.20833333333333334</v>
      </c>
      <c r="J215" t="s">
        <v>38</v>
      </c>
      <c r="K215">
        <v>1</v>
      </c>
      <c r="L215" s="3">
        <v>4.1666666666666664E-2</v>
      </c>
      <c r="M215" t="s">
        <v>26</v>
      </c>
      <c r="O215">
        <f>IF(Table13[[#This Row],[Goal_assist]]="",1,0)</f>
        <v>1</v>
      </c>
    </row>
    <row r="216" spans="1:15" x14ac:dyDescent="0.35">
      <c r="A216" t="s">
        <v>64</v>
      </c>
      <c r="B216" s="1">
        <v>45574</v>
      </c>
      <c r="C216" t="s">
        <v>65</v>
      </c>
      <c r="D216">
        <v>4</v>
      </c>
      <c r="E216" s="2">
        <v>40078</v>
      </c>
      <c r="F216" t="s">
        <v>24</v>
      </c>
      <c r="G216" t="s">
        <v>66</v>
      </c>
      <c r="H216" t="s">
        <v>78</v>
      </c>
      <c r="I216" s="3">
        <v>4.4444444444444446E-2</v>
      </c>
      <c r="J216" t="s">
        <v>38</v>
      </c>
      <c r="K216">
        <v>63</v>
      </c>
      <c r="L216" s="3">
        <v>2.7777777777777779E-3</v>
      </c>
      <c r="M216" t="s">
        <v>31</v>
      </c>
      <c r="N216" t="s">
        <v>106</v>
      </c>
      <c r="O216">
        <f>IF(Table13[[#This Row],[Goal_assist]]="",1,0)</f>
        <v>0</v>
      </c>
    </row>
    <row r="217" spans="1:15" x14ac:dyDescent="0.35">
      <c r="A217" t="s">
        <v>64</v>
      </c>
      <c r="B217" s="1">
        <v>45574</v>
      </c>
      <c r="C217" t="s">
        <v>65</v>
      </c>
      <c r="D217">
        <v>4</v>
      </c>
      <c r="E217" s="2">
        <v>40078</v>
      </c>
      <c r="F217" t="s">
        <v>24</v>
      </c>
      <c r="G217" t="s">
        <v>66</v>
      </c>
      <c r="H217" t="s">
        <v>78</v>
      </c>
      <c r="I217" s="3">
        <v>4.4444444444444446E-2</v>
      </c>
      <c r="J217" t="s">
        <v>38</v>
      </c>
      <c r="K217">
        <v>23</v>
      </c>
      <c r="L217" s="3">
        <v>1.3888888888888889E-3</v>
      </c>
      <c r="M217" t="s">
        <v>31</v>
      </c>
      <c r="N217" t="s">
        <v>106</v>
      </c>
      <c r="O217">
        <f>IF(Table13[[#This Row],[Goal_assist]]="",1,0)</f>
        <v>0</v>
      </c>
    </row>
    <row r="218" spans="1:15" x14ac:dyDescent="0.35">
      <c r="A218" t="s">
        <v>14</v>
      </c>
      <c r="B218" s="1">
        <v>45574</v>
      </c>
      <c r="C218" t="s">
        <v>65</v>
      </c>
      <c r="D218">
        <v>4</v>
      </c>
      <c r="E218" s="2">
        <v>40079</v>
      </c>
      <c r="F218" t="s">
        <v>24</v>
      </c>
      <c r="G218" t="s">
        <v>112</v>
      </c>
      <c r="H218" t="s">
        <v>180</v>
      </c>
      <c r="I218" s="3">
        <v>1.3888888888888889E-3</v>
      </c>
      <c r="J218" t="s">
        <v>68</v>
      </c>
      <c r="K218">
        <v>2</v>
      </c>
      <c r="L218" s="3">
        <v>6.9444444444444447E-4</v>
      </c>
      <c r="M218" t="s">
        <v>26</v>
      </c>
      <c r="O218">
        <f>IF(Table13[[#This Row],[Goal_assist]]="",1,0)</f>
        <v>1</v>
      </c>
    </row>
    <row r="219" spans="1:15" x14ac:dyDescent="0.35">
      <c r="A219" t="s">
        <v>64</v>
      </c>
      <c r="B219" s="1">
        <v>45574</v>
      </c>
      <c r="C219" t="s">
        <v>75</v>
      </c>
      <c r="D219" t="s">
        <v>76</v>
      </c>
      <c r="E219" s="2">
        <v>40085</v>
      </c>
      <c r="F219" t="s">
        <v>16</v>
      </c>
      <c r="G219" t="s">
        <v>66</v>
      </c>
      <c r="H219" t="s">
        <v>130</v>
      </c>
      <c r="I219" s="3">
        <v>8.3333333333333329E-2</v>
      </c>
      <c r="J219" t="s">
        <v>38</v>
      </c>
      <c r="K219">
        <v>25</v>
      </c>
      <c r="L219" s="3">
        <v>4.1666666666666664E-2</v>
      </c>
      <c r="M219" t="s">
        <v>31</v>
      </c>
      <c r="N219" t="s">
        <v>99</v>
      </c>
      <c r="O219">
        <f>IF(Table13[[#This Row],[Goal_assist]]="",1,0)</f>
        <v>0</v>
      </c>
    </row>
    <row r="220" spans="1:15" x14ac:dyDescent="0.35">
      <c r="A220" t="s">
        <v>14</v>
      </c>
      <c r="B220" s="1">
        <v>45574</v>
      </c>
      <c r="C220" t="s">
        <v>75</v>
      </c>
      <c r="D220" t="s">
        <v>76</v>
      </c>
      <c r="E220" s="2">
        <v>40086</v>
      </c>
      <c r="F220" t="s">
        <v>16</v>
      </c>
      <c r="G220" t="s">
        <v>112</v>
      </c>
      <c r="H220" t="s">
        <v>181</v>
      </c>
      <c r="I220" s="3">
        <v>0.125</v>
      </c>
      <c r="J220" t="s">
        <v>68</v>
      </c>
      <c r="K220">
        <v>58</v>
      </c>
      <c r="L220" s="3">
        <v>4.1666666666666664E-2</v>
      </c>
      <c r="M220" t="s">
        <v>31</v>
      </c>
      <c r="N220" t="s">
        <v>182</v>
      </c>
      <c r="O220">
        <f>IF(Table13[[#This Row],[Goal_assist]]="",1,0)</f>
        <v>0</v>
      </c>
    </row>
    <row r="221" spans="1:15" x14ac:dyDescent="0.35">
      <c r="A221" t="s">
        <v>14</v>
      </c>
      <c r="B221" s="1">
        <v>45574</v>
      </c>
      <c r="C221" t="s">
        <v>75</v>
      </c>
      <c r="D221" t="s">
        <v>76</v>
      </c>
      <c r="E221" s="2">
        <v>40086</v>
      </c>
      <c r="F221" t="s">
        <v>16</v>
      </c>
      <c r="G221" t="s">
        <v>112</v>
      </c>
      <c r="H221" t="s">
        <v>181</v>
      </c>
      <c r="I221" s="3">
        <v>0.125</v>
      </c>
      <c r="J221" t="s">
        <v>68</v>
      </c>
      <c r="K221">
        <v>64</v>
      </c>
      <c r="L221" s="3">
        <v>0.125</v>
      </c>
      <c r="M221" t="s">
        <v>26</v>
      </c>
      <c r="N221" t="s">
        <v>183</v>
      </c>
      <c r="O221">
        <f>IF(Table13[[#This Row],[Goal_assist]]="",1,0)</f>
        <v>0</v>
      </c>
    </row>
    <row r="222" spans="1:15" x14ac:dyDescent="0.35">
      <c r="A222" t="s">
        <v>64</v>
      </c>
      <c r="B222" s="1">
        <v>45574</v>
      </c>
      <c r="C222" t="s">
        <v>65</v>
      </c>
      <c r="D222">
        <v>8</v>
      </c>
      <c r="E222" s="2">
        <v>40111</v>
      </c>
      <c r="F222" t="s">
        <v>16</v>
      </c>
      <c r="G222" t="s">
        <v>66</v>
      </c>
      <c r="H222" t="s">
        <v>93</v>
      </c>
      <c r="I222" s="3">
        <v>0.25069444444444444</v>
      </c>
      <c r="J222" t="s">
        <v>38</v>
      </c>
      <c r="K222">
        <v>80</v>
      </c>
      <c r="L222" s="3">
        <v>0.20902777777777778</v>
      </c>
      <c r="M222" t="s">
        <v>31</v>
      </c>
      <c r="N222" t="s">
        <v>99</v>
      </c>
      <c r="O222">
        <f>IF(Table13[[#This Row],[Goal_assist]]="",1,0)</f>
        <v>0</v>
      </c>
    </row>
    <row r="223" spans="1:15" x14ac:dyDescent="0.35">
      <c r="A223" t="s">
        <v>64</v>
      </c>
      <c r="B223" s="1">
        <v>45574</v>
      </c>
      <c r="C223" t="s">
        <v>65</v>
      </c>
      <c r="D223">
        <v>10</v>
      </c>
      <c r="E223" s="2">
        <v>40124</v>
      </c>
      <c r="F223" t="s">
        <v>16</v>
      </c>
      <c r="G223" t="s">
        <v>66</v>
      </c>
      <c r="H223" t="s">
        <v>89</v>
      </c>
      <c r="I223" s="3">
        <v>0.16805555555555557</v>
      </c>
      <c r="J223" t="s">
        <v>38</v>
      </c>
      <c r="K223">
        <v>86</v>
      </c>
      <c r="L223" s="3">
        <v>0.1673611111111111</v>
      </c>
      <c r="M223" t="s">
        <v>83</v>
      </c>
      <c r="O223">
        <f>IF(Table13[[#This Row],[Goal_assist]]="",1,0)</f>
        <v>1</v>
      </c>
    </row>
    <row r="224" spans="1:15" x14ac:dyDescent="0.35">
      <c r="A224" t="s">
        <v>64</v>
      </c>
      <c r="B224" s="1">
        <v>45574</v>
      </c>
      <c r="C224" t="s">
        <v>91</v>
      </c>
      <c r="D224" t="s">
        <v>184</v>
      </c>
      <c r="E224" s="2">
        <v>40127</v>
      </c>
      <c r="F224" t="s">
        <v>16</v>
      </c>
      <c r="G224" t="s">
        <v>66</v>
      </c>
      <c r="H224" t="s">
        <v>185</v>
      </c>
      <c r="I224" s="3">
        <v>0.20833333333333334</v>
      </c>
      <c r="J224" t="s">
        <v>38</v>
      </c>
      <c r="K224">
        <v>64</v>
      </c>
      <c r="L224" s="3">
        <v>0.16666666666666666</v>
      </c>
      <c r="M224" t="s">
        <v>31</v>
      </c>
      <c r="N224" t="s">
        <v>186</v>
      </c>
      <c r="O224">
        <f>IF(Table13[[#This Row],[Goal_assist]]="",1,0)</f>
        <v>0</v>
      </c>
    </row>
    <row r="225" spans="1:15" x14ac:dyDescent="0.35">
      <c r="A225" t="s">
        <v>64</v>
      </c>
      <c r="B225" s="1">
        <v>45574</v>
      </c>
      <c r="C225" t="s">
        <v>65</v>
      </c>
      <c r="D225">
        <v>13</v>
      </c>
      <c r="E225" s="2">
        <v>40152</v>
      </c>
      <c r="F225" t="s">
        <v>24</v>
      </c>
      <c r="G225" t="s">
        <v>66</v>
      </c>
      <c r="H225" t="s">
        <v>115</v>
      </c>
      <c r="I225" s="3">
        <v>4.3749999999999997E-2</v>
      </c>
      <c r="J225" t="s">
        <v>38</v>
      </c>
      <c r="K225">
        <v>80</v>
      </c>
      <c r="L225" s="3">
        <v>4.3055555555555555E-2</v>
      </c>
      <c r="M225" t="s">
        <v>22</v>
      </c>
      <c r="N225" t="s">
        <v>186</v>
      </c>
      <c r="O225">
        <f>IF(Table13[[#This Row],[Goal_assist]]="",1,0)</f>
        <v>0</v>
      </c>
    </row>
    <row r="226" spans="1:15" x14ac:dyDescent="0.35">
      <c r="A226" t="s">
        <v>64</v>
      </c>
      <c r="B226" s="1">
        <v>45574</v>
      </c>
      <c r="C226" t="s">
        <v>65</v>
      </c>
      <c r="D226">
        <v>13</v>
      </c>
      <c r="E226" s="2">
        <v>40152</v>
      </c>
      <c r="F226" t="s">
        <v>24</v>
      </c>
      <c r="G226" t="s">
        <v>66</v>
      </c>
      <c r="H226" t="s">
        <v>115</v>
      </c>
      <c r="I226" s="3">
        <v>4.3749999999999997E-2</v>
      </c>
      <c r="J226" t="s">
        <v>38</v>
      </c>
      <c r="K226">
        <v>26</v>
      </c>
      <c r="L226" s="3">
        <v>6.9444444444444447E-4</v>
      </c>
      <c r="M226" t="s">
        <v>31</v>
      </c>
      <c r="N226" t="s">
        <v>155</v>
      </c>
      <c r="O226">
        <f>IF(Table13[[#This Row],[Goal_assist]]="",1,0)</f>
        <v>0</v>
      </c>
    </row>
    <row r="227" spans="1:15" x14ac:dyDescent="0.35">
      <c r="A227" t="s">
        <v>14</v>
      </c>
      <c r="B227" s="1">
        <v>45574</v>
      </c>
      <c r="C227" t="s">
        <v>65</v>
      </c>
      <c r="D227">
        <v>13</v>
      </c>
      <c r="E227" s="2">
        <v>40152</v>
      </c>
      <c r="F227" t="s">
        <v>16</v>
      </c>
      <c r="G227" t="s">
        <v>112</v>
      </c>
      <c r="H227" t="s">
        <v>187</v>
      </c>
      <c r="I227" s="3">
        <v>0.16805555555555557</v>
      </c>
      <c r="J227" t="s">
        <v>68</v>
      </c>
      <c r="K227">
        <v>84</v>
      </c>
      <c r="L227" s="3">
        <v>0.16805555555555557</v>
      </c>
      <c r="M227" t="s">
        <v>26</v>
      </c>
      <c r="N227" t="s">
        <v>188</v>
      </c>
      <c r="O227">
        <f>IF(Table13[[#This Row],[Goal_assist]]="",1,0)</f>
        <v>0</v>
      </c>
    </row>
    <row r="228" spans="1:15" x14ac:dyDescent="0.35">
      <c r="A228" t="s">
        <v>14</v>
      </c>
      <c r="B228" s="1">
        <v>45574</v>
      </c>
      <c r="C228" t="s">
        <v>75</v>
      </c>
      <c r="D228" t="s">
        <v>76</v>
      </c>
      <c r="E228" s="2">
        <v>40155</v>
      </c>
      <c r="F228" t="s">
        <v>24</v>
      </c>
      <c r="G228" t="s">
        <v>112</v>
      </c>
      <c r="H228" t="s">
        <v>181</v>
      </c>
      <c r="I228" s="3">
        <v>4.3749999999999997E-2</v>
      </c>
      <c r="J228" t="s">
        <v>68</v>
      </c>
      <c r="K228">
        <v>5</v>
      </c>
      <c r="L228" s="3">
        <v>6.9444444444444447E-4</v>
      </c>
      <c r="M228" t="s">
        <v>39</v>
      </c>
      <c r="O228">
        <f>IF(Table13[[#This Row],[Goal_assist]]="",1,0)</f>
        <v>1</v>
      </c>
    </row>
    <row r="229" spans="1:15" x14ac:dyDescent="0.35">
      <c r="A229" t="s">
        <v>14</v>
      </c>
      <c r="B229" s="1">
        <v>45574</v>
      </c>
      <c r="C229" t="s">
        <v>75</v>
      </c>
      <c r="D229" t="s">
        <v>76</v>
      </c>
      <c r="E229" s="2">
        <v>40155</v>
      </c>
      <c r="F229" t="s">
        <v>24</v>
      </c>
      <c r="G229" t="s">
        <v>112</v>
      </c>
      <c r="H229" t="s">
        <v>181</v>
      </c>
      <c r="I229" s="3">
        <v>4.3749999999999997E-2</v>
      </c>
      <c r="J229" t="s">
        <v>68</v>
      </c>
      <c r="K229">
        <v>80</v>
      </c>
      <c r="L229" s="3">
        <v>4.3749999999999997E-2</v>
      </c>
      <c r="M229" t="s">
        <v>26</v>
      </c>
      <c r="N229" t="s">
        <v>189</v>
      </c>
      <c r="O229">
        <f>IF(Table13[[#This Row],[Goal_assist]]="",1,0)</f>
        <v>0</v>
      </c>
    </row>
    <row r="230" spans="1:15" x14ac:dyDescent="0.35">
      <c r="A230" t="s">
        <v>64</v>
      </c>
      <c r="B230" s="1">
        <v>45574</v>
      </c>
      <c r="C230" t="s">
        <v>75</v>
      </c>
      <c r="D230" t="s">
        <v>76</v>
      </c>
      <c r="E230" s="2">
        <v>40156</v>
      </c>
      <c r="F230" t="s">
        <v>24</v>
      </c>
      <c r="G230" t="s">
        <v>66</v>
      </c>
      <c r="H230" t="s">
        <v>130</v>
      </c>
      <c r="I230" s="3">
        <v>4.3055555555555555E-2</v>
      </c>
      <c r="J230" t="s">
        <v>38</v>
      </c>
      <c r="K230">
        <v>86</v>
      </c>
      <c r="L230" s="3">
        <v>4.3055555555555555E-2</v>
      </c>
      <c r="M230" t="s">
        <v>39</v>
      </c>
      <c r="O230">
        <f>IF(Table13[[#This Row],[Goal_assist]]="",1,0)</f>
        <v>1</v>
      </c>
    </row>
    <row r="231" spans="1:15" x14ac:dyDescent="0.35">
      <c r="A231" t="s">
        <v>64</v>
      </c>
      <c r="B231" s="1">
        <v>45574</v>
      </c>
      <c r="C231" t="s">
        <v>163</v>
      </c>
      <c r="D231" t="s">
        <v>62</v>
      </c>
      <c r="E231" s="2">
        <v>40163</v>
      </c>
      <c r="F231" t="s">
        <v>24</v>
      </c>
      <c r="G231" t="s">
        <v>66</v>
      </c>
      <c r="H231" t="s">
        <v>190</v>
      </c>
      <c r="I231" s="3">
        <v>4.3749999999999997E-2</v>
      </c>
      <c r="J231" t="s">
        <v>38</v>
      </c>
      <c r="K231">
        <v>55</v>
      </c>
      <c r="L231" s="3">
        <v>4.3055555555555555E-2</v>
      </c>
      <c r="M231" t="s">
        <v>31</v>
      </c>
      <c r="N231" t="s">
        <v>174</v>
      </c>
      <c r="O231">
        <f>IF(Table13[[#This Row],[Goal_assist]]="",1,0)</f>
        <v>0</v>
      </c>
    </row>
    <row r="232" spans="1:15" x14ac:dyDescent="0.35">
      <c r="A232" t="s">
        <v>64</v>
      </c>
      <c r="B232" s="1">
        <v>45574</v>
      </c>
      <c r="C232" t="s">
        <v>163</v>
      </c>
      <c r="D232" t="s">
        <v>46</v>
      </c>
      <c r="E232" s="2">
        <v>40166</v>
      </c>
      <c r="F232" t="s">
        <v>24</v>
      </c>
      <c r="G232" t="s">
        <v>66</v>
      </c>
      <c r="H232" t="s">
        <v>191</v>
      </c>
      <c r="I232" t="s">
        <v>192</v>
      </c>
      <c r="J232" t="s">
        <v>38</v>
      </c>
      <c r="K232">
        <v>110</v>
      </c>
      <c r="L232" s="3">
        <v>4.3055555555555555E-2</v>
      </c>
      <c r="M232" t="s">
        <v>193</v>
      </c>
      <c r="N232" t="s">
        <v>155</v>
      </c>
      <c r="O232">
        <f>IF(Table13[[#This Row],[Goal_assist]]="",1,0)</f>
        <v>0</v>
      </c>
    </row>
    <row r="233" spans="1:15" x14ac:dyDescent="0.35">
      <c r="A233" t="s">
        <v>14</v>
      </c>
      <c r="B233" s="1">
        <v>45574</v>
      </c>
      <c r="C233" t="s">
        <v>65</v>
      </c>
      <c r="D233">
        <v>15</v>
      </c>
      <c r="E233" s="2">
        <v>40166</v>
      </c>
      <c r="F233" t="s">
        <v>16</v>
      </c>
      <c r="G233" t="s">
        <v>112</v>
      </c>
      <c r="H233" t="s">
        <v>93</v>
      </c>
      <c r="I233" s="3">
        <v>0.25</v>
      </c>
      <c r="J233" t="s">
        <v>68</v>
      </c>
      <c r="K233">
        <v>50</v>
      </c>
      <c r="L233" s="3">
        <v>0.20833333333333334</v>
      </c>
      <c r="M233" t="s">
        <v>31</v>
      </c>
      <c r="N233" t="s">
        <v>194</v>
      </c>
      <c r="O233">
        <f>IF(Table13[[#This Row],[Goal_assist]]="",1,0)</f>
        <v>0</v>
      </c>
    </row>
    <row r="234" spans="1:15" x14ac:dyDescent="0.35">
      <c r="A234" t="s">
        <v>64</v>
      </c>
      <c r="B234" s="1">
        <v>45574</v>
      </c>
      <c r="C234" t="s">
        <v>65</v>
      </c>
      <c r="D234">
        <v>17</v>
      </c>
      <c r="E234" s="2">
        <v>40188</v>
      </c>
      <c r="F234" t="s">
        <v>24</v>
      </c>
      <c r="G234" t="s">
        <v>66</v>
      </c>
      <c r="H234" t="s">
        <v>195</v>
      </c>
      <c r="I234" s="3">
        <v>3.472222222222222E-3</v>
      </c>
      <c r="J234" t="s">
        <v>38</v>
      </c>
      <c r="K234">
        <v>75</v>
      </c>
      <c r="L234" s="3">
        <v>2.7777777777777779E-3</v>
      </c>
      <c r="M234" t="s">
        <v>31</v>
      </c>
      <c r="N234" t="s">
        <v>153</v>
      </c>
      <c r="O234">
        <f>IF(Table13[[#This Row],[Goal_assist]]="",1,0)</f>
        <v>0</v>
      </c>
    </row>
    <row r="235" spans="1:15" x14ac:dyDescent="0.35">
      <c r="A235" t="s">
        <v>64</v>
      </c>
      <c r="B235" s="1">
        <v>45574</v>
      </c>
      <c r="C235" t="s">
        <v>65</v>
      </c>
      <c r="D235">
        <v>17</v>
      </c>
      <c r="E235" s="2">
        <v>40188</v>
      </c>
      <c r="F235" t="s">
        <v>24</v>
      </c>
      <c r="G235" t="s">
        <v>66</v>
      </c>
      <c r="H235" t="s">
        <v>195</v>
      </c>
      <c r="I235" s="3">
        <v>3.472222222222222E-3</v>
      </c>
      <c r="J235" t="s">
        <v>38</v>
      </c>
      <c r="K235">
        <v>45</v>
      </c>
      <c r="L235" s="3">
        <v>2.0833333333333333E-3</v>
      </c>
      <c r="M235" t="s">
        <v>26</v>
      </c>
      <c r="N235" t="s">
        <v>153</v>
      </c>
      <c r="O235">
        <f>IF(Table13[[#This Row],[Goal_assist]]="",1,0)</f>
        <v>0</v>
      </c>
    </row>
    <row r="236" spans="1:15" x14ac:dyDescent="0.35">
      <c r="A236" t="s">
        <v>64</v>
      </c>
      <c r="B236" s="1">
        <v>45574</v>
      </c>
      <c r="C236" t="s">
        <v>65</v>
      </c>
      <c r="D236">
        <v>17</v>
      </c>
      <c r="E236" s="2">
        <v>40188</v>
      </c>
      <c r="F236" t="s">
        <v>24</v>
      </c>
      <c r="G236" t="s">
        <v>66</v>
      </c>
      <c r="H236" t="s">
        <v>195</v>
      </c>
      <c r="I236" s="3">
        <v>3.472222222222222E-3</v>
      </c>
      <c r="J236" t="s">
        <v>38</v>
      </c>
      <c r="K236">
        <v>36</v>
      </c>
      <c r="L236" s="3">
        <v>6.9444444444444447E-4</v>
      </c>
      <c r="M236" t="s">
        <v>31</v>
      </c>
      <c r="N236" t="s">
        <v>153</v>
      </c>
      <c r="O236">
        <f>IF(Table13[[#This Row],[Goal_assist]]="",1,0)</f>
        <v>0</v>
      </c>
    </row>
    <row r="237" spans="1:15" x14ac:dyDescent="0.35">
      <c r="A237" t="s">
        <v>64</v>
      </c>
      <c r="B237" s="1">
        <v>45574</v>
      </c>
      <c r="C237" t="s">
        <v>65</v>
      </c>
      <c r="D237">
        <v>18</v>
      </c>
      <c r="E237" s="2">
        <v>40194</v>
      </c>
      <c r="F237" t="s">
        <v>16</v>
      </c>
      <c r="G237" t="s">
        <v>66</v>
      </c>
      <c r="H237" t="s">
        <v>105</v>
      </c>
      <c r="I237" s="3">
        <v>0.16666666666666666</v>
      </c>
      <c r="J237" t="s">
        <v>38</v>
      </c>
      <c r="K237" t="s">
        <v>69</v>
      </c>
      <c r="L237" s="3">
        <v>0.16666666666666666</v>
      </c>
      <c r="M237" t="s">
        <v>31</v>
      </c>
      <c r="N237" t="s">
        <v>196</v>
      </c>
      <c r="O237">
        <f>IF(Table13[[#This Row],[Goal_assist]]="",1,0)</f>
        <v>0</v>
      </c>
    </row>
    <row r="238" spans="1:15" x14ac:dyDescent="0.35">
      <c r="A238" t="s">
        <v>64</v>
      </c>
      <c r="B238" s="1">
        <v>45574</v>
      </c>
      <c r="C238" t="s">
        <v>65</v>
      </c>
      <c r="D238">
        <v>18</v>
      </c>
      <c r="E238" s="2">
        <v>40194</v>
      </c>
      <c r="F238" t="s">
        <v>16</v>
      </c>
      <c r="G238" t="s">
        <v>66</v>
      </c>
      <c r="H238" t="s">
        <v>105</v>
      </c>
      <c r="I238" s="3">
        <v>0.16666666666666666</v>
      </c>
      <c r="J238" t="s">
        <v>38</v>
      </c>
      <c r="K238">
        <v>85</v>
      </c>
      <c r="L238" s="3">
        <v>0.125</v>
      </c>
      <c r="M238" t="s">
        <v>31</v>
      </c>
      <c r="N238" t="s">
        <v>155</v>
      </c>
      <c r="O238">
        <f>IF(Table13[[#This Row],[Goal_assist]]="",1,0)</f>
        <v>0</v>
      </c>
    </row>
    <row r="239" spans="1:15" x14ac:dyDescent="0.35">
      <c r="A239" t="s">
        <v>64</v>
      </c>
      <c r="B239" s="1">
        <v>45574</v>
      </c>
      <c r="C239" t="s">
        <v>65</v>
      </c>
      <c r="D239">
        <v>19</v>
      </c>
      <c r="E239" s="2">
        <v>40201</v>
      </c>
      <c r="F239" t="s">
        <v>24</v>
      </c>
      <c r="G239" t="s">
        <v>66</v>
      </c>
      <c r="H239" t="s">
        <v>197</v>
      </c>
      <c r="I239" s="3">
        <v>2.0833333333333333E-3</v>
      </c>
      <c r="J239" t="s">
        <v>38</v>
      </c>
      <c r="K239">
        <v>54</v>
      </c>
      <c r="L239" s="3">
        <v>2.0833333333333333E-3</v>
      </c>
      <c r="M239" t="s">
        <v>31</v>
      </c>
      <c r="N239" t="s">
        <v>174</v>
      </c>
      <c r="O239">
        <f>IF(Table13[[#This Row],[Goal_assist]]="",1,0)</f>
        <v>0</v>
      </c>
    </row>
    <row r="240" spans="1:15" x14ac:dyDescent="0.35">
      <c r="A240" t="s">
        <v>14</v>
      </c>
      <c r="B240" s="1">
        <v>45574</v>
      </c>
      <c r="C240" t="s">
        <v>65</v>
      </c>
      <c r="D240">
        <v>19</v>
      </c>
      <c r="E240" s="2">
        <v>40202</v>
      </c>
      <c r="F240" t="s">
        <v>16</v>
      </c>
      <c r="G240" t="s">
        <v>112</v>
      </c>
      <c r="H240" t="s">
        <v>157</v>
      </c>
      <c r="I240" s="3">
        <v>8.3333333333333329E-2</v>
      </c>
      <c r="J240" t="s">
        <v>38</v>
      </c>
      <c r="K240">
        <v>35</v>
      </c>
      <c r="L240" s="3">
        <v>4.1666666666666664E-2</v>
      </c>
      <c r="M240" t="s">
        <v>26</v>
      </c>
      <c r="N240" t="s">
        <v>198</v>
      </c>
      <c r="O240">
        <f>IF(Table13[[#This Row],[Goal_assist]]="",1,0)</f>
        <v>0</v>
      </c>
    </row>
    <row r="241" spans="1:15" x14ac:dyDescent="0.35">
      <c r="A241" t="s">
        <v>14</v>
      </c>
      <c r="B241" s="1">
        <v>45574</v>
      </c>
      <c r="C241" t="s">
        <v>65</v>
      </c>
      <c r="D241">
        <v>19</v>
      </c>
      <c r="E241" s="2">
        <v>40202</v>
      </c>
      <c r="F241" t="s">
        <v>16</v>
      </c>
      <c r="G241" t="s">
        <v>112</v>
      </c>
      <c r="H241" t="s">
        <v>157</v>
      </c>
      <c r="I241" s="3">
        <v>8.3333333333333329E-2</v>
      </c>
      <c r="J241" t="s">
        <v>38</v>
      </c>
      <c r="K241">
        <v>39</v>
      </c>
      <c r="L241" s="3">
        <v>8.3333333333333329E-2</v>
      </c>
      <c r="M241" t="s">
        <v>26</v>
      </c>
      <c r="N241" t="s">
        <v>176</v>
      </c>
      <c r="O241">
        <f>IF(Table13[[#This Row],[Goal_assist]]="",1,0)</f>
        <v>0</v>
      </c>
    </row>
    <row r="242" spans="1:15" x14ac:dyDescent="0.35">
      <c r="A242" t="s">
        <v>64</v>
      </c>
      <c r="B242" s="1">
        <v>45574</v>
      </c>
      <c r="C242" t="s">
        <v>65</v>
      </c>
      <c r="D242">
        <v>21</v>
      </c>
      <c r="E242" s="2">
        <v>40215</v>
      </c>
      <c r="F242" t="s">
        <v>16</v>
      </c>
      <c r="G242" t="s">
        <v>66</v>
      </c>
      <c r="H242" t="s">
        <v>117</v>
      </c>
      <c r="I242" s="3">
        <v>8.4027777777777785E-2</v>
      </c>
      <c r="J242" t="s">
        <v>38</v>
      </c>
      <c r="K242">
        <v>7</v>
      </c>
      <c r="L242" s="3">
        <v>4.1666666666666664E-2</v>
      </c>
      <c r="M242" t="s">
        <v>31</v>
      </c>
      <c r="N242" t="s">
        <v>199</v>
      </c>
      <c r="O242">
        <f>IF(Table13[[#This Row],[Goal_assist]]="",1,0)</f>
        <v>0</v>
      </c>
    </row>
    <row r="243" spans="1:15" x14ac:dyDescent="0.35">
      <c r="A243" t="s">
        <v>14</v>
      </c>
      <c r="B243" s="1">
        <v>45574</v>
      </c>
      <c r="C243" t="s">
        <v>65</v>
      </c>
      <c r="D243">
        <v>22</v>
      </c>
      <c r="E243" s="2">
        <v>40222</v>
      </c>
      <c r="F243" t="s">
        <v>24</v>
      </c>
      <c r="G243" t="s">
        <v>112</v>
      </c>
      <c r="H243" t="s">
        <v>178</v>
      </c>
      <c r="I243" s="3">
        <v>2.0833333333333333E-3</v>
      </c>
      <c r="J243" t="str">
        <f t="shared" ref="J243:J246" si="12">J242</f>
        <v>RW</v>
      </c>
      <c r="K243">
        <v>71</v>
      </c>
      <c r="L243" s="3">
        <v>2.0833333333333333E-3</v>
      </c>
      <c r="M243" t="s">
        <v>31</v>
      </c>
      <c r="N243" t="s">
        <v>198</v>
      </c>
      <c r="O243">
        <f>IF(Table13[[#This Row],[Goal_assist]]="",1,0)</f>
        <v>0</v>
      </c>
    </row>
    <row r="244" spans="1:15" x14ac:dyDescent="0.35">
      <c r="A244" t="s">
        <v>14</v>
      </c>
      <c r="B244" s="1">
        <v>45574</v>
      </c>
      <c r="C244" t="s">
        <v>65</v>
      </c>
      <c r="D244">
        <v>22</v>
      </c>
      <c r="E244" s="2">
        <v>40222</v>
      </c>
      <c r="F244" t="s">
        <v>24</v>
      </c>
      <c r="G244" t="s">
        <v>112</v>
      </c>
      <c r="H244" t="s">
        <v>178</v>
      </c>
      <c r="I244" s="3">
        <v>2.0833333333333333E-3</v>
      </c>
      <c r="J244" t="str">
        <f t="shared" si="12"/>
        <v>RW</v>
      </c>
      <c r="K244">
        <v>69</v>
      </c>
      <c r="L244" s="3">
        <v>1.3888888888888889E-3</v>
      </c>
      <c r="M244" t="s">
        <v>22</v>
      </c>
      <c r="N244" t="s">
        <v>198</v>
      </c>
      <c r="O244">
        <f>IF(Table13[[#This Row],[Goal_assist]]="",1,0)</f>
        <v>0</v>
      </c>
    </row>
    <row r="245" spans="1:15" x14ac:dyDescent="0.35">
      <c r="A245" t="s">
        <v>14</v>
      </c>
      <c r="B245" s="1">
        <v>45574</v>
      </c>
      <c r="C245" t="s">
        <v>65</v>
      </c>
      <c r="D245">
        <v>23</v>
      </c>
      <c r="E245" s="2">
        <v>40230</v>
      </c>
      <c r="F245" t="s">
        <v>16</v>
      </c>
      <c r="G245" t="s">
        <v>112</v>
      </c>
      <c r="H245" t="s">
        <v>180</v>
      </c>
      <c r="I245" s="3">
        <v>0.25138888888888888</v>
      </c>
      <c r="J245" t="str">
        <f t="shared" si="12"/>
        <v>RW</v>
      </c>
      <c r="K245">
        <v>18</v>
      </c>
      <c r="L245" s="3">
        <v>4.1666666666666664E-2</v>
      </c>
      <c r="M245" t="s">
        <v>39</v>
      </c>
      <c r="O245">
        <f>IF(Table13[[#This Row],[Goal_assist]]="",1,0)</f>
        <v>1</v>
      </c>
    </row>
    <row r="246" spans="1:15" x14ac:dyDescent="0.35">
      <c r="A246" t="s">
        <v>14</v>
      </c>
      <c r="B246" s="1">
        <v>45574</v>
      </c>
      <c r="C246" t="s">
        <v>65</v>
      </c>
      <c r="D246">
        <v>24</v>
      </c>
      <c r="E246" s="2">
        <v>40236</v>
      </c>
      <c r="F246" t="s">
        <v>24</v>
      </c>
      <c r="G246" t="s">
        <v>112</v>
      </c>
      <c r="H246" t="s">
        <v>195</v>
      </c>
      <c r="I246" s="3">
        <v>4.5138888888888888E-2</v>
      </c>
      <c r="J246" t="str">
        <f t="shared" si="12"/>
        <v>RW</v>
      </c>
      <c r="K246">
        <v>78</v>
      </c>
      <c r="L246" s="3">
        <v>4.4444444444444446E-2</v>
      </c>
      <c r="M246" t="s">
        <v>83</v>
      </c>
      <c r="O246">
        <f>IF(Table13[[#This Row],[Goal_assist]]="",1,0)</f>
        <v>1</v>
      </c>
    </row>
    <row r="247" spans="1:15" x14ac:dyDescent="0.35">
      <c r="A247" t="s">
        <v>64</v>
      </c>
      <c r="B247" s="1">
        <v>45574</v>
      </c>
      <c r="C247" t="s">
        <v>65</v>
      </c>
      <c r="D247">
        <v>24</v>
      </c>
      <c r="E247" s="2">
        <v>40236</v>
      </c>
      <c r="F247" t="s">
        <v>16</v>
      </c>
      <c r="G247" t="s">
        <v>66</v>
      </c>
      <c r="H247" t="s">
        <v>157</v>
      </c>
      <c r="I247" s="3">
        <v>8.4027777777777785E-2</v>
      </c>
      <c r="J247" t="s">
        <v>38</v>
      </c>
      <c r="K247">
        <v>84</v>
      </c>
      <c r="L247" s="3">
        <v>8.4027777777777785E-2</v>
      </c>
      <c r="M247" t="s">
        <v>26</v>
      </c>
      <c r="N247" t="s">
        <v>155</v>
      </c>
      <c r="O247">
        <f>IF(Table13[[#This Row],[Goal_assist]]="",1,0)</f>
        <v>0</v>
      </c>
    </row>
    <row r="248" spans="1:15" x14ac:dyDescent="0.35">
      <c r="A248" t="s">
        <v>64</v>
      </c>
      <c r="B248" s="1">
        <v>45574</v>
      </c>
      <c r="C248" t="s">
        <v>65</v>
      </c>
      <c r="D248">
        <v>25</v>
      </c>
      <c r="E248" s="2">
        <v>40243</v>
      </c>
      <c r="F248" t="s">
        <v>24</v>
      </c>
      <c r="G248" t="s">
        <v>66</v>
      </c>
      <c r="H248" t="s">
        <v>131</v>
      </c>
      <c r="I248" s="3">
        <v>8.4722222222222227E-2</v>
      </c>
      <c r="J248" t="s">
        <v>38</v>
      </c>
      <c r="K248">
        <v>66</v>
      </c>
      <c r="L248" s="3">
        <v>8.4722222222222227E-2</v>
      </c>
      <c r="M248" t="s">
        <v>31</v>
      </c>
      <c r="O248">
        <f>IF(Table13[[#This Row],[Goal_assist]]="",1,0)</f>
        <v>1</v>
      </c>
    </row>
    <row r="249" spans="1:15" x14ac:dyDescent="0.35">
      <c r="A249" t="s">
        <v>64</v>
      </c>
      <c r="B249" s="1">
        <v>45574</v>
      </c>
      <c r="C249" t="s">
        <v>65</v>
      </c>
      <c r="D249">
        <v>25</v>
      </c>
      <c r="E249" s="2">
        <v>40243</v>
      </c>
      <c r="F249" t="s">
        <v>24</v>
      </c>
      <c r="G249" t="s">
        <v>66</v>
      </c>
      <c r="H249" t="s">
        <v>131</v>
      </c>
      <c r="I249" s="3">
        <v>8.4722222222222227E-2</v>
      </c>
      <c r="J249" t="s">
        <v>38</v>
      </c>
      <c r="K249">
        <v>42</v>
      </c>
      <c r="L249" s="3">
        <v>4.2361111111111113E-2</v>
      </c>
      <c r="M249" t="s">
        <v>39</v>
      </c>
      <c r="O249">
        <f>IF(Table13[[#This Row],[Goal_assist]]="",1,0)</f>
        <v>1</v>
      </c>
    </row>
    <row r="250" spans="1:15" x14ac:dyDescent="0.35">
      <c r="A250" t="s">
        <v>14</v>
      </c>
      <c r="B250" s="1">
        <v>45574</v>
      </c>
      <c r="C250" t="s">
        <v>65</v>
      </c>
      <c r="D250">
        <v>25</v>
      </c>
      <c r="E250" s="2">
        <v>40243</v>
      </c>
      <c r="F250" t="s">
        <v>16</v>
      </c>
      <c r="G250" t="s">
        <v>112</v>
      </c>
      <c r="H250" t="s">
        <v>105</v>
      </c>
      <c r="I250" s="3">
        <v>0.12638888888888888</v>
      </c>
      <c r="J250" t="s">
        <v>68</v>
      </c>
      <c r="K250">
        <v>59</v>
      </c>
      <c r="L250" s="3">
        <v>4.3055555555555555E-2</v>
      </c>
      <c r="M250" t="s">
        <v>31</v>
      </c>
      <c r="O250">
        <f>IF(Table13[[#This Row],[Goal_assist]]="",1,0)</f>
        <v>1</v>
      </c>
    </row>
    <row r="251" spans="1:15" x14ac:dyDescent="0.35">
      <c r="A251" t="s">
        <v>14</v>
      </c>
      <c r="B251" s="1">
        <v>45574</v>
      </c>
      <c r="C251" t="s">
        <v>75</v>
      </c>
      <c r="D251" t="s">
        <v>143</v>
      </c>
      <c r="E251" s="2">
        <v>40247</v>
      </c>
      <c r="F251" t="s">
        <v>16</v>
      </c>
      <c r="G251" t="s">
        <v>112</v>
      </c>
      <c r="H251" t="s">
        <v>125</v>
      </c>
      <c r="I251" s="3">
        <v>4.2361111111111113E-2</v>
      </c>
      <c r="J251" t="s">
        <v>19</v>
      </c>
      <c r="K251">
        <v>6</v>
      </c>
      <c r="L251" s="3">
        <v>4.1666666666666664E-2</v>
      </c>
      <c r="M251" t="s">
        <v>31</v>
      </c>
      <c r="N251" t="s">
        <v>176</v>
      </c>
      <c r="O251">
        <f>IF(Table13[[#This Row],[Goal_assist]]="",1,0)</f>
        <v>0</v>
      </c>
    </row>
    <row r="252" spans="1:15" x14ac:dyDescent="0.35">
      <c r="A252" t="s">
        <v>64</v>
      </c>
      <c r="B252" s="1">
        <v>45574</v>
      </c>
      <c r="C252" t="s">
        <v>65</v>
      </c>
      <c r="D252">
        <v>26</v>
      </c>
      <c r="E252" s="2">
        <v>40251</v>
      </c>
      <c r="F252" t="s">
        <v>16</v>
      </c>
      <c r="G252" t="s">
        <v>66</v>
      </c>
      <c r="H252" t="s">
        <v>148</v>
      </c>
      <c r="I252" s="3">
        <v>0.125</v>
      </c>
      <c r="J252" t="s">
        <v>68</v>
      </c>
      <c r="K252">
        <v>56</v>
      </c>
      <c r="L252" s="3">
        <v>4.1666666666666664E-2</v>
      </c>
      <c r="M252" t="s">
        <v>31</v>
      </c>
      <c r="N252" t="s">
        <v>106</v>
      </c>
      <c r="O252">
        <f>IF(Table13[[#This Row],[Goal_assist]]="",1,0)</f>
        <v>0</v>
      </c>
    </row>
    <row r="253" spans="1:15" x14ac:dyDescent="0.35">
      <c r="A253" t="s">
        <v>64</v>
      </c>
      <c r="B253" s="1">
        <v>45574</v>
      </c>
      <c r="C253" t="s">
        <v>65</v>
      </c>
      <c r="D253">
        <v>26</v>
      </c>
      <c r="E253" s="2">
        <v>40251</v>
      </c>
      <c r="F253" t="s">
        <v>16</v>
      </c>
      <c r="G253" t="s">
        <v>66</v>
      </c>
      <c r="H253" t="s">
        <v>148</v>
      </c>
      <c r="I253" s="3">
        <v>0.125</v>
      </c>
      <c r="J253" t="s">
        <v>68</v>
      </c>
      <c r="K253">
        <v>80</v>
      </c>
      <c r="L253" s="3">
        <v>8.3333333333333329E-2</v>
      </c>
      <c r="M253" t="s">
        <v>31</v>
      </c>
      <c r="N253" t="s">
        <v>126</v>
      </c>
      <c r="O253">
        <f>IF(Table13[[#This Row],[Goal_assist]]="",1,0)</f>
        <v>0</v>
      </c>
    </row>
    <row r="254" spans="1:15" x14ac:dyDescent="0.35">
      <c r="A254" t="s">
        <v>64</v>
      </c>
      <c r="B254" s="1">
        <v>45574</v>
      </c>
      <c r="C254" t="s">
        <v>65</v>
      </c>
      <c r="D254">
        <v>26</v>
      </c>
      <c r="E254" s="2">
        <v>40251</v>
      </c>
      <c r="F254" t="s">
        <v>16</v>
      </c>
      <c r="G254" t="s">
        <v>66</v>
      </c>
      <c r="H254" t="s">
        <v>148</v>
      </c>
      <c r="I254" s="3">
        <v>0.125</v>
      </c>
      <c r="J254" t="s">
        <v>68</v>
      </c>
      <c r="K254">
        <v>82</v>
      </c>
      <c r="L254" s="3">
        <v>0.125</v>
      </c>
      <c r="M254" t="s">
        <v>26</v>
      </c>
      <c r="N254" t="s">
        <v>126</v>
      </c>
      <c r="O254">
        <f>IF(Table13[[#This Row],[Goal_assist]]="",1,0)</f>
        <v>0</v>
      </c>
    </row>
    <row r="255" spans="1:15" x14ac:dyDescent="0.35">
      <c r="A255" t="s">
        <v>14</v>
      </c>
      <c r="B255" s="1">
        <v>45574</v>
      </c>
      <c r="C255" t="s">
        <v>65</v>
      </c>
      <c r="D255">
        <v>26</v>
      </c>
      <c r="E255" s="2">
        <v>40251</v>
      </c>
      <c r="F255" t="s">
        <v>24</v>
      </c>
      <c r="G255" t="s">
        <v>112</v>
      </c>
      <c r="H255" t="s">
        <v>197</v>
      </c>
      <c r="I255" s="3">
        <v>4.4444444444444446E-2</v>
      </c>
      <c r="J255" t="s">
        <v>68</v>
      </c>
      <c r="K255">
        <v>29</v>
      </c>
      <c r="L255" s="3">
        <v>6.9444444444444447E-4</v>
      </c>
      <c r="M255" t="s">
        <v>39</v>
      </c>
      <c r="O255">
        <f>IF(Table13[[#This Row],[Goal_assist]]="",1,0)</f>
        <v>1</v>
      </c>
    </row>
    <row r="256" spans="1:15" x14ac:dyDescent="0.35">
      <c r="A256" t="s">
        <v>64</v>
      </c>
      <c r="B256" s="1">
        <v>45574</v>
      </c>
      <c r="C256" t="s">
        <v>75</v>
      </c>
      <c r="D256" t="s">
        <v>143</v>
      </c>
      <c r="E256" s="2">
        <v>40254</v>
      </c>
      <c r="F256" t="s">
        <v>16</v>
      </c>
      <c r="G256" t="s">
        <v>66</v>
      </c>
      <c r="H256" t="s">
        <v>128</v>
      </c>
      <c r="I256" s="3">
        <v>0.16666666666666666</v>
      </c>
      <c r="J256" t="s">
        <v>68</v>
      </c>
      <c r="K256">
        <v>13</v>
      </c>
      <c r="L256" s="3">
        <v>4.1666666666666664E-2</v>
      </c>
      <c r="M256" t="s">
        <v>31</v>
      </c>
      <c r="N256" t="s">
        <v>199</v>
      </c>
      <c r="O256">
        <f>IF(Table13[[#This Row],[Goal_assist]]="",1,0)</f>
        <v>0</v>
      </c>
    </row>
    <row r="257" spans="1:15" x14ac:dyDescent="0.35">
      <c r="A257" t="s">
        <v>64</v>
      </c>
      <c r="B257" s="1">
        <v>45574</v>
      </c>
      <c r="C257" t="s">
        <v>75</v>
      </c>
      <c r="D257" t="s">
        <v>143</v>
      </c>
      <c r="E257" s="2">
        <v>40254</v>
      </c>
      <c r="F257" t="s">
        <v>16</v>
      </c>
      <c r="G257" t="s">
        <v>66</v>
      </c>
      <c r="H257" t="s">
        <v>128</v>
      </c>
      <c r="I257" s="3">
        <v>0.16666666666666666</v>
      </c>
      <c r="J257" t="s">
        <v>68</v>
      </c>
      <c r="K257">
        <v>56</v>
      </c>
      <c r="L257" s="3">
        <v>0.125</v>
      </c>
      <c r="M257" t="s">
        <v>31</v>
      </c>
      <c r="N257" t="s">
        <v>155</v>
      </c>
      <c r="O257">
        <f>IF(Table13[[#This Row],[Goal_assist]]="",1,0)</f>
        <v>0</v>
      </c>
    </row>
    <row r="258" spans="1:15" x14ac:dyDescent="0.35">
      <c r="A258" t="s">
        <v>64</v>
      </c>
      <c r="B258" s="1">
        <v>45574</v>
      </c>
      <c r="C258" t="s">
        <v>65</v>
      </c>
      <c r="D258">
        <v>27</v>
      </c>
      <c r="E258" s="2">
        <v>40258</v>
      </c>
      <c r="F258" t="s">
        <v>24</v>
      </c>
      <c r="G258" t="s">
        <v>66</v>
      </c>
      <c r="H258" t="s">
        <v>93</v>
      </c>
      <c r="I258" s="3">
        <v>8.611111111111111E-2</v>
      </c>
      <c r="J258" t="s">
        <v>38</v>
      </c>
      <c r="K258">
        <v>4</v>
      </c>
      <c r="L258" s="3">
        <v>6.9444444444444447E-4</v>
      </c>
      <c r="M258" t="s">
        <v>22</v>
      </c>
      <c r="N258" t="s">
        <v>186</v>
      </c>
      <c r="O258">
        <f>IF(Table13[[#This Row],[Goal_assist]]="",1,0)</f>
        <v>0</v>
      </c>
    </row>
    <row r="259" spans="1:15" x14ac:dyDescent="0.35">
      <c r="A259" t="s">
        <v>64</v>
      </c>
      <c r="B259" s="1">
        <v>45574</v>
      </c>
      <c r="C259" t="s">
        <v>65</v>
      </c>
      <c r="D259">
        <v>27</v>
      </c>
      <c r="E259" s="2">
        <v>40258</v>
      </c>
      <c r="F259" t="s">
        <v>24</v>
      </c>
      <c r="G259" t="s">
        <v>66</v>
      </c>
      <c r="H259" t="s">
        <v>93</v>
      </c>
      <c r="I259" s="3">
        <v>8.611111111111111E-2</v>
      </c>
      <c r="J259" t="s">
        <v>38</v>
      </c>
      <c r="K259">
        <v>65</v>
      </c>
      <c r="L259" s="3">
        <v>1.3888888888888889E-3</v>
      </c>
      <c r="M259" t="s">
        <v>31</v>
      </c>
      <c r="O259">
        <f>IF(Table13[[#This Row],[Goal_assist]]="",1,0)</f>
        <v>1</v>
      </c>
    </row>
    <row r="260" spans="1:15" x14ac:dyDescent="0.35">
      <c r="A260" t="s">
        <v>64</v>
      </c>
      <c r="B260" s="1">
        <v>45574</v>
      </c>
      <c r="C260" t="s">
        <v>65</v>
      </c>
      <c r="D260">
        <v>27</v>
      </c>
      <c r="E260" s="2">
        <v>40258</v>
      </c>
      <c r="F260" t="s">
        <v>24</v>
      </c>
      <c r="G260" t="s">
        <v>66</v>
      </c>
      <c r="H260" t="s">
        <v>93</v>
      </c>
      <c r="I260" s="3">
        <v>8.611111111111111E-2</v>
      </c>
      <c r="J260" t="s">
        <v>38</v>
      </c>
      <c r="K260">
        <v>78</v>
      </c>
      <c r="L260" s="3">
        <v>2.0833333333333333E-3</v>
      </c>
      <c r="M260" t="s">
        <v>31</v>
      </c>
      <c r="N260" t="s">
        <v>99</v>
      </c>
      <c r="O260">
        <f>IF(Table13[[#This Row],[Goal_assist]]="",1,0)</f>
        <v>0</v>
      </c>
    </row>
    <row r="261" spans="1:15" x14ac:dyDescent="0.35">
      <c r="A261" t="s">
        <v>14</v>
      </c>
      <c r="B261" s="1">
        <v>45574</v>
      </c>
      <c r="C261" t="s">
        <v>65</v>
      </c>
      <c r="D261">
        <v>28</v>
      </c>
      <c r="E261" s="2">
        <v>40262</v>
      </c>
      <c r="F261" t="s">
        <v>24</v>
      </c>
      <c r="G261" t="s">
        <v>112</v>
      </c>
      <c r="H261" t="s">
        <v>117</v>
      </c>
      <c r="I261" s="3">
        <v>8.611111111111111E-2</v>
      </c>
      <c r="J261" t="str">
        <f t="shared" ref="J261:J262" si="13">J260</f>
        <v>RW</v>
      </c>
      <c r="K261">
        <v>13</v>
      </c>
      <c r="L261" s="3">
        <v>6.9444444444444447E-4</v>
      </c>
      <c r="M261" t="s">
        <v>39</v>
      </c>
      <c r="O261">
        <f>IF(Table13[[#This Row],[Goal_assist]]="",1,0)</f>
        <v>1</v>
      </c>
    </row>
    <row r="262" spans="1:15" x14ac:dyDescent="0.35">
      <c r="A262" t="s">
        <v>14</v>
      </c>
      <c r="B262" s="1">
        <v>45574</v>
      </c>
      <c r="C262" t="s">
        <v>65</v>
      </c>
      <c r="D262">
        <v>28</v>
      </c>
      <c r="E262" s="2">
        <v>40262</v>
      </c>
      <c r="F262" t="s">
        <v>24</v>
      </c>
      <c r="G262" t="s">
        <v>112</v>
      </c>
      <c r="H262" t="s">
        <v>117</v>
      </c>
      <c r="I262" s="3">
        <v>8.611111111111111E-2</v>
      </c>
      <c r="J262" t="str">
        <f t="shared" si="13"/>
        <v>RW</v>
      </c>
      <c r="K262">
        <v>36</v>
      </c>
      <c r="L262" s="3">
        <v>2.7777777777777779E-3</v>
      </c>
      <c r="M262" t="s">
        <v>26</v>
      </c>
      <c r="O262">
        <f>IF(Table13[[#This Row],[Goal_assist]]="",1,0)</f>
        <v>1</v>
      </c>
    </row>
    <row r="263" spans="1:15" x14ac:dyDescent="0.35">
      <c r="A263" t="s">
        <v>64</v>
      </c>
      <c r="B263" s="1">
        <v>45574</v>
      </c>
      <c r="C263" t="s">
        <v>65</v>
      </c>
      <c r="D263">
        <v>30</v>
      </c>
      <c r="E263" s="2">
        <v>40271</v>
      </c>
      <c r="F263" t="s">
        <v>16</v>
      </c>
      <c r="G263" t="s">
        <v>66</v>
      </c>
      <c r="H263" t="s">
        <v>86</v>
      </c>
      <c r="I263" s="3">
        <v>0.1673611111111111</v>
      </c>
      <c r="J263" t="s">
        <v>68</v>
      </c>
      <c r="K263">
        <v>67</v>
      </c>
      <c r="L263" s="3">
        <v>0.16666666666666666</v>
      </c>
      <c r="M263" t="s">
        <v>31</v>
      </c>
      <c r="N263" t="s">
        <v>186</v>
      </c>
      <c r="O263">
        <f>IF(Table13[[#This Row],[Goal_assist]]="",1,0)</f>
        <v>0</v>
      </c>
    </row>
    <row r="264" spans="1:15" x14ac:dyDescent="0.35">
      <c r="A264" t="s">
        <v>14</v>
      </c>
      <c r="B264" s="1">
        <v>45574</v>
      </c>
      <c r="C264" t="s">
        <v>65</v>
      </c>
      <c r="D264">
        <v>30</v>
      </c>
      <c r="E264" s="2">
        <v>40272</v>
      </c>
      <c r="F264" t="s">
        <v>24</v>
      </c>
      <c r="G264" t="s">
        <v>112</v>
      </c>
      <c r="H264" t="s">
        <v>78</v>
      </c>
      <c r="I264" s="3">
        <v>1.3888888888888889E-3</v>
      </c>
      <c r="J264" t="str">
        <f>J263</f>
        <v>CF</v>
      </c>
      <c r="K264">
        <v>23</v>
      </c>
      <c r="L264" s="3">
        <v>6.9444444444444447E-4</v>
      </c>
      <c r="M264" t="s">
        <v>83</v>
      </c>
      <c r="O264">
        <f>IF(Table13[[#This Row],[Goal_assist]]="",1,0)</f>
        <v>1</v>
      </c>
    </row>
    <row r="265" spans="1:15" x14ac:dyDescent="0.35">
      <c r="A265" t="s">
        <v>64</v>
      </c>
      <c r="B265" s="1">
        <v>45574</v>
      </c>
      <c r="C265" t="s">
        <v>75</v>
      </c>
      <c r="D265" t="s">
        <v>92</v>
      </c>
      <c r="E265" s="2">
        <v>40274</v>
      </c>
      <c r="F265" t="s">
        <v>16</v>
      </c>
      <c r="G265" t="s">
        <v>66</v>
      </c>
      <c r="H265" t="s">
        <v>54</v>
      </c>
      <c r="I265" s="3">
        <v>0.1673611111111111</v>
      </c>
      <c r="J265" t="s">
        <v>68</v>
      </c>
      <c r="K265">
        <v>88</v>
      </c>
      <c r="L265" s="3">
        <v>0.1673611111111111</v>
      </c>
      <c r="M265" t="s">
        <v>31</v>
      </c>
      <c r="N265" t="s">
        <v>106</v>
      </c>
      <c r="O265">
        <f>IF(Table13[[#This Row],[Goal_assist]]="",1,0)</f>
        <v>0</v>
      </c>
    </row>
    <row r="266" spans="1:15" x14ac:dyDescent="0.35">
      <c r="A266" t="s">
        <v>64</v>
      </c>
      <c r="B266" s="1">
        <v>45574</v>
      </c>
      <c r="C266" t="s">
        <v>75</v>
      </c>
      <c r="D266" t="s">
        <v>92</v>
      </c>
      <c r="E266" s="2">
        <v>40274</v>
      </c>
      <c r="F266" t="s">
        <v>16</v>
      </c>
      <c r="G266" t="s">
        <v>66</v>
      </c>
      <c r="H266" t="s">
        <v>54</v>
      </c>
      <c r="I266" s="3">
        <v>0.1673611111111111</v>
      </c>
      <c r="J266" t="s">
        <v>68</v>
      </c>
      <c r="K266">
        <v>21</v>
      </c>
      <c r="L266" s="3">
        <v>4.2361111111111113E-2</v>
      </c>
      <c r="M266" t="s">
        <v>31</v>
      </c>
      <c r="O266">
        <f>IF(Table13[[#This Row],[Goal_assist]]="",1,0)</f>
        <v>1</v>
      </c>
    </row>
    <row r="267" spans="1:15" x14ac:dyDescent="0.35">
      <c r="A267" t="s">
        <v>64</v>
      </c>
      <c r="B267" s="1">
        <v>45574</v>
      </c>
      <c r="C267" t="s">
        <v>75</v>
      </c>
      <c r="D267" t="s">
        <v>92</v>
      </c>
      <c r="E267" s="2">
        <v>40274</v>
      </c>
      <c r="F267" t="s">
        <v>16</v>
      </c>
      <c r="G267" t="s">
        <v>66</v>
      </c>
      <c r="H267" t="s">
        <v>54</v>
      </c>
      <c r="I267" s="3">
        <v>0.1673611111111111</v>
      </c>
      <c r="J267" t="s">
        <v>68</v>
      </c>
      <c r="K267">
        <v>42</v>
      </c>
      <c r="L267" s="3">
        <v>0.12569444444444444</v>
      </c>
      <c r="M267" t="s">
        <v>31</v>
      </c>
      <c r="N267" t="s">
        <v>200</v>
      </c>
      <c r="O267">
        <f>IF(Table13[[#This Row],[Goal_assist]]="",1,0)</f>
        <v>0</v>
      </c>
    </row>
    <row r="268" spans="1:15" x14ac:dyDescent="0.35">
      <c r="A268" t="s">
        <v>64</v>
      </c>
      <c r="B268" s="1">
        <v>45574</v>
      </c>
      <c r="C268" t="s">
        <v>75</v>
      </c>
      <c r="D268" t="s">
        <v>92</v>
      </c>
      <c r="E268" s="2">
        <v>40274</v>
      </c>
      <c r="F268" t="s">
        <v>16</v>
      </c>
      <c r="G268" t="s">
        <v>66</v>
      </c>
      <c r="H268" t="s">
        <v>54</v>
      </c>
      <c r="I268" s="3">
        <v>0.1673611111111111</v>
      </c>
      <c r="J268" t="s">
        <v>68</v>
      </c>
      <c r="K268">
        <v>37</v>
      </c>
      <c r="L268" s="3">
        <v>8.4027777777777785E-2</v>
      </c>
      <c r="M268" t="s">
        <v>26</v>
      </c>
      <c r="N268" t="s">
        <v>186</v>
      </c>
      <c r="O268">
        <f>IF(Table13[[#This Row],[Goal_assist]]="",1,0)</f>
        <v>0</v>
      </c>
    </row>
    <row r="269" spans="1:15" x14ac:dyDescent="0.35">
      <c r="A269" t="s">
        <v>64</v>
      </c>
      <c r="B269" s="1">
        <v>45574</v>
      </c>
      <c r="C269" t="s">
        <v>65</v>
      </c>
      <c r="D269">
        <v>31</v>
      </c>
      <c r="E269" s="2">
        <v>40278</v>
      </c>
      <c r="F269" t="s">
        <v>24</v>
      </c>
      <c r="G269" t="s">
        <v>66</v>
      </c>
      <c r="H269" t="s">
        <v>112</v>
      </c>
      <c r="I269" s="3">
        <v>1.3888888888888889E-3</v>
      </c>
      <c r="J269" t="s">
        <v>68</v>
      </c>
      <c r="K269">
        <v>32</v>
      </c>
      <c r="L269" s="3">
        <v>6.9444444444444447E-4</v>
      </c>
      <c r="M269" t="s">
        <v>26</v>
      </c>
      <c r="N269" t="s">
        <v>106</v>
      </c>
      <c r="O269">
        <f>IF(Table13[[#This Row],[Goal_assist]]="",1,0)</f>
        <v>0</v>
      </c>
    </row>
    <row r="270" spans="1:15" x14ac:dyDescent="0.35">
      <c r="A270" t="s">
        <v>14</v>
      </c>
      <c r="B270" s="1">
        <v>45574</v>
      </c>
      <c r="C270" t="s">
        <v>65</v>
      </c>
      <c r="D270">
        <v>32</v>
      </c>
      <c r="E270" s="2">
        <v>40283</v>
      </c>
      <c r="F270" t="s">
        <v>24</v>
      </c>
      <c r="G270" t="s">
        <v>112</v>
      </c>
      <c r="H270" t="s">
        <v>187</v>
      </c>
      <c r="I270" s="3">
        <v>4.3055555555555555E-2</v>
      </c>
      <c r="J270" t="str">
        <f>J269</f>
        <v>CF</v>
      </c>
      <c r="K270">
        <v>26</v>
      </c>
      <c r="L270" s="3">
        <v>4.2361111111111113E-2</v>
      </c>
      <c r="M270" t="s">
        <v>31</v>
      </c>
      <c r="O270">
        <f>IF(Table13[[#This Row],[Goal_assist]]="",1,0)</f>
        <v>1</v>
      </c>
    </row>
    <row r="271" spans="1:15" x14ac:dyDescent="0.35">
      <c r="A271" t="s">
        <v>14</v>
      </c>
      <c r="B271" s="1">
        <v>45574</v>
      </c>
      <c r="C271" t="s">
        <v>65</v>
      </c>
      <c r="D271">
        <v>33</v>
      </c>
      <c r="E271" s="2">
        <v>40286</v>
      </c>
      <c r="F271" t="s">
        <v>16</v>
      </c>
      <c r="G271" t="s">
        <v>112</v>
      </c>
      <c r="H271" t="s">
        <v>148</v>
      </c>
      <c r="I271" s="3">
        <v>8.3333333333333329E-2</v>
      </c>
      <c r="J271" t="s">
        <v>68</v>
      </c>
      <c r="K271">
        <v>77</v>
      </c>
      <c r="L271" s="3">
        <v>8.3333333333333329E-2</v>
      </c>
      <c r="M271" t="s">
        <v>26</v>
      </c>
      <c r="N271" t="s">
        <v>201</v>
      </c>
      <c r="O271">
        <f>IF(Table13[[#This Row],[Goal_assist]]="",1,0)</f>
        <v>0</v>
      </c>
    </row>
    <row r="272" spans="1:15" x14ac:dyDescent="0.35">
      <c r="A272" t="s">
        <v>64</v>
      </c>
      <c r="B272" s="1">
        <v>45574</v>
      </c>
      <c r="C272" t="s">
        <v>65</v>
      </c>
      <c r="D272">
        <v>35</v>
      </c>
      <c r="E272" s="2">
        <v>40299</v>
      </c>
      <c r="F272" t="s">
        <v>24</v>
      </c>
      <c r="G272" t="s">
        <v>66</v>
      </c>
      <c r="H272" t="s">
        <v>180</v>
      </c>
      <c r="I272" s="3">
        <v>4.4444444444444446E-2</v>
      </c>
      <c r="J272" t="s">
        <v>38</v>
      </c>
      <c r="K272">
        <v>18</v>
      </c>
      <c r="L272" s="3">
        <v>6.9444444444444447E-4</v>
      </c>
      <c r="M272" t="s">
        <v>31</v>
      </c>
      <c r="N272" t="s">
        <v>106</v>
      </c>
      <c r="O272">
        <f>IF(Table13[[#This Row],[Goal_assist]]="",1,0)</f>
        <v>0</v>
      </c>
    </row>
    <row r="273" spans="1:15" x14ac:dyDescent="0.35">
      <c r="A273" t="s">
        <v>64</v>
      </c>
      <c r="B273" s="1">
        <v>45574</v>
      </c>
      <c r="C273" t="s">
        <v>65</v>
      </c>
      <c r="D273">
        <v>35</v>
      </c>
      <c r="E273" s="2">
        <v>40299</v>
      </c>
      <c r="F273" t="s">
        <v>24</v>
      </c>
      <c r="G273" t="s">
        <v>66</v>
      </c>
      <c r="H273" t="s">
        <v>180</v>
      </c>
      <c r="I273" s="3">
        <v>4.4444444444444446E-2</v>
      </c>
      <c r="J273" t="s">
        <v>38</v>
      </c>
      <c r="K273">
        <v>87</v>
      </c>
      <c r="L273" s="3">
        <v>4.4444444444444446E-2</v>
      </c>
      <c r="M273" t="s">
        <v>31</v>
      </c>
      <c r="N273" t="s">
        <v>155</v>
      </c>
      <c r="O273">
        <f>IF(Table13[[#This Row],[Goal_assist]]="",1,0)</f>
        <v>0</v>
      </c>
    </row>
    <row r="274" spans="1:15" x14ac:dyDescent="0.35">
      <c r="A274" t="s">
        <v>14</v>
      </c>
      <c r="B274" s="1">
        <v>45574</v>
      </c>
      <c r="C274" t="s">
        <v>65</v>
      </c>
      <c r="D274">
        <v>35</v>
      </c>
      <c r="E274" s="2">
        <v>40300</v>
      </c>
      <c r="F274" t="s">
        <v>16</v>
      </c>
      <c r="G274" t="s">
        <v>112</v>
      </c>
      <c r="H274" t="s">
        <v>100</v>
      </c>
      <c r="I274" s="3">
        <v>0.12638888888888888</v>
      </c>
      <c r="J274" t="str">
        <f t="shared" ref="J274:J275" si="14">J273</f>
        <v>RW</v>
      </c>
      <c r="K274">
        <v>89</v>
      </c>
      <c r="L274" s="3">
        <v>0.12638888888888888</v>
      </c>
      <c r="M274" t="s">
        <v>22</v>
      </c>
      <c r="N274" t="s">
        <v>188</v>
      </c>
      <c r="O274">
        <f>IF(Table13[[#This Row],[Goal_assist]]="",1,0)</f>
        <v>0</v>
      </c>
    </row>
    <row r="275" spans="1:15" x14ac:dyDescent="0.35">
      <c r="A275" t="s">
        <v>14</v>
      </c>
      <c r="B275" s="1">
        <v>45574</v>
      </c>
      <c r="C275" t="s">
        <v>65</v>
      </c>
      <c r="D275">
        <v>35</v>
      </c>
      <c r="E275" s="2">
        <v>40300</v>
      </c>
      <c r="F275" t="s">
        <v>16</v>
      </c>
      <c r="G275" t="s">
        <v>112</v>
      </c>
      <c r="H275" t="s">
        <v>100</v>
      </c>
      <c r="I275" s="3">
        <v>0.12638888888888888</v>
      </c>
      <c r="J275" t="str">
        <f t="shared" si="14"/>
        <v>RW</v>
      </c>
      <c r="K275">
        <v>25</v>
      </c>
      <c r="L275" s="3">
        <v>4.2361111111111113E-2</v>
      </c>
      <c r="M275" t="s">
        <v>26</v>
      </c>
      <c r="O275">
        <f>IF(Table13[[#This Row],[Goal_assist]]="",1,0)</f>
        <v>1</v>
      </c>
    </row>
    <row r="276" spans="1:15" x14ac:dyDescent="0.35">
      <c r="A276" t="s">
        <v>64</v>
      </c>
      <c r="B276" s="1">
        <v>45574</v>
      </c>
      <c r="C276" t="s">
        <v>65</v>
      </c>
      <c r="D276">
        <v>36</v>
      </c>
      <c r="E276" s="2">
        <v>40302</v>
      </c>
      <c r="F276" t="s">
        <v>16</v>
      </c>
      <c r="G276" t="s">
        <v>66</v>
      </c>
      <c r="H276" t="s">
        <v>195</v>
      </c>
      <c r="I276" s="3">
        <v>0.1673611111111111</v>
      </c>
      <c r="J276" t="s">
        <v>38</v>
      </c>
      <c r="K276" t="s">
        <v>136</v>
      </c>
      <c r="L276" s="3">
        <v>0.1673611111111111</v>
      </c>
      <c r="M276" t="s">
        <v>26</v>
      </c>
      <c r="N276" t="s">
        <v>155</v>
      </c>
      <c r="O276">
        <f>IF(Table13[[#This Row],[Goal_assist]]="",1,0)</f>
        <v>0</v>
      </c>
    </row>
    <row r="277" spans="1:15" x14ac:dyDescent="0.35">
      <c r="A277" t="s">
        <v>64</v>
      </c>
      <c r="B277" s="1">
        <v>45574</v>
      </c>
      <c r="C277" t="s">
        <v>65</v>
      </c>
      <c r="D277">
        <v>36</v>
      </c>
      <c r="E277" s="2">
        <v>40302</v>
      </c>
      <c r="F277" t="s">
        <v>16</v>
      </c>
      <c r="G277" t="s">
        <v>66</v>
      </c>
      <c r="H277" t="s">
        <v>195</v>
      </c>
      <c r="I277" s="3">
        <v>0.1673611111111111</v>
      </c>
      <c r="J277" t="s">
        <v>38</v>
      </c>
      <c r="K277">
        <v>16</v>
      </c>
      <c r="L277" s="3">
        <v>4.1666666666666664E-2</v>
      </c>
      <c r="M277" t="s">
        <v>26</v>
      </c>
      <c r="N277" t="s">
        <v>174</v>
      </c>
      <c r="O277">
        <f>IF(Table13[[#This Row],[Goal_assist]]="",1,0)</f>
        <v>0</v>
      </c>
    </row>
    <row r="278" spans="1:15" x14ac:dyDescent="0.35">
      <c r="A278" t="s">
        <v>14</v>
      </c>
      <c r="B278" s="1">
        <v>45574</v>
      </c>
      <c r="C278" t="s">
        <v>65</v>
      </c>
      <c r="D278">
        <v>36</v>
      </c>
      <c r="E278" s="2">
        <v>40303</v>
      </c>
      <c r="F278" t="s">
        <v>24</v>
      </c>
      <c r="G278" t="s">
        <v>112</v>
      </c>
      <c r="H278" t="s">
        <v>89</v>
      </c>
      <c r="I278" s="3">
        <v>4.4444444444444446E-2</v>
      </c>
      <c r="J278" t="str">
        <f t="shared" ref="J278:J280" si="15">J277</f>
        <v>RW</v>
      </c>
      <c r="K278">
        <v>71</v>
      </c>
      <c r="L278" s="3">
        <v>4.3749999999999997E-2</v>
      </c>
      <c r="M278" t="s">
        <v>26</v>
      </c>
      <c r="O278">
        <f>IF(Table13[[#This Row],[Goal_assist]]="",1,0)</f>
        <v>1</v>
      </c>
    </row>
    <row r="279" spans="1:15" x14ac:dyDescent="0.35">
      <c r="A279" t="s">
        <v>14</v>
      </c>
      <c r="B279" s="1">
        <v>45574</v>
      </c>
      <c r="C279" t="s">
        <v>65</v>
      </c>
      <c r="D279">
        <v>36</v>
      </c>
      <c r="E279" s="2">
        <v>40303</v>
      </c>
      <c r="F279" t="s">
        <v>24</v>
      </c>
      <c r="G279" t="s">
        <v>112</v>
      </c>
      <c r="H279" t="s">
        <v>89</v>
      </c>
      <c r="I279" s="3">
        <v>4.4444444444444446E-2</v>
      </c>
      <c r="J279" t="str">
        <f t="shared" si="15"/>
        <v>RW</v>
      </c>
      <c r="K279">
        <v>26</v>
      </c>
      <c r="L279" s="3">
        <v>4.2361111111111113E-2</v>
      </c>
      <c r="M279" t="s">
        <v>26</v>
      </c>
      <c r="N279" t="s">
        <v>202</v>
      </c>
      <c r="O279">
        <f>IF(Table13[[#This Row],[Goal_assist]]="",1,0)</f>
        <v>0</v>
      </c>
    </row>
    <row r="280" spans="1:15" x14ac:dyDescent="0.35">
      <c r="A280" t="s">
        <v>14</v>
      </c>
      <c r="B280" s="1">
        <v>45574</v>
      </c>
      <c r="C280" t="s">
        <v>65</v>
      </c>
      <c r="D280">
        <v>36</v>
      </c>
      <c r="E280" s="2">
        <v>40303</v>
      </c>
      <c r="F280" t="s">
        <v>24</v>
      </c>
      <c r="G280" t="s">
        <v>112</v>
      </c>
      <c r="H280" t="s">
        <v>89</v>
      </c>
      <c r="I280" s="3">
        <v>4.4444444444444446E-2</v>
      </c>
      <c r="J280" t="str">
        <f t="shared" si="15"/>
        <v>RW</v>
      </c>
      <c r="K280">
        <v>56</v>
      </c>
      <c r="L280" s="3">
        <v>4.3055555555555555E-2</v>
      </c>
      <c r="M280" t="s">
        <v>26</v>
      </c>
      <c r="N280" t="s">
        <v>202</v>
      </c>
      <c r="O280">
        <f>IF(Table13[[#This Row],[Goal_assist]]="",1,0)</f>
        <v>0</v>
      </c>
    </row>
    <row r="281" spans="1:15" x14ac:dyDescent="0.35">
      <c r="A281" t="s">
        <v>64</v>
      </c>
      <c r="B281" s="1">
        <v>45574</v>
      </c>
      <c r="C281" t="s">
        <v>65</v>
      </c>
      <c r="D281">
        <v>37</v>
      </c>
      <c r="E281" s="2">
        <v>40306</v>
      </c>
      <c r="F281" t="s">
        <v>24</v>
      </c>
      <c r="G281" t="s">
        <v>66</v>
      </c>
      <c r="H281" t="s">
        <v>105</v>
      </c>
      <c r="I281" s="3">
        <v>8.5416666666666669E-2</v>
      </c>
      <c r="J281" t="s">
        <v>38</v>
      </c>
      <c r="K281">
        <v>5</v>
      </c>
      <c r="L281" s="3">
        <v>6.9444444444444447E-4</v>
      </c>
      <c r="M281" t="s">
        <v>31</v>
      </c>
      <c r="N281" t="s">
        <v>203</v>
      </c>
      <c r="O281">
        <f>IF(Table13[[#This Row],[Goal_assist]]="",1,0)</f>
        <v>0</v>
      </c>
    </row>
    <row r="282" spans="1:15" x14ac:dyDescent="0.35">
      <c r="A282" t="s">
        <v>14</v>
      </c>
      <c r="B282" s="1">
        <v>45574</v>
      </c>
      <c r="C282" t="s">
        <v>65</v>
      </c>
      <c r="D282">
        <v>37</v>
      </c>
      <c r="E282" s="2">
        <v>40306</v>
      </c>
      <c r="F282" t="s">
        <v>16</v>
      </c>
      <c r="G282" t="s">
        <v>112</v>
      </c>
      <c r="H282" t="s">
        <v>86</v>
      </c>
      <c r="I282" s="3">
        <v>0.20902777777777778</v>
      </c>
      <c r="J282" t="s">
        <v>68</v>
      </c>
      <c r="K282">
        <v>21</v>
      </c>
      <c r="L282" s="3">
        <v>4.1666666666666664E-2</v>
      </c>
      <c r="M282" t="s">
        <v>83</v>
      </c>
      <c r="O282">
        <f>IF(Table13[[#This Row],[Goal_assist]]="",1,0)</f>
        <v>1</v>
      </c>
    </row>
    <row r="283" spans="1:15" x14ac:dyDescent="0.35">
      <c r="A283" t="s">
        <v>64</v>
      </c>
      <c r="B283" s="1">
        <v>45574</v>
      </c>
      <c r="C283" t="s">
        <v>65</v>
      </c>
      <c r="D283">
        <v>38</v>
      </c>
      <c r="E283" s="2">
        <v>40314</v>
      </c>
      <c r="F283" t="s">
        <v>16</v>
      </c>
      <c r="G283" t="s">
        <v>66</v>
      </c>
      <c r="H283" t="s">
        <v>197</v>
      </c>
      <c r="I283" s="3">
        <v>0.16666666666666666</v>
      </c>
      <c r="J283" t="s">
        <v>38</v>
      </c>
      <c r="K283">
        <v>74</v>
      </c>
      <c r="L283" s="3">
        <v>0.16666666666666666</v>
      </c>
      <c r="M283" t="s">
        <v>31</v>
      </c>
      <c r="N283" t="s">
        <v>199</v>
      </c>
      <c r="O283">
        <f>IF(Table13[[#This Row],[Goal_assist]]="",1,0)</f>
        <v>0</v>
      </c>
    </row>
    <row r="284" spans="1:15" x14ac:dyDescent="0.35">
      <c r="A284" t="s">
        <v>64</v>
      </c>
      <c r="B284" s="1">
        <v>45574</v>
      </c>
      <c r="C284" t="s">
        <v>65</v>
      </c>
      <c r="D284">
        <v>38</v>
      </c>
      <c r="E284" s="2">
        <v>40314</v>
      </c>
      <c r="F284" t="s">
        <v>16</v>
      </c>
      <c r="G284" t="s">
        <v>66</v>
      </c>
      <c r="H284" t="s">
        <v>197</v>
      </c>
      <c r="I284" s="3">
        <v>0.16666666666666666</v>
      </c>
      <c r="J284" t="s">
        <v>38</v>
      </c>
      <c r="K284">
        <v>61</v>
      </c>
      <c r="L284" s="3">
        <v>0.125</v>
      </c>
      <c r="M284" t="s">
        <v>26</v>
      </c>
      <c r="N284" t="s">
        <v>199</v>
      </c>
      <c r="O284">
        <f>IF(Table13[[#This Row],[Goal_assist]]="",1,0)</f>
        <v>0</v>
      </c>
    </row>
    <row r="285" spans="1:15" x14ac:dyDescent="0.35">
      <c r="A285" t="s">
        <v>64</v>
      </c>
      <c r="B285" s="1">
        <v>45606</v>
      </c>
      <c r="C285" t="s">
        <v>172</v>
      </c>
      <c r="D285" t="s">
        <v>173</v>
      </c>
      <c r="E285" s="2">
        <v>40411</v>
      </c>
      <c r="F285" t="s">
        <v>16</v>
      </c>
      <c r="G285" t="s">
        <v>66</v>
      </c>
      <c r="H285" t="s">
        <v>105</v>
      </c>
      <c r="I285" s="3">
        <v>0.16666666666666666</v>
      </c>
      <c r="J285" t="s">
        <v>38</v>
      </c>
      <c r="K285" t="s">
        <v>69</v>
      </c>
      <c r="L285" s="3">
        <v>0.16666666666666666</v>
      </c>
      <c r="M285" t="s">
        <v>31</v>
      </c>
      <c r="N285" t="s">
        <v>99</v>
      </c>
      <c r="O285">
        <f>IF(Table13[[#This Row],[Goal_assist]]="",1,0)</f>
        <v>0</v>
      </c>
    </row>
    <row r="286" spans="1:15" x14ac:dyDescent="0.35">
      <c r="A286" t="s">
        <v>64</v>
      </c>
      <c r="B286" s="1">
        <v>45606</v>
      </c>
      <c r="C286" t="s">
        <v>172</v>
      </c>
      <c r="D286" t="s">
        <v>173</v>
      </c>
      <c r="E286" s="2">
        <v>40411</v>
      </c>
      <c r="F286" t="s">
        <v>16</v>
      </c>
      <c r="G286" t="s">
        <v>66</v>
      </c>
      <c r="H286" t="s">
        <v>105</v>
      </c>
      <c r="I286" s="3">
        <v>0.16666666666666666</v>
      </c>
      <c r="J286" t="s">
        <v>38</v>
      </c>
      <c r="K286">
        <v>25</v>
      </c>
      <c r="L286" s="3">
        <v>8.3333333333333329E-2</v>
      </c>
      <c r="M286" t="s">
        <v>31</v>
      </c>
      <c r="N286" t="s">
        <v>106</v>
      </c>
      <c r="O286">
        <f>IF(Table13[[#This Row],[Goal_assist]]="",1,0)</f>
        <v>0</v>
      </c>
    </row>
    <row r="287" spans="1:15" x14ac:dyDescent="0.35">
      <c r="A287" t="s">
        <v>64</v>
      </c>
      <c r="B287" s="1">
        <v>45606</v>
      </c>
      <c r="C287" t="s">
        <v>172</v>
      </c>
      <c r="D287" t="s">
        <v>173</v>
      </c>
      <c r="E287" s="2">
        <v>40411</v>
      </c>
      <c r="F287" t="s">
        <v>16</v>
      </c>
      <c r="G287" t="s">
        <v>66</v>
      </c>
      <c r="H287" t="s">
        <v>105</v>
      </c>
      <c r="I287" s="3">
        <v>0.16666666666666666</v>
      </c>
      <c r="J287" t="s">
        <v>38</v>
      </c>
      <c r="K287">
        <v>43</v>
      </c>
      <c r="L287" s="3">
        <v>0.125</v>
      </c>
      <c r="M287" t="s">
        <v>26</v>
      </c>
      <c r="N287" t="s">
        <v>155</v>
      </c>
      <c r="O287">
        <f>IF(Table13[[#This Row],[Goal_assist]]="",1,0)</f>
        <v>0</v>
      </c>
    </row>
    <row r="288" spans="1:15" x14ac:dyDescent="0.35">
      <c r="A288" t="s">
        <v>64</v>
      </c>
      <c r="B288" s="1">
        <v>45606</v>
      </c>
      <c r="C288" t="s">
        <v>65</v>
      </c>
      <c r="D288">
        <v>1</v>
      </c>
      <c r="E288" s="2">
        <v>40419</v>
      </c>
      <c r="F288" t="s">
        <v>24</v>
      </c>
      <c r="G288" t="s">
        <v>66</v>
      </c>
      <c r="H288" t="s">
        <v>78</v>
      </c>
      <c r="I288" s="3">
        <v>2.0833333333333333E-3</v>
      </c>
      <c r="J288" t="s">
        <v>38</v>
      </c>
      <c r="K288">
        <v>3</v>
      </c>
      <c r="L288" s="3">
        <v>6.9444444444444447E-4</v>
      </c>
      <c r="M288" t="s">
        <v>31</v>
      </c>
      <c r="N288" t="s">
        <v>99</v>
      </c>
      <c r="O288">
        <f>IF(Table13[[#This Row],[Goal_assist]]="",1,0)</f>
        <v>0</v>
      </c>
    </row>
    <row r="289" spans="1:15" x14ac:dyDescent="0.35">
      <c r="A289" t="s">
        <v>64</v>
      </c>
      <c r="B289" s="1">
        <v>45606</v>
      </c>
      <c r="C289" t="s">
        <v>75</v>
      </c>
      <c r="D289" t="s">
        <v>76</v>
      </c>
      <c r="E289" s="2">
        <v>40435</v>
      </c>
      <c r="F289" t="s">
        <v>16</v>
      </c>
      <c r="G289" t="s">
        <v>66</v>
      </c>
      <c r="H289" t="s">
        <v>77</v>
      </c>
      <c r="I289" s="3">
        <v>0.20902777777777778</v>
      </c>
      <c r="J289" t="s">
        <v>68</v>
      </c>
      <c r="K289">
        <v>45</v>
      </c>
      <c r="L289" s="3">
        <v>0.12569444444444444</v>
      </c>
      <c r="M289" t="s">
        <v>31</v>
      </c>
      <c r="N289" t="s">
        <v>186</v>
      </c>
      <c r="O289">
        <f>IF(Table13[[#This Row],[Goal_assist]]="",1,0)</f>
        <v>0</v>
      </c>
    </row>
    <row r="290" spans="1:15" x14ac:dyDescent="0.35">
      <c r="A290" t="s">
        <v>64</v>
      </c>
      <c r="B290" s="1">
        <v>45606</v>
      </c>
      <c r="C290" t="s">
        <v>75</v>
      </c>
      <c r="D290" t="s">
        <v>76</v>
      </c>
      <c r="E290" s="2">
        <v>40435</v>
      </c>
      <c r="F290" t="s">
        <v>16</v>
      </c>
      <c r="G290" t="s">
        <v>66</v>
      </c>
      <c r="H290" t="s">
        <v>77</v>
      </c>
      <c r="I290" s="3">
        <v>0.20902777777777778</v>
      </c>
      <c r="J290" t="s">
        <v>68</v>
      </c>
      <c r="K290">
        <v>22</v>
      </c>
      <c r="L290" s="3">
        <v>4.2361111111111113E-2</v>
      </c>
      <c r="M290" t="s">
        <v>31</v>
      </c>
      <c r="N290" t="s">
        <v>106</v>
      </c>
      <c r="O290">
        <f>IF(Table13[[#This Row],[Goal_assist]]="",1,0)</f>
        <v>0</v>
      </c>
    </row>
    <row r="291" spans="1:15" x14ac:dyDescent="0.35">
      <c r="A291" t="s">
        <v>64</v>
      </c>
      <c r="B291" s="1">
        <v>45606</v>
      </c>
      <c r="C291" t="s">
        <v>65</v>
      </c>
      <c r="D291">
        <v>3</v>
      </c>
      <c r="E291" s="2">
        <v>40440</v>
      </c>
      <c r="F291" t="s">
        <v>24</v>
      </c>
      <c r="G291" t="s">
        <v>66</v>
      </c>
      <c r="H291" t="s">
        <v>119</v>
      </c>
      <c r="I291" s="3">
        <v>4.3055555555555555E-2</v>
      </c>
      <c r="J291" t="s">
        <v>68</v>
      </c>
      <c r="K291">
        <v>12</v>
      </c>
      <c r="L291" s="3">
        <v>6.9444444444444447E-4</v>
      </c>
      <c r="M291" t="s">
        <v>31</v>
      </c>
      <c r="N291" t="s">
        <v>186</v>
      </c>
      <c r="O291">
        <f>IF(Table13[[#This Row],[Goal_assist]]="",1,0)</f>
        <v>0</v>
      </c>
    </row>
    <row r="292" spans="1:15" x14ac:dyDescent="0.35">
      <c r="A292" t="s">
        <v>14</v>
      </c>
      <c r="B292" s="1">
        <v>45606</v>
      </c>
      <c r="C292" t="s">
        <v>65</v>
      </c>
      <c r="D292">
        <v>4</v>
      </c>
      <c r="E292" s="2">
        <v>40442</v>
      </c>
      <c r="F292" t="s">
        <v>16</v>
      </c>
      <c r="G292" t="s">
        <v>112</v>
      </c>
      <c r="H292" t="s">
        <v>121</v>
      </c>
      <c r="I292" s="3">
        <v>0.125</v>
      </c>
      <c r="J292" t="s">
        <v>19</v>
      </c>
      <c r="K292">
        <v>28</v>
      </c>
      <c r="L292" s="3">
        <v>4.1666666666666664E-2</v>
      </c>
      <c r="M292" t="s">
        <v>83</v>
      </c>
      <c r="O292">
        <f>IF(Table13[[#This Row],[Goal_assist]]="",1,0)</f>
        <v>1</v>
      </c>
    </row>
    <row r="293" spans="1:15" x14ac:dyDescent="0.35">
      <c r="A293" t="s">
        <v>14</v>
      </c>
      <c r="B293" s="1">
        <v>45606</v>
      </c>
      <c r="C293" t="s">
        <v>65</v>
      </c>
      <c r="D293">
        <v>6</v>
      </c>
      <c r="E293" s="2">
        <v>40454</v>
      </c>
      <c r="F293" t="s">
        <v>16</v>
      </c>
      <c r="G293" t="s">
        <v>112</v>
      </c>
      <c r="H293" t="s">
        <v>175</v>
      </c>
      <c r="I293" s="3">
        <v>0.25069444444444444</v>
      </c>
      <c r="J293" t="s">
        <v>19</v>
      </c>
      <c r="K293">
        <v>4</v>
      </c>
      <c r="L293" s="3">
        <v>4.1666666666666664E-2</v>
      </c>
      <c r="M293" t="s">
        <v>22</v>
      </c>
      <c r="N293" t="s">
        <v>204</v>
      </c>
      <c r="O293">
        <f>IF(Table13[[#This Row],[Goal_assist]]="",1,0)</f>
        <v>0</v>
      </c>
    </row>
    <row r="294" spans="1:15" x14ac:dyDescent="0.35">
      <c r="A294" t="s">
        <v>14</v>
      </c>
      <c r="B294" s="1">
        <v>45606</v>
      </c>
      <c r="C294" t="s">
        <v>65</v>
      </c>
      <c r="D294">
        <v>6</v>
      </c>
      <c r="E294" s="2">
        <v>40454</v>
      </c>
      <c r="F294" t="s">
        <v>16</v>
      </c>
      <c r="G294" t="s">
        <v>112</v>
      </c>
      <c r="H294" t="s">
        <v>175</v>
      </c>
      <c r="I294" s="3">
        <v>0.25069444444444444</v>
      </c>
      <c r="J294" t="s">
        <v>19</v>
      </c>
      <c r="K294">
        <v>89</v>
      </c>
      <c r="L294" s="3">
        <v>0.25069444444444444</v>
      </c>
      <c r="M294" t="s">
        <v>31</v>
      </c>
      <c r="N294" t="s">
        <v>205</v>
      </c>
      <c r="O294">
        <f>IF(Table13[[#This Row],[Goal_assist]]="",1,0)</f>
        <v>0</v>
      </c>
    </row>
    <row r="295" spans="1:15" x14ac:dyDescent="0.35">
      <c r="A295" t="s">
        <v>64</v>
      </c>
      <c r="B295" s="1">
        <v>45606</v>
      </c>
      <c r="C295" t="s">
        <v>65</v>
      </c>
      <c r="D295">
        <v>6</v>
      </c>
      <c r="E295" s="2">
        <v>40454</v>
      </c>
      <c r="F295" t="s">
        <v>16</v>
      </c>
      <c r="G295" t="s">
        <v>66</v>
      </c>
      <c r="H295" t="s">
        <v>89</v>
      </c>
      <c r="I295" s="3">
        <v>4.2361111111111113E-2</v>
      </c>
      <c r="J295" t="s">
        <v>68</v>
      </c>
      <c r="K295">
        <v>20</v>
      </c>
      <c r="L295" s="3">
        <v>4.1666666666666664E-2</v>
      </c>
      <c r="M295" t="s">
        <v>31</v>
      </c>
      <c r="N295" t="s">
        <v>186</v>
      </c>
      <c r="O295">
        <f>IF(Table13[[#This Row],[Goal_assist]]="",1,0)</f>
        <v>0</v>
      </c>
    </row>
    <row r="296" spans="1:15" x14ac:dyDescent="0.35">
      <c r="A296" t="s">
        <v>14</v>
      </c>
      <c r="B296" s="1">
        <v>45606</v>
      </c>
      <c r="C296" t="s">
        <v>65</v>
      </c>
      <c r="D296">
        <v>7</v>
      </c>
      <c r="E296" s="2">
        <v>40467</v>
      </c>
      <c r="F296" t="s">
        <v>24</v>
      </c>
      <c r="G296" t="s">
        <v>112</v>
      </c>
      <c r="H296" t="s">
        <v>157</v>
      </c>
      <c r="I296" s="3">
        <v>4.4444444444444446E-2</v>
      </c>
      <c r="J296" t="s">
        <v>19</v>
      </c>
      <c r="K296">
        <v>45</v>
      </c>
      <c r="L296" s="3">
        <v>1.3888888888888889E-3</v>
      </c>
      <c r="M296" t="s">
        <v>26</v>
      </c>
      <c r="N296" t="s">
        <v>204</v>
      </c>
      <c r="O296">
        <f>IF(Table13[[#This Row],[Goal_assist]]="",1,0)</f>
        <v>0</v>
      </c>
    </row>
    <row r="297" spans="1:15" x14ac:dyDescent="0.35">
      <c r="A297" t="s">
        <v>14</v>
      </c>
      <c r="B297" s="1">
        <v>45606</v>
      </c>
      <c r="C297" t="s">
        <v>65</v>
      </c>
      <c r="D297">
        <v>7</v>
      </c>
      <c r="E297" s="2">
        <v>40467</v>
      </c>
      <c r="F297" t="s">
        <v>24</v>
      </c>
      <c r="G297" t="s">
        <v>112</v>
      </c>
      <c r="H297" t="s">
        <v>157</v>
      </c>
      <c r="I297" s="3">
        <v>4.4444444444444446E-2</v>
      </c>
      <c r="J297" t="s">
        <v>19</v>
      </c>
      <c r="K297">
        <v>50</v>
      </c>
      <c r="L297" s="3">
        <v>2.0833333333333333E-3</v>
      </c>
      <c r="M297" t="s">
        <v>83</v>
      </c>
      <c r="O297">
        <f>IF(Table13[[#This Row],[Goal_assist]]="",1,0)</f>
        <v>1</v>
      </c>
    </row>
    <row r="298" spans="1:15" x14ac:dyDescent="0.35">
      <c r="A298" t="s">
        <v>14</v>
      </c>
      <c r="B298" s="1">
        <v>45606</v>
      </c>
      <c r="C298" t="s">
        <v>75</v>
      </c>
      <c r="D298" t="s">
        <v>76</v>
      </c>
      <c r="E298" s="2">
        <v>40470</v>
      </c>
      <c r="F298" t="s">
        <v>16</v>
      </c>
      <c r="G298" t="s">
        <v>112</v>
      </c>
      <c r="H298" t="s">
        <v>118</v>
      </c>
      <c r="I298" s="3">
        <v>8.3333333333333329E-2</v>
      </c>
      <c r="J298" t="s">
        <v>19</v>
      </c>
      <c r="K298">
        <v>13</v>
      </c>
      <c r="L298" s="3">
        <v>4.1666666666666664E-2</v>
      </c>
      <c r="M298" t="s">
        <v>39</v>
      </c>
      <c r="O298">
        <f>IF(Table13[[#This Row],[Goal_assist]]="",1,0)</f>
        <v>1</v>
      </c>
    </row>
    <row r="299" spans="1:15" x14ac:dyDescent="0.35">
      <c r="A299" t="s">
        <v>64</v>
      </c>
      <c r="B299" s="1">
        <v>45606</v>
      </c>
      <c r="C299" t="s">
        <v>75</v>
      </c>
      <c r="D299" t="s">
        <v>76</v>
      </c>
      <c r="E299" s="2">
        <v>40471</v>
      </c>
      <c r="F299" t="s">
        <v>16</v>
      </c>
      <c r="G299" t="s">
        <v>66</v>
      </c>
      <c r="H299" t="s">
        <v>206</v>
      </c>
      <c r="I299" s="3">
        <v>8.3333333333333329E-2</v>
      </c>
      <c r="J299" t="s">
        <v>68</v>
      </c>
      <c r="K299" t="s">
        <v>69</v>
      </c>
      <c r="L299" s="3">
        <v>8.3333333333333329E-2</v>
      </c>
      <c r="M299" t="s">
        <v>31</v>
      </c>
      <c r="N299" t="s">
        <v>196</v>
      </c>
      <c r="O299">
        <f>IF(Table13[[#This Row],[Goal_assist]]="",1,0)</f>
        <v>0</v>
      </c>
    </row>
    <row r="300" spans="1:15" x14ac:dyDescent="0.35">
      <c r="A300" t="s">
        <v>64</v>
      </c>
      <c r="B300" s="1">
        <v>45606</v>
      </c>
      <c r="C300" t="s">
        <v>75</v>
      </c>
      <c r="D300" t="s">
        <v>76</v>
      </c>
      <c r="E300" s="2">
        <v>40471</v>
      </c>
      <c r="F300" t="s">
        <v>16</v>
      </c>
      <c r="G300" t="s">
        <v>66</v>
      </c>
      <c r="H300" t="s">
        <v>206</v>
      </c>
      <c r="I300" s="3">
        <v>8.3333333333333329E-2</v>
      </c>
      <c r="J300" t="s">
        <v>68</v>
      </c>
      <c r="K300">
        <v>18</v>
      </c>
      <c r="L300" s="3">
        <v>4.1666666666666664E-2</v>
      </c>
      <c r="M300" t="s">
        <v>31</v>
      </c>
      <c r="N300" t="s">
        <v>99</v>
      </c>
      <c r="O300">
        <f>IF(Table13[[#This Row],[Goal_assist]]="",1,0)</f>
        <v>0</v>
      </c>
    </row>
    <row r="301" spans="1:15" x14ac:dyDescent="0.35">
      <c r="A301" t="s">
        <v>14</v>
      </c>
      <c r="B301" s="1">
        <v>45606</v>
      </c>
      <c r="C301" t="s">
        <v>65</v>
      </c>
      <c r="D301">
        <v>8</v>
      </c>
      <c r="E301" s="2">
        <v>40474</v>
      </c>
      <c r="F301" t="s">
        <v>16</v>
      </c>
      <c r="G301" t="s">
        <v>112</v>
      </c>
      <c r="H301" t="s">
        <v>78</v>
      </c>
      <c r="I301" s="3">
        <v>0.25069444444444444</v>
      </c>
      <c r="J301" t="s">
        <v>19</v>
      </c>
      <c r="K301">
        <v>55</v>
      </c>
      <c r="L301" s="3">
        <v>0.20833333333333334</v>
      </c>
      <c r="M301" t="s">
        <v>83</v>
      </c>
      <c r="O301">
        <f>IF(Table13[[#This Row],[Goal_assist]]="",1,0)</f>
        <v>1</v>
      </c>
    </row>
    <row r="302" spans="1:15" x14ac:dyDescent="0.35">
      <c r="A302" t="s">
        <v>14</v>
      </c>
      <c r="B302" s="1">
        <v>45606</v>
      </c>
      <c r="C302" t="s">
        <v>65</v>
      </c>
      <c r="D302">
        <v>8</v>
      </c>
      <c r="E302" s="2">
        <v>40474</v>
      </c>
      <c r="F302" t="s">
        <v>16</v>
      </c>
      <c r="G302" t="s">
        <v>112</v>
      </c>
      <c r="H302" t="s">
        <v>78</v>
      </c>
      <c r="I302" s="3">
        <v>0.25069444444444444</v>
      </c>
      <c r="J302" t="s">
        <v>19</v>
      </c>
      <c r="K302">
        <v>26</v>
      </c>
      <c r="L302" s="3">
        <v>0.125</v>
      </c>
      <c r="M302" t="s">
        <v>31</v>
      </c>
      <c r="N302" t="s">
        <v>204</v>
      </c>
      <c r="O302">
        <f>IF(Table13[[#This Row],[Goal_assist]]="",1,0)</f>
        <v>0</v>
      </c>
    </row>
    <row r="303" spans="1:15" x14ac:dyDescent="0.35">
      <c r="A303" t="s">
        <v>14</v>
      </c>
      <c r="B303" s="1">
        <v>45606</v>
      </c>
      <c r="C303" t="s">
        <v>65</v>
      </c>
      <c r="D303">
        <v>8</v>
      </c>
      <c r="E303" s="2">
        <v>40474</v>
      </c>
      <c r="F303" t="s">
        <v>16</v>
      </c>
      <c r="G303" t="s">
        <v>112</v>
      </c>
      <c r="H303" t="s">
        <v>78</v>
      </c>
      <c r="I303" s="3">
        <v>0.25069444444444444</v>
      </c>
      <c r="J303" t="s">
        <v>19</v>
      </c>
      <c r="K303">
        <v>15</v>
      </c>
      <c r="L303" s="3">
        <v>8.3333333333333329E-2</v>
      </c>
      <c r="M303" t="s">
        <v>26</v>
      </c>
      <c r="N303" t="s">
        <v>188</v>
      </c>
      <c r="O303">
        <f>IF(Table13[[#This Row],[Goal_assist]]="",1,0)</f>
        <v>0</v>
      </c>
    </row>
    <row r="304" spans="1:15" x14ac:dyDescent="0.35">
      <c r="A304" t="s">
        <v>14</v>
      </c>
      <c r="B304" s="1">
        <v>45606</v>
      </c>
      <c r="C304" t="s">
        <v>65</v>
      </c>
      <c r="D304">
        <v>8</v>
      </c>
      <c r="E304" s="2">
        <v>40474</v>
      </c>
      <c r="F304" t="s">
        <v>16</v>
      </c>
      <c r="G304" t="s">
        <v>112</v>
      </c>
      <c r="H304" t="s">
        <v>78</v>
      </c>
      <c r="I304" s="3">
        <v>0.25069444444444444</v>
      </c>
      <c r="J304" t="s">
        <v>19</v>
      </c>
      <c r="K304">
        <v>47</v>
      </c>
      <c r="L304" s="3">
        <v>0.16666666666666666</v>
      </c>
      <c r="M304" t="s">
        <v>26</v>
      </c>
      <c r="N304" t="s">
        <v>207</v>
      </c>
      <c r="O304">
        <f>IF(Table13[[#This Row],[Goal_assist]]="",1,0)</f>
        <v>0</v>
      </c>
    </row>
    <row r="305" spans="1:15" x14ac:dyDescent="0.35">
      <c r="A305" t="s">
        <v>64</v>
      </c>
      <c r="B305" s="1">
        <v>45606</v>
      </c>
      <c r="C305" t="s">
        <v>65</v>
      </c>
      <c r="D305">
        <v>8</v>
      </c>
      <c r="E305" s="2">
        <v>40474</v>
      </c>
      <c r="F305" t="s">
        <v>24</v>
      </c>
      <c r="G305" t="s">
        <v>66</v>
      </c>
      <c r="H305" t="s">
        <v>93</v>
      </c>
      <c r="I305" s="3">
        <v>1.3888888888888889E-3</v>
      </c>
      <c r="J305" t="s">
        <v>68</v>
      </c>
      <c r="K305">
        <v>41</v>
      </c>
      <c r="L305" s="3">
        <v>6.9444444444444447E-4</v>
      </c>
      <c r="M305" t="s">
        <v>31</v>
      </c>
      <c r="N305" t="s">
        <v>208</v>
      </c>
      <c r="O305">
        <f>IF(Table13[[#This Row],[Goal_assist]]="",1,0)</f>
        <v>0</v>
      </c>
    </row>
    <row r="306" spans="1:15" x14ac:dyDescent="0.35">
      <c r="A306" t="s">
        <v>64</v>
      </c>
      <c r="B306" s="1">
        <v>45606</v>
      </c>
      <c r="C306" t="s">
        <v>65</v>
      </c>
      <c r="D306">
        <v>8</v>
      </c>
      <c r="E306" s="2">
        <v>40474</v>
      </c>
      <c r="F306" t="s">
        <v>24</v>
      </c>
      <c r="G306" t="s">
        <v>66</v>
      </c>
      <c r="H306" t="s">
        <v>93</v>
      </c>
      <c r="I306" s="3">
        <v>1.3888888888888889E-3</v>
      </c>
      <c r="J306" t="s">
        <v>68</v>
      </c>
      <c r="K306">
        <v>65</v>
      </c>
      <c r="L306" s="3">
        <v>1.3888888888888889E-3</v>
      </c>
      <c r="M306" t="s">
        <v>31</v>
      </c>
      <c r="O306">
        <f>IF(Table13[[#This Row],[Goal_assist]]="",1,0)</f>
        <v>1</v>
      </c>
    </row>
    <row r="307" spans="1:15" x14ac:dyDescent="0.35">
      <c r="A307" t="s">
        <v>14</v>
      </c>
      <c r="B307" s="1">
        <v>45606</v>
      </c>
      <c r="C307" t="s">
        <v>65</v>
      </c>
      <c r="D307">
        <v>9</v>
      </c>
      <c r="E307" s="2">
        <v>40481</v>
      </c>
      <c r="F307" t="s">
        <v>24</v>
      </c>
      <c r="G307" t="s">
        <v>112</v>
      </c>
      <c r="H307" t="s">
        <v>209</v>
      </c>
      <c r="I307" s="3">
        <v>4.3749999999999997E-2</v>
      </c>
      <c r="J307" t="s">
        <v>19</v>
      </c>
      <c r="K307">
        <v>86</v>
      </c>
      <c r="L307" s="3">
        <v>4.3749999999999997E-2</v>
      </c>
      <c r="M307" t="s">
        <v>26</v>
      </c>
      <c r="N307" t="s">
        <v>183</v>
      </c>
      <c r="O307">
        <f>IF(Table13[[#This Row],[Goal_assist]]="",1,0)</f>
        <v>0</v>
      </c>
    </row>
    <row r="308" spans="1:15" x14ac:dyDescent="0.35">
      <c r="A308" t="s">
        <v>14</v>
      </c>
      <c r="B308" s="1">
        <v>45606</v>
      </c>
      <c r="C308" t="s">
        <v>65</v>
      </c>
      <c r="D308">
        <v>9</v>
      </c>
      <c r="E308" s="2">
        <v>40481</v>
      </c>
      <c r="F308" t="s">
        <v>24</v>
      </c>
      <c r="G308" t="s">
        <v>112</v>
      </c>
      <c r="H308" t="s">
        <v>209</v>
      </c>
      <c r="I308" s="3">
        <v>4.3749999999999997E-2</v>
      </c>
      <c r="J308" t="s">
        <v>19</v>
      </c>
      <c r="K308">
        <v>82</v>
      </c>
      <c r="L308" s="3">
        <v>4.3055555555555555E-2</v>
      </c>
      <c r="M308" t="s">
        <v>26</v>
      </c>
      <c r="N308" t="s">
        <v>183</v>
      </c>
      <c r="O308">
        <f>IF(Table13[[#This Row],[Goal_assist]]="",1,0)</f>
        <v>0</v>
      </c>
    </row>
    <row r="309" spans="1:15" x14ac:dyDescent="0.35">
      <c r="A309" t="s">
        <v>64</v>
      </c>
      <c r="B309" s="1">
        <v>45606</v>
      </c>
      <c r="C309" t="s">
        <v>65</v>
      </c>
      <c r="D309">
        <v>9</v>
      </c>
      <c r="E309" s="2">
        <v>40481</v>
      </c>
      <c r="F309" t="s">
        <v>16</v>
      </c>
      <c r="G309" t="s">
        <v>66</v>
      </c>
      <c r="H309" t="s">
        <v>105</v>
      </c>
      <c r="I309" s="3">
        <v>0.20833333333333334</v>
      </c>
      <c r="J309" t="s">
        <v>38</v>
      </c>
      <c r="K309">
        <v>63</v>
      </c>
      <c r="L309" s="3">
        <v>0.16666666666666666</v>
      </c>
      <c r="M309" t="s">
        <v>31</v>
      </c>
      <c r="O309">
        <f>IF(Table13[[#This Row],[Goal_assist]]="",1,0)</f>
        <v>1</v>
      </c>
    </row>
    <row r="310" spans="1:15" x14ac:dyDescent="0.35">
      <c r="A310" t="s">
        <v>64</v>
      </c>
      <c r="B310" s="1">
        <v>45606</v>
      </c>
      <c r="C310" t="s">
        <v>65</v>
      </c>
      <c r="D310">
        <v>9</v>
      </c>
      <c r="E310" s="2">
        <v>40481</v>
      </c>
      <c r="F310" t="s">
        <v>16</v>
      </c>
      <c r="G310" t="s">
        <v>66</v>
      </c>
      <c r="H310" t="s">
        <v>105</v>
      </c>
      <c r="I310" s="3">
        <v>0.20833333333333334</v>
      </c>
      <c r="J310" t="s">
        <v>38</v>
      </c>
      <c r="K310">
        <v>4</v>
      </c>
      <c r="L310" s="3">
        <v>4.1666666666666664E-2</v>
      </c>
      <c r="M310" t="s">
        <v>31</v>
      </c>
      <c r="O310">
        <f>IF(Table13[[#This Row],[Goal_assist]]="",1,0)</f>
        <v>1</v>
      </c>
    </row>
    <row r="311" spans="1:15" x14ac:dyDescent="0.35">
      <c r="A311" t="s">
        <v>64</v>
      </c>
      <c r="B311" s="1">
        <v>45606</v>
      </c>
      <c r="C311" t="s">
        <v>75</v>
      </c>
      <c r="D311" t="s">
        <v>76</v>
      </c>
      <c r="E311" s="2">
        <v>40484</v>
      </c>
      <c r="F311" t="s">
        <v>24</v>
      </c>
      <c r="G311" t="s">
        <v>66</v>
      </c>
      <c r="H311" t="s">
        <v>206</v>
      </c>
      <c r="I311" s="3">
        <v>4.2361111111111113E-2</v>
      </c>
      <c r="J311" t="s">
        <v>68</v>
      </c>
      <c r="K311">
        <v>31</v>
      </c>
      <c r="L311" s="3">
        <v>6.9444444444444447E-4</v>
      </c>
      <c r="M311" t="s">
        <v>26</v>
      </c>
      <c r="O311">
        <f>IF(Table13[[#This Row],[Goal_assist]]="",1,0)</f>
        <v>1</v>
      </c>
    </row>
    <row r="312" spans="1:15" x14ac:dyDescent="0.35">
      <c r="A312" t="s">
        <v>64</v>
      </c>
      <c r="B312" s="1">
        <v>45606</v>
      </c>
      <c r="C312" t="s">
        <v>65</v>
      </c>
      <c r="D312">
        <v>10</v>
      </c>
      <c r="E312" s="2">
        <v>40489</v>
      </c>
      <c r="F312" t="s">
        <v>24</v>
      </c>
      <c r="G312" t="s">
        <v>66</v>
      </c>
      <c r="H312" t="s">
        <v>117</v>
      </c>
      <c r="I312" s="3">
        <v>4.3749999999999997E-2</v>
      </c>
      <c r="J312" t="s">
        <v>68</v>
      </c>
      <c r="K312">
        <v>23</v>
      </c>
      <c r="L312" s="3">
        <v>6.9444444444444447E-4</v>
      </c>
      <c r="M312" t="s">
        <v>31</v>
      </c>
      <c r="N312" t="s">
        <v>208</v>
      </c>
      <c r="O312">
        <f>IF(Table13[[#This Row],[Goal_assist]]="",1,0)</f>
        <v>0</v>
      </c>
    </row>
    <row r="313" spans="1:15" x14ac:dyDescent="0.35">
      <c r="A313" t="s">
        <v>14</v>
      </c>
      <c r="B313" s="1">
        <v>45606</v>
      </c>
      <c r="C313" t="s">
        <v>91</v>
      </c>
      <c r="D313" t="s">
        <v>210</v>
      </c>
      <c r="E313" s="2">
        <v>40492</v>
      </c>
      <c r="F313" t="s">
        <v>16</v>
      </c>
      <c r="G313" t="s">
        <v>112</v>
      </c>
      <c r="H313" t="s">
        <v>211</v>
      </c>
      <c r="I313" s="3">
        <v>0.20902777777777778</v>
      </c>
      <c r="J313" t="str">
        <f>J312</f>
        <v>CF</v>
      </c>
      <c r="K313">
        <v>76</v>
      </c>
      <c r="L313" s="3">
        <v>0.125</v>
      </c>
      <c r="M313" t="s">
        <v>31</v>
      </c>
      <c r="N313" t="s">
        <v>207</v>
      </c>
      <c r="O313">
        <f>IF(Table13[[#This Row],[Goal_assist]]="",1,0)</f>
        <v>0</v>
      </c>
    </row>
    <row r="314" spans="1:15" x14ac:dyDescent="0.35">
      <c r="A314" t="s">
        <v>64</v>
      </c>
      <c r="B314" s="1">
        <v>45606</v>
      </c>
      <c r="C314" t="s">
        <v>91</v>
      </c>
      <c r="D314" t="s">
        <v>210</v>
      </c>
      <c r="E314" s="2">
        <v>40492</v>
      </c>
      <c r="F314" t="s">
        <v>16</v>
      </c>
      <c r="G314" t="s">
        <v>66</v>
      </c>
      <c r="H314" t="s">
        <v>212</v>
      </c>
      <c r="I314" s="3">
        <v>0.20902777777777778</v>
      </c>
      <c r="J314" t="s">
        <v>38</v>
      </c>
      <c r="K314">
        <v>67</v>
      </c>
      <c r="L314" s="3">
        <v>0.20902777777777778</v>
      </c>
      <c r="M314" t="s">
        <v>31</v>
      </c>
      <c r="N314" t="s">
        <v>213</v>
      </c>
      <c r="O314">
        <f>IF(Table13[[#This Row],[Goal_assist]]="",1,0)</f>
        <v>0</v>
      </c>
    </row>
    <row r="315" spans="1:15" x14ac:dyDescent="0.35">
      <c r="A315" t="s">
        <v>64</v>
      </c>
      <c r="B315" s="1">
        <v>45606</v>
      </c>
      <c r="C315" t="s">
        <v>65</v>
      </c>
      <c r="D315">
        <v>11</v>
      </c>
      <c r="E315" s="2">
        <v>40495</v>
      </c>
      <c r="F315" t="s">
        <v>16</v>
      </c>
      <c r="G315" t="s">
        <v>66</v>
      </c>
      <c r="H315" t="s">
        <v>180</v>
      </c>
      <c r="I315" s="3">
        <v>0.12569444444444444</v>
      </c>
      <c r="J315" t="s">
        <v>68</v>
      </c>
      <c r="K315">
        <v>58</v>
      </c>
      <c r="L315" s="3">
        <v>8.4027777777777785E-2</v>
      </c>
      <c r="M315" t="s">
        <v>26</v>
      </c>
      <c r="N315" t="s">
        <v>186</v>
      </c>
      <c r="O315">
        <f>IF(Table13[[#This Row],[Goal_assist]]="",1,0)</f>
        <v>0</v>
      </c>
    </row>
    <row r="316" spans="1:15" x14ac:dyDescent="0.35">
      <c r="A316" t="s">
        <v>64</v>
      </c>
      <c r="B316" s="1">
        <v>45606</v>
      </c>
      <c r="C316" t="s">
        <v>65</v>
      </c>
      <c r="D316">
        <v>11</v>
      </c>
      <c r="E316" s="2">
        <v>40495</v>
      </c>
      <c r="F316" t="s">
        <v>16</v>
      </c>
      <c r="G316" t="s">
        <v>66</v>
      </c>
      <c r="H316" t="s">
        <v>180</v>
      </c>
      <c r="I316" s="3">
        <v>0.12569444444444444</v>
      </c>
      <c r="J316" t="s">
        <v>68</v>
      </c>
      <c r="K316">
        <v>83</v>
      </c>
      <c r="L316" s="3">
        <v>0.12569444444444444</v>
      </c>
      <c r="M316" t="s">
        <v>31</v>
      </c>
      <c r="N316" t="s">
        <v>186</v>
      </c>
      <c r="O316">
        <f>IF(Table13[[#This Row],[Goal_assist]]="",1,0)</f>
        <v>0</v>
      </c>
    </row>
    <row r="317" spans="1:15" x14ac:dyDescent="0.35">
      <c r="A317" t="s">
        <v>14</v>
      </c>
      <c r="B317" s="1">
        <v>45606</v>
      </c>
      <c r="C317" t="s">
        <v>65</v>
      </c>
      <c r="D317">
        <v>12</v>
      </c>
      <c r="E317" s="2">
        <v>40502</v>
      </c>
      <c r="F317" t="s">
        <v>16</v>
      </c>
      <c r="G317" t="s">
        <v>112</v>
      </c>
      <c r="H317" t="s">
        <v>86</v>
      </c>
      <c r="I317" s="3">
        <v>0.20902777777777778</v>
      </c>
      <c r="J317" t="s">
        <v>19</v>
      </c>
      <c r="K317">
        <v>30</v>
      </c>
      <c r="L317" s="3">
        <v>8.3333333333333329E-2</v>
      </c>
      <c r="M317" t="s">
        <v>31</v>
      </c>
      <c r="N317" t="s">
        <v>204</v>
      </c>
      <c r="O317">
        <f>IF(Table13[[#This Row],[Goal_assist]]="",1,0)</f>
        <v>0</v>
      </c>
    </row>
    <row r="318" spans="1:15" x14ac:dyDescent="0.35">
      <c r="A318" t="s">
        <v>14</v>
      </c>
      <c r="B318" s="1">
        <v>45606</v>
      </c>
      <c r="C318" t="s">
        <v>65</v>
      </c>
      <c r="D318">
        <v>12</v>
      </c>
      <c r="E318" s="2">
        <v>40502</v>
      </c>
      <c r="F318" t="s">
        <v>16</v>
      </c>
      <c r="G318" t="s">
        <v>112</v>
      </c>
      <c r="H318" t="s">
        <v>86</v>
      </c>
      <c r="I318" s="3">
        <v>0.20902777777777778</v>
      </c>
      <c r="J318" t="s">
        <v>19</v>
      </c>
      <c r="K318">
        <v>62</v>
      </c>
      <c r="L318" s="3">
        <v>0.1673611111111111</v>
      </c>
      <c r="M318" t="s">
        <v>39</v>
      </c>
      <c r="O318">
        <f>IF(Table13[[#This Row],[Goal_assist]]="",1,0)</f>
        <v>1</v>
      </c>
    </row>
    <row r="319" spans="1:15" x14ac:dyDescent="0.35">
      <c r="A319" t="s">
        <v>14</v>
      </c>
      <c r="B319" s="1">
        <v>45606</v>
      </c>
      <c r="C319" t="s">
        <v>65</v>
      </c>
      <c r="D319">
        <v>12</v>
      </c>
      <c r="E319" s="2">
        <v>40502</v>
      </c>
      <c r="F319" t="s">
        <v>16</v>
      </c>
      <c r="G319" t="s">
        <v>112</v>
      </c>
      <c r="H319" t="s">
        <v>86</v>
      </c>
      <c r="I319" s="3">
        <v>0.20902777777777778</v>
      </c>
      <c r="J319" t="s">
        <v>19</v>
      </c>
      <c r="K319" t="s">
        <v>69</v>
      </c>
      <c r="L319" s="3">
        <v>0.20902777777777778</v>
      </c>
      <c r="M319" t="s">
        <v>83</v>
      </c>
      <c r="O319">
        <f>IF(Table13[[#This Row],[Goal_assist]]="",1,0)</f>
        <v>1</v>
      </c>
    </row>
    <row r="320" spans="1:15" x14ac:dyDescent="0.35">
      <c r="A320" t="s">
        <v>64</v>
      </c>
      <c r="B320" s="1">
        <v>45606</v>
      </c>
      <c r="C320" t="s">
        <v>65</v>
      </c>
      <c r="D320">
        <v>12</v>
      </c>
      <c r="E320" s="2">
        <v>40502</v>
      </c>
      <c r="F320" t="s">
        <v>24</v>
      </c>
      <c r="G320" t="s">
        <v>66</v>
      </c>
      <c r="H320" t="s">
        <v>131</v>
      </c>
      <c r="I320" s="3">
        <v>5.5555555555555558E-3</v>
      </c>
      <c r="J320" t="s">
        <v>68</v>
      </c>
      <c r="K320">
        <v>16</v>
      </c>
      <c r="L320" s="3">
        <v>6.9444444444444447E-4</v>
      </c>
      <c r="M320" t="s">
        <v>31</v>
      </c>
      <c r="N320" t="s">
        <v>208</v>
      </c>
      <c r="O320">
        <f>IF(Table13[[#This Row],[Goal_assist]]="",1,0)</f>
        <v>0</v>
      </c>
    </row>
    <row r="321" spans="1:15" x14ac:dyDescent="0.35">
      <c r="A321" t="s">
        <v>64</v>
      </c>
      <c r="B321" s="1">
        <v>45606</v>
      </c>
      <c r="C321" t="s">
        <v>65</v>
      </c>
      <c r="D321">
        <v>12</v>
      </c>
      <c r="E321" s="2">
        <v>40502</v>
      </c>
      <c r="F321" t="s">
        <v>24</v>
      </c>
      <c r="G321" t="s">
        <v>66</v>
      </c>
      <c r="H321" t="s">
        <v>131</v>
      </c>
      <c r="I321" s="3">
        <v>5.5555555555555558E-3</v>
      </c>
      <c r="J321" t="s">
        <v>68</v>
      </c>
      <c r="K321">
        <v>67</v>
      </c>
      <c r="L321" s="3">
        <v>4.8611111111111112E-3</v>
      </c>
      <c r="M321" t="s">
        <v>55</v>
      </c>
      <c r="N321" t="s">
        <v>208</v>
      </c>
      <c r="O321">
        <f>IF(Table13[[#This Row],[Goal_assist]]="",1,0)</f>
        <v>0</v>
      </c>
    </row>
    <row r="322" spans="1:15" x14ac:dyDescent="0.35">
      <c r="A322" t="s">
        <v>64</v>
      </c>
      <c r="B322" s="1">
        <v>45606</v>
      </c>
      <c r="C322" t="s">
        <v>65</v>
      </c>
      <c r="D322">
        <v>12</v>
      </c>
      <c r="E322" s="2">
        <v>40502</v>
      </c>
      <c r="F322" t="s">
        <v>24</v>
      </c>
      <c r="G322" t="s">
        <v>66</v>
      </c>
      <c r="H322" t="s">
        <v>131</v>
      </c>
      <c r="I322" s="3">
        <v>5.5555555555555558E-3</v>
      </c>
      <c r="J322" t="s">
        <v>68</v>
      </c>
      <c r="K322">
        <v>36</v>
      </c>
      <c r="L322" s="3">
        <v>3.472222222222222E-3</v>
      </c>
      <c r="M322" t="s">
        <v>55</v>
      </c>
      <c r="O322">
        <f>IF(Table13[[#This Row],[Goal_assist]]="",1,0)</f>
        <v>1</v>
      </c>
    </row>
    <row r="323" spans="1:15" x14ac:dyDescent="0.35">
      <c r="A323" t="s">
        <v>14</v>
      </c>
      <c r="B323" s="1">
        <v>45606</v>
      </c>
      <c r="C323" t="s">
        <v>75</v>
      </c>
      <c r="D323" t="s">
        <v>76</v>
      </c>
      <c r="E323" s="2">
        <v>40505</v>
      </c>
      <c r="F323" t="s">
        <v>24</v>
      </c>
      <c r="G323" t="s">
        <v>112</v>
      </c>
      <c r="H323" t="s">
        <v>214</v>
      </c>
      <c r="I323" s="3">
        <v>2.7777777777777779E-3</v>
      </c>
      <c r="J323" t="s">
        <v>19</v>
      </c>
      <c r="K323">
        <v>70</v>
      </c>
      <c r="L323" s="3">
        <v>2.0833333333333333E-3</v>
      </c>
      <c r="M323" t="s">
        <v>31</v>
      </c>
      <c r="N323" t="s">
        <v>207</v>
      </c>
      <c r="O323">
        <f>IF(Table13[[#This Row],[Goal_assist]]="",1,0)</f>
        <v>0</v>
      </c>
    </row>
    <row r="324" spans="1:15" x14ac:dyDescent="0.35">
      <c r="A324" t="s">
        <v>14</v>
      </c>
      <c r="B324" s="1">
        <v>45606</v>
      </c>
      <c r="C324" t="s">
        <v>75</v>
      </c>
      <c r="D324" t="s">
        <v>76</v>
      </c>
      <c r="E324" s="2">
        <v>40505</v>
      </c>
      <c r="F324" t="s">
        <v>24</v>
      </c>
      <c r="G324" t="s">
        <v>112</v>
      </c>
      <c r="H324" t="s">
        <v>214</v>
      </c>
      <c r="I324" s="3">
        <v>2.7777777777777779E-3</v>
      </c>
      <c r="J324" t="s">
        <v>19</v>
      </c>
      <c r="K324">
        <v>81</v>
      </c>
      <c r="L324" s="3">
        <v>2.7777777777777779E-3</v>
      </c>
      <c r="M324" t="s">
        <v>83</v>
      </c>
      <c r="O324">
        <f>IF(Table13[[#This Row],[Goal_assist]]="",1,0)</f>
        <v>1</v>
      </c>
    </row>
    <row r="325" spans="1:15" x14ac:dyDescent="0.35">
      <c r="A325" t="s">
        <v>64</v>
      </c>
      <c r="B325" s="1">
        <v>45606</v>
      </c>
      <c r="C325" t="s">
        <v>75</v>
      </c>
      <c r="D325" t="s">
        <v>76</v>
      </c>
      <c r="E325" s="2">
        <v>40506</v>
      </c>
      <c r="F325" t="s">
        <v>24</v>
      </c>
      <c r="G325" t="s">
        <v>66</v>
      </c>
      <c r="H325" t="s">
        <v>77</v>
      </c>
      <c r="I325" s="3">
        <v>2.0833333333333333E-3</v>
      </c>
      <c r="J325" t="s">
        <v>68</v>
      </c>
      <c r="K325">
        <v>63</v>
      </c>
      <c r="L325" s="3">
        <v>1.3888888888888889E-3</v>
      </c>
      <c r="M325" t="s">
        <v>31</v>
      </c>
      <c r="N325" t="s">
        <v>215</v>
      </c>
      <c r="O325">
        <f>IF(Table13[[#This Row],[Goal_assist]]="",1,0)</f>
        <v>0</v>
      </c>
    </row>
    <row r="326" spans="1:15" x14ac:dyDescent="0.35">
      <c r="A326" t="s">
        <v>64</v>
      </c>
      <c r="B326" s="1">
        <v>45606</v>
      </c>
      <c r="C326" t="s">
        <v>65</v>
      </c>
      <c r="D326">
        <v>14</v>
      </c>
      <c r="E326" s="2">
        <v>40516</v>
      </c>
      <c r="F326" t="s">
        <v>24</v>
      </c>
      <c r="G326" t="s">
        <v>66</v>
      </c>
      <c r="H326" t="s">
        <v>100</v>
      </c>
      <c r="I326" s="3">
        <v>2.0833333333333333E-3</v>
      </c>
      <c r="J326" t="s">
        <v>68</v>
      </c>
      <c r="K326">
        <v>64</v>
      </c>
      <c r="L326" s="3">
        <v>1.3888888888888889E-3</v>
      </c>
      <c r="M326" t="s">
        <v>31</v>
      </c>
      <c r="N326" t="s">
        <v>208</v>
      </c>
      <c r="O326">
        <f>IF(Table13[[#This Row],[Goal_assist]]="",1,0)</f>
        <v>0</v>
      </c>
    </row>
    <row r="327" spans="1:15" x14ac:dyDescent="0.35">
      <c r="A327" t="s">
        <v>64</v>
      </c>
      <c r="B327" s="1">
        <v>45606</v>
      </c>
      <c r="C327" t="s">
        <v>65</v>
      </c>
      <c r="D327">
        <v>14</v>
      </c>
      <c r="E327" s="2">
        <v>40516</v>
      </c>
      <c r="F327" t="s">
        <v>24</v>
      </c>
      <c r="G327" t="s">
        <v>66</v>
      </c>
      <c r="H327" t="s">
        <v>100</v>
      </c>
      <c r="I327" s="3">
        <v>2.0833333333333333E-3</v>
      </c>
      <c r="J327" t="s">
        <v>68</v>
      </c>
      <c r="K327">
        <v>82</v>
      </c>
      <c r="L327" s="3">
        <v>2.0833333333333333E-3</v>
      </c>
      <c r="M327" t="s">
        <v>83</v>
      </c>
      <c r="O327">
        <f>IF(Table13[[#This Row],[Goal_assist]]="",1,0)</f>
        <v>1</v>
      </c>
    </row>
    <row r="328" spans="1:15" x14ac:dyDescent="0.35">
      <c r="A328" t="s">
        <v>14</v>
      </c>
      <c r="B328" s="1">
        <v>45606</v>
      </c>
      <c r="C328" t="s">
        <v>65</v>
      </c>
      <c r="D328">
        <v>14</v>
      </c>
      <c r="E328" s="2">
        <v>40516</v>
      </c>
      <c r="F328" t="s">
        <v>16</v>
      </c>
      <c r="G328" t="s">
        <v>112</v>
      </c>
      <c r="H328" t="s">
        <v>148</v>
      </c>
      <c r="I328" s="3">
        <v>8.3333333333333329E-2</v>
      </c>
      <c r="J328" t="s">
        <v>19</v>
      </c>
      <c r="K328">
        <v>72</v>
      </c>
      <c r="L328" s="3">
        <v>4.1666666666666664E-2</v>
      </c>
      <c r="M328" t="s">
        <v>31</v>
      </c>
      <c r="N328" t="s">
        <v>204</v>
      </c>
      <c r="O328">
        <f>IF(Table13[[#This Row],[Goal_assist]]="",1,0)</f>
        <v>0</v>
      </c>
    </row>
    <row r="329" spans="1:15" x14ac:dyDescent="0.35">
      <c r="A329" t="s">
        <v>14</v>
      </c>
      <c r="B329" s="1">
        <v>45606</v>
      </c>
      <c r="C329" t="s">
        <v>65</v>
      </c>
      <c r="D329">
        <v>14</v>
      </c>
      <c r="E329" s="2">
        <v>40516</v>
      </c>
      <c r="F329" t="s">
        <v>16</v>
      </c>
      <c r="G329" t="s">
        <v>112</v>
      </c>
      <c r="H329" t="s">
        <v>148</v>
      </c>
      <c r="I329" s="3">
        <v>8.3333333333333329E-2</v>
      </c>
      <c r="J329" t="s">
        <v>19</v>
      </c>
      <c r="K329">
        <v>86</v>
      </c>
      <c r="L329" s="3">
        <v>8.3333333333333329E-2</v>
      </c>
      <c r="M329" t="s">
        <v>26</v>
      </c>
      <c r="O329">
        <f>IF(Table13[[#This Row],[Goal_assist]]="",1,0)</f>
        <v>1</v>
      </c>
    </row>
    <row r="330" spans="1:15" x14ac:dyDescent="0.35">
      <c r="A330" t="s">
        <v>14</v>
      </c>
      <c r="B330" s="1">
        <v>45606</v>
      </c>
      <c r="C330" t="s">
        <v>75</v>
      </c>
      <c r="D330" t="s">
        <v>76</v>
      </c>
      <c r="E330" s="2">
        <v>40520</v>
      </c>
      <c r="F330" t="s">
        <v>16</v>
      </c>
      <c r="G330" t="s">
        <v>112</v>
      </c>
      <c r="H330" t="s">
        <v>216</v>
      </c>
      <c r="I330" s="3">
        <v>0.16666666666666666</v>
      </c>
      <c r="J330" t="s">
        <v>19</v>
      </c>
      <c r="K330">
        <v>49</v>
      </c>
      <c r="L330" s="3">
        <v>8.3333333333333329E-2</v>
      </c>
      <c r="M330" t="s">
        <v>26</v>
      </c>
      <c r="N330" t="s">
        <v>201</v>
      </c>
      <c r="O330">
        <f>IF(Table13[[#This Row],[Goal_assist]]="",1,0)</f>
        <v>0</v>
      </c>
    </row>
    <row r="331" spans="1:15" x14ac:dyDescent="0.35">
      <c r="A331" t="s">
        <v>64</v>
      </c>
      <c r="B331" s="1">
        <v>45606</v>
      </c>
      <c r="C331" t="s">
        <v>65</v>
      </c>
      <c r="D331">
        <v>15</v>
      </c>
      <c r="E331" s="2">
        <v>40524</v>
      </c>
      <c r="F331" t="s">
        <v>16</v>
      </c>
      <c r="G331" t="s">
        <v>66</v>
      </c>
      <c r="H331" t="s">
        <v>217</v>
      </c>
      <c r="I331" s="3">
        <v>0.20833333333333334</v>
      </c>
      <c r="J331" t="s">
        <v>68</v>
      </c>
      <c r="K331">
        <v>46</v>
      </c>
      <c r="L331" s="3">
        <v>0.125</v>
      </c>
      <c r="M331" t="s">
        <v>31</v>
      </c>
      <c r="N331" t="s">
        <v>155</v>
      </c>
      <c r="O331">
        <f>IF(Table13[[#This Row],[Goal_assist]]="",1,0)</f>
        <v>0</v>
      </c>
    </row>
    <row r="332" spans="1:15" x14ac:dyDescent="0.35">
      <c r="A332" t="s">
        <v>64</v>
      </c>
      <c r="B332" s="1">
        <v>45606</v>
      </c>
      <c r="C332" t="s">
        <v>65</v>
      </c>
      <c r="D332">
        <v>15</v>
      </c>
      <c r="E332" s="2">
        <v>40524</v>
      </c>
      <c r="F332" t="s">
        <v>16</v>
      </c>
      <c r="G332" t="s">
        <v>66</v>
      </c>
      <c r="H332" t="s">
        <v>217</v>
      </c>
      <c r="I332" s="3">
        <v>0.20833333333333334</v>
      </c>
      <c r="J332" t="s">
        <v>68</v>
      </c>
      <c r="K332">
        <v>86</v>
      </c>
      <c r="L332" s="3">
        <v>0.16666666666666666</v>
      </c>
      <c r="M332" t="s">
        <v>31</v>
      </c>
      <c r="N332" t="s">
        <v>153</v>
      </c>
      <c r="O332">
        <f>IF(Table13[[#This Row],[Goal_assist]]="",1,0)</f>
        <v>0</v>
      </c>
    </row>
    <row r="333" spans="1:15" x14ac:dyDescent="0.35">
      <c r="A333" t="s">
        <v>14</v>
      </c>
      <c r="B333" s="1">
        <v>45606</v>
      </c>
      <c r="C333" t="s">
        <v>65</v>
      </c>
      <c r="D333">
        <v>15</v>
      </c>
      <c r="E333" s="2">
        <v>40524</v>
      </c>
      <c r="F333" t="s">
        <v>24</v>
      </c>
      <c r="G333" t="s">
        <v>112</v>
      </c>
      <c r="H333" t="s">
        <v>93</v>
      </c>
      <c r="I333" s="3">
        <v>4.3749999999999997E-2</v>
      </c>
      <c r="J333" t="s">
        <v>19</v>
      </c>
      <c r="K333">
        <v>43</v>
      </c>
      <c r="L333" s="3">
        <v>1.3888888888888889E-3</v>
      </c>
      <c r="M333" t="s">
        <v>39</v>
      </c>
      <c r="O333">
        <f>IF(Table13[[#This Row],[Goal_assist]]="",1,0)</f>
        <v>1</v>
      </c>
    </row>
    <row r="334" spans="1:15" x14ac:dyDescent="0.35">
      <c r="A334" t="s">
        <v>14</v>
      </c>
      <c r="B334" s="1">
        <v>45606</v>
      </c>
      <c r="C334" t="s">
        <v>91</v>
      </c>
      <c r="D334" t="s">
        <v>143</v>
      </c>
      <c r="E334" s="2">
        <v>40534</v>
      </c>
      <c r="F334" t="s">
        <v>16</v>
      </c>
      <c r="G334" t="s">
        <v>112</v>
      </c>
      <c r="H334" t="s">
        <v>127</v>
      </c>
      <c r="I334" s="3">
        <v>0.33333333333333331</v>
      </c>
      <c r="J334" t="s">
        <v>19</v>
      </c>
      <c r="K334">
        <v>73</v>
      </c>
      <c r="L334" s="3">
        <v>0.29166666666666669</v>
      </c>
      <c r="M334" t="s">
        <v>26</v>
      </c>
      <c r="N334" t="s">
        <v>183</v>
      </c>
      <c r="O334">
        <f>IF(Table13[[#This Row],[Goal_assist]]="",1,0)</f>
        <v>0</v>
      </c>
    </row>
    <row r="335" spans="1:15" x14ac:dyDescent="0.35">
      <c r="A335" t="s">
        <v>14</v>
      </c>
      <c r="B335" s="1">
        <v>45606</v>
      </c>
      <c r="C335" t="s">
        <v>91</v>
      </c>
      <c r="D335" t="s">
        <v>143</v>
      </c>
      <c r="E335" s="2">
        <v>40534</v>
      </c>
      <c r="F335" t="s">
        <v>16</v>
      </c>
      <c r="G335" t="s">
        <v>112</v>
      </c>
      <c r="H335" t="s">
        <v>127</v>
      </c>
      <c r="I335" s="3">
        <v>0.33333333333333331</v>
      </c>
      <c r="J335" t="s">
        <v>19</v>
      </c>
      <c r="K335">
        <v>71</v>
      </c>
      <c r="L335" s="3">
        <v>0.25</v>
      </c>
      <c r="M335" t="s">
        <v>26</v>
      </c>
      <c r="N335" t="s">
        <v>207</v>
      </c>
      <c r="O335">
        <f>IF(Table13[[#This Row],[Goal_assist]]="",1,0)</f>
        <v>0</v>
      </c>
    </row>
    <row r="336" spans="1:15" x14ac:dyDescent="0.35">
      <c r="A336" t="s">
        <v>14</v>
      </c>
      <c r="B336" s="1">
        <v>45606</v>
      </c>
      <c r="C336" t="s">
        <v>91</v>
      </c>
      <c r="D336" t="s">
        <v>143</v>
      </c>
      <c r="E336" s="2">
        <v>40534</v>
      </c>
      <c r="F336" t="s">
        <v>16</v>
      </c>
      <c r="G336" t="s">
        <v>112</v>
      </c>
      <c r="H336" t="s">
        <v>127</v>
      </c>
      <c r="I336" s="3">
        <v>0.33333333333333331</v>
      </c>
      <c r="J336" t="s">
        <v>19</v>
      </c>
      <c r="K336">
        <v>44</v>
      </c>
      <c r="L336" s="3">
        <v>0.16666666666666666</v>
      </c>
      <c r="M336" t="s">
        <v>26</v>
      </c>
      <c r="N336" t="s">
        <v>183</v>
      </c>
      <c r="O336">
        <f>IF(Table13[[#This Row],[Goal_assist]]="",1,0)</f>
        <v>0</v>
      </c>
    </row>
    <row r="337" spans="1:15" x14ac:dyDescent="0.35">
      <c r="A337" t="s">
        <v>14</v>
      </c>
      <c r="B337" s="1">
        <v>45606</v>
      </c>
      <c r="C337" t="s">
        <v>65</v>
      </c>
      <c r="D337">
        <v>17</v>
      </c>
      <c r="E337" s="2">
        <v>40546</v>
      </c>
      <c r="F337" t="s">
        <v>24</v>
      </c>
      <c r="G337" t="s">
        <v>112</v>
      </c>
      <c r="H337" t="s">
        <v>117</v>
      </c>
      <c r="I337" s="3">
        <v>8.5416666666666669E-2</v>
      </c>
      <c r="J337" t="s">
        <v>19</v>
      </c>
      <c r="K337">
        <v>11</v>
      </c>
      <c r="L337" s="3">
        <v>6.9444444444444447E-4</v>
      </c>
      <c r="M337" t="s">
        <v>83</v>
      </c>
      <c r="O337">
        <f>IF(Table13[[#This Row],[Goal_assist]]="",1,0)</f>
        <v>1</v>
      </c>
    </row>
    <row r="338" spans="1:15" x14ac:dyDescent="0.35">
      <c r="A338" t="s">
        <v>14</v>
      </c>
      <c r="B338" s="1">
        <v>45606</v>
      </c>
      <c r="C338" t="s">
        <v>65</v>
      </c>
      <c r="D338">
        <v>17</v>
      </c>
      <c r="E338" s="2">
        <v>40546</v>
      </c>
      <c r="F338" t="s">
        <v>24</v>
      </c>
      <c r="G338" t="s">
        <v>112</v>
      </c>
      <c r="H338" t="s">
        <v>117</v>
      </c>
      <c r="I338" s="3">
        <v>8.5416666666666669E-2</v>
      </c>
      <c r="J338" t="s">
        <v>19</v>
      </c>
      <c r="K338">
        <v>57</v>
      </c>
      <c r="L338" s="3">
        <v>4.3749999999999997E-2</v>
      </c>
      <c r="M338" t="s">
        <v>26</v>
      </c>
      <c r="N338" t="s">
        <v>183</v>
      </c>
      <c r="O338">
        <f>IF(Table13[[#This Row],[Goal_assist]]="",1,0)</f>
        <v>0</v>
      </c>
    </row>
    <row r="339" spans="1:15" x14ac:dyDescent="0.35">
      <c r="A339" t="s">
        <v>64</v>
      </c>
      <c r="B339" s="1">
        <v>45606</v>
      </c>
      <c r="C339" t="s">
        <v>65</v>
      </c>
      <c r="D339">
        <v>18</v>
      </c>
      <c r="E339" s="2">
        <v>40551</v>
      </c>
      <c r="F339" t="s">
        <v>24</v>
      </c>
      <c r="G339" t="s">
        <v>66</v>
      </c>
      <c r="H339" t="s">
        <v>115</v>
      </c>
      <c r="I339" s="3">
        <v>2.7777777777777779E-3</v>
      </c>
      <c r="J339" t="s">
        <v>68</v>
      </c>
      <c r="K339">
        <v>51</v>
      </c>
      <c r="L339" s="3">
        <v>1.3888888888888889E-3</v>
      </c>
      <c r="M339" t="s">
        <v>39</v>
      </c>
      <c r="O339">
        <f>IF(Table13[[#This Row],[Goal_assist]]="",1,0)</f>
        <v>1</v>
      </c>
    </row>
    <row r="340" spans="1:15" x14ac:dyDescent="0.35">
      <c r="A340" t="s">
        <v>14</v>
      </c>
      <c r="B340" s="1">
        <v>45606</v>
      </c>
      <c r="C340" t="s">
        <v>65</v>
      </c>
      <c r="D340">
        <v>18</v>
      </c>
      <c r="E340" s="2">
        <v>40552</v>
      </c>
      <c r="F340" t="s">
        <v>16</v>
      </c>
      <c r="G340" t="s">
        <v>112</v>
      </c>
      <c r="H340" t="s">
        <v>180</v>
      </c>
      <c r="I340" s="3">
        <v>0.16805555555555557</v>
      </c>
      <c r="J340" t="s">
        <v>19</v>
      </c>
      <c r="K340">
        <v>10</v>
      </c>
      <c r="L340" s="3">
        <v>4.2361111111111113E-2</v>
      </c>
      <c r="M340" t="s">
        <v>26</v>
      </c>
      <c r="N340" t="s">
        <v>204</v>
      </c>
      <c r="O340">
        <f>IF(Table13[[#This Row],[Goal_assist]]="",1,0)</f>
        <v>0</v>
      </c>
    </row>
    <row r="341" spans="1:15" x14ac:dyDescent="0.35">
      <c r="A341" t="s">
        <v>14</v>
      </c>
      <c r="B341" s="1">
        <v>45606</v>
      </c>
      <c r="C341" t="s">
        <v>65</v>
      </c>
      <c r="D341">
        <v>18</v>
      </c>
      <c r="E341" s="2">
        <v>40552</v>
      </c>
      <c r="F341" t="s">
        <v>16</v>
      </c>
      <c r="G341" t="s">
        <v>112</v>
      </c>
      <c r="H341" t="s">
        <v>180</v>
      </c>
      <c r="I341" s="3">
        <v>0.16805555555555557</v>
      </c>
      <c r="J341" t="s">
        <v>19</v>
      </c>
      <c r="K341">
        <v>45</v>
      </c>
      <c r="L341" s="3">
        <v>8.4722222222222227E-2</v>
      </c>
      <c r="M341" t="s">
        <v>22</v>
      </c>
      <c r="N341" t="s">
        <v>205</v>
      </c>
      <c r="O341">
        <f>IF(Table13[[#This Row],[Goal_assist]]="",1,0)</f>
        <v>0</v>
      </c>
    </row>
    <row r="342" spans="1:15" x14ac:dyDescent="0.35">
      <c r="A342" t="s">
        <v>14</v>
      </c>
      <c r="B342" s="1">
        <v>45606</v>
      </c>
      <c r="C342" t="s">
        <v>65</v>
      </c>
      <c r="D342">
        <v>18</v>
      </c>
      <c r="E342" s="2">
        <v>40552</v>
      </c>
      <c r="F342" t="s">
        <v>16</v>
      </c>
      <c r="G342" t="s">
        <v>112</v>
      </c>
      <c r="H342" t="s">
        <v>180</v>
      </c>
      <c r="I342" s="3">
        <v>0.16805555555555557</v>
      </c>
      <c r="J342" t="s">
        <v>19</v>
      </c>
      <c r="K342">
        <v>79</v>
      </c>
      <c r="L342" s="3">
        <v>0.12638888888888888</v>
      </c>
      <c r="M342" t="s">
        <v>31</v>
      </c>
      <c r="N342" t="s">
        <v>198</v>
      </c>
      <c r="O342">
        <f>IF(Table13[[#This Row],[Goal_assist]]="",1,0)</f>
        <v>0</v>
      </c>
    </row>
    <row r="343" spans="1:15" x14ac:dyDescent="0.35">
      <c r="A343" t="s">
        <v>64</v>
      </c>
      <c r="B343" s="1">
        <v>45606</v>
      </c>
      <c r="C343" t="s">
        <v>91</v>
      </c>
      <c r="D343" t="s">
        <v>92</v>
      </c>
      <c r="E343" s="2">
        <v>40555</v>
      </c>
      <c r="F343" t="s">
        <v>16</v>
      </c>
      <c r="G343" t="s">
        <v>66</v>
      </c>
      <c r="H343" t="s">
        <v>95</v>
      </c>
      <c r="I343" s="3">
        <v>0.20833333333333334</v>
      </c>
      <c r="J343" t="s">
        <v>68</v>
      </c>
      <c r="K343">
        <v>63</v>
      </c>
      <c r="L343" s="3">
        <v>8.3333333333333329E-2</v>
      </c>
      <c r="M343" t="s">
        <v>31</v>
      </c>
      <c r="O343">
        <f>IF(Table13[[#This Row],[Goal_assist]]="",1,0)</f>
        <v>1</v>
      </c>
    </row>
    <row r="344" spans="1:15" x14ac:dyDescent="0.35">
      <c r="A344" t="s">
        <v>64</v>
      </c>
      <c r="B344" s="1">
        <v>45606</v>
      </c>
      <c r="C344" t="s">
        <v>91</v>
      </c>
      <c r="D344" t="s">
        <v>92</v>
      </c>
      <c r="E344" s="2">
        <v>40555</v>
      </c>
      <c r="F344" t="s">
        <v>16</v>
      </c>
      <c r="G344" t="s">
        <v>66</v>
      </c>
      <c r="H344" t="s">
        <v>95</v>
      </c>
      <c r="I344" s="3">
        <v>0.20833333333333334</v>
      </c>
      <c r="J344" t="s">
        <v>68</v>
      </c>
      <c r="K344">
        <v>44</v>
      </c>
      <c r="L344" s="3">
        <v>4.1666666666666664E-2</v>
      </c>
      <c r="M344" t="s">
        <v>31</v>
      </c>
      <c r="N344" t="s">
        <v>99</v>
      </c>
      <c r="O344">
        <f>IF(Table13[[#This Row],[Goal_assist]]="",1,0)</f>
        <v>0</v>
      </c>
    </row>
    <row r="345" spans="1:15" x14ac:dyDescent="0.35">
      <c r="A345" t="s">
        <v>64</v>
      </c>
      <c r="B345" s="1">
        <v>45606</v>
      </c>
      <c r="C345" t="s">
        <v>91</v>
      </c>
      <c r="D345" t="s">
        <v>92</v>
      </c>
      <c r="E345" s="2">
        <v>40555</v>
      </c>
      <c r="F345" t="s">
        <v>16</v>
      </c>
      <c r="G345" t="s">
        <v>66</v>
      </c>
      <c r="H345" t="s">
        <v>95</v>
      </c>
      <c r="I345" s="3">
        <v>0.20833333333333334</v>
      </c>
      <c r="J345" t="s">
        <v>68</v>
      </c>
      <c r="K345">
        <v>73</v>
      </c>
      <c r="L345" s="3">
        <v>0.125</v>
      </c>
      <c r="M345" t="s">
        <v>31</v>
      </c>
      <c r="N345" t="s">
        <v>106</v>
      </c>
      <c r="O345">
        <f>IF(Table13[[#This Row],[Goal_assist]]="",1,0)</f>
        <v>0</v>
      </c>
    </row>
    <row r="346" spans="1:15" x14ac:dyDescent="0.35">
      <c r="A346" t="s">
        <v>14</v>
      </c>
      <c r="B346" s="1">
        <v>45606</v>
      </c>
      <c r="C346" t="s">
        <v>91</v>
      </c>
      <c r="D346" t="s">
        <v>92</v>
      </c>
      <c r="E346" s="2">
        <v>40556</v>
      </c>
      <c r="F346" t="s">
        <v>16</v>
      </c>
      <c r="G346" t="s">
        <v>112</v>
      </c>
      <c r="H346" t="s">
        <v>119</v>
      </c>
      <c r="I346" s="3">
        <v>0.12569444444444444</v>
      </c>
      <c r="J346" t="s">
        <v>19</v>
      </c>
      <c r="K346">
        <v>60</v>
      </c>
      <c r="L346" s="3">
        <v>8.4027777777777785E-2</v>
      </c>
      <c r="M346" t="s">
        <v>26</v>
      </c>
      <c r="N346" t="s">
        <v>204</v>
      </c>
      <c r="O346">
        <f>IF(Table13[[#This Row],[Goal_assist]]="",1,0)</f>
        <v>0</v>
      </c>
    </row>
    <row r="347" spans="1:15" x14ac:dyDescent="0.35">
      <c r="A347" t="s">
        <v>64</v>
      </c>
      <c r="B347" s="1">
        <v>45606</v>
      </c>
      <c r="C347" t="s">
        <v>91</v>
      </c>
      <c r="D347" t="s">
        <v>92</v>
      </c>
      <c r="E347" s="2">
        <v>40562</v>
      </c>
      <c r="F347" t="s">
        <v>24</v>
      </c>
      <c r="G347" t="s">
        <v>66</v>
      </c>
      <c r="H347" t="s">
        <v>95</v>
      </c>
      <c r="I347" s="3">
        <v>0.12569444444444444</v>
      </c>
      <c r="J347" t="s">
        <v>38</v>
      </c>
      <c r="K347">
        <v>37</v>
      </c>
      <c r="L347" s="3">
        <v>8.4027777777777785E-2</v>
      </c>
      <c r="M347" t="s">
        <v>31</v>
      </c>
      <c r="N347" t="s">
        <v>106</v>
      </c>
      <c r="O347">
        <f>IF(Table13[[#This Row],[Goal_assist]]="",1,0)</f>
        <v>0</v>
      </c>
    </row>
    <row r="348" spans="1:15" x14ac:dyDescent="0.35">
      <c r="A348" t="s">
        <v>14</v>
      </c>
      <c r="B348" s="1">
        <v>45606</v>
      </c>
      <c r="C348" t="s">
        <v>91</v>
      </c>
      <c r="D348" t="s">
        <v>92</v>
      </c>
      <c r="E348" s="2">
        <v>40563</v>
      </c>
      <c r="F348" t="s">
        <v>24</v>
      </c>
      <c r="G348" t="s">
        <v>112</v>
      </c>
      <c r="H348" t="s">
        <v>119</v>
      </c>
      <c r="I348" s="3">
        <v>6.9444444444444447E-4</v>
      </c>
      <c r="J348" t="s">
        <v>68</v>
      </c>
      <c r="K348">
        <v>22</v>
      </c>
      <c r="L348" s="3">
        <v>6.9444444444444447E-4</v>
      </c>
      <c r="M348" t="s">
        <v>26</v>
      </c>
      <c r="N348" t="s">
        <v>202</v>
      </c>
      <c r="O348">
        <f>IF(Table13[[#This Row],[Goal_assist]]="",1,0)</f>
        <v>0</v>
      </c>
    </row>
    <row r="349" spans="1:15" x14ac:dyDescent="0.35">
      <c r="A349" t="s">
        <v>64</v>
      </c>
      <c r="B349" s="1">
        <v>45606</v>
      </c>
      <c r="C349" t="s">
        <v>65</v>
      </c>
      <c r="D349">
        <v>20</v>
      </c>
      <c r="E349" s="2">
        <v>40565</v>
      </c>
      <c r="F349" t="s">
        <v>16</v>
      </c>
      <c r="G349" t="s">
        <v>66</v>
      </c>
      <c r="H349" t="s">
        <v>78</v>
      </c>
      <c r="I349" s="3">
        <v>0.125</v>
      </c>
      <c r="J349" t="s">
        <v>68</v>
      </c>
      <c r="K349">
        <v>33</v>
      </c>
      <c r="L349" s="3">
        <v>8.3333333333333329E-2</v>
      </c>
      <c r="M349" t="s">
        <v>83</v>
      </c>
      <c r="O349">
        <f>IF(Table13[[#This Row],[Goal_assist]]="",1,0)</f>
        <v>1</v>
      </c>
    </row>
    <row r="350" spans="1:15" x14ac:dyDescent="0.35">
      <c r="A350" t="s">
        <v>64</v>
      </c>
      <c r="B350" s="1">
        <v>45606</v>
      </c>
      <c r="C350" t="s">
        <v>91</v>
      </c>
      <c r="D350" t="s">
        <v>62</v>
      </c>
      <c r="E350" s="2">
        <v>40569</v>
      </c>
      <c r="F350" t="s">
        <v>16</v>
      </c>
      <c r="G350" t="s">
        <v>66</v>
      </c>
      <c r="H350" t="s">
        <v>131</v>
      </c>
      <c r="I350" s="3">
        <v>0.20833333333333334</v>
      </c>
      <c r="J350" t="s">
        <v>68</v>
      </c>
      <c r="K350">
        <v>15</v>
      </c>
      <c r="L350" s="3">
        <v>0.125</v>
      </c>
      <c r="M350" t="s">
        <v>31</v>
      </c>
      <c r="N350" t="s">
        <v>99</v>
      </c>
      <c r="O350">
        <f>IF(Table13[[#This Row],[Goal_assist]]="",1,0)</f>
        <v>0</v>
      </c>
    </row>
    <row r="351" spans="1:15" x14ac:dyDescent="0.35">
      <c r="A351" t="s">
        <v>64</v>
      </c>
      <c r="B351" s="1">
        <v>45606</v>
      </c>
      <c r="C351" t="s">
        <v>91</v>
      </c>
      <c r="D351" t="s">
        <v>62</v>
      </c>
      <c r="E351" s="2">
        <v>40569</v>
      </c>
      <c r="F351" t="s">
        <v>16</v>
      </c>
      <c r="G351" t="s">
        <v>66</v>
      </c>
      <c r="H351" t="s">
        <v>131</v>
      </c>
      <c r="I351" s="3">
        <v>0.20833333333333334</v>
      </c>
      <c r="J351" t="s">
        <v>68</v>
      </c>
      <c r="K351">
        <v>9</v>
      </c>
      <c r="L351" s="3">
        <v>4.1666666666666664E-2</v>
      </c>
      <c r="M351" t="s">
        <v>31</v>
      </c>
      <c r="N351" t="s">
        <v>186</v>
      </c>
      <c r="O351">
        <f>IF(Table13[[#This Row],[Goal_assist]]="",1,0)</f>
        <v>0</v>
      </c>
    </row>
    <row r="352" spans="1:15" x14ac:dyDescent="0.35">
      <c r="A352" t="s">
        <v>64</v>
      </c>
      <c r="B352" s="1">
        <v>45606</v>
      </c>
      <c r="C352" t="s">
        <v>65</v>
      </c>
      <c r="D352">
        <v>21</v>
      </c>
      <c r="E352" s="2">
        <v>40572</v>
      </c>
      <c r="F352" t="s">
        <v>24</v>
      </c>
      <c r="G352" t="s">
        <v>66</v>
      </c>
      <c r="H352" t="s">
        <v>209</v>
      </c>
      <c r="I352" s="3">
        <v>2.0833333333333333E-3</v>
      </c>
      <c r="J352" t="s">
        <v>68</v>
      </c>
      <c r="K352">
        <v>89</v>
      </c>
      <c r="L352" s="3">
        <v>2.0833333333333333E-3</v>
      </c>
      <c r="M352" t="s">
        <v>31</v>
      </c>
      <c r="N352" t="s">
        <v>155</v>
      </c>
      <c r="O352">
        <f>IF(Table13[[#This Row],[Goal_assist]]="",1,0)</f>
        <v>0</v>
      </c>
    </row>
    <row r="353" spans="1:15" x14ac:dyDescent="0.35">
      <c r="A353" t="s">
        <v>64</v>
      </c>
      <c r="B353" s="1">
        <v>45606</v>
      </c>
      <c r="C353" t="s">
        <v>65</v>
      </c>
      <c r="D353">
        <v>21</v>
      </c>
      <c r="E353" s="2">
        <v>40572</v>
      </c>
      <c r="F353" t="s">
        <v>24</v>
      </c>
      <c r="G353" t="s">
        <v>66</v>
      </c>
      <c r="H353" t="s">
        <v>209</v>
      </c>
      <c r="I353" s="3">
        <v>2.0833333333333333E-3</v>
      </c>
      <c r="J353" t="s">
        <v>68</v>
      </c>
      <c r="K353">
        <v>87</v>
      </c>
      <c r="L353" s="3">
        <v>1.3888888888888889E-3</v>
      </c>
      <c r="M353" t="s">
        <v>31</v>
      </c>
      <c r="N353" t="s">
        <v>155</v>
      </c>
      <c r="O353">
        <f>IF(Table13[[#This Row],[Goal_assist]]="",1,0)</f>
        <v>0</v>
      </c>
    </row>
    <row r="354" spans="1:15" x14ac:dyDescent="0.35">
      <c r="A354" t="s">
        <v>64</v>
      </c>
      <c r="B354" s="1">
        <v>45606</v>
      </c>
      <c r="C354" t="s">
        <v>65</v>
      </c>
      <c r="D354">
        <v>22</v>
      </c>
      <c r="E354" s="2">
        <v>40579</v>
      </c>
      <c r="F354" t="s">
        <v>16</v>
      </c>
      <c r="G354" t="s">
        <v>66</v>
      </c>
      <c r="H354" t="s">
        <v>119</v>
      </c>
      <c r="I354" s="3">
        <v>0.125</v>
      </c>
      <c r="J354" t="s">
        <v>68</v>
      </c>
      <c r="K354">
        <v>28</v>
      </c>
      <c r="L354" s="3">
        <v>8.3333333333333329E-2</v>
      </c>
      <c r="M354" t="s">
        <v>31</v>
      </c>
      <c r="N354" t="s">
        <v>186</v>
      </c>
      <c r="O354">
        <f>IF(Table13[[#This Row],[Goal_assist]]="",1,0)</f>
        <v>0</v>
      </c>
    </row>
    <row r="355" spans="1:15" x14ac:dyDescent="0.35">
      <c r="A355" t="s">
        <v>64</v>
      </c>
      <c r="B355" s="1">
        <v>45606</v>
      </c>
      <c r="C355" t="s">
        <v>65</v>
      </c>
      <c r="D355">
        <v>22</v>
      </c>
      <c r="E355" s="2">
        <v>40579</v>
      </c>
      <c r="F355" t="s">
        <v>16</v>
      </c>
      <c r="G355" t="s">
        <v>66</v>
      </c>
      <c r="H355" t="s">
        <v>119</v>
      </c>
      <c r="I355" s="3">
        <v>0.125</v>
      </c>
      <c r="J355" t="s">
        <v>68</v>
      </c>
      <c r="K355">
        <v>78</v>
      </c>
      <c r="L355" s="3">
        <v>0.125</v>
      </c>
      <c r="M355" t="s">
        <v>31</v>
      </c>
      <c r="N355" t="s">
        <v>208</v>
      </c>
      <c r="O355">
        <f>IF(Table13[[#This Row],[Goal_assist]]="",1,0)</f>
        <v>0</v>
      </c>
    </row>
    <row r="356" spans="1:15" x14ac:dyDescent="0.35">
      <c r="A356" t="s">
        <v>64</v>
      </c>
      <c r="B356" s="1">
        <v>45606</v>
      </c>
      <c r="C356" t="s">
        <v>65</v>
      </c>
      <c r="D356">
        <v>22</v>
      </c>
      <c r="E356" s="2">
        <v>40579</v>
      </c>
      <c r="F356" t="s">
        <v>16</v>
      </c>
      <c r="G356" t="s">
        <v>66</v>
      </c>
      <c r="H356" t="s">
        <v>119</v>
      </c>
      <c r="I356" s="3">
        <v>0.125</v>
      </c>
      <c r="J356" t="s">
        <v>68</v>
      </c>
      <c r="K356">
        <v>16</v>
      </c>
      <c r="L356" s="3">
        <v>4.1666666666666664E-2</v>
      </c>
      <c r="M356" t="s">
        <v>31</v>
      </c>
      <c r="N356" t="s">
        <v>155</v>
      </c>
      <c r="O356">
        <f>IF(Table13[[#This Row],[Goal_assist]]="",1,0)</f>
        <v>0</v>
      </c>
    </row>
    <row r="357" spans="1:15" x14ac:dyDescent="0.35">
      <c r="A357" t="s">
        <v>14</v>
      </c>
      <c r="B357" s="1">
        <v>45606</v>
      </c>
      <c r="C357" t="s">
        <v>65</v>
      </c>
      <c r="D357">
        <v>22</v>
      </c>
      <c r="E357" s="2">
        <v>40580</v>
      </c>
      <c r="F357" t="s">
        <v>16</v>
      </c>
      <c r="G357" t="s">
        <v>112</v>
      </c>
      <c r="H357" t="s">
        <v>217</v>
      </c>
      <c r="I357" s="3">
        <v>0.1673611111111111</v>
      </c>
      <c r="J357" t="s">
        <v>19</v>
      </c>
      <c r="K357">
        <v>20</v>
      </c>
      <c r="L357" s="3">
        <v>8.3333333333333329E-2</v>
      </c>
      <c r="M357" t="s">
        <v>31</v>
      </c>
      <c r="N357" t="s">
        <v>198</v>
      </c>
      <c r="O357">
        <f>IF(Table13[[#This Row],[Goal_assist]]="",1,0)</f>
        <v>0</v>
      </c>
    </row>
    <row r="358" spans="1:15" x14ac:dyDescent="0.35">
      <c r="A358" t="s">
        <v>14</v>
      </c>
      <c r="B358" s="1">
        <v>45606</v>
      </c>
      <c r="C358" t="s">
        <v>65</v>
      </c>
      <c r="D358">
        <v>22</v>
      </c>
      <c r="E358" s="2">
        <v>40580</v>
      </c>
      <c r="F358" t="s">
        <v>16</v>
      </c>
      <c r="G358" t="s">
        <v>112</v>
      </c>
      <c r="H358" t="s">
        <v>217</v>
      </c>
      <c r="I358" s="3">
        <v>0.1673611111111111</v>
      </c>
      <c r="J358" t="s">
        <v>19</v>
      </c>
      <c r="K358">
        <v>42</v>
      </c>
      <c r="L358" s="3">
        <v>0.125</v>
      </c>
      <c r="M358" t="s">
        <v>22</v>
      </c>
      <c r="N358" t="s">
        <v>204</v>
      </c>
      <c r="O358">
        <f>IF(Table13[[#This Row],[Goal_assist]]="",1,0)</f>
        <v>0</v>
      </c>
    </row>
    <row r="359" spans="1:15" x14ac:dyDescent="0.35">
      <c r="A359" t="s">
        <v>64</v>
      </c>
      <c r="B359" s="1">
        <v>45606</v>
      </c>
      <c r="C359" t="s">
        <v>65</v>
      </c>
      <c r="D359">
        <v>24</v>
      </c>
      <c r="E359" s="2">
        <v>40594</v>
      </c>
      <c r="F359" t="s">
        <v>16</v>
      </c>
      <c r="G359" t="s">
        <v>66</v>
      </c>
      <c r="H359" t="s">
        <v>86</v>
      </c>
      <c r="I359" s="3">
        <v>8.4027777777777785E-2</v>
      </c>
      <c r="J359" t="s">
        <v>68</v>
      </c>
      <c r="K359">
        <v>78</v>
      </c>
      <c r="L359" s="3">
        <v>8.4027777777777785E-2</v>
      </c>
      <c r="M359" t="s">
        <v>26</v>
      </c>
      <c r="N359" t="s">
        <v>155</v>
      </c>
      <c r="O359">
        <f>IF(Table13[[#This Row],[Goal_assist]]="",1,0)</f>
        <v>0</v>
      </c>
    </row>
    <row r="360" spans="1:15" x14ac:dyDescent="0.35">
      <c r="A360" t="s">
        <v>64</v>
      </c>
      <c r="B360" s="1">
        <v>45606</v>
      </c>
      <c r="C360" t="s">
        <v>65</v>
      </c>
      <c r="D360">
        <v>25</v>
      </c>
      <c r="E360" s="2">
        <v>40600</v>
      </c>
      <c r="F360" t="s">
        <v>24</v>
      </c>
      <c r="G360" t="s">
        <v>66</v>
      </c>
      <c r="H360" t="s">
        <v>89</v>
      </c>
      <c r="I360" s="3">
        <v>2.0833333333333333E-3</v>
      </c>
      <c r="J360" t="s">
        <v>68</v>
      </c>
      <c r="K360">
        <v>38</v>
      </c>
      <c r="L360" s="3">
        <v>6.9444444444444447E-4</v>
      </c>
      <c r="M360" t="s">
        <v>22</v>
      </c>
      <c r="N360" t="s">
        <v>200</v>
      </c>
      <c r="O360">
        <f>IF(Table13[[#This Row],[Goal_assist]]="",1,0)</f>
        <v>0</v>
      </c>
    </row>
    <row r="361" spans="1:15" x14ac:dyDescent="0.35">
      <c r="A361" t="s">
        <v>64</v>
      </c>
      <c r="B361" s="1">
        <v>45606</v>
      </c>
      <c r="C361" t="s">
        <v>65</v>
      </c>
      <c r="D361">
        <v>26</v>
      </c>
      <c r="E361" s="2">
        <v>40604</v>
      </c>
      <c r="F361" t="s">
        <v>24</v>
      </c>
      <c r="G361" t="s">
        <v>66</v>
      </c>
      <c r="H361" t="s">
        <v>148</v>
      </c>
      <c r="I361" s="3">
        <v>6.9444444444444447E-4</v>
      </c>
      <c r="J361" t="s">
        <v>68</v>
      </c>
      <c r="K361">
        <v>77</v>
      </c>
      <c r="L361" s="3">
        <v>6.9444444444444447E-4</v>
      </c>
      <c r="M361" t="s">
        <v>31</v>
      </c>
      <c r="N361" t="s">
        <v>215</v>
      </c>
      <c r="O361">
        <f>IF(Table13[[#This Row],[Goal_assist]]="",1,0)</f>
        <v>0</v>
      </c>
    </row>
    <row r="362" spans="1:15" x14ac:dyDescent="0.35">
      <c r="A362" t="s">
        <v>14</v>
      </c>
      <c r="B362" s="1">
        <v>45606</v>
      </c>
      <c r="C362" t="s">
        <v>65</v>
      </c>
      <c r="D362">
        <v>26</v>
      </c>
      <c r="E362" s="2">
        <v>40605</v>
      </c>
      <c r="F362" t="s">
        <v>16</v>
      </c>
      <c r="G362" t="s">
        <v>112</v>
      </c>
      <c r="H362" t="s">
        <v>157</v>
      </c>
      <c r="I362" s="3">
        <v>0.29166666666666669</v>
      </c>
      <c r="J362" t="s">
        <v>19</v>
      </c>
      <c r="K362">
        <v>67</v>
      </c>
      <c r="L362" s="3">
        <v>0.25</v>
      </c>
      <c r="M362" t="s">
        <v>83</v>
      </c>
      <c r="O362">
        <f>IF(Table13[[#This Row],[Goal_assist]]="",1,0)</f>
        <v>1</v>
      </c>
    </row>
    <row r="363" spans="1:15" x14ac:dyDescent="0.35">
      <c r="A363" t="s">
        <v>14</v>
      </c>
      <c r="B363" s="1">
        <v>45606</v>
      </c>
      <c r="C363" t="s">
        <v>65</v>
      </c>
      <c r="D363">
        <v>26</v>
      </c>
      <c r="E363" s="2">
        <v>40605</v>
      </c>
      <c r="F363" t="s">
        <v>16</v>
      </c>
      <c r="G363" t="s">
        <v>112</v>
      </c>
      <c r="H363" t="s">
        <v>157</v>
      </c>
      <c r="I363" s="3">
        <v>0.29166666666666669</v>
      </c>
      <c r="J363" t="s">
        <v>19</v>
      </c>
      <c r="K363">
        <v>50</v>
      </c>
      <c r="L363" s="3">
        <v>0.16666666666666666</v>
      </c>
      <c r="M363" t="s">
        <v>31</v>
      </c>
      <c r="N363" t="s">
        <v>204</v>
      </c>
      <c r="O363">
        <f>IF(Table13[[#This Row],[Goal_assist]]="",1,0)</f>
        <v>0</v>
      </c>
    </row>
    <row r="364" spans="1:15" x14ac:dyDescent="0.35">
      <c r="A364" t="s">
        <v>14</v>
      </c>
      <c r="B364" s="1">
        <v>45606</v>
      </c>
      <c r="C364" t="s">
        <v>65</v>
      </c>
      <c r="D364">
        <v>26</v>
      </c>
      <c r="E364" s="2">
        <v>40605</v>
      </c>
      <c r="F364" t="s">
        <v>16</v>
      </c>
      <c r="G364" t="s">
        <v>112</v>
      </c>
      <c r="H364" t="s">
        <v>157</v>
      </c>
      <c r="I364" s="3">
        <v>0.29166666666666669</v>
      </c>
      <c r="J364" t="s">
        <v>19</v>
      </c>
      <c r="K364">
        <v>76</v>
      </c>
      <c r="L364" s="3">
        <v>0.29166666666666669</v>
      </c>
      <c r="M364" t="s">
        <v>26</v>
      </c>
      <c r="N364" t="s">
        <v>218</v>
      </c>
      <c r="O364">
        <f>IF(Table13[[#This Row],[Goal_assist]]="",1,0)</f>
        <v>0</v>
      </c>
    </row>
    <row r="365" spans="1:15" x14ac:dyDescent="0.35">
      <c r="A365" t="s">
        <v>64</v>
      </c>
      <c r="B365" s="1">
        <v>45606</v>
      </c>
      <c r="C365" t="s">
        <v>75</v>
      </c>
      <c r="D365" t="s">
        <v>143</v>
      </c>
      <c r="E365" s="2">
        <v>40610</v>
      </c>
      <c r="F365" t="s">
        <v>16</v>
      </c>
      <c r="G365" t="s">
        <v>66</v>
      </c>
      <c r="H365" t="s">
        <v>54</v>
      </c>
      <c r="I365" s="3">
        <v>0.12569444444444444</v>
      </c>
      <c r="J365" t="s">
        <v>38</v>
      </c>
      <c r="K365">
        <v>49</v>
      </c>
      <c r="L365" s="3">
        <v>4.1666666666666664E-2</v>
      </c>
      <c r="M365" t="s">
        <v>31</v>
      </c>
      <c r="N365" t="s">
        <v>99</v>
      </c>
      <c r="O365">
        <f>IF(Table13[[#This Row],[Goal_assist]]="",1,0)</f>
        <v>0</v>
      </c>
    </row>
    <row r="366" spans="1:15" x14ac:dyDescent="0.35">
      <c r="A366" t="s">
        <v>64</v>
      </c>
      <c r="B366" s="1">
        <v>45606</v>
      </c>
      <c r="C366" t="s">
        <v>75</v>
      </c>
      <c r="D366" t="s">
        <v>143</v>
      </c>
      <c r="E366" s="2">
        <v>40610</v>
      </c>
      <c r="F366" t="s">
        <v>16</v>
      </c>
      <c r="G366" t="s">
        <v>66</v>
      </c>
      <c r="H366" t="s">
        <v>54</v>
      </c>
      <c r="I366" s="3">
        <v>0.12569444444444444</v>
      </c>
      <c r="J366" t="s">
        <v>38</v>
      </c>
      <c r="K366">
        <v>72</v>
      </c>
      <c r="L366" s="3">
        <v>0.12569444444444444</v>
      </c>
      <c r="M366" t="s">
        <v>83</v>
      </c>
      <c r="O366">
        <f>IF(Table13[[#This Row],[Goal_assist]]="",1,0)</f>
        <v>1</v>
      </c>
    </row>
    <row r="367" spans="1:15" x14ac:dyDescent="0.35">
      <c r="A367" t="s">
        <v>14</v>
      </c>
      <c r="B367" s="1">
        <v>45606</v>
      </c>
      <c r="C367" t="s">
        <v>75</v>
      </c>
      <c r="D367" t="s">
        <v>92</v>
      </c>
      <c r="E367" s="2">
        <v>40638</v>
      </c>
      <c r="F367" t="s">
        <v>16</v>
      </c>
      <c r="G367" t="s">
        <v>112</v>
      </c>
      <c r="H367" t="s">
        <v>42</v>
      </c>
      <c r="I367" s="3">
        <v>0.16666666666666666</v>
      </c>
      <c r="J367" t="s">
        <v>19</v>
      </c>
      <c r="K367">
        <v>87</v>
      </c>
      <c r="L367" s="3">
        <v>0.16666666666666666</v>
      </c>
      <c r="M367" t="s">
        <v>26</v>
      </c>
      <c r="N367" t="s">
        <v>198</v>
      </c>
      <c r="O367">
        <f>IF(Table13[[#This Row],[Goal_assist]]="",1,0)</f>
        <v>0</v>
      </c>
    </row>
    <row r="368" spans="1:15" x14ac:dyDescent="0.35">
      <c r="A368" t="s">
        <v>64</v>
      </c>
      <c r="B368" s="1">
        <v>45606</v>
      </c>
      <c r="C368" t="s">
        <v>65</v>
      </c>
      <c r="D368">
        <v>31</v>
      </c>
      <c r="E368" s="2">
        <v>40642</v>
      </c>
      <c r="F368" t="s">
        <v>16</v>
      </c>
      <c r="G368" t="s">
        <v>66</v>
      </c>
      <c r="H368" t="s">
        <v>131</v>
      </c>
      <c r="I368" s="3">
        <v>0.12569444444444444</v>
      </c>
      <c r="J368" t="s">
        <v>68</v>
      </c>
      <c r="K368" t="s">
        <v>69</v>
      </c>
      <c r="L368" s="3">
        <v>0.12569444444444444</v>
      </c>
      <c r="M368" t="s">
        <v>31</v>
      </c>
      <c r="N368" t="s">
        <v>200</v>
      </c>
      <c r="O368">
        <f>IF(Table13[[#This Row],[Goal_assist]]="",1,0)</f>
        <v>0</v>
      </c>
    </row>
    <row r="369" spans="1:15" x14ac:dyDescent="0.35">
      <c r="A369" t="s">
        <v>64</v>
      </c>
      <c r="B369" s="1">
        <v>45606</v>
      </c>
      <c r="C369" t="s">
        <v>65</v>
      </c>
      <c r="D369">
        <v>31</v>
      </c>
      <c r="E369" s="2">
        <v>40642</v>
      </c>
      <c r="F369" t="s">
        <v>16</v>
      </c>
      <c r="G369" t="s">
        <v>66</v>
      </c>
      <c r="H369" t="s">
        <v>131</v>
      </c>
      <c r="I369" s="3">
        <v>0.12569444444444444</v>
      </c>
      <c r="J369" t="s">
        <v>68</v>
      </c>
      <c r="K369">
        <v>52</v>
      </c>
      <c r="L369" s="3">
        <v>4.2361111111111113E-2</v>
      </c>
      <c r="M369" t="s">
        <v>83</v>
      </c>
      <c r="O369">
        <f>IF(Table13[[#This Row],[Goal_assist]]="",1,0)</f>
        <v>1</v>
      </c>
    </row>
    <row r="370" spans="1:15" x14ac:dyDescent="0.35">
      <c r="A370" t="s">
        <v>14</v>
      </c>
      <c r="B370" s="1">
        <v>45606</v>
      </c>
      <c r="C370" t="s">
        <v>65</v>
      </c>
      <c r="D370">
        <v>31</v>
      </c>
      <c r="E370" s="2">
        <v>40642</v>
      </c>
      <c r="F370" t="s">
        <v>24</v>
      </c>
      <c r="G370" t="s">
        <v>112</v>
      </c>
      <c r="H370" t="s">
        <v>86</v>
      </c>
      <c r="I370" s="3">
        <v>2.0833333333333333E-3</v>
      </c>
      <c r="J370" t="s">
        <v>68</v>
      </c>
      <c r="K370">
        <v>70</v>
      </c>
      <c r="L370" s="3">
        <v>2.0833333333333333E-3</v>
      </c>
      <c r="M370" t="s">
        <v>26</v>
      </c>
      <c r="N370" t="s">
        <v>179</v>
      </c>
      <c r="O370">
        <f>IF(Table13[[#This Row],[Goal_assist]]="",1,0)</f>
        <v>0</v>
      </c>
    </row>
    <row r="371" spans="1:15" x14ac:dyDescent="0.35">
      <c r="A371" t="s">
        <v>64</v>
      </c>
      <c r="B371" s="1">
        <v>45606</v>
      </c>
      <c r="C371" t="s">
        <v>75</v>
      </c>
      <c r="D371" t="s">
        <v>92</v>
      </c>
      <c r="E371" s="2">
        <v>40645</v>
      </c>
      <c r="F371" t="s">
        <v>24</v>
      </c>
      <c r="G371" t="s">
        <v>66</v>
      </c>
      <c r="H371" t="s">
        <v>152</v>
      </c>
      <c r="I371" s="3">
        <v>6.9444444444444447E-4</v>
      </c>
      <c r="J371" t="s">
        <v>68</v>
      </c>
      <c r="K371">
        <v>42</v>
      </c>
      <c r="L371" s="3">
        <v>6.9444444444444447E-4</v>
      </c>
      <c r="M371" t="s">
        <v>31</v>
      </c>
      <c r="N371" t="s">
        <v>155</v>
      </c>
      <c r="O371">
        <f>IF(Table13[[#This Row],[Goal_assist]]="",1,0)</f>
        <v>0</v>
      </c>
    </row>
    <row r="372" spans="1:15" x14ac:dyDescent="0.35">
      <c r="A372" t="s">
        <v>14</v>
      </c>
      <c r="B372" s="1">
        <v>45606</v>
      </c>
      <c r="C372" t="s">
        <v>75</v>
      </c>
      <c r="D372" t="s">
        <v>92</v>
      </c>
      <c r="E372" s="2">
        <v>40646</v>
      </c>
      <c r="F372" t="s">
        <v>24</v>
      </c>
      <c r="G372" t="s">
        <v>112</v>
      </c>
      <c r="H372" t="s">
        <v>42</v>
      </c>
      <c r="I372" s="3">
        <v>6.9444444444444447E-4</v>
      </c>
      <c r="J372" t="s">
        <v>38</v>
      </c>
      <c r="K372">
        <v>50</v>
      </c>
      <c r="L372" s="3">
        <v>6.9444444444444447E-4</v>
      </c>
      <c r="M372" t="s">
        <v>26</v>
      </c>
      <c r="N372" t="s">
        <v>219</v>
      </c>
      <c r="O372">
        <f>IF(Table13[[#This Row],[Goal_assist]]="",1,0)</f>
        <v>0</v>
      </c>
    </row>
    <row r="373" spans="1:15" x14ac:dyDescent="0.35">
      <c r="A373" t="s">
        <v>64</v>
      </c>
      <c r="B373" s="1">
        <v>45606</v>
      </c>
      <c r="C373" t="s">
        <v>65</v>
      </c>
      <c r="D373">
        <v>32</v>
      </c>
      <c r="E373" s="2">
        <v>40649</v>
      </c>
      <c r="F373" t="s">
        <v>24</v>
      </c>
      <c r="G373" t="s">
        <v>66</v>
      </c>
      <c r="H373" t="s">
        <v>112</v>
      </c>
      <c r="I373" s="3">
        <v>4.2361111111111113E-2</v>
      </c>
      <c r="J373" t="s">
        <v>68</v>
      </c>
      <c r="K373">
        <v>53</v>
      </c>
      <c r="L373" s="3">
        <v>6.9444444444444447E-4</v>
      </c>
      <c r="M373" t="s">
        <v>83</v>
      </c>
      <c r="O373">
        <f>IF(Table13[[#This Row],[Goal_assist]]="",1,0)</f>
        <v>1</v>
      </c>
    </row>
    <row r="374" spans="1:15" x14ac:dyDescent="0.35">
      <c r="A374" t="s">
        <v>14</v>
      </c>
      <c r="B374" s="1">
        <v>45606</v>
      </c>
      <c r="C374" t="s">
        <v>65</v>
      </c>
      <c r="D374">
        <v>32</v>
      </c>
      <c r="E374" s="2">
        <v>40649</v>
      </c>
      <c r="F374" t="s">
        <v>16</v>
      </c>
      <c r="G374" t="s">
        <v>112</v>
      </c>
      <c r="H374" t="s">
        <v>66</v>
      </c>
      <c r="I374" s="3">
        <v>4.2361111111111113E-2</v>
      </c>
      <c r="J374" t="s">
        <v>19</v>
      </c>
      <c r="K374">
        <v>82</v>
      </c>
      <c r="L374" s="3">
        <v>4.2361111111111113E-2</v>
      </c>
      <c r="M374" t="s">
        <v>83</v>
      </c>
      <c r="O374">
        <f>IF(Table13[[#This Row],[Goal_assist]]="",1,0)</f>
        <v>1</v>
      </c>
    </row>
    <row r="375" spans="1:15" x14ac:dyDescent="0.35">
      <c r="A375" t="s">
        <v>14</v>
      </c>
      <c r="B375" s="1">
        <v>45606</v>
      </c>
      <c r="C375" t="s">
        <v>91</v>
      </c>
      <c r="D375" t="s">
        <v>46</v>
      </c>
      <c r="E375" s="2">
        <v>40653</v>
      </c>
      <c r="F375" t="s">
        <v>24</v>
      </c>
      <c r="G375" t="s">
        <v>112</v>
      </c>
      <c r="H375" t="s">
        <v>66</v>
      </c>
      <c r="I375" t="s">
        <v>220</v>
      </c>
      <c r="J375" t="s">
        <v>68</v>
      </c>
      <c r="K375">
        <v>103</v>
      </c>
      <c r="L375" s="3">
        <v>6.9444444444444447E-4</v>
      </c>
      <c r="M375" t="s">
        <v>22</v>
      </c>
      <c r="N375" t="s">
        <v>207</v>
      </c>
      <c r="O375">
        <f>IF(Table13[[#This Row],[Goal_assist]]="",1,0)</f>
        <v>0</v>
      </c>
    </row>
    <row r="376" spans="1:15" x14ac:dyDescent="0.35">
      <c r="A376" t="s">
        <v>64</v>
      </c>
      <c r="B376" s="1">
        <v>45606</v>
      </c>
      <c r="C376" t="s">
        <v>65</v>
      </c>
      <c r="D376">
        <v>33</v>
      </c>
      <c r="E376" s="2">
        <v>40656</v>
      </c>
      <c r="F376" t="s">
        <v>16</v>
      </c>
      <c r="G376" t="s">
        <v>66</v>
      </c>
      <c r="H376" t="s">
        <v>100</v>
      </c>
      <c r="I376" s="3">
        <v>8.3333333333333329E-2</v>
      </c>
      <c r="J376" t="s">
        <v>68</v>
      </c>
      <c r="K376">
        <v>87</v>
      </c>
      <c r="L376" s="3">
        <v>8.3333333333333329E-2</v>
      </c>
      <c r="M376" t="s">
        <v>26</v>
      </c>
      <c r="N376" t="s">
        <v>155</v>
      </c>
      <c r="O376">
        <f>IF(Table13[[#This Row],[Goal_assist]]="",1,0)</f>
        <v>0</v>
      </c>
    </row>
    <row r="377" spans="1:15" x14ac:dyDescent="0.35">
      <c r="A377" t="s">
        <v>64</v>
      </c>
      <c r="B377" s="1">
        <v>45606</v>
      </c>
      <c r="C377" t="s">
        <v>75</v>
      </c>
      <c r="D377" t="s">
        <v>62</v>
      </c>
      <c r="E377" s="2">
        <v>40660</v>
      </c>
      <c r="F377" t="s">
        <v>24</v>
      </c>
      <c r="G377" t="s">
        <v>66</v>
      </c>
      <c r="H377" t="s">
        <v>112</v>
      </c>
      <c r="I377" s="3">
        <v>1.3888888888888889E-3</v>
      </c>
      <c r="J377" t="s">
        <v>68</v>
      </c>
      <c r="K377">
        <v>76</v>
      </c>
      <c r="L377" s="3">
        <v>6.9444444444444447E-4</v>
      </c>
      <c r="M377" t="s">
        <v>31</v>
      </c>
      <c r="N377" t="s">
        <v>221</v>
      </c>
      <c r="O377">
        <f>IF(Table13[[#This Row],[Goal_assist]]="",1,0)</f>
        <v>0</v>
      </c>
    </row>
    <row r="378" spans="1:15" x14ac:dyDescent="0.35">
      <c r="A378" t="s">
        <v>64</v>
      </c>
      <c r="B378" s="1">
        <v>45606</v>
      </c>
      <c r="C378" t="s">
        <v>75</v>
      </c>
      <c r="D378" t="s">
        <v>62</v>
      </c>
      <c r="E378" s="2">
        <v>40660</v>
      </c>
      <c r="F378" t="s">
        <v>24</v>
      </c>
      <c r="G378" t="s">
        <v>66</v>
      </c>
      <c r="H378" t="s">
        <v>112</v>
      </c>
      <c r="I378" s="3">
        <v>1.3888888888888889E-3</v>
      </c>
      <c r="J378" t="s">
        <v>68</v>
      </c>
      <c r="K378">
        <v>87</v>
      </c>
      <c r="L378" s="3">
        <v>1.3888888888888889E-3</v>
      </c>
      <c r="M378" t="s">
        <v>20</v>
      </c>
      <c r="N378" t="s">
        <v>222</v>
      </c>
      <c r="O378">
        <f>IF(Table13[[#This Row],[Goal_assist]]="",1,0)</f>
        <v>0</v>
      </c>
    </row>
    <row r="379" spans="1:15" x14ac:dyDescent="0.35">
      <c r="A379" t="s">
        <v>14</v>
      </c>
      <c r="B379" s="1">
        <v>45606</v>
      </c>
      <c r="C379" t="s">
        <v>65</v>
      </c>
      <c r="D379">
        <v>35</v>
      </c>
      <c r="E379" s="2">
        <v>40670</v>
      </c>
      <c r="F379" t="s">
        <v>24</v>
      </c>
      <c r="G379" t="s">
        <v>112</v>
      </c>
      <c r="H379" t="s">
        <v>105</v>
      </c>
      <c r="I379" s="3">
        <v>8.7499999999999994E-2</v>
      </c>
      <c r="J379" t="s">
        <v>19</v>
      </c>
      <c r="K379">
        <v>30</v>
      </c>
      <c r="L379" s="3">
        <v>1.3888888888888889E-3</v>
      </c>
      <c r="M379" t="s">
        <v>26</v>
      </c>
      <c r="N379" t="s">
        <v>182</v>
      </c>
      <c r="O379">
        <f>IF(Table13[[#This Row],[Goal_assist]]="",1,0)</f>
        <v>0</v>
      </c>
    </row>
    <row r="380" spans="1:15" x14ac:dyDescent="0.35">
      <c r="A380" t="s">
        <v>14</v>
      </c>
      <c r="B380" s="1">
        <v>45606</v>
      </c>
      <c r="C380" t="s">
        <v>65</v>
      </c>
      <c r="D380">
        <v>35</v>
      </c>
      <c r="E380" s="2">
        <v>40670</v>
      </c>
      <c r="F380" t="s">
        <v>24</v>
      </c>
      <c r="G380" t="s">
        <v>112</v>
      </c>
      <c r="H380" t="s">
        <v>105</v>
      </c>
      <c r="I380" s="3">
        <v>8.7499999999999994E-2</v>
      </c>
      <c r="J380" t="s">
        <v>19</v>
      </c>
      <c r="K380">
        <v>76</v>
      </c>
      <c r="L380" s="3">
        <v>4.583333333333333E-2</v>
      </c>
      <c r="M380" t="s">
        <v>26</v>
      </c>
      <c r="N380" t="s">
        <v>183</v>
      </c>
      <c r="O380">
        <f>IF(Table13[[#This Row],[Goal_assist]]="",1,0)</f>
        <v>0</v>
      </c>
    </row>
    <row r="381" spans="1:15" x14ac:dyDescent="0.35">
      <c r="A381" t="s">
        <v>14</v>
      </c>
      <c r="B381" s="1">
        <v>45606</v>
      </c>
      <c r="C381" t="s">
        <v>65</v>
      </c>
      <c r="D381">
        <v>35</v>
      </c>
      <c r="E381" s="2">
        <v>40670</v>
      </c>
      <c r="F381" t="s">
        <v>24</v>
      </c>
      <c r="G381" t="s">
        <v>112</v>
      </c>
      <c r="H381" t="s">
        <v>105</v>
      </c>
      <c r="I381" s="3">
        <v>8.7499999999999994E-2</v>
      </c>
      <c r="J381" t="s">
        <v>19</v>
      </c>
      <c r="K381">
        <v>64</v>
      </c>
      <c r="L381" s="3">
        <v>4.4444444444444446E-2</v>
      </c>
      <c r="M381" t="s">
        <v>26</v>
      </c>
      <c r="O381">
        <f>IF(Table13[[#This Row],[Goal_assist]]="",1,0)</f>
        <v>1</v>
      </c>
    </row>
    <row r="382" spans="1:15" x14ac:dyDescent="0.35">
      <c r="A382" t="s">
        <v>14</v>
      </c>
      <c r="B382" s="1">
        <v>45606</v>
      </c>
      <c r="C382" t="s">
        <v>65</v>
      </c>
      <c r="D382">
        <v>35</v>
      </c>
      <c r="E382" s="2">
        <v>40670</v>
      </c>
      <c r="F382" t="s">
        <v>24</v>
      </c>
      <c r="G382" t="s">
        <v>112</v>
      </c>
      <c r="H382" t="s">
        <v>105</v>
      </c>
      <c r="I382" s="3">
        <v>8.7499999999999994E-2</v>
      </c>
      <c r="J382" t="s">
        <v>19</v>
      </c>
      <c r="K382">
        <v>70</v>
      </c>
      <c r="L382" s="3">
        <v>4.5138888888888888E-2</v>
      </c>
      <c r="M382" t="s">
        <v>26</v>
      </c>
      <c r="N382" t="s">
        <v>204</v>
      </c>
      <c r="O382">
        <f>IF(Table13[[#This Row],[Goal_assist]]="",1,0)</f>
        <v>0</v>
      </c>
    </row>
    <row r="383" spans="1:15" x14ac:dyDescent="0.35">
      <c r="A383" t="s">
        <v>14</v>
      </c>
      <c r="B383" s="1">
        <v>45606</v>
      </c>
      <c r="C383" t="s">
        <v>65</v>
      </c>
      <c r="D383">
        <v>36</v>
      </c>
      <c r="E383" s="2">
        <v>40673</v>
      </c>
      <c r="F383" t="s">
        <v>16</v>
      </c>
      <c r="G383" t="s">
        <v>112</v>
      </c>
      <c r="H383" t="s">
        <v>117</v>
      </c>
      <c r="I383" s="3">
        <v>0.16666666666666666</v>
      </c>
      <c r="J383" t="s">
        <v>19</v>
      </c>
      <c r="K383">
        <v>23</v>
      </c>
      <c r="L383" s="3">
        <v>4.1666666666666664E-2</v>
      </c>
      <c r="M383" t="s">
        <v>22</v>
      </c>
      <c r="N383" t="s">
        <v>204</v>
      </c>
      <c r="O383">
        <f>IF(Table13[[#This Row],[Goal_assist]]="",1,0)</f>
        <v>0</v>
      </c>
    </row>
    <row r="384" spans="1:15" x14ac:dyDescent="0.35">
      <c r="A384" t="s">
        <v>14</v>
      </c>
      <c r="B384" s="1">
        <v>45606</v>
      </c>
      <c r="C384" t="s">
        <v>65</v>
      </c>
      <c r="D384">
        <v>36</v>
      </c>
      <c r="E384" s="2">
        <v>40673</v>
      </c>
      <c r="F384" t="s">
        <v>16</v>
      </c>
      <c r="G384" t="s">
        <v>112</v>
      </c>
      <c r="H384" t="s">
        <v>117</v>
      </c>
      <c r="I384" s="3">
        <v>0.16666666666666666</v>
      </c>
      <c r="J384" t="s">
        <v>19</v>
      </c>
      <c r="K384" t="s">
        <v>69</v>
      </c>
      <c r="L384" s="3">
        <v>0.16666666666666666</v>
      </c>
      <c r="M384" t="s">
        <v>83</v>
      </c>
      <c r="O384">
        <f>IF(Table13[[#This Row],[Goal_assist]]="",1,0)</f>
        <v>1</v>
      </c>
    </row>
    <row r="385" spans="1:15" x14ac:dyDescent="0.35">
      <c r="A385" t="s">
        <v>14</v>
      </c>
      <c r="B385" s="1">
        <v>45606</v>
      </c>
      <c r="C385" t="s">
        <v>65</v>
      </c>
      <c r="D385">
        <v>36</v>
      </c>
      <c r="E385" s="2">
        <v>40673</v>
      </c>
      <c r="F385" t="s">
        <v>16</v>
      </c>
      <c r="G385" t="s">
        <v>112</v>
      </c>
      <c r="H385" t="s">
        <v>117</v>
      </c>
      <c r="I385" s="3">
        <v>0.16666666666666666</v>
      </c>
      <c r="J385" t="s">
        <v>19</v>
      </c>
      <c r="K385">
        <v>57</v>
      </c>
      <c r="L385" s="3">
        <v>8.3333333333333329E-2</v>
      </c>
      <c r="M385" t="s">
        <v>31</v>
      </c>
      <c r="N385" t="s">
        <v>204</v>
      </c>
      <c r="O385">
        <f>IF(Table13[[#This Row],[Goal_assist]]="",1,0)</f>
        <v>0</v>
      </c>
    </row>
    <row r="386" spans="1:15" x14ac:dyDescent="0.35">
      <c r="A386" t="s">
        <v>14</v>
      </c>
      <c r="B386" s="1">
        <v>45606</v>
      </c>
      <c r="C386" t="s">
        <v>65</v>
      </c>
      <c r="D386">
        <v>37</v>
      </c>
      <c r="E386" s="2">
        <v>40678</v>
      </c>
      <c r="F386" t="s">
        <v>24</v>
      </c>
      <c r="G386" t="s">
        <v>112</v>
      </c>
      <c r="H386" t="s">
        <v>180</v>
      </c>
      <c r="I386" s="3">
        <v>4.3749999999999997E-2</v>
      </c>
      <c r="J386" t="s">
        <v>68</v>
      </c>
      <c r="K386">
        <v>22</v>
      </c>
      <c r="L386" s="3">
        <v>1.3888888888888889E-3</v>
      </c>
      <c r="M386" t="s">
        <v>39</v>
      </c>
      <c r="O386">
        <f>IF(Table13[[#This Row],[Goal_assist]]="",1,0)</f>
        <v>1</v>
      </c>
    </row>
    <row r="387" spans="1:15" x14ac:dyDescent="0.35">
      <c r="A387" t="s">
        <v>14</v>
      </c>
      <c r="B387" s="1">
        <v>45606</v>
      </c>
      <c r="C387" t="s">
        <v>65</v>
      </c>
      <c r="D387">
        <v>37</v>
      </c>
      <c r="E387" s="2">
        <v>40678</v>
      </c>
      <c r="F387" t="s">
        <v>24</v>
      </c>
      <c r="G387" t="s">
        <v>112</v>
      </c>
      <c r="H387" t="s">
        <v>180</v>
      </c>
      <c r="I387" s="3">
        <v>4.3749999999999997E-2</v>
      </c>
      <c r="J387" t="s">
        <v>68</v>
      </c>
      <c r="K387">
        <v>90</v>
      </c>
      <c r="L387" s="3">
        <v>4.3749999999999997E-2</v>
      </c>
      <c r="M387" t="s">
        <v>39</v>
      </c>
      <c r="O387">
        <f>IF(Table13[[#This Row],[Goal_assist]]="",1,0)</f>
        <v>1</v>
      </c>
    </row>
    <row r="388" spans="1:15" x14ac:dyDescent="0.35">
      <c r="A388" t="s">
        <v>14</v>
      </c>
      <c r="B388" s="1">
        <v>45606</v>
      </c>
      <c r="C388" t="s">
        <v>65</v>
      </c>
      <c r="D388">
        <v>38</v>
      </c>
      <c r="E388" s="2">
        <v>40684</v>
      </c>
      <c r="F388" t="s">
        <v>16</v>
      </c>
      <c r="G388" t="s">
        <v>112</v>
      </c>
      <c r="H388" t="s">
        <v>187</v>
      </c>
      <c r="I388" s="3">
        <v>0.33402777777777776</v>
      </c>
      <c r="J388" t="s">
        <v>19</v>
      </c>
      <c r="K388">
        <v>4</v>
      </c>
      <c r="L388" s="3">
        <v>4.1666666666666664E-2</v>
      </c>
      <c r="M388" t="s">
        <v>26</v>
      </c>
      <c r="N388" t="s">
        <v>202</v>
      </c>
      <c r="O388">
        <f>IF(Table13[[#This Row],[Goal_assist]]="",1,0)</f>
        <v>0</v>
      </c>
    </row>
    <row r="389" spans="1:15" x14ac:dyDescent="0.35">
      <c r="A389" t="s">
        <v>14</v>
      </c>
      <c r="B389" s="1">
        <v>45606</v>
      </c>
      <c r="C389" t="s">
        <v>65</v>
      </c>
      <c r="D389">
        <v>38</v>
      </c>
      <c r="E389" s="2">
        <v>40684</v>
      </c>
      <c r="F389" t="s">
        <v>16</v>
      </c>
      <c r="G389" t="s">
        <v>112</v>
      </c>
      <c r="H389" t="s">
        <v>187</v>
      </c>
      <c r="I389" s="3">
        <v>0.33402777777777776</v>
      </c>
      <c r="J389" t="s">
        <v>19</v>
      </c>
      <c r="K389">
        <v>76</v>
      </c>
      <c r="L389" s="3">
        <v>0.29236111111111113</v>
      </c>
      <c r="M389" t="s">
        <v>26</v>
      </c>
      <c r="N389" t="s">
        <v>202</v>
      </c>
      <c r="O389">
        <f>IF(Table13[[#This Row],[Goal_assist]]="",1,0)</f>
        <v>0</v>
      </c>
    </row>
    <row r="390" spans="1:15" x14ac:dyDescent="0.35">
      <c r="A390" t="s">
        <v>64</v>
      </c>
      <c r="B390" s="1">
        <v>45606</v>
      </c>
      <c r="C390" t="s">
        <v>75</v>
      </c>
      <c r="D390" t="s">
        <v>46</v>
      </c>
      <c r="E390" s="2">
        <v>40691</v>
      </c>
      <c r="F390" t="s">
        <v>16</v>
      </c>
      <c r="G390" t="s">
        <v>66</v>
      </c>
      <c r="H390" t="s">
        <v>36</v>
      </c>
      <c r="I390" s="3">
        <v>0.12569444444444444</v>
      </c>
      <c r="J390" t="s">
        <v>68</v>
      </c>
      <c r="K390">
        <v>54</v>
      </c>
      <c r="L390" s="3">
        <v>8.4027777777777785E-2</v>
      </c>
      <c r="M390" t="s">
        <v>31</v>
      </c>
      <c r="N390" t="s">
        <v>99</v>
      </c>
      <c r="O390">
        <f>IF(Table13[[#This Row],[Goal_assist]]="",1,0)</f>
        <v>0</v>
      </c>
    </row>
    <row r="391" spans="1:15" x14ac:dyDescent="0.35">
      <c r="A391" t="s">
        <v>64</v>
      </c>
      <c r="B391" s="1">
        <v>45637</v>
      </c>
      <c r="C391" t="s">
        <v>172</v>
      </c>
      <c r="D391" t="s">
        <v>173</v>
      </c>
      <c r="E391" s="2">
        <v>40769</v>
      </c>
      <c r="F391" t="s">
        <v>24</v>
      </c>
      <c r="G391" t="s">
        <v>66</v>
      </c>
      <c r="H391" t="s">
        <v>112</v>
      </c>
      <c r="I391" s="3">
        <v>8.4722222222222227E-2</v>
      </c>
      <c r="J391" t="s">
        <v>68</v>
      </c>
      <c r="K391">
        <v>45</v>
      </c>
      <c r="L391" s="3">
        <v>4.3055555555555555E-2</v>
      </c>
      <c r="M391" t="s">
        <v>31</v>
      </c>
      <c r="N391" t="s">
        <v>213</v>
      </c>
      <c r="O391">
        <f>IF(Table13[[#This Row],[Goal_assist]]="",1,0)</f>
        <v>0</v>
      </c>
    </row>
    <row r="392" spans="1:15" x14ac:dyDescent="0.35">
      <c r="A392" t="s">
        <v>64</v>
      </c>
      <c r="B392" s="1">
        <v>45637</v>
      </c>
      <c r="C392" t="s">
        <v>172</v>
      </c>
      <c r="D392" t="s">
        <v>173</v>
      </c>
      <c r="E392" s="2">
        <v>40772</v>
      </c>
      <c r="F392" t="s">
        <v>16</v>
      </c>
      <c r="G392" t="s">
        <v>66</v>
      </c>
      <c r="H392" t="s">
        <v>112</v>
      </c>
      <c r="I392" s="3">
        <v>0.12638888888888888</v>
      </c>
      <c r="J392" t="s">
        <v>68</v>
      </c>
      <c r="K392">
        <v>88</v>
      </c>
      <c r="L392" s="3">
        <v>0.12638888888888888</v>
      </c>
      <c r="M392" t="s">
        <v>31</v>
      </c>
      <c r="N392" t="s">
        <v>215</v>
      </c>
      <c r="O392">
        <f>IF(Table13[[#This Row],[Goal_assist]]="",1,0)</f>
        <v>0</v>
      </c>
    </row>
    <row r="393" spans="1:15" x14ac:dyDescent="0.35">
      <c r="A393" t="s">
        <v>64</v>
      </c>
      <c r="B393" s="1">
        <v>45637</v>
      </c>
      <c r="C393" t="s">
        <v>172</v>
      </c>
      <c r="D393" t="s">
        <v>173</v>
      </c>
      <c r="E393" s="2">
        <v>40772</v>
      </c>
      <c r="F393" t="s">
        <v>16</v>
      </c>
      <c r="G393" t="s">
        <v>66</v>
      </c>
      <c r="H393" t="s">
        <v>112</v>
      </c>
      <c r="I393" s="3">
        <v>0.12638888888888888</v>
      </c>
      <c r="J393" t="s">
        <v>68</v>
      </c>
      <c r="K393">
        <v>44</v>
      </c>
      <c r="L393" s="3">
        <v>8.4027777777777785E-2</v>
      </c>
      <c r="M393" t="s">
        <v>26</v>
      </c>
      <c r="N393" t="s">
        <v>166</v>
      </c>
      <c r="O393">
        <f>IF(Table13[[#This Row],[Goal_assist]]="",1,0)</f>
        <v>0</v>
      </c>
    </row>
    <row r="394" spans="1:15" x14ac:dyDescent="0.35">
      <c r="A394" t="s">
        <v>14</v>
      </c>
      <c r="B394" s="1">
        <v>45637</v>
      </c>
      <c r="C394" t="s">
        <v>172</v>
      </c>
      <c r="D394" t="s">
        <v>173</v>
      </c>
      <c r="E394" s="2">
        <v>40772</v>
      </c>
      <c r="F394" t="s">
        <v>24</v>
      </c>
      <c r="G394" t="s">
        <v>112</v>
      </c>
      <c r="H394" t="s">
        <v>66</v>
      </c>
      <c r="I394" s="3">
        <v>0.12638888888888888</v>
      </c>
      <c r="J394" t="s">
        <v>19</v>
      </c>
      <c r="K394">
        <v>20</v>
      </c>
      <c r="L394" s="3">
        <v>4.2361111111111113E-2</v>
      </c>
      <c r="M394" t="s">
        <v>26</v>
      </c>
      <c r="N394" t="s">
        <v>183</v>
      </c>
      <c r="O394">
        <f>IF(Table13[[#This Row],[Goal_assist]]="",1,0)</f>
        <v>0</v>
      </c>
    </row>
    <row r="395" spans="1:15" x14ac:dyDescent="0.35">
      <c r="A395" t="s">
        <v>64</v>
      </c>
      <c r="B395" s="1">
        <v>45637</v>
      </c>
      <c r="C395" t="s">
        <v>223</v>
      </c>
      <c r="D395" t="s">
        <v>46</v>
      </c>
      <c r="E395" s="2">
        <v>40781</v>
      </c>
      <c r="F395" t="s">
        <v>16</v>
      </c>
      <c r="G395" t="s">
        <v>66</v>
      </c>
      <c r="H395" t="s">
        <v>169</v>
      </c>
      <c r="I395" s="3">
        <v>8.3333333333333329E-2</v>
      </c>
      <c r="J395" t="s">
        <v>68</v>
      </c>
      <c r="K395">
        <v>39</v>
      </c>
      <c r="L395" s="3">
        <v>4.1666666666666664E-2</v>
      </c>
      <c r="M395" t="s">
        <v>31</v>
      </c>
      <c r="O395">
        <f>IF(Table13[[#This Row],[Goal_assist]]="",1,0)</f>
        <v>1</v>
      </c>
    </row>
    <row r="396" spans="1:15" x14ac:dyDescent="0.35">
      <c r="A396" t="s">
        <v>14</v>
      </c>
      <c r="B396" s="1">
        <v>45637</v>
      </c>
      <c r="C396" t="s">
        <v>65</v>
      </c>
      <c r="D396">
        <v>2</v>
      </c>
      <c r="E396" s="2">
        <v>40783</v>
      </c>
      <c r="F396" t="s">
        <v>24</v>
      </c>
      <c r="G396" t="s">
        <v>112</v>
      </c>
      <c r="H396" t="s">
        <v>93</v>
      </c>
      <c r="I396" s="3">
        <v>4.1666666666666666E-3</v>
      </c>
      <c r="J396" t="s">
        <v>19</v>
      </c>
      <c r="K396">
        <v>23</v>
      </c>
      <c r="L396" s="3">
        <v>6.9444444444444447E-4</v>
      </c>
      <c r="M396" t="s">
        <v>31</v>
      </c>
      <c r="N396" t="s">
        <v>204</v>
      </c>
      <c r="O396">
        <f>IF(Table13[[#This Row],[Goal_assist]]="",1,0)</f>
        <v>0</v>
      </c>
    </row>
    <row r="397" spans="1:15" x14ac:dyDescent="0.35">
      <c r="A397" t="s">
        <v>14</v>
      </c>
      <c r="B397" s="1">
        <v>45637</v>
      </c>
      <c r="C397" t="s">
        <v>65</v>
      </c>
      <c r="D397">
        <v>2</v>
      </c>
      <c r="E397" s="2">
        <v>40783</v>
      </c>
      <c r="F397" t="s">
        <v>24</v>
      </c>
      <c r="G397" t="s">
        <v>112</v>
      </c>
      <c r="H397" t="s">
        <v>93</v>
      </c>
      <c r="I397" s="3">
        <v>4.1666666666666666E-3</v>
      </c>
      <c r="J397" t="s">
        <v>19</v>
      </c>
      <c r="K397">
        <v>70</v>
      </c>
      <c r="L397" s="3">
        <v>2.7777777777777779E-3</v>
      </c>
      <c r="M397" t="s">
        <v>26</v>
      </c>
      <c r="N397" t="s">
        <v>207</v>
      </c>
      <c r="O397">
        <f>IF(Table13[[#This Row],[Goal_assist]]="",1,0)</f>
        <v>0</v>
      </c>
    </row>
    <row r="398" spans="1:15" x14ac:dyDescent="0.35">
      <c r="A398" t="s">
        <v>14</v>
      </c>
      <c r="B398" s="1">
        <v>45637</v>
      </c>
      <c r="C398" t="s">
        <v>65</v>
      </c>
      <c r="D398">
        <v>2</v>
      </c>
      <c r="E398" s="2">
        <v>40783</v>
      </c>
      <c r="F398" t="s">
        <v>24</v>
      </c>
      <c r="G398" t="s">
        <v>112</v>
      </c>
      <c r="H398" t="s">
        <v>93</v>
      </c>
      <c r="I398" s="3">
        <v>4.1666666666666666E-3</v>
      </c>
      <c r="J398" t="s">
        <v>19</v>
      </c>
      <c r="K398">
        <v>86</v>
      </c>
      <c r="L398" s="3">
        <v>4.1666666666666666E-3</v>
      </c>
      <c r="M398" t="s">
        <v>26</v>
      </c>
      <c r="N398" t="s">
        <v>198</v>
      </c>
      <c r="O398">
        <f>IF(Table13[[#This Row],[Goal_assist]]="",1,0)</f>
        <v>0</v>
      </c>
    </row>
    <row r="399" spans="1:15" x14ac:dyDescent="0.35">
      <c r="A399" t="s">
        <v>64</v>
      </c>
      <c r="B399" s="1">
        <v>45637</v>
      </c>
      <c r="C399" t="s">
        <v>65</v>
      </c>
      <c r="D399">
        <v>2</v>
      </c>
      <c r="E399" s="2">
        <v>40784</v>
      </c>
      <c r="F399" t="s">
        <v>16</v>
      </c>
      <c r="G399" t="s">
        <v>66</v>
      </c>
      <c r="H399" t="s">
        <v>180</v>
      </c>
      <c r="I399" s="3">
        <v>0.20833333333333334</v>
      </c>
      <c r="J399" t="s">
        <v>68</v>
      </c>
      <c r="K399">
        <v>74</v>
      </c>
      <c r="L399" s="3">
        <v>0.20833333333333334</v>
      </c>
      <c r="M399" t="s">
        <v>31</v>
      </c>
      <c r="N399" t="s">
        <v>213</v>
      </c>
      <c r="O399">
        <f>IF(Table13[[#This Row],[Goal_assist]]="",1,0)</f>
        <v>0</v>
      </c>
    </row>
    <row r="400" spans="1:15" x14ac:dyDescent="0.35">
      <c r="A400" t="s">
        <v>64</v>
      </c>
      <c r="B400" s="1">
        <v>45637</v>
      </c>
      <c r="C400" t="s">
        <v>65</v>
      </c>
      <c r="D400">
        <v>2</v>
      </c>
      <c r="E400" s="2">
        <v>40784</v>
      </c>
      <c r="F400" t="s">
        <v>16</v>
      </c>
      <c r="G400" t="s">
        <v>66</v>
      </c>
      <c r="H400" t="s">
        <v>180</v>
      </c>
      <c r="I400" s="3">
        <v>0.20833333333333334</v>
      </c>
      <c r="J400" t="s">
        <v>68</v>
      </c>
      <c r="K400">
        <v>51</v>
      </c>
      <c r="L400" s="3">
        <v>0.16666666666666666</v>
      </c>
      <c r="M400" t="s">
        <v>26</v>
      </c>
      <c r="N400" t="s">
        <v>99</v>
      </c>
      <c r="O400">
        <f>IF(Table13[[#This Row],[Goal_assist]]="",1,0)</f>
        <v>0</v>
      </c>
    </row>
    <row r="401" spans="1:15" x14ac:dyDescent="0.35">
      <c r="A401" t="s">
        <v>14</v>
      </c>
      <c r="B401" s="1">
        <v>45637</v>
      </c>
      <c r="C401" t="s">
        <v>65</v>
      </c>
      <c r="D401">
        <v>3</v>
      </c>
      <c r="E401" s="2">
        <v>40796</v>
      </c>
      <c r="F401" t="s">
        <v>16</v>
      </c>
      <c r="G401" t="s">
        <v>112</v>
      </c>
      <c r="H401" t="s">
        <v>117</v>
      </c>
      <c r="I401" s="3">
        <v>0.16805555555555557</v>
      </c>
      <c r="J401" t="s">
        <v>19</v>
      </c>
      <c r="K401">
        <v>59</v>
      </c>
      <c r="L401" s="3">
        <v>8.4027777777777785E-2</v>
      </c>
      <c r="M401" t="s">
        <v>83</v>
      </c>
      <c r="O401">
        <f>IF(Table13[[#This Row],[Goal_assist]]="",1,0)</f>
        <v>1</v>
      </c>
    </row>
    <row r="402" spans="1:15" x14ac:dyDescent="0.35">
      <c r="A402" t="s">
        <v>64</v>
      </c>
      <c r="B402" s="1">
        <v>45637</v>
      </c>
      <c r="C402" t="s">
        <v>65</v>
      </c>
      <c r="D402">
        <v>4</v>
      </c>
      <c r="E402" s="2">
        <v>40803</v>
      </c>
      <c r="F402" t="s">
        <v>16</v>
      </c>
      <c r="G402" t="s">
        <v>66</v>
      </c>
      <c r="H402" t="s">
        <v>100</v>
      </c>
      <c r="I402" s="3">
        <v>0.33333333333333331</v>
      </c>
      <c r="J402" t="s">
        <v>68</v>
      </c>
      <c r="K402">
        <v>79</v>
      </c>
      <c r="L402" s="3">
        <v>0.33333333333333331</v>
      </c>
      <c r="M402" t="s">
        <v>31</v>
      </c>
      <c r="N402" t="s">
        <v>224</v>
      </c>
      <c r="O402">
        <f>IF(Table13[[#This Row],[Goal_assist]]="",1,0)</f>
        <v>0</v>
      </c>
    </row>
    <row r="403" spans="1:15" x14ac:dyDescent="0.35">
      <c r="A403" t="s">
        <v>64</v>
      </c>
      <c r="B403" s="1">
        <v>45637</v>
      </c>
      <c r="C403" t="s">
        <v>65</v>
      </c>
      <c r="D403">
        <v>4</v>
      </c>
      <c r="E403" s="2">
        <v>40803</v>
      </c>
      <c r="F403" t="s">
        <v>16</v>
      </c>
      <c r="G403" t="s">
        <v>66</v>
      </c>
      <c r="H403" t="s">
        <v>100</v>
      </c>
      <c r="I403" s="3">
        <v>0.33333333333333331</v>
      </c>
      <c r="J403" t="s">
        <v>68</v>
      </c>
      <c r="K403">
        <v>5</v>
      </c>
      <c r="L403" s="3">
        <v>4.1666666666666664E-2</v>
      </c>
      <c r="M403" t="s">
        <v>31</v>
      </c>
      <c r="N403" t="s">
        <v>155</v>
      </c>
      <c r="O403">
        <f>IF(Table13[[#This Row],[Goal_assist]]="",1,0)</f>
        <v>0</v>
      </c>
    </row>
    <row r="404" spans="1:15" x14ac:dyDescent="0.35">
      <c r="A404" t="s">
        <v>64</v>
      </c>
      <c r="B404" s="1">
        <v>45637</v>
      </c>
      <c r="C404" t="s">
        <v>65</v>
      </c>
      <c r="D404">
        <v>4</v>
      </c>
      <c r="E404" s="2">
        <v>40803</v>
      </c>
      <c r="F404" t="s">
        <v>16</v>
      </c>
      <c r="G404" t="s">
        <v>66</v>
      </c>
      <c r="H404" t="s">
        <v>100</v>
      </c>
      <c r="I404" s="3">
        <v>0.33333333333333331</v>
      </c>
      <c r="J404" t="s">
        <v>68</v>
      </c>
      <c r="K404">
        <v>41</v>
      </c>
      <c r="L404" s="3">
        <v>0.20833333333333334</v>
      </c>
      <c r="M404" t="s">
        <v>31</v>
      </c>
      <c r="N404" t="s">
        <v>224</v>
      </c>
      <c r="O404">
        <f>IF(Table13[[#This Row],[Goal_assist]]="",1,0)</f>
        <v>0</v>
      </c>
    </row>
    <row r="405" spans="1:15" x14ac:dyDescent="0.35">
      <c r="A405" t="s">
        <v>64</v>
      </c>
      <c r="B405" s="1">
        <v>45637</v>
      </c>
      <c r="C405" t="s">
        <v>65</v>
      </c>
      <c r="D405">
        <v>6</v>
      </c>
      <c r="E405" s="2">
        <v>40810</v>
      </c>
      <c r="F405" t="s">
        <v>16</v>
      </c>
      <c r="G405" t="s">
        <v>66</v>
      </c>
      <c r="H405" t="s">
        <v>119</v>
      </c>
      <c r="I405" s="3">
        <v>0.20833333333333334</v>
      </c>
      <c r="J405" t="s">
        <v>68</v>
      </c>
      <c r="K405">
        <v>26</v>
      </c>
      <c r="L405" s="3">
        <v>0.125</v>
      </c>
      <c r="M405" t="s">
        <v>31</v>
      </c>
      <c r="N405" t="s">
        <v>186</v>
      </c>
      <c r="O405">
        <f>IF(Table13[[#This Row],[Goal_assist]]="",1,0)</f>
        <v>0</v>
      </c>
    </row>
    <row r="406" spans="1:15" x14ac:dyDescent="0.35">
      <c r="A406" t="s">
        <v>14</v>
      </c>
      <c r="B406" s="1">
        <v>45637</v>
      </c>
      <c r="C406" t="s">
        <v>65</v>
      </c>
      <c r="D406">
        <v>6</v>
      </c>
      <c r="E406" s="2">
        <v>40810</v>
      </c>
      <c r="F406" t="s">
        <v>16</v>
      </c>
      <c r="G406" t="s">
        <v>112</v>
      </c>
      <c r="H406" t="s">
        <v>225</v>
      </c>
      <c r="I406" s="3">
        <v>0.25138888888888888</v>
      </c>
      <c r="J406" t="s">
        <v>19</v>
      </c>
      <c r="K406">
        <v>51</v>
      </c>
      <c r="L406" s="3">
        <v>0.12569444444444444</v>
      </c>
      <c r="M406" t="s">
        <v>83</v>
      </c>
      <c r="O406">
        <f>IF(Table13[[#This Row],[Goal_assist]]="",1,0)</f>
        <v>1</v>
      </c>
    </row>
    <row r="407" spans="1:15" x14ac:dyDescent="0.35">
      <c r="A407" t="s">
        <v>64</v>
      </c>
      <c r="B407" s="1">
        <v>45637</v>
      </c>
      <c r="C407" t="s">
        <v>65</v>
      </c>
      <c r="D407">
        <v>6</v>
      </c>
      <c r="E407" s="2">
        <v>40810</v>
      </c>
      <c r="F407" t="s">
        <v>16</v>
      </c>
      <c r="G407" t="s">
        <v>66</v>
      </c>
      <c r="H407" t="s">
        <v>119</v>
      </c>
      <c r="I407" s="3">
        <v>0.20833333333333334</v>
      </c>
      <c r="J407" t="s">
        <v>68</v>
      </c>
      <c r="K407">
        <v>78</v>
      </c>
      <c r="L407" s="3">
        <v>0.16666666666666666</v>
      </c>
      <c r="M407" t="s">
        <v>31</v>
      </c>
      <c r="N407" t="s">
        <v>155</v>
      </c>
      <c r="O407">
        <f>IF(Table13[[#This Row],[Goal_assist]]="",1,0)</f>
        <v>0</v>
      </c>
    </row>
    <row r="408" spans="1:15" x14ac:dyDescent="0.35">
      <c r="A408" t="s">
        <v>64</v>
      </c>
      <c r="B408" s="1">
        <v>45637</v>
      </c>
      <c r="C408" t="s">
        <v>65</v>
      </c>
      <c r="D408">
        <v>6</v>
      </c>
      <c r="E408" s="2">
        <v>40810</v>
      </c>
      <c r="F408" t="s">
        <v>16</v>
      </c>
      <c r="G408" t="s">
        <v>66</v>
      </c>
      <c r="H408" t="s">
        <v>119</v>
      </c>
      <c r="I408" s="3">
        <v>0.20833333333333334</v>
      </c>
      <c r="J408" t="s">
        <v>68</v>
      </c>
      <c r="K408" t="s">
        <v>69</v>
      </c>
      <c r="L408" s="3">
        <v>0.20833333333333334</v>
      </c>
      <c r="M408" t="s">
        <v>31</v>
      </c>
      <c r="N408" t="s">
        <v>208</v>
      </c>
      <c r="O408">
        <f>IF(Table13[[#This Row],[Goal_assist]]="",1,0)</f>
        <v>0</v>
      </c>
    </row>
    <row r="409" spans="1:15" x14ac:dyDescent="0.35">
      <c r="A409" t="s">
        <v>14</v>
      </c>
      <c r="B409" s="1">
        <v>45637</v>
      </c>
      <c r="C409" t="s">
        <v>65</v>
      </c>
      <c r="D409">
        <v>6</v>
      </c>
      <c r="E409" s="2">
        <v>40810</v>
      </c>
      <c r="F409" t="s">
        <v>16</v>
      </c>
      <c r="G409" t="s">
        <v>112</v>
      </c>
      <c r="H409" t="s">
        <v>225</v>
      </c>
      <c r="I409" s="3">
        <v>0.25138888888888888</v>
      </c>
      <c r="J409" t="s">
        <v>19</v>
      </c>
      <c r="K409">
        <v>39</v>
      </c>
      <c r="L409" s="3">
        <v>4.2361111111111113E-2</v>
      </c>
      <c r="M409" t="s">
        <v>31</v>
      </c>
      <c r="N409" t="s">
        <v>198</v>
      </c>
      <c r="O409">
        <f>IF(Table13[[#This Row],[Goal_assist]]="",1,0)</f>
        <v>0</v>
      </c>
    </row>
    <row r="410" spans="1:15" x14ac:dyDescent="0.35">
      <c r="A410" t="s">
        <v>14</v>
      </c>
      <c r="B410" s="1">
        <v>45637</v>
      </c>
      <c r="C410" t="s">
        <v>65</v>
      </c>
      <c r="D410">
        <v>6</v>
      </c>
      <c r="E410" s="2">
        <v>40810</v>
      </c>
      <c r="F410" t="s">
        <v>16</v>
      </c>
      <c r="G410" t="s">
        <v>112</v>
      </c>
      <c r="H410" t="s">
        <v>225</v>
      </c>
      <c r="I410" s="3">
        <v>0.25138888888888888</v>
      </c>
      <c r="J410" t="s">
        <v>19</v>
      </c>
      <c r="K410">
        <v>84</v>
      </c>
      <c r="L410" s="3">
        <v>0.25138888888888888</v>
      </c>
      <c r="M410" t="s">
        <v>83</v>
      </c>
      <c r="O410">
        <f>IF(Table13[[#This Row],[Goal_assist]]="",1,0)</f>
        <v>1</v>
      </c>
    </row>
    <row r="411" spans="1:15" x14ac:dyDescent="0.35">
      <c r="A411" t="s">
        <v>14</v>
      </c>
      <c r="B411" s="1">
        <v>45637</v>
      </c>
      <c r="C411" t="s">
        <v>75</v>
      </c>
      <c r="D411" t="s">
        <v>76</v>
      </c>
      <c r="E411" s="2">
        <v>40813</v>
      </c>
      <c r="F411" t="s">
        <v>16</v>
      </c>
      <c r="G411" t="s">
        <v>112</v>
      </c>
      <c r="H411" t="s">
        <v>214</v>
      </c>
      <c r="I411" s="3">
        <v>0.125</v>
      </c>
      <c r="J411" t="s">
        <v>19</v>
      </c>
      <c r="K411">
        <v>25</v>
      </c>
      <c r="L411" s="3">
        <v>4.1666666666666664E-2</v>
      </c>
      <c r="M411" t="s">
        <v>26</v>
      </c>
      <c r="N411" t="s">
        <v>183</v>
      </c>
      <c r="O411">
        <f>IF(Table13[[#This Row],[Goal_assist]]="",1,0)</f>
        <v>0</v>
      </c>
    </row>
    <row r="412" spans="1:15" x14ac:dyDescent="0.35">
      <c r="A412" t="s">
        <v>64</v>
      </c>
      <c r="B412" s="1">
        <v>45637</v>
      </c>
      <c r="C412" t="s">
        <v>75</v>
      </c>
      <c r="D412" t="s">
        <v>76</v>
      </c>
      <c r="E412" s="2">
        <v>40814</v>
      </c>
      <c r="F412" t="s">
        <v>24</v>
      </c>
      <c r="G412" t="s">
        <v>66</v>
      </c>
      <c r="H412" t="s">
        <v>226</v>
      </c>
      <c r="I412" s="3">
        <v>3.472222222222222E-3</v>
      </c>
      <c r="J412" t="s">
        <v>68</v>
      </c>
      <c r="K412">
        <v>56</v>
      </c>
      <c r="L412" s="3">
        <v>2.7777777777777779E-3</v>
      </c>
      <c r="M412" t="s">
        <v>31</v>
      </c>
      <c r="N412" t="s">
        <v>155</v>
      </c>
      <c r="O412">
        <f>IF(Table13[[#This Row],[Goal_assist]]="",1,0)</f>
        <v>0</v>
      </c>
    </row>
    <row r="413" spans="1:15" x14ac:dyDescent="0.35">
      <c r="A413" t="s">
        <v>64</v>
      </c>
      <c r="B413" s="1">
        <v>45637</v>
      </c>
      <c r="C413" t="s">
        <v>75</v>
      </c>
      <c r="D413" t="s">
        <v>76</v>
      </c>
      <c r="E413" s="2">
        <v>40814</v>
      </c>
      <c r="F413" t="s">
        <v>24</v>
      </c>
      <c r="G413" t="s">
        <v>66</v>
      </c>
      <c r="H413" t="s">
        <v>226</v>
      </c>
      <c r="I413" s="3">
        <v>3.472222222222222E-3</v>
      </c>
      <c r="J413" t="s">
        <v>68</v>
      </c>
      <c r="K413">
        <v>38</v>
      </c>
      <c r="L413" s="3">
        <v>2.0833333333333333E-3</v>
      </c>
      <c r="M413" t="s">
        <v>22</v>
      </c>
      <c r="O413">
        <f>IF(Table13[[#This Row],[Goal_assist]]="",1,0)</f>
        <v>1</v>
      </c>
    </row>
    <row r="414" spans="1:15" x14ac:dyDescent="0.35">
      <c r="A414" t="s">
        <v>64</v>
      </c>
      <c r="B414" s="1">
        <v>45637</v>
      </c>
      <c r="C414" t="s">
        <v>65</v>
      </c>
      <c r="D414">
        <v>8</v>
      </c>
      <c r="E414" s="2">
        <v>40831</v>
      </c>
      <c r="F414" t="s">
        <v>16</v>
      </c>
      <c r="G414" t="s">
        <v>66</v>
      </c>
      <c r="H414" t="s">
        <v>78</v>
      </c>
      <c r="I414" s="3">
        <v>0.125</v>
      </c>
      <c r="J414" t="s">
        <v>68</v>
      </c>
      <c r="K414">
        <v>69</v>
      </c>
      <c r="L414" s="3">
        <v>0.125</v>
      </c>
      <c r="M414" t="s">
        <v>26</v>
      </c>
      <c r="O414">
        <f>IF(Table13[[#This Row],[Goal_assist]]="",1,0)</f>
        <v>1</v>
      </c>
    </row>
    <row r="415" spans="1:15" x14ac:dyDescent="0.35">
      <c r="A415" t="s">
        <v>64</v>
      </c>
      <c r="B415" s="1">
        <v>45637</v>
      </c>
      <c r="C415" t="s">
        <v>65</v>
      </c>
      <c r="D415">
        <v>8</v>
      </c>
      <c r="E415" s="2">
        <v>40831</v>
      </c>
      <c r="F415" t="s">
        <v>16</v>
      </c>
      <c r="G415" t="s">
        <v>66</v>
      </c>
      <c r="H415" t="s">
        <v>78</v>
      </c>
      <c r="I415" s="3">
        <v>0.125</v>
      </c>
      <c r="J415" t="s">
        <v>68</v>
      </c>
      <c r="K415">
        <v>11</v>
      </c>
      <c r="L415" s="3">
        <v>4.1666666666666664E-2</v>
      </c>
      <c r="M415" t="s">
        <v>26</v>
      </c>
      <c r="N415" t="s">
        <v>99</v>
      </c>
      <c r="O415">
        <f>IF(Table13[[#This Row],[Goal_assist]]="",1,0)</f>
        <v>0</v>
      </c>
    </row>
    <row r="416" spans="1:15" x14ac:dyDescent="0.35">
      <c r="A416" t="s">
        <v>14</v>
      </c>
      <c r="B416" s="1">
        <v>45637</v>
      </c>
      <c r="C416" t="s">
        <v>65</v>
      </c>
      <c r="D416">
        <v>9</v>
      </c>
      <c r="E416" s="2">
        <v>40838</v>
      </c>
      <c r="F416" t="s">
        <v>24</v>
      </c>
      <c r="G416" t="s">
        <v>112</v>
      </c>
      <c r="H416" t="s">
        <v>157</v>
      </c>
      <c r="I416" s="3">
        <v>2.7777777777777779E-3</v>
      </c>
      <c r="J416" t="s">
        <v>19</v>
      </c>
      <c r="K416">
        <v>28</v>
      </c>
      <c r="L416" s="3">
        <v>2.0833333333333333E-3</v>
      </c>
      <c r="M416" t="s">
        <v>26</v>
      </c>
      <c r="N416" t="s">
        <v>205</v>
      </c>
      <c r="O416">
        <f>IF(Table13[[#This Row],[Goal_assist]]="",1,0)</f>
        <v>0</v>
      </c>
    </row>
    <row r="417" spans="1:15" x14ac:dyDescent="0.35">
      <c r="A417" t="s">
        <v>14</v>
      </c>
      <c r="B417" s="1">
        <v>45637</v>
      </c>
      <c r="C417" t="s">
        <v>65</v>
      </c>
      <c r="D417">
        <v>9</v>
      </c>
      <c r="E417" s="2">
        <v>40838</v>
      </c>
      <c r="F417" t="s">
        <v>24</v>
      </c>
      <c r="G417" t="s">
        <v>112</v>
      </c>
      <c r="H417" t="s">
        <v>157</v>
      </c>
      <c r="I417" s="3">
        <v>2.7777777777777779E-3</v>
      </c>
      <c r="J417" t="s">
        <v>19</v>
      </c>
      <c r="K417">
        <v>24</v>
      </c>
      <c r="L417" s="3">
        <v>1.3888888888888889E-3</v>
      </c>
      <c r="M417" t="s">
        <v>31</v>
      </c>
      <c r="N417" t="s">
        <v>207</v>
      </c>
      <c r="O417">
        <f>IF(Table13[[#This Row],[Goal_assist]]="",1,0)</f>
        <v>0</v>
      </c>
    </row>
    <row r="418" spans="1:15" x14ac:dyDescent="0.35">
      <c r="A418" t="s">
        <v>14</v>
      </c>
      <c r="B418" s="1">
        <v>45637</v>
      </c>
      <c r="C418" t="s">
        <v>65</v>
      </c>
      <c r="D418">
        <v>9</v>
      </c>
      <c r="E418" s="2">
        <v>40838</v>
      </c>
      <c r="F418" t="s">
        <v>24</v>
      </c>
      <c r="G418" t="s">
        <v>112</v>
      </c>
      <c r="H418" t="s">
        <v>157</v>
      </c>
      <c r="I418" s="3">
        <v>2.7777777777777779E-3</v>
      </c>
      <c r="J418" t="s">
        <v>19</v>
      </c>
      <c r="K418">
        <v>38</v>
      </c>
      <c r="L418" s="3">
        <v>2.7777777777777779E-3</v>
      </c>
      <c r="M418" t="s">
        <v>26</v>
      </c>
      <c r="N418" t="s">
        <v>202</v>
      </c>
      <c r="O418">
        <f>IF(Table13[[#This Row],[Goal_assist]]="",1,0)</f>
        <v>0</v>
      </c>
    </row>
    <row r="419" spans="1:15" x14ac:dyDescent="0.35">
      <c r="A419" t="s">
        <v>64</v>
      </c>
      <c r="B419" s="1">
        <v>45637</v>
      </c>
      <c r="C419" t="s">
        <v>65</v>
      </c>
      <c r="D419">
        <v>11</v>
      </c>
      <c r="E419" s="2">
        <v>40845</v>
      </c>
      <c r="F419" t="s">
        <v>16</v>
      </c>
      <c r="G419" t="s">
        <v>66</v>
      </c>
      <c r="H419" t="s">
        <v>89</v>
      </c>
      <c r="I419" s="3">
        <v>0.20833333333333334</v>
      </c>
      <c r="J419" t="s">
        <v>68</v>
      </c>
      <c r="K419">
        <v>30</v>
      </c>
      <c r="L419" s="3">
        <v>0.125</v>
      </c>
      <c r="M419" t="s">
        <v>31</v>
      </c>
      <c r="N419" t="s">
        <v>155</v>
      </c>
      <c r="O419">
        <f>IF(Table13[[#This Row],[Goal_assist]]="",1,0)</f>
        <v>0</v>
      </c>
    </row>
    <row r="420" spans="1:15" x14ac:dyDescent="0.35">
      <c r="A420" t="s">
        <v>64</v>
      </c>
      <c r="B420" s="1">
        <v>45637</v>
      </c>
      <c r="C420" t="s">
        <v>65</v>
      </c>
      <c r="D420">
        <v>11</v>
      </c>
      <c r="E420" s="2">
        <v>40845</v>
      </c>
      <c r="F420" t="s">
        <v>16</v>
      </c>
      <c r="G420" t="s">
        <v>66</v>
      </c>
      <c r="H420" t="s">
        <v>89</v>
      </c>
      <c r="I420" s="3">
        <v>0.20833333333333334</v>
      </c>
      <c r="J420" t="s">
        <v>68</v>
      </c>
      <c r="K420">
        <v>13</v>
      </c>
      <c r="L420" s="3">
        <v>4.1666666666666664E-2</v>
      </c>
      <c r="M420" t="s">
        <v>83</v>
      </c>
      <c r="O420">
        <f>IF(Table13[[#This Row],[Goal_assist]]="",1,0)</f>
        <v>1</v>
      </c>
    </row>
    <row r="421" spans="1:15" x14ac:dyDescent="0.35">
      <c r="A421" t="s">
        <v>64</v>
      </c>
      <c r="B421" s="1">
        <v>45637</v>
      </c>
      <c r="C421" t="s">
        <v>65</v>
      </c>
      <c r="D421">
        <v>11</v>
      </c>
      <c r="E421" s="2">
        <v>40845</v>
      </c>
      <c r="F421" t="s">
        <v>16</v>
      </c>
      <c r="G421" t="s">
        <v>66</v>
      </c>
      <c r="H421" t="s">
        <v>89</v>
      </c>
      <c r="I421" s="3">
        <v>0.20833333333333334</v>
      </c>
      <c r="J421" t="s">
        <v>68</v>
      </c>
      <c r="K421">
        <v>21</v>
      </c>
      <c r="L421" s="3">
        <v>8.3333333333333329E-2</v>
      </c>
      <c r="M421" t="s">
        <v>26</v>
      </c>
      <c r="N421" t="s">
        <v>215</v>
      </c>
      <c r="O421">
        <f>IF(Table13[[#This Row],[Goal_assist]]="",1,0)</f>
        <v>0</v>
      </c>
    </row>
    <row r="422" spans="1:15" x14ac:dyDescent="0.35">
      <c r="A422" t="s">
        <v>64</v>
      </c>
      <c r="B422" s="1">
        <v>45637</v>
      </c>
      <c r="C422" t="s">
        <v>75</v>
      </c>
      <c r="D422" t="s">
        <v>76</v>
      </c>
      <c r="E422" s="2">
        <v>40848</v>
      </c>
      <c r="F422" t="s">
        <v>24</v>
      </c>
      <c r="G422" t="s">
        <v>66</v>
      </c>
      <c r="H422" t="s">
        <v>227</v>
      </c>
      <c r="I422" s="3">
        <v>2.7777777777777779E-3</v>
      </c>
      <c r="J422" t="s">
        <v>68</v>
      </c>
      <c r="K422" t="s">
        <v>141</v>
      </c>
      <c r="L422" s="3">
        <v>2.7777777777777779E-3</v>
      </c>
      <c r="M422" t="s">
        <v>31</v>
      </c>
      <c r="N422" t="s">
        <v>166</v>
      </c>
      <c r="O422">
        <f>IF(Table13[[#This Row],[Goal_assist]]="",1,0)</f>
        <v>0</v>
      </c>
    </row>
    <row r="423" spans="1:15" x14ac:dyDescent="0.35">
      <c r="A423" t="s">
        <v>64</v>
      </c>
      <c r="B423" s="1">
        <v>45637</v>
      </c>
      <c r="C423" t="s">
        <v>75</v>
      </c>
      <c r="D423" t="s">
        <v>76</v>
      </c>
      <c r="E423" s="2">
        <v>40848</v>
      </c>
      <c r="F423" t="s">
        <v>24</v>
      </c>
      <c r="G423" t="s">
        <v>66</v>
      </c>
      <c r="H423" t="s">
        <v>227</v>
      </c>
      <c r="I423" s="3">
        <v>2.7777777777777779E-3</v>
      </c>
      <c r="J423" t="s">
        <v>68</v>
      </c>
      <c r="K423" t="s">
        <v>228</v>
      </c>
      <c r="L423" s="3">
        <v>1.3888888888888889E-3</v>
      </c>
      <c r="M423" t="s">
        <v>31</v>
      </c>
      <c r="N423" t="s">
        <v>215</v>
      </c>
      <c r="O423">
        <f>IF(Table13[[#This Row],[Goal_assist]]="",1,0)</f>
        <v>0</v>
      </c>
    </row>
    <row r="424" spans="1:15" x14ac:dyDescent="0.35">
      <c r="A424" t="s">
        <v>64</v>
      </c>
      <c r="B424" s="1">
        <v>45637</v>
      </c>
      <c r="C424" t="s">
        <v>75</v>
      </c>
      <c r="D424" t="s">
        <v>76</v>
      </c>
      <c r="E424" s="2">
        <v>40848</v>
      </c>
      <c r="F424" t="s">
        <v>24</v>
      </c>
      <c r="G424" t="s">
        <v>66</v>
      </c>
      <c r="H424" t="s">
        <v>227</v>
      </c>
      <c r="I424" s="3">
        <v>2.7777777777777779E-3</v>
      </c>
      <c r="J424" t="s">
        <v>68</v>
      </c>
      <c r="K424">
        <v>24</v>
      </c>
      <c r="L424" s="3">
        <v>6.9444444444444447E-4</v>
      </c>
      <c r="M424" t="s">
        <v>83</v>
      </c>
      <c r="O424">
        <f>IF(Table13[[#This Row],[Goal_assist]]="",1,0)</f>
        <v>1</v>
      </c>
    </row>
    <row r="425" spans="1:15" x14ac:dyDescent="0.35">
      <c r="A425" t="s">
        <v>14</v>
      </c>
      <c r="B425" s="1">
        <v>45637</v>
      </c>
      <c r="C425" t="s">
        <v>75</v>
      </c>
      <c r="D425" t="s">
        <v>76</v>
      </c>
      <c r="E425" s="2">
        <v>40849</v>
      </c>
      <c r="F425" t="s">
        <v>24</v>
      </c>
      <c r="G425" t="s">
        <v>112</v>
      </c>
      <c r="H425" t="s">
        <v>125</v>
      </c>
      <c r="I425" s="3">
        <v>1.3888888888888889E-3</v>
      </c>
      <c r="J425" t="s">
        <v>19</v>
      </c>
      <c r="K425">
        <v>69</v>
      </c>
      <c r="L425" s="3">
        <v>1.3888888888888889E-3</v>
      </c>
      <c r="M425" t="s">
        <v>83</v>
      </c>
      <c r="O425">
        <f>IF(Table13[[#This Row],[Goal_assist]]="",1,0)</f>
        <v>1</v>
      </c>
    </row>
    <row r="426" spans="1:15" x14ac:dyDescent="0.35">
      <c r="A426" t="s">
        <v>14</v>
      </c>
      <c r="B426" s="1">
        <v>45637</v>
      </c>
      <c r="C426" t="s">
        <v>75</v>
      </c>
      <c r="D426" t="s">
        <v>76</v>
      </c>
      <c r="E426" s="2">
        <v>40849</v>
      </c>
      <c r="F426" t="s">
        <v>24</v>
      </c>
      <c r="G426" t="s">
        <v>112</v>
      </c>
      <c r="H426" t="s">
        <v>125</v>
      </c>
      <c r="I426" s="3">
        <v>1.3888888888888889E-3</v>
      </c>
      <c r="J426" t="s">
        <v>19</v>
      </c>
      <c r="K426">
        <v>25</v>
      </c>
      <c r="L426" s="3">
        <v>6.9444444444444447E-4</v>
      </c>
      <c r="M426" t="s">
        <v>39</v>
      </c>
      <c r="O426">
        <f>IF(Table13[[#This Row],[Goal_assist]]="",1,0)</f>
        <v>1</v>
      </c>
    </row>
    <row r="427" spans="1:15" x14ac:dyDescent="0.35">
      <c r="A427" t="s">
        <v>64</v>
      </c>
      <c r="B427" s="1">
        <v>45637</v>
      </c>
      <c r="C427" t="s">
        <v>65</v>
      </c>
      <c r="D427">
        <v>12</v>
      </c>
      <c r="E427" s="2">
        <v>40853</v>
      </c>
      <c r="F427" t="s">
        <v>24</v>
      </c>
      <c r="G427" t="s">
        <v>66</v>
      </c>
      <c r="H427" t="s">
        <v>86</v>
      </c>
      <c r="I427" s="3">
        <v>8.4722222222222227E-2</v>
      </c>
      <c r="J427" t="s">
        <v>68</v>
      </c>
      <c r="K427">
        <v>90</v>
      </c>
      <c r="L427" s="3">
        <v>8.4722222222222227E-2</v>
      </c>
      <c r="M427" t="s">
        <v>31</v>
      </c>
      <c r="O427">
        <f>IF(Table13[[#This Row],[Goal_assist]]="",1,0)</f>
        <v>1</v>
      </c>
    </row>
    <row r="428" spans="1:15" x14ac:dyDescent="0.35">
      <c r="A428" t="s">
        <v>14</v>
      </c>
      <c r="B428" s="1">
        <v>45637</v>
      </c>
      <c r="C428" t="s">
        <v>65</v>
      </c>
      <c r="D428">
        <v>12</v>
      </c>
      <c r="E428" s="2">
        <v>40853</v>
      </c>
      <c r="F428" t="s">
        <v>16</v>
      </c>
      <c r="G428" t="s">
        <v>112</v>
      </c>
      <c r="H428" t="s">
        <v>100</v>
      </c>
      <c r="I428" s="3">
        <v>0.29236111111111113</v>
      </c>
      <c r="J428" t="s">
        <v>19</v>
      </c>
      <c r="K428">
        <v>23</v>
      </c>
      <c r="L428" s="3">
        <v>4.1666666666666664E-2</v>
      </c>
      <c r="M428" t="s">
        <v>22</v>
      </c>
      <c r="N428" t="s">
        <v>207</v>
      </c>
      <c r="O428">
        <f>IF(Table13[[#This Row],[Goal_assist]]="",1,0)</f>
        <v>0</v>
      </c>
    </row>
    <row r="429" spans="1:15" x14ac:dyDescent="0.35">
      <c r="A429" t="s">
        <v>14</v>
      </c>
      <c r="B429" s="1">
        <v>45637</v>
      </c>
      <c r="C429" t="s">
        <v>65</v>
      </c>
      <c r="D429">
        <v>12</v>
      </c>
      <c r="E429" s="2">
        <v>40853</v>
      </c>
      <c r="F429" t="s">
        <v>16</v>
      </c>
      <c r="G429" t="s">
        <v>112</v>
      </c>
      <c r="H429" t="s">
        <v>100</v>
      </c>
      <c r="I429" s="3">
        <v>0.29236111111111113</v>
      </c>
      <c r="J429" t="s">
        <v>19</v>
      </c>
      <c r="K429">
        <v>55</v>
      </c>
      <c r="L429" s="3">
        <v>0.1673611111111111</v>
      </c>
      <c r="M429" t="s">
        <v>83</v>
      </c>
      <c r="O429">
        <f>IF(Table13[[#This Row],[Goal_assist]]="",1,0)</f>
        <v>1</v>
      </c>
    </row>
    <row r="430" spans="1:15" x14ac:dyDescent="0.35">
      <c r="A430" t="s">
        <v>14</v>
      </c>
      <c r="B430" s="1">
        <v>45637</v>
      </c>
      <c r="C430" t="s">
        <v>65</v>
      </c>
      <c r="D430">
        <v>12</v>
      </c>
      <c r="E430" s="2">
        <v>40853</v>
      </c>
      <c r="F430" t="s">
        <v>16</v>
      </c>
      <c r="G430" t="s">
        <v>112</v>
      </c>
      <c r="H430" t="s">
        <v>100</v>
      </c>
      <c r="I430" s="3">
        <v>0.29236111111111113</v>
      </c>
      <c r="J430" t="s">
        <v>19</v>
      </c>
      <c r="K430">
        <v>58</v>
      </c>
      <c r="L430" s="3">
        <v>0.20902777777777778</v>
      </c>
      <c r="M430" t="s">
        <v>22</v>
      </c>
      <c r="N430" t="s">
        <v>229</v>
      </c>
      <c r="O430">
        <f>IF(Table13[[#This Row],[Goal_assist]]="",1,0)</f>
        <v>0</v>
      </c>
    </row>
    <row r="431" spans="1:15" x14ac:dyDescent="0.35">
      <c r="A431" t="s">
        <v>14</v>
      </c>
      <c r="B431" s="1">
        <v>45637</v>
      </c>
      <c r="C431" t="s">
        <v>65</v>
      </c>
      <c r="D431">
        <v>13</v>
      </c>
      <c r="E431" s="2">
        <v>40866</v>
      </c>
      <c r="F431" t="s">
        <v>24</v>
      </c>
      <c r="G431" t="s">
        <v>112</v>
      </c>
      <c r="H431" t="s">
        <v>148</v>
      </c>
      <c r="I431" s="3">
        <v>8.5416666666666669E-2</v>
      </c>
      <c r="J431" t="s">
        <v>19</v>
      </c>
      <c r="K431">
        <v>79</v>
      </c>
      <c r="L431" s="3">
        <v>4.3749999999999997E-2</v>
      </c>
      <c r="M431" t="s">
        <v>26</v>
      </c>
      <c r="N431" t="s">
        <v>182</v>
      </c>
      <c r="O431">
        <f>IF(Table13[[#This Row],[Goal_assist]]="",1,0)</f>
        <v>0</v>
      </c>
    </row>
    <row r="432" spans="1:15" x14ac:dyDescent="0.35">
      <c r="A432" t="s">
        <v>64</v>
      </c>
      <c r="B432" s="1">
        <v>45637</v>
      </c>
      <c r="C432" t="s">
        <v>65</v>
      </c>
      <c r="D432">
        <v>13</v>
      </c>
      <c r="E432" s="2">
        <v>40866</v>
      </c>
      <c r="F432" t="s">
        <v>16</v>
      </c>
      <c r="G432" t="s">
        <v>66</v>
      </c>
      <c r="H432" t="s">
        <v>93</v>
      </c>
      <c r="I432" s="3">
        <v>0.16666666666666666</v>
      </c>
      <c r="J432" t="s">
        <v>68</v>
      </c>
      <c r="K432">
        <v>43</v>
      </c>
      <c r="L432" s="3">
        <v>8.3333333333333329E-2</v>
      </c>
      <c r="M432" t="s">
        <v>26</v>
      </c>
      <c r="N432" t="s">
        <v>224</v>
      </c>
      <c r="O432">
        <f>IF(Table13[[#This Row],[Goal_assist]]="",1,0)</f>
        <v>0</v>
      </c>
    </row>
    <row r="433" spans="1:15" x14ac:dyDescent="0.35">
      <c r="A433" t="s">
        <v>64</v>
      </c>
      <c r="B433" s="1">
        <v>45637</v>
      </c>
      <c r="C433" t="s">
        <v>75</v>
      </c>
      <c r="D433" t="s">
        <v>76</v>
      </c>
      <c r="E433" s="2">
        <v>40870</v>
      </c>
      <c r="F433" t="s">
        <v>24</v>
      </c>
      <c r="G433" t="s">
        <v>66</v>
      </c>
      <c r="H433" t="s">
        <v>118</v>
      </c>
      <c r="I433" s="3">
        <v>8.5416666666666669E-2</v>
      </c>
      <c r="J433" t="s">
        <v>230</v>
      </c>
      <c r="K433">
        <v>31</v>
      </c>
      <c r="L433" s="3">
        <v>4.3055555555555555E-2</v>
      </c>
      <c r="M433" t="s">
        <v>83</v>
      </c>
      <c r="O433">
        <f>IF(Table13[[#This Row],[Goal_assist]]="",1,0)</f>
        <v>1</v>
      </c>
    </row>
    <row r="434" spans="1:15" x14ac:dyDescent="0.35">
      <c r="A434" t="s">
        <v>14</v>
      </c>
      <c r="B434" s="1">
        <v>45637</v>
      </c>
      <c r="C434" t="s">
        <v>65</v>
      </c>
      <c r="D434">
        <v>14</v>
      </c>
      <c r="E434" s="2">
        <v>40873</v>
      </c>
      <c r="F434" t="s">
        <v>16</v>
      </c>
      <c r="G434" t="s">
        <v>112</v>
      </c>
      <c r="H434" t="s">
        <v>119</v>
      </c>
      <c r="I434" s="3">
        <v>0.1673611111111111</v>
      </c>
      <c r="J434" t="s">
        <v>19</v>
      </c>
      <c r="K434">
        <v>82</v>
      </c>
      <c r="L434" s="3">
        <v>0.1673611111111111</v>
      </c>
      <c r="M434" t="s">
        <v>83</v>
      </c>
      <c r="O434">
        <f>IF(Table13[[#This Row],[Goal_assist]]="",1,0)</f>
        <v>1</v>
      </c>
    </row>
    <row r="435" spans="1:15" x14ac:dyDescent="0.35">
      <c r="A435" t="s">
        <v>14</v>
      </c>
      <c r="B435" s="1">
        <v>45637</v>
      </c>
      <c r="C435" t="s">
        <v>65</v>
      </c>
      <c r="D435">
        <v>14</v>
      </c>
      <c r="E435" s="2">
        <v>40873</v>
      </c>
      <c r="F435" t="s">
        <v>16</v>
      </c>
      <c r="G435" t="s">
        <v>112</v>
      </c>
      <c r="H435" t="s">
        <v>119</v>
      </c>
      <c r="I435" s="3">
        <v>0.1673611111111111</v>
      </c>
      <c r="J435" t="s">
        <v>19</v>
      </c>
      <c r="K435">
        <v>24</v>
      </c>
      <c r="L435" s="3">
        <v>4.2361111111111113E-2</v>
      </c>
      <c r="M435" t="s">
        <v>83</v>
      </c>
      <c r="O435">
        <f>IF(Table13[[#This Row],[Goal_assist]]="",1,0)</f>
        <v>1</v>
      </c>
    </row>
    <row r="436" spans="1:15" x14ac:dyDescent="0.35">
      <c r="A436" t="s">
        <v>64</v>
      </c>
      <c r="B436" s="1">
        <v>45637</v>
      </c>
      <c r="C436" t="s">
        <v>65</v>
      </c>
      <c r="D436">
        <v>17</v>
      </c>
      <c r="E436" s="2">
        <v>40876</v>
      </c>
      <c r="F436" t="s">
        <v>16</v>
      </c>
      <c r="G436" t="s">
        <v>66</v>
      </c>
      <c r="H436" t="s">
        <v>225</v>
      </c>
      <c r="I436" s="3">
        <v>0.16666666666666666</v>
      </c>
      <c r="J436" t="s">
        <v>68</v>
      </c>
      <c r="K436">
        <v>49</v>
      </c>
      <c r="L436" s="3">
        <v>0.16666666666666666</v>
      </c>
      <c r="M436" t="s">
        <v>31</v>
      </c>
      <c r="N436" t="s">
        <v>155</v>
      </c>
      <c r="O436">
        <f>IF(Table13[[#This Row],[Goal_assist]]="",1,0)</f>
        <v>0</v>
      </c>
    </row>
    <row r="437" spans="1:15" x14ac:dyDescent="0.35">
      <c r="A437" t="s">
        <v>14</v>
      </c>
      <c r="B437" s="1">
        <v>45637</v>
      </c>
      <c r="C437" t="s">
        <v>65</v>
      </c>
      <c r="D437">
        <v>15</v>
      </c>
      <c r="E437" s="2">
        <v>40880</v>
      </c>
      <c r="F437" t="s">
        <v>24</v>
      </c>
      <c r="G437" t="s">
        <v>112</v>
      </c>
      <c r="H437" t="s">
        <v>151</v>
      </c>
      <c r="I437" s="3">
        <v>2.0833333333333333E-3</v>
      </c>
      <c r="J437" t="s">
        <v>19</v>
      </c>
      <c r="K437">
        <v>65</v>
      </c>
      <c r="L437" s="3">
        <v>1.3888888888888889E-3</v>
      </c>
      <c r="M437" t="s">
        <v>26</v>
      </c>
      <c r="N437" t="s">
        <v>207</v>
      </c>
      <c r="O437">
        <f>IF(Table13[[#This Row],[Goal_assist]]="",1,0)</f>
        <v>0</v>
      </c>
    </row>
    <row r="438" spans="1:15" x14ac:dyDescent="0.35">
      <c r="A438" t="s">
        <v>64</v>
      </c>
      <c r="B438" s="1">
        <v>45637</v>
      </c>
      <c r="C438" t="s">
        <v>65</v>
      </c>
      <c r="D438">
        <v>15</v>
      </c>
      <c r="E438" s="2">
        <v>40880</v>
      </c>
      <c r="F438" t="s">
        <v>16</v>
      </c>
      <c r="G438" t="s">
        <v>66</v>
      </c>
      <c r="H438" t="s">
        <v>127</v>
      </c>
      <c r="I438" s="3">
        <v>0.20833333333333334</v>
      </c>
      <c r="J438" t="s">
        <v>68</v>
      </c>
      <c r="K438">
        <v>55</v>
      </c>
      <c r="L438" s="3">
        <v>0.16666666666666666</v>
      </c>
      <c r="M438" t="s">
        <v>31</v>
      </c>
      <c r="N438" t="s">
        <v>155</v>
      </c>
      <c r="O438">
        <f>IF(Table13[[#This Row],[Goal_assist]]="",1,0)</f>
        <v>0</v>
      </c>
    </row>
    <row r="439" spans="1:15" x14ac:dyDescent="0.35">
      <c r="A439" t="s">
        <v>14</v>
      </c>
      <c r="B439" s="1">
        <v>45637</v>
      </c>
      <c r="C439" t="s">
        <v>91</v>
      </c>
      <c r="D439" t="s">
        <v>210</v>
      </c>
      <c r="E439" s="2">
        <v>40890</v>
      </c>
      <c r="F439" t="s">
        <v>24</v>
      </c>
      <c r="G439" t="s">
        <v>112</v>
      </c>
      <c r="H439" t="s">
        <v>231</v>
      </c>
      <c r="I439" s="3">
        <v>1.3888888888888889E-3</v>
      </c>
      <c r="J439" t="s">
        <v>19</v>
      </c>
      <c r="K439">
        <v>74</v>
      </c>
      <c r="L439" s="3">
        <v>1.3888888888888889E-3</v>
      </c>
      <c r="M439" t="s">
        <v>31</v>
      </c>
      <c r="N439" t="s">
        <v>188</v>
      </c>
      <c r="O439">
        <f>IF(Table13[[#This Row],[Goal_assist]]="",1,0)</f>
        <v>0</v>
      </c>
    </row>
    <row r="440" spans="1:15" x14ac:dyDescent="0.35">
      <c r="A440" t="s">
        <v>14</v>
      </c>
      <c r="B440" s="1">
        <v>45637</v>
      </c>
      <c r="C440" t="s">
        <v>65</v>
      </c>
      <c r="D440">
        <v>17</v>
      </c>
      <c r="E440" s="2">
        <v>40894</v>
      </c>
      <c r="F440" t="s">
        <v>24</v>
      </c>
      <c r="G440" t="s">
        <v>112</v>
      </c>
      <c r="H440" t="s">
        <v>105</v>
      </c>
      <c r="I440" s="3">
        <v>8.7499999999999994E-2</v>
      </c>
      <c r="J440" t="s">
        <v>19</v>
      </c>
      <c r="K440">
        <v>10</v>
      </c>
      <c r="L440" s="3">
        <v>6.9444444444444447E-4</v>
      </c>
      <c r="M440" t="s">
        <v>26</v>
      </c>
      <c r="N440" t="s">
        <v>207</v>
      </c>
      <c r="O440">
        <f>IF(Table13[[#This Row],[Goal_assist]]="",1,0)</f>
        <v>0</v>
      </c>
    </row>
    <row r="441" spans="1:15" x14ac:dyDescent="0.35">
      <c r="A441" t="s">
        <v>14</v>
      </c>
      <c r="B441" s="1">
        <v>45637</v>
      </c>
      <c r="C441" t="s">
        <v>65</v>
      </c>
      <c r="D441">
        <v>17</v>
      </c>
      <c r="E441" s="2">
        <v>40894</v>
      </c>
      <c r="F441" t="s">
        <v>24</v>
      </c>
      <c r="G441" t="s">
        <v>112</v>
      </c>
      <c r="H441" t="s">
        <v>105</v>
      </c>
      <c r="I441" s="3">
        <v>8.7499999999999994E-2</v>
      </c>
      <c r="J441" t="s">
        <v>19</v>
      </c>
      <c r="K441">
        <v>41</v>
      </c>
      <c r="L441" s="3">
        <v>2.0833333333333333E-3</v>
      </c>
      <c r="M441" t="s">
        <v>26</v>
      </c>
      <c r="N441" t="s">
        <v>183</v>
      </c>
      <c r="O441">
        <f>IF(Table13[[#This Row],[Goal_assist]]="",1,0)</f>
        <v>0</v>
      </c>
    </row>
    <row r="442" spans="1:15" x14ac:dyDescent="0.35">
      <c r="A442" t="s">
        <v>14</v>
      </c>
      <c r="B442" s="1">
        <v>45637</v>
      </c>
      <c r="C442" t="s">
        <v>65</v>
      </c>
      <c r="D442">
        <v>17</v>
      </c>
      <c r="E442" s="2">
        <v>40894</v>
      </c>
      <c r="F442" t="s">
        <v>24</v>
      </c>
      <c r="G442" t="s">
        <v>112</v>
      </c>
      <c r="H442" t="s">
        <v>105</v>
      </c>
      <c r="I442" s="3">
        <v>8.7499999999999994E-2</v>
      </c>
      <c r="J442" t="s">
        <v>19</v>
      </c>
      <c r="K442">
        <v>86</v>
      </c>
      <c r="L442" s="3">
        <v>4.5138888888888888E-2</v>
      </c>
      <c r="M442" t="s">
        <v>83</v>
      </c>
      <c r="O442">
        <f>IF(Table13[[#This Row],[Goal_assist]]="",1,0)</f>
        <v>1</v>
      </c>
    </row>
    <row r="443" spans="1:15" x14ac:dyDescent="0.35">
      <c r="A443" t="s">
        <v>64</v>
      </c>
      <c r="B443" s="1">
        <v>45637</v>
      </c>
      <c r="C443" t="s">
        <v>163</v>
      </c>
      <c r="D443" t="s">
        <v>46</v>
      </c>
      <c r="E443" s="2">
        <v>40895</v>
      </c>
      <c r="F443" t="s">
        <v>24</v>
      </c>
      <c r="G443" t="s">
        <v>66</v>
      </c>
      <c r="H443" t="s">
        <v>232</v>
      </c>
      <c r="I443" s="3">
        <v>2.7777777777777779E-3</v>
      </c>
      <c r="J443" t="s">
        <v>38</v>
      </c>
      <c r="K443">
        <v>82</v>
      </c>
      <c r="L443" s="3">
        <v>2.7777777777777779E-3</v>
      </c>
      <c r="M443" t="s">
        <v>31</v>
      </c>
      <c r="N443" t="s">
        <v>155</v>
      </c>
      <c r="O443">
        <f>IF(Table13[[#This Row],[Goal_assist]]="",1,0)</f>
        <v>0</v>
      </c>
    </row>
    <row r="444" spans="1:15" x14ac:dyDescent="0.35">
      <c r="A444" t="s">
        <v>64</v>
      </c>
      <c r="B444" s="1">
        <v>45637</v>
      </c>
      <c r="C444" t="s">
        <v>163</v>
      </c>
      <c r="D444" t="s">
        <v>46</v>
      </c>
      <c r="E444" s="2">
        <v>40895</v>
      </c>
      <c r="F444" t="s">
        <v>24</v>
      </c>
      <c r="G444" t="s">
        <v>66</v>
      </c>
      <c r="H444" t="s">
        <v>232</v>
      </c>
      <c r="I444" s="3">
        <v>2.7777777777777779E-3</v>
      </c>
      <c r="J444" t="s">
        <v>38</v>
      </c>
      <c r="K444">
        <v>17</v>
      </c>
      <c r="L444" s="3">
        <v>6.9444444444444447E-4</v>
      </c>
      <c r="M444" t="s">
        <v>31</v>
      </c>
      <c r="N444" t="s">
        <v>106</v>
      </c>
      <c r="O444">
        <f>IF(Table13[[#This Row],[Goal_assist]]="",1,0)</f>
        <v>0</v>
      </c>
    </row>
    <row r="445" spans="1:15" x14ac:dyDescent="0.35">
      <c r="A445" t="s">
        <v>64</v>
      </c>
      <c r="B445" s="1">
        <v>45637</v>
      </c>
      <c r="C445" t="s">
        <v>91</v>
      </c>
      <c r="D445" t="s">
        <v>143</v>
      </c>
      <c r="E445" s="2">
        <v>40912</v>
      </c>
      <c r="F445" t="s">
        <v>16</v>
      </c>
      <c r="G445" t="s">
        <v>66</v>
      </c>
      <c r="H445" t="s">
        <v>100</v>
      </c>
      <c r="I445" s="3">
        <v>0.16666666666666666</v>
      </c>
      <c r="J445" t="s">
        <v>68</v>
      </c>
      <c r="K445">
        <v>90</v>
      </c>
      <c r="L445" s="3">
        <v>0.16666666666666666</v>
      </c>
      <c r="M445" t="s">
        <v>31</v>
      </c>
      <c r="N445" t="s">
        <v>106</v>
      </c>
      <c r="O445">
        <f>IF(Table13[[#This Row],[Goal_assist]]="",1,0)</f>
        <v>0</v>
      </c>
    </row>
    <row r="446" spans="1:15" x14ac:dyDescent="0.35">
      <c r="A446" t="s">
        <v>64</v>
      </c>
      <c r="B446" s="1">
        <v>45637</v>
      </c>
      <c r="C446" t="s">
        <v>91</v>
      </c>
      <c r="D446" t="s">
        <v>143</v>
      </c>
      <c r="E446" s="2">
        <v>40912</v>
      </c>
      <c r="F446" t="s">
        <v>16</v>
      </c>
      <c r="G446" t="s">
        <v>66</v>
      </c>
      <c r="H446" t="s">
        <v>100</v>
      </c>
      <c r="I446" s="3">
        <v>0.16666666666666666</v>
      </c>
      <c r="J446" t="s">
        <v>68</v>
      </c>
      <c r="K446">
        <v>71</v>
      </c>
      <c r="L446" s="3">
        <v>0.125</v>
      </c>
      <c r="M446" t="s">
        <v>22</v>
      </c>
      <c r="N446" t="s">
        <v>224</v>
      </c>
      <c r="O446">
        <f>IF(Table13[[#This Row],[Goal_assist]]="",1,0)</f>
        <v>0</v>
      </c>
    </row>
    <row r="447" spans="1:15" x14ac:dyDescent="0.35">
      <c r="A447" t="s">
        <v>14</v>
      </c>
      <c r="B447" s="1">
        <v>45637</v>
      </c>
      <c r="C447" t="s">
        <v>65</v>
      </c>
      <c r="D447">
        <v>18</v>
      </c>
      <c r="E447" s="2">
        <v>40915</v>
      </c>
      <c r="F447" t="s">
        <v>16</v>
      </c>
      <c r="G447" t="s">
        <v>112</v>
      </c>
      <c r="H447" t="s">
        <v>233</v>
      </c>
      <c r="I447" s="3">
        <v>0.20902777777777778</v>
      </c>
      <c r="J447" t="s">
        <v>19</v>
      </c>
      <c r="K447">
        <v>89</v>
      </c>
      <c r="L447" s="3">
        <v>0.20902777777777778</v>
      </c>
      <c r="M447" t="s">
        <v>26</v>
      </c>
      <c r="O447">
        <f>IF(Table13[[#This Row],[Goal_assist]]="",1,0)</f>
        <v>1</v>
      </c>
    </row>
    <row r="448" spans="1:15" x14ac:dyDescent="0.35">
      <c r="A448" t="s">
        <v>64</v>
      </c>
      <c r="B448" s="1">
        <v>45637</v>
      </c>
      <c r="C448" t="s">
        <v>65</v>
      </c>
      <c r="D448">
        <v>19</v>
      </c>
      <c r="E448" s="2">
        <v>40923</v>
      </c>
      <c r="F448" t="s">
        <v>16</v>
      </c>
      <c r="G448" t="s">
        <v>66</v>
      </c>
      <c r="H448" t="s">
        <v>95</v>
      </c>
      <c r="I448" s="3">
        <v>0.16805555555555557</v>
      </c>
      <c r="J448" t="s">
        <v>68</v>
      </c>
      <c r="K448">
        <v>12</v>
      </c>
      <c r="L448" s="3">
        <v>8.3333333333333329E-2</v>
      </c>
      <c r="M448" t="s">
        <v>26</v>
      </c>
      <c r="N448" t="s">
        <v>234</v>
      </c>
      <c r="O448">
        <f>IF(Table13[[#This Row],[Goal_assist]]="",1,0)</f>
        <v>0</v>
      </c>
    </row>
    <row r="449" spans="1:15" x14ac:dyDescent="0.35">
      <c r="A449" t="s">
        <v>64</v>
      </c>
      <c r="B449" s="1">
        <v>45637</v>
      </c>
      <c r="C449" t="s">
        <v>65</v>
      </c>
      <c r="D449">
        <v>19</v>
      </c>
      <c r="E449" s="2">
        <v>40923</v>
      </c>
      <c r="F449" t="s">
        <v>16</v>
      </c>
      <c r="G449" t="s">
        <v>66</v>
      </c>
      <c r="H449" t="s">
        <v>95</v>
      </c>
      <c r="I449" s="3">
        <v>0.16805555555555557</v>
      </c>
      <c r="J449" t="s">
        <v>68</v>
      </c>
      <c r="K449">
        <v>86</v>
      </c>
      <c r="L449" s="3">
        <v>0.16805555555555557</v>
      </c>
      <c r="M449" t="s">
        <v>83</v>
      </c>
      <c r="O449">
        <f>IF(Table13[[#This Row],[Goal_assist]]="",1,0)</f>
        <v>1</v>
      </c>
    </row>
    <row r="450" spans="1:15" x14ac:dyDescent="0.35">
      <c r="A450" t="s">
        <v>14</v>
      </c>
      <c r="B450" s="1">
        <v>45637</v>
      </c>
      <c r="C450" t="s">
        <v>91</v>
      </c>
      <c r="D450" t="s">
        <v>92</v>
      </c>
      <c r="E450" s="2">
        <v>40926</v>
      </c>
      <c r="F450" t="s">
        <v>16</v>
      </c>
      <c r="G450" t="s">
        <v>112</v>
      </c>
      <c r="H450" t="s">
        <v>66</v>
      </c>
      <c r="I450" s="3">
        <v>4.3055555555555555E-2</v>
      </c>
      <c r="J450" t="s">
        <v>19</v>
      </c>
      <c r="K450">
        <v>11</v>
      </c>
      <c r="L450" s="3">
        <v>4.1666666666666664E-2</v>
      </c>
      <c r="M450" t="s">
        <v>31</v>
      </c>
      <c r="N450" t="s">
        <v>183</v>
      </c>
      <c r="O450">
        <f>IF(Table13[[#This Row],[Goal_assist]]="",1,0)</f>
        <v>0</v>
      </c>
    </row>
    <row r="451" spans="1:15" x14ac:dyDescent="0.35">
      <c r="A451" t="s">
        <v>14</v>
      </c>
      <c r="B451" s="1">
        <v>45637</v>
      </c>
      <c r="C451" t="s">
        <v>65</v>
      </c>
      <c r="D451">
        <v>1</v>
      </c>
      <c r="E451" s="2">
        <v>40930</v>
      </c>
      <c r="F451" t="s">
        <v>16</v>
      </c>
      <c r="G451" t="s">
        <v>112</v>
      </c>
      <c r="H451" t="s">
        <v>86</v>
      </c>
      <c r="I451" s="3">
        <v>0.1673611111111111</v>
      </c>
      <c r="J451" t="s">
        <v>19</v>
      </c>
      <c r="K451">
        <v>67</v>
      </c>
      <c r="L451" s="3">
        <v>0.12569444444444444</v>
      </c>
      <c r="M451" t="s">
        <v>83</v>
      </c>
      <c r="O451">
        <f>IF(Table13[[#This Row],[Goal_assist]]="",1,0)</f>
        <v>1</v>
      </c>
    </row>
    <row r="452" spans="1:15" x14ac:dyDescent="0.35">
      <c r="A452" t="s">
        <v>14</v>
      </c>
      <c r="B452" s="1">
        <v>45637</v>
      </c>
      <c r="C452" t="s">
        <v>65</v>
      </c>
      <c r="D452">
        <v>1</v>
      </c>
      <c r="E452" s="2">
        <v>40930</v>
      </c>
      <c r="F452" t="s">
        <v>16</v>
      </c>
      <c r="G452" t="s">
        <v>112</v>
      </c>
      <c r="H452" t="s">
        <v>86</v>
      </c>
      <c r="I452" s="3">
        <v>0.1673611111111111</v>
      </c>
      <c r="J452" t="s">
        <v>19</v>
      </c>
      <c r="K452">
        <v>46</v>
      </c>
      <c r="L452" s="3">
        <v>8.4027777777777785E-2</v>
      </c>
      <c r="M452" t="s">
        <v>83</v>
      </c>
      <c r="O452">
        <f>IF(Table13[[#This Row],[Goal_assist]]="",1,0)</f>
        <v>1</v>
      </c>
    </row>
    <row r="453" spans="1:15" x14ac:dyDescent="0.35">
      <c r="A453" t="s">
        <v>64</v>
      </c>
      <c r="B453" s="1">
        <v>45637</v>
      </c>
      <c r="C453" t="s">
        <v>65</v>
      </c>
      <c r="D453">
        <v>1</v>
      </c>
      <c r="E453" s="2">
        <v>40930</v>
      </c>
      <c r="F453" t="s">
        <v>24</v>
      </c>
      <c r="G453" t="s">
        <v>66</v>
      </c>
      <c r="H453" t="s">
        <v>157</v>
      </c>
      <c r="I453" s="3">
        <v>4.4444444444444446E-2</v>
      </c>
      <c r="J453" t="s">
        <v>68</v>
      </c>
      <c r="K453">
        <v>77</v>
      </c>
      <c r="L453" s="3">
        <v>2.7777777777777779E-3</v>
      </c>
      <c r="M453" t="s">
        <v>31</v>
      </c>
      <c r="N453" t="s">
        <v>186</v>
      </c>
      <c r="O453">
        <f>IF(Table13[[#This Row],[Goal_assist]]="",1,0)</f>
        <v>0</v>
      </c>
    </row>
    <row r="454" spans="1:15" x14ac:dyDescent="0.35">
      <c r="A454" t="s">
        <v>64</v>
      </c>
      <c r="B454" s="1">
        <v>45637</v>
      </c>
      <c r="C454" t="s">
        <v>65</v>
      </c>
      <c r="D454">
        <v>1</v>
      </c>
      <c r="E454" s="2">
        <v>40930</v>
      </c>
      <c r="F454" t="s">
        <v>24</v>
      </c>
      <c r="G454" t="s">
        <v>66</v>
      </c>
      <c r="H454" t="s">
        <v>157</v>
      </c>
      <c r="I454" s="3">
        <v>4.4444444444444446E-2</v>
      </c>
      <c r="J454" t="s">
        <v>68</v>
      </c>
      <c r="K454">
        <v>51</v>
      </c>
      <c r="L454" s="3">
        <v>2.0833333333333333E-3</v>
      </c>
      <c r="M454" t="s">
        <v>31</v>
      </c>
      <c r="N454" t="s">
        <v>213</v>
      </c>
      <c r="O454">
        <f>IF(Table13[[#This Row],[Goal_assist]]="",1,0)</f>
        <v>0</v>
      </c>
    </row>
    <row r="455" spans="1:15" x14ac:dyDescent="0.35">
      <c r="A455" t="s">
        <v>64</v>
      </c>
      <c r="B455" s="1">
        <v>45637</v>
      </c>
      <c r="C455" t="s">
        <v>65</v>
      </c>
      <c r="D455">
        <v>1</v>
      </c>
      <c r="E455" s="2">
        <v>40930</v>
      </c>
      <c r="F455" t="s">
        <v>24</v>
      </c>
      <c r="G455" t="s">
        <v>66</v>
      </c>
      <c r="H455" t="s">
        <v>157</v>
      </c>
      <c r="I455" s="3">
        <v>4.4444444444444446E-2</v>
      </c>
      <c r="J455" t="s">
        <v>68</v>
      </c>
      <c r="K455">
        <v>32</v>
      </c>
      <c r="L455" s="3">
        <v>6.9444444444444447E-4</v>
      </c>
      <c r="M455" t="s">
        <v>22</v>
      </c>
      <c r="N455" t="s">
        <v>215</v>
      </c>
      <c r="O455">
        <f>IF(Table13[[#This Row],[Goal_assist]]="",1,0)</f>
        <v>0</v>
      </c>
    </row>
    <row r="456" spans="1:15" x14ac:dyDescent="0.35">
      <c r="A456" t="s">
        <v>14</v>
      </c>
      <c r="B456" s="1">
        <v>45637</v>
      </c>
      <c r="C456" t="s">
        <v>91</v>
      </c>
      <c r="D456" t="s">
        <v>92</v>
      </c>
      <c r="E456" s="2">
        <v>40933</v>
      </c>
      <c r="F456" t="s">
        <v>24</v>
      </c>
      <c r="G456" t="s">
        <v>112</v>
      </c>
      <c r="H456" t="s">
        <v>66</v>
      </c>
      <c r="I456" s="3">
        <v>8.4722222222222227E-2</v>
      </c>
      <c r="J456" t="s">
        <v>19</v>
      </c>
      <c r="K456">
        <v>68</v>
      </c>
      <c r="L456" s="3">
        <v>8.4027777777777785E-2</v>
      </c>
      <c r="M456" t="s">
        <v>26</v>
      </c>
      <c r="N456" t="s">
        <v>204</v>
      </c>
      <c r="O456">
        <f>IF(Table13[[#This Row],[Goal_assist]]="",1,0)</f>
        <v>0</v>
      </c>
    </row>
    <row r="457" spans="1:15" x14ac:dyDescent="0.35">
      <c r="A457" t="s">
        <v>14</v>
      </c>
      <c r="B457" s="1">
        <v>45637</v>
      </c>
      <c r="C457" t="s">
        <v>65</v>
      </c>
      <c r="D457">
        <v>21</v>
      </c>
      <c r="E457" s="2">
        <v>40936</v>
      </c>
      <c r="F457" t="s">
        <v>16</v>
      </c>
      <c r="G457" t="s">
        <v>112</v>
      </c>
      <c r="H457" t="s">
        <v>93</v>
      </c>
      <c r="I457" s="3">
        <v>0.12569444444444444</v>
      </c>
      <c r="J457" t="s">
        <v>19</v>
      </c>
      <c r="K457">
        <v>48</v>
      </c>
      <c r="L457" s="3">
        <v>8.4027777777777785E-2</v>
      </c>
      <c r="M457" t="s">
        <v>26</v>
      </c>
      <c r="N457" t="s">
        <v>204</v>
      </c>
      <c r="O457">
        <f>IF(Table13[[#This Row],[Goal_assist]]="",1,0)</f>
        <v>0</v>
      </c>
    </row>
    <row r="458" spans="1:15" x14ac:dyDescent="0.35">
      <c r="A458" t="s">
        <v>64</v>
      </c>
      <c r="B458" s="1">
        <v>45637</v>
      </c>
      <c r="C458" t="s">
        <v>65</v>
      </c>
      <c r="D458">
        <v>22</v>
      </c>
      <c r="E458" s="2">
        <v>40943</v>
      </c>
      <c r="F458" t="s">
        <v>16</v>
      </c>
      <c r="G458" t="s">
        <v>66</v>
      </c>
      <c r="H458" t="s">
        <v>217</v>
      </c>
      <c r="I458" s="3">
        <v>8.4027777777777785E-2</v>
      </c>
      <c r="J458" t="s">
        <v>68</v>
      </c>
      <c r="K458">
        <v>72</v>
      </c>
      <c r="L458" s="3">
        <v>8.3333333333333329E-2</v>
      </c>
      <c r="M458" t="s">
        <v>31</v>
      </c>
      <c r="N458" t="s">
        <v>155</v>
      </c>
      <c r="O458">
        <f>IF(Table13[[#This Row],[Goal_assist]]="",1,0)</f>
        <v>0</v>
      </c>
    </row>
    <row r="459" spans="1:15" x14ac:dyDescent="0.35">
      <c r="A459" t="s">
        <v>14</v>
      </c>
      <c r="B459" s="1">
        <v>45637</v>
      </c>
      <c r="C459" t="s">
        <v>65</v>
      </c>
      <c r="D459">
        <v>23</v>
      </c>
      <c r="E459" s="2">
        <v>40951</v>
      </c>
      <c r="F459" t="s">
        <v>16</v>
      </c>
      <c r="G459" t="s">
        <v>112</v>
      </c>
      <c r="H459" t="s">
        <v>127</v>
      </c>
      <c r="I459" s="3">
        <v>0.16805555555555557</v>
      </c>
      <c r="J459" t="s">
        <v>19</v>
      </c>
      <c r="K459">
        <v>45</v>
      </c>
      <c r="L459" s="3">
        <v>4.2361111111111113E-2</v>
      </c>
      <c r="M459" t="s">
        <v>83</v>
      </c>
      <c r="O459">
        <f>IF(Table13[[#This Row],[Goal_assist]]="",1,0)</f>
        <v>1</v>
      </c>
    </row>
    <row r="460" spans="1:15" x14ac:dyDescent="0.35">
      <c r="A460" t="s">
        <v>14</v>
      </c>
      <c r="B460" s="1">
        <v>45637</v>
      </c>
      <c r="C460" t="s">
        <v>65</v>
      </c>
      <c r="D460">
        <v>23</v>
      </c>
      <c r="E460" s="2">
        <v>40951</v>
      </c>
      <c r="F460" t="s">
        <v>16</v>
      </c>
      <c r="G460" t="s">
        <v>112</v>
      </c>
      <c r="H460" t="s">
        <v>127</v>
      </c>
      <c r="I460" s="3">
        <v>0.16805555555555557</v>
      </c>
      <c r="J460" t="s">
        <v>19</v>
      </c>
      <c r="K460">
        <v>50</v>
      </c>
      <c r="L460" s="3">
        <v>8.4027777777777785E-2</v>
      </c>
      <c r="M460" t="s">
        <v>22</v>
      </c>
      <c r="N460" t="s">
        <v>188</v>
      </c>
      <c r="O460">
        <f>IF(Table13[[#This Row],[Goal_assist]]="",1,0)</f>
        <v>0</v>
      </c>
    </row>
    <row r="461" spans="1:15" x14ac:dyDescent="0.35">
      <c r="A461" t="s">
        <v>14</v>
      </c>
      <c r="B461" s="1">
        <v>45637</v>
      </c>
      <c r="C461" t="s">
        <v>65</v>
      </c>
      <c r="D461">
        <v>23</v>
      </c>
      <c r="E461" s="2">
        <v>40951</v>
      </c>
      <c r="F461" t="s">
        <v>16</v>
      </c>
      <c r="G461" t="s">
        <v>112</v>
      </c>
      <c r="H461" t="s">
        <v>127</v>
      </c>
      <c r="I461" s="3">
        <v>0.16805555555555557</v>
      </c>
      <c r="J461" t="s">
        <v>19</v>
      </c>
      <c r="K461">
        <v>57</v>
      </c>
      <c r="L461" s="3">
        <v>0.12569444444444444</v>
      </c>
      <c r="M461" t="s">
        <v>26</v>
      </c>
      <c r="N461" t="s">
        <v>235</v>
      </c>
      <c r="O461">
        <f>IF(Table13[[#This Row],[Goal_assist]]="",1,0)</f>
        <v>0</v>
      </c>
    </row>
    <row r="462" spans="1:15" x14ac:dyDescent="0.35">
      <c r="A462" t="s">
        <v>64</v>
      </c>
      <c r="B462" s="1">
        <v>45637</v>
      </c>
      <c r="C462" t="s">
        <v>75</v>
      </c>
      <c r="D462" t="s">
        <v>143</v>
      </c>
      <c r="E462" s="2">
        <v>40953</v>
      </c>
      <c r="F462" t="s">
        <v>24</v>
      </c>
      <c r="G462" t="s">
        <v>66</v>
      </c>
      <c r="H462" t="s">
        <v>236</v>
      </c>
      <c r="I462" s="3">
        <v>4.3749999999999997E-2</v>
      </c>
      <c r="J462" t="s">
        <v>68</v>
      </c>
      <c r="K462">
        <v>88</v>
      </c>
      <c r="L462" s="3">
        <v>4.3749999999999997E-2</v>
      </c>
      <c r="M462" t="s">
        <v>31</v>
      </c>
      <c r="N462" t="s">
        <v>155</v>
      </c>
      <c r="O462">
        <f>IF(Table13[[#This Row],[Goal_assist]]="",1,0)</f>
        <v>0</v>
      </c>
    </row>
    <row r="463" spans="1:15" x14ac:dyDescent="0.35">
      <c r="A463" t="s">
        <v>14</v>
      </c>
      <c r="B463" s="1">
        <v>45637</v>
      </c>
      <c r="C463" t="s">
        <v>65</v>
      </c>
      <c r="D463">
        <v>24</v>
      </c>
      <c r="E463" s="2">
        <v>40957</v>
      </c>
      <c r="F463" t="s">
        <v>16</v>
      </c>
      <c r="G463" t="s">
        <v>112</v>
      </c>
      <c r="H463" t="s">
        <v>78</v>
      </c>
      <c r="I463" s="3">
        <v>0.16666666666666666</v>
      </c>
      <c r="J463" t="s">
        <v>19</v>
      </c>
      <c r="K463">
        <v>6</v>
      </c>
      <c r="L463" s="3">
        <v>4.1666666666666664E-2</v>
      </c>
      <c r="M463" t="s">
        <v>22</v>
      </c>
      <c r="N463" t="s">
        <v>198</v>
      </c>
      <c r="O463">
        <f>IF(Table13[[#This Row],[Goal_assist]]="",1,0)</f>
        <v>0</v>
      </c>
    </row>
    <row r="464" spans="1:15" x14ac:dyDescent="0.35">
      <c r="A464" t="s">
        <v>64</v>
      </c>
      <c r="B464" s="1">
        <v>45637</v>
      </c>
      <c r="C464" t="s">
        <v>65</v>
      </c>
      <c r="D464">
        <v>24</v>
      </c>
      <c r="E464" s="2">
        <v>40958</v>
      </c>
      <c r="F464" t="s">
        <v>16</v>
      </c>
      <c r="G464" t="s">
        <v>66</v>
      </c>
      <c r="H464" t="s">
        <v>148</v>
      </c>
      <c r="I464" s="3">
        <v>0.20902777777777778</v>
      </c>
      <c r="J464" t="s">
        <v>68</v>
      </c>
      <c r="K464">
        <v>21</v>
      </c>
      <c r="L464" s="3">
        <v>4.2361111111111113E-2</v>
      </c>
      <c r="M464" t="s">
        <v>31</v>
      </c>
      <c r="O464">
        <f>IF(Table13[[#This Row],[Goal_assist]]="",1,0)</f>
        <v>1</v>
      </c>
    </row>
    <row r="465" spans="1:15" x14ac:dyDescent="0.35">
      <c r="A465" t="s">
        <v>64</v>
      </c>
      <c r="B465" s="1">
        <v>45637</v>
      </c>
      <c r="C465" t="s">
        <v>65</v>
      </c>
      <c r="D465">
        <v>24</v>
      </c>
      <c r="E465" s="2">
        <v>40958</v>
      </c>
      <c r="F465" t="s">
        <v>16</v>
      </c>
      <c r="G465" t="s">
        <v>66</v>
      </c>
      <c r="H465" t="s">
        <v>148</v>
      </c>
      <c r="I465" s="3">
        <v>0.20902777777777778</v>
      </c>
      <c r="J465" t="s">
        <v>68</v>
      </c>
      <c r="K465">
        <v>27</v>
      </c>
      <c r="L465" s="3">
        <v>8.4027777777777785E-2</v>
      </c>
      <c r="M465" t="s">
        <v>55</v>
      </c>
      <c r="O465">
        <f>IF(Table13[[#This Row],[Goal_assist]]="",1,0)</f>
        <v>1</v>
      </c>
    </row>
    <row r="466" spans="1:15" x14ac:dyDescent="0.35">
      <c r="A466" t="s">
        <v>64</v>
      </c>
      <c r="B466" s="1">
        <v>45637</v>
      </c>
      <c r="C466" t="s">
        <v>65</v>
      </c>
      <c r="D466">
        <v>24</v>
      </c>
      <c r="E466" s="2">
        <v>40958</v>
      </c>
      <c r="F466" t="s">
        <v>16</v>
      </c>
      <c r="G466" t="s">
        <v>66</v>
      </c>
      <c r="H466" t="s">
        <v>148</v>
      </c>
      <c r="I466" s="3">
        <v>0.20902777777777778</v>
      </c>
      <c r="J466" t="s">
        <v>68</v>
      </c>
      <c r="K466">
        <v>75</v>
      </c>
      <c r="L466" s="3">
        <v>0.12569444444444444</v>
      </c>
      <c r="M466" t="s">
        <v>31</v>
      </c>
      <c r="N466" t="s">
        <v>237</v>
      </c>
      <c r="O466">
        <f>IF(Table13[[#This Row],[Goal_assist]]="",1,0)</f>
        <v>0</v>
      </c>
    </row>
    <row r="467" spans="1:15" x14ac:dyDescent="0.35">
      <c r="A467" t="s">
        <v>64</v>
      </c>
      <c r="B467" s="1">
        <v>45637</v>
      </c>
      <c r="C467" t="s">
        <v>65</v>
      </c>
      <c r="D467">
        <v>24</v>
      </c>
      <c r="E467" s="2">
        <v>40958</v>
      </c>
      <c r="F467" t="s">
        <v>16</v>
      </c>
      <c r="G467" t="s">
        <v>66</v>
      </c>
      <c r="H467" t="s">
        <v>148</v>
      </c>
      <c r="I467" s="3">
        <v>0.20902777777777778</v>
      </c>
      <c r="J467" t="s">
        <v>68</v>
      </c>
      <c r="K467">
        <v>84</v>
      </c>
      <c r="L467" s="3">
        <v>0.1673611111111111</v>
      </c>
      <c r="M467" t="s">
        <v>31</v>
      </c>
      <c r="N467" t="s">
        <v>222</v>
      </c>
      <c r="O467">
        <f>IF(Table13[[#This Row],[Goal_assist]]="",1,0)</f>
        <v>0</v>
      </c>
    </row>
    <row r="468" spans="1:15" x14ac:dyDescent="0.35">
      <c r="A468" t="s">
        <v>14</v>
      </c>
      <c r="B468" s="1">
        <v>45637</v>
      </c>
      <c r="C468" t="s">
        <v>75</v>
      </c>
      <c r="D468" t="s">
        <v>143</v>
      </c>
      <c r="E468" s="2">
        <v>40960</v>
      </c>
      <c r="F468" t="s">
        <v>24</v>
      </c>
      <c r="G468" t="s">
        <v>112</v>
      </c>
      <c r="H468" t="s">
        <v>238</v>
      </c>
      <c r="I468" s="3">
        <v>4.2361111111111113E-2</v>
      </c>
      <c r="J468" t="s">
        <v>19</v>
      </c>
      <c r="K468">
        <v>28</v>
      </c>
      <c r="L468" s="3">
        <v>6.9444444444444447E-4</v>
      </c>
      <c r="M468" t="s">
        <v>31</v>
      </c>
      <c r="N468" t="s">
        <v>235</v>
      </c>
      <c r="O468">
        <f>IF(Table13[[#This Row],[Goal_assist]]="",1,0)</f>
        <v>0</v>
      </c>
    </row>
    <row r="469" spans="1:15" x14ac:dyDescent="0.35">
      <c r="A469" t="s">
        <v>64</v>
      </c>
      <c r="B469" s="1">
        <v>45637</v>
      </c>
      <c r="C469" t="s">
        <v>65</v>
      </c>
      <c r="D469">
        <v>25</v>
      </c>
      <c r="E469" s="2">
        <v>40965</v>
      </c>
      <c r="F469" t="s">
        <v>24</v>
      </c>
      <c r="G469" t="s">
        <v>66</v>
      </c>
      <c r="H469" t="s">
        <v>119</v>
      </c>
      <c r="I469" s="3">
        <v>4.3055555555555555E-2</v>
      </c>
      <c r="J469" t="s">
        <v>68</v>
      </c>
      <c r="K469">
        <v>79</v>
      </c>
      <c r="L469" s="3">
        <v>4.3055555555555555E-2</v>
      </c>
      <c r="M469" t="s">
        <v>39</v>
      </c>
      <c r="O469">
        <f>IF(Table13[[#This Row],[Goal_assist]]="",1,0)</f>
        <v>1</v>
      </c>
    </row>
    <row r="470" spans="1:15" x14ac:dyDescent="0.35">
      <c r="A470" t="s">
        <v>14</v>
      </c>
      <c r="B470" s="1">
        <v>45637</v>
      </c>
      <c r="C470" t="s">
        <v>65</v>
      </c>
      <c r="D470">
        <v>25</v>
      </c>
      <c r="E470" s="2">
        <v>40965</v>
      </c>
      <c r="F470" t="s">
        <v>24</v>
      </c>
      <c r="G470" t="s">
        <v>112</v>
      </c>
      <c r="H470" t="s">
        <v>225</v>
      </c>
      <c r="I470" s="3">
        <v>6.9444444444444447E-4</v>
      </c>
      <c r="J470" t="s">
        <v>19</v>
      </c>
      <c r="K470">
        <v>53</v>
      </c>
      <c r="L470" s="3">
        <v>6.9444444444444447E-4</v>
      </c>
      <c r="M470" t="s">
        <v>26</v>
      </c>
      <c r="O470">
        <f>IF(Table13[[#This Row],[Goal_assist]]="",1,0)</f>
        <v>1</v>
      </c>
    </row>
    <row r="471" spans="1:15" x14ac:dyDescent="0.35">
      <c r="A471" t="s">
        <v>14</v>
      </c>
      <c r="B471" s="1">
        <v>45637</v>
      </c>
      <c r="C471" t="s">
        <v>65</v>
      </c>
      <c r="D471">
        <v>26</v>
      </c>
      <c r="E471" s="2">
        <v>40972</v>
      </c>
      <c r="F471" t="s">
        <v>16</v>
      </c>
      <c r="G471" t="s">
        <v>112</v>
      </c>
      <c r="H471" t="s">
        <v>121</v>
      </c>
      <c r="I471" s="3">
        <v>0.20833333333333334</v>
      </c>
      <c r="J471" t="s">
        <v>19</v>
      </c>
      <c r="K471">
        <v>23</v>
      </c>
      <c r="L471" s="3">
        <v>4.1666666666666664E-2</v>
      </c>
      <c r="M471" t="s">
        <v>31</v>
      </c>
      <c r="N471" t="s">
        <v>188</v>
      </c>
      <c r="O471">
        <f>IF(Table13[[#This Row],[Goal_assist]]="",1,0)</f>
        <v>0</v>
      </c>
    </row>
    <row r="472" spans="1:15" x14ac:dyDescent="0.35">
      <c r="A472" t="s">
        <v>64</v>
      </c>
      <c r="B472" s="1">
        <v>45637</v>
      </c>
      <c r="C472" t="s">
        <v>75</v>
      </c>
      <c r="D472" t="s">
        <v>143</v>
      </c>
      <c r="E472" s="2">
        <v>40975</v>
      </c>
      <c r="F472" t="s">
        <v>16</v>
      </c>
      <c r="G472" t="s">
        <v>66</v>
      </c>
      <c r="H472" t="s">
        <v>236</v>
      </c>
      <c r="I472" s="3">
        <v>0.29236111111111113</v>
      </c>
      <c r="J472" t="s">
        <v>68</v>
      </c>
      <c r="K472">
        <v>85</v>
      </c>
      <c r="L472" s="3">
        <v>0.29166666666666669</v>
      </c>
      <c r="M472" t="s">
        <v>31</v>
      </c>
      <c r="N472" t="s">
        <v>200</v>
      </c>
      <c r="O472">
        <f>IF(Table13[[#This Row],[Goal_assist]]="",1,0)</f>
        <v>0</v>
      </c>
    </row>
    <row r="473" spans="1:15" x14ac:dyDescent="0.35">
      <c r="A473" t="s">
        <v>64</v>
      </c>
      <c r="B473" s="1">
        <v>45637</v>
      </c>
      <c r="C473" t="s">
        <v>75</v>
      </c>
      <c r="D473" t="s">
        <v>143</v>
      </c>
      <c r="E473" s="2">
        <v>40975</v>
      </c>
      <c r="F473" t="s">
        <v>16</v>
      </c>
      <c r="G473" t="s">
        <v>66</v>
      </c>
      <c r="H473" t="s">
        <v>236</v>
      </c>
      <c r="I473" s="3">
        <v>0.29236111111111113</v>
      </c>
      <c r="J473" t="s">
        <v>68</v>
      </c>
      <c r="K473">
        <v>58</v>
      </c>
      <c r="L473" s="3">
        <v>0.20833333333333334</v>
      </c>
      <c r="M473" t="s">
        <v>31</v>
      </c>
      <c r="O473">
        <f>IF(Table13[[#This Row],[Goal_assist]]="",1,0)</f>
        <v>1</v>
      </c>
    </row>
    <row r="474" spans="1:15" x14ac:dyDescent="0.35">
      <c r="A474" t="s">
        <v>64</v>
      </c>
      <c r="B474" s="1">
        <v>45637</v>
      </c>
      <c r="C474" t="s">
        <v>75</v>
      </c>
      <c r="D474" t="s">
        <v>143</v>
      </c>
      <c r="E474" s="2">
        <v>40975</v>
      </c>
      <c r="F474" t="s">
        <v>16</v>
      </c>
      <c r="G474" t="s">
        <v>66</v>
      </c>
      <c r="H474" t="s">
        <v>236</v>
      </c>
      <c r="I474" s="3">
        <v>0.29236111111111113</v>
      </c>
      <c r="J474" t="s">
        <v>68</v>
      </c>
      <c r="K474">
        <v>50</v>
      </c>
      <c r="L474" s="3">
        <v>0.125</v>
      </c>
      <c r="M474" t="s">
        <v>26</v>
      </c>
      <c r="N474" t="s">
        <v>224</v>
      </c>
      <c r="O474">
        <f>IF(Table13[[#This Row],[Goal_assist]]="",1,0)</f>
        <v>0</v>
      </c>
    </row>
    <row r="475" spans="1:15" x14ac:dyDescent="0.35">
      <c r="A475" t="s">
        <v>64</v>
      </c>
      <c r="B475" s="1">
        <v>45637</v>
      </c>
      <c r="C475" t="s">
        <v>75</v>
      </c>
      <c r="D475" t="s">
        <v>143</v>
      </c>
      <c r="E475" s="2">
        <v>40975</v>
      </c>
      <c r="F475" t="s">
        <v>16</v>
      </c>
      <c r="G475" t="s">
        <v>66</v>
      </c>
      <c r="H475" t="s">
        <v>236</v>
      </c>
      <c r="I475" s="3">
        <v>0.29236111111111113</v>
      </c>
      <c r="J475" t="s">
        <v>68</v>
      </c>
      <c r="K475">
        <v>42</v>
      </c>
      <c r="L475" s="3">
        <v>8.3333333333333329E-2</v>
      </c>
      <c r="M475" t="s">
        <v>31</v>
      </c>
      <c r="N475" t="s">
        <v>99</v>
      </c>
      <c r="O475">
        <f>IF(Table13[[#This Row],[Goal_assist]]="",1,0)</f>
        <v>0</v>
      </c>
    </row>
    <row r="476" spans="1:15" x14ac:dyDescent="0.35">
      <c r="A476" t="s">
        <v>64</v>
      </c>
      <c r="B476" s="1">
        <v>45637</v>
      </c>
      <c r="C476" t="s">
        <v>75</v>
      </c>
      <c r="D476" t="s">
        <v>143</v>
      </c>
      <c r="E476" s="2">
        <v>40975</v>
      </c>
      <c r="F476" t="s">
        <v>16</v>
      </c>
      <c r="G476" t="s">
        <v>66</v>
      </c>
      <c r="H476" t="s">
        <v>236</v>
      </c>
      <c r="I476" s="3">
        <v>0.29236111111111113</v>
      </c>
      <c r="J476" t="s">
        <v>68</v>
      </c>
      <c r="K476">
        <v>25</v>
      </c>
      <c r="L476" s="3">
        <v>4.1666666666666664E-2</v>
      </c>
      <c r="M476" t="s">
        <v>31</v>
      </c>
      <c r="N476" t="s">
        <v>106</v>
      </c>
      <c r="O476">
        <f>IF(Table13[[#This Row],[Goal_assist]]="",1,0)</f>
        <v>0</v>
      </c>
    </row>
    <row r="477" spans="1:15" x14ac:dyDescent="0.35">
      <c r="A477" t="s">
        <v>14</v>
      </c>
      <c r="B477" s="1">
        <v>45637</v>
      </c>
      <c r="C477" t="s">
        <v>65</v>
      </c>
      <c r="D477">
        <v>27</v>
      </c>
      <c r="E477" s="2">
        <v>40978</v>
      </c>
      <c r="F477" t="s">
        <v>24</v>
      </c>
      <c r="G477" t="s">
        <v>112</v>
      </c>
      <c r="H477" t="s">
        <v>95</v>
      </c>
      <c r="I477" s="3">
        <v>8.5416666666666669E-2</v>
      </c>
      <c r="J477" t="s">
        <v>19</v>
      </c>
      <c r="K477">
        <v>52</v>
      </c>
      <c r="L477" s="3">
        <v>4.3055555555555555E-2</v>
      </c>
      <c r="M477" t="s">
        <v>31</v>
      </c>
      <c r="N477" t="s">
        <v>201</v>
      </c>
      <c r="O477">
        <f>IF(Table13[[#This Row],[Goal_assist]]="",1,0)</f>
        <v>0</v>
      </c>
    </row>
    <row r="478" spans="1:15" x14ac:dyDescent="0.35">
      <c r="A478" t="s">
        <v>14</v>
      </c>
      <c r="B478" s="1">
        <v>45637</v>
      </c>
      <c r="C478" t="s">
        <v>65</v>
      </c>
      <c r="D478">
        <v>27</v>
      </c>
      <c r="E478" s="2">
        <v>40978</v>
      </c>
      <c r="F478" t="s">
        <v>24</v>
      </c>
      <c r="G478" t="s">
        <v>112</v>
      </c>
      <c r="H478" t="s">
        <v>95</v>
      </c>
      <c r="I478" s="3">
        <v>8.5416666666666669E-2</v>
      </c>
      <c r="J478" t="s">
        <v>19</v>
      </c>
      <c r="K478">
        <v>73</v>
      </c>
      <c r="L478" s="3">
        <v>8.5416666666666669E-2</v>
      </c>
      <c r="M478" t="s">
        <v>31</v>
      </c>
      <c r="O478">
        <f>IF(Table13[[#This Row],[Goal_assist]]="",1,0)</f>
        <v>1</v>
      </c>
    </row>
    <row r="479" spans="1:15" x14ac:dyDescent="0.35">
      <c r="A479" t="s">
        <v>64</v>
      </c>
      <c r="B479" s="1">
        <v>45637</v>
      </c>
      <c r="C479" t="s">
        <v>65</v>
      </c>
      <c r="D479">
        <v>27</v>
      </c>
      <c r="E479" s="2">
        <v>40979</v>
      </c>
      <c r="F479" t="s">
        <v>24</v>
      </c>
      <c r="G479" t="s">
        <v>66</v>
      </c>
      <c r="H479" t="s">
        <v>78</v>
      </c>
      <c r="I479" s="3">
        <v>1.3888888888888889E-3</v>
      </c>
      <c r="J479" t="s">
        <v>68</v>
      </c>
      <c r="K479">
        <v>28</v>
      </c>
      <c r="L479" s="3">
        <v>6.9444444444444447E-4</v>
      </c>
      <c r="M479" t="s">
        <v>31</v>
      </c>
      <c r="N479" t="s">
        <v>224</v>
      </c>
      <c r="O479">
        <f>IF(Table13[[#This Row],[Goal_assist]]="",1,0)</f>
        <v>0</v>
      </c>
    </row>
    <row r="480" spans="1:15" x14ac:dyDescent="0.35">
      <c r="A480" t="s">
        <v>64</v>
      </c>
      <c r="B480" s="1">
        <v>45637</v>
      </c>
      <c r="C480" t="s">
        <v>65</v>
      </c>
      <c r="D480">
        <v>27</v>
      </c>
      <c r="E480" s="2">
        <v>40979</v>
      </c>
      <c r="F480" t="s">
        <v>24</v>
      </c>
      <c r="G480" t="s">
        <v>66</v>
      </c>
      <c r="H480" t="s">
        <v>78</v>
      </c>
      <c r="I480" s="3">
        <v>1.3888888888888889E-3</v>
      </c>
      <c r="J480" t="s">
        <v>68</v>
      </c>
      <c r="K480">
        <v>55</v>
      </c>
      <c r="L480" s="3">
        <v>1.3888888888888889E-3</v>
      </c>
      <c r="M480" t="s">
        <v>83</v>
      </c>
      <c r="O480">
        <f>IF(Table13[[#This Row],[Goal_assist]]="",1,0)</f>
        <v>1</v>
      </c>
    </row>
    <row r="481" spans="1:15" x14ac:dyDescent="0.35">
      <c r="A481" t="s">
        <v>14</v>
      </c>
      <c r="B481" s="1">
        <v>45637</v>
      </c>
      <c r="C481" t="s">
        <v>75</v>
      </c>
      <c r="D481" t="s">
        <v>143</v>
      </c>
      <c r="E481" s="2">
        <v>40982</v>
      </c>
      <c r="F481" t="s">
        <v>16</v>
      </c>
      <c r="G481" t="s">
        <v>112</v>
      </c>
      <c r="H481" t="s">
        <v>238</v>
      </c>
      <c r="I481" s="3">
        <v>0.1673611111111111</v>
      </c>
      <c r="J481" t="s">
        <v>19</v>
      </c>
      <c r="K481" t="s">
        <v>239</v>
      </c>
      <c r="L481" s="3">
        <v>0.1673611111111111</v>
      </c>
      <c r="M481" t="s">
        <v>26</v>
      </c>
      <c r="N481" t="s">
        <v>183</v>
      </c>
      <c r="O481">
        <f>IF(Table13[[#This Row],[Goal_assist]]="",1,0)</f>
        <v>0</v>
      </c>
    </row>
    <row r="482" spans="1:15" x14ac:dyDescent="0.35">
      <c r="A482" t="s">
        <v>14</v>
      </c>
      <c r="B482" s="1">
        <v>45637</v>
      </c>
      <c r="C482" t="s">
        <v>75</v>
      </c>
      <c r="D482" t="s">
        <v>143</v>
      </c>
      <c r="E482" s="2">
        <v>40982</v>
      </c>
      <c r="F482" t="s">
        <v>16</v>
      </c>
      <c r="G482" t="s">
        <v>112</v>
      </c>
      <c r="H482" t="s">
        <v>238</v>
      </c>
      <c r="I482" s="3">
        <v>0.1673611111111111</v>
      </c>
      <c r="J482" t="s">
        <v>19</v>
      </c>
      <c r="K482">
        <v>55</v>
      </c>
      <c r="L482" s="3">
        <v>8.3333333333333329E-2</v>
      </c>
      <c r="M482" t="s">
        <v>26</v>
      </c>
      <c r="N482" t="s">
        <v>202</v>
      </c>
      <c r="O482">
        <f>IF(Table13[[#This Row],[Goal_assist]]="",1,0)</f>
        <v>0</v>
      </c>
    </row>
    <row r="483" spans="1:15" x14ac:dyDescent="0.35">
      <c r="A483" t="s">
        <v>64</v>
      </c>
      <c r="B483" s="1">
        <v>45637</v>
      </c>
      <c r="C483" t="s">
        <v>65</v>
      </c>
      <c r="D483">
        <v>28</v>
      </c>
      <c r="E483" s="2">
        <v>40985</v>
      </c>
      <c r="F483" t="s">
        <v>24</v>
      </c>
      <c r="G483" t="s">
        <v>66</v>
      </c>
      <c r="H483" t="s">
        <v>105</v>
      </c>
      <c r="I483" s="3">
        <v>1.3888888888888889E-3</v>
      </c>
      <c r="J483" t="s">
        <v>68</v>
      </c>
      <c r="K483">
        <v>25</v>
      </c>
      <c r="L483" s="3">
        <v>1.3888888888888889E-3</v>
      </c>
      <c r="M483" t="s">
        <v>31</v>
      </c>
      <c r="N483" t="s">
        <v>99</v>
      </c>
      <c r="O483">
        <f>IF(Table13[[#This Row],[Goal_assist]]="",1,0)</f>
        <v>0</v>
      </c>
    </row>
    <row r="484" spans="1:15" x14ac:dyDescent="0.35">
      <c r="A484" t="s">
        <v>64</v>
      </c>
      <c r="B484" s="1">
        <v>45637</v>
      </c>
      <c r="C484" t="s">
        <v>65</v>
      </c>
      <c r="D484">
        <v>29</v>
      </c>
      <c r="E484" s="2">
        <v>40988</v>
      </c>
      <c r="F484" t="s">
        <v>16</v>
      </c>
      <c r="G484" t="s">
        <v>66</v>
      </c>
      <c r="H484" t="s">
        <v>233</v>
      </c>
      <c r="I484" s="3">
        <v>0.21041666666666667</v>
      </c>
      <c r="J484" t="s">
        <v>68</v>
      </c>
      <c r="K484">
        <v>85</v>
      </c>
      <c r="L484" s="3">
        <v>0.20972222222222223</v>
      </c>
      <c r="M484" t="s">
        <v>31</v>
      </c>
      <c r="N484" t="s">
        <v>155</v>
      </c>
      <c r="O484">
        <f>IF(Table13[[#This Row],[Goal_assist]]="",1,0)</f>
        <v>0</v>
      </c>
    </row>
    <row r="485" spans="1:15" x14ac:dyDescent="0.35">
      <c r="A485" t="s">
        <v>64</v>
      </c>
      <c r="B485" s="1">
        <v>45637</v>
      </c>
      <c r="C485" t="s">
        <v>65</v>
      </c>
      <c r="D485">
        <v>29</v>
      </c>
      <c r="E485" s="2">
        <v>40988</v>
      </c>
      <c r="F485" t="s">
        <v>16</v>
      </c>
      <c r="G485" t="s">
        <v>66</v>
      </c>
      <c r="H485" t="s">
        <v>233</v>
      </c>
      <c r="I485" s="3">
        <v>0.21041666666666667</v>
      </c>
      <c r="J485" t="s">
        <v>68</v>
      </c>
      <c r="K485">
        <v>66</v>
      </c>
      <c r="L485" s="3">
        <v>0.12638888888888888</v>
      </c>
      <c r="M485" t="s">
        <v>31</v>
      </c>
      <c r="N485" t="s">
        <v>155</v>
      </c>
      <c r="O485">
        <f>IF(Table13[[#This Row],[Goal_assist]]="",1,0)</f>
        <v>0</v>
      </c>
    </row>
    <row r="486" spans="1:15" x14ac:dyDescent="0.35">
      <c r="A486" t="s">
        <v>64</v>
      </c>
      <c r="B486" s="1">
        <v>45637</v>
      </c>
      <c r="C486" t="s">
        <v>65</v>
      </c>
      <c r="D486">
        <v>29</v>
      </c>
      <c r="E486" s="2">
        <v>40988</v>
      </c>
      <c r="F486" t="s">
        <v>16</v>
      </c>
      <c r="G486" t="s">
        <v>66</v>
      </c>
      <c r="H486" t="s">
        <v>233</v>
      </c>
      <c r="I486" s="3">
        <v>0.21041666666666667</v>
      </c>
      <c r="J486" t="s">
        <v>68</v>
      </c>
      <c r="K486">
        <v>16</v>
      </c>
      <c r="L486" s="3">
        <v>8.3333333333333329E-2</v>
      </c>
      <c r="M486" t="s">
        <v>31</v>
      </c>
      <c r="N486" t="s">
        <v>240</v>
      </c>
      <c r="O486">
        <f>IF(Table13[[#This Row],[Goal_assist]]="",1,0)</f>
        <v>0</v>
      </c>
    </row>
    <row r="487" spans="1:15" x14ac:dyDescent="0.35">
      <c r="A487" t="s">
        <v>14</v>
      </c>
      <c r="B487" s="1">
        <v>45637</v>
      </c>
      <c r="C487" t="s">
        <v>65</v>
      </c>
      <c r="D487">
        <v>29</v>
      </c>
      <c r="E487" s="2">
        <v>40989</v>
      </c>
      <c r="F487" t="s">
        <v>24</v>
      </c>
      <c r="G487" t="s">
        <v>112</v>
      </c>
      <c r="H487" t="s">
        <v>180</v>
      </c>
      <c r="I487" s="3">
        <v>4.2361111111111113E-2</v>
      </c>
      <c r="J487" t="s">
        <v>19</v>
      </c>
      <c r="K487">
        <v>61</v>
      </c>
      <c r="L487" s="3">
        <v>6.9444444444444447E-4</v>
      </c>
      <c r="M487" t="s">
        <v>26</v>
      </c>
      <c r="N487" t="s">
        <v>204</v>
      </c>
      <c r="O487">
        <f>IF(Table13[[#This Row],[Goal_assist]]="",1,0)</f>
        <v>0</v>
      </c>
    </row>
    <row r="488" spans="1:15" x14ac:dyDescent="0.35">
      <c r="A488" t="s">
        <v>14</v>
      </c>
      <c r="B488" s="1">
        <v>45637</v>
      </c>
      <c r="C488" t="s">
        <v>65</v>
      </c>
      <c r="D488">
        <v>30</v>
      </c>
      <c r="E488" s="2">
        <v>40992</v>
      </c>
      <c r="F488" t="s">
        <v>16</v>
      </c>
      <c r="G488" t="s">
        <v>112</v>
      </c>
      <c r="H488" t="s">
        <v>217</v>
      </c>
      <c r="I488" s="3">
        <v>0.20902777777777778</v>
      </c>
      <c r="J488" t="s">
        <v>19</v>
      </c>
      <c r="K488">
        <v>32</v>
      </c>
      <c r="L488" s="3">
        <v>8.3333333333333329E-2</v>
      </c>
      <c r="M488" t="s">
        <v>26</v>
      </c>
      <c r="N488" t="s">
        <v>198</v>
      </c>
      <c r="O488">
        <f>IF(Table13[[#This Row],[Goal_assist]]="",1,0)</f>
        <v>0</v>
      </c>
    </row>
    <row r="489" spans="1:15" x14ac:dyDescent="0.35">
      <c r="A489" t="s">
        <v>14</v>
      </c>
      <c r="B489" s="1">
        <v>45637</v>
      </c>
      <c r="C489" t="s">
        <v>65</v>
      </c>
      <c r="D489">
        <v>30</v>
      </c>
      <c r="E489" s="2">
        <v>40992</v>
      </c>
      <c r="F489" t="s">
        <v>16</v>
      </c>
      <c r="G489" t="s">
        <v>112</v>
      </c>
      <c r="H489" t="s">
        <v>217</v>
      </c>
      <c r="I489" s="3">
        <v>0.20902777777777778</v>
      </c>
      <c r="J489" t="s">
        <v>19</v>
      </c>
      <c r="K489">
        <v>55</v>
      </c>
      <c r="L489" s="3">
        <v>0.20902777777777778</v>
      </c>
      <c r="M489" t="s">
        <v>26</v>
      </c>
      <c r="N489" t="s">
        <v>188</v>
      </c>
      <c r="O489">
        <f>IF(Table13[[#This Row],[Goal_assist]]="",1,0)</f>
        <v>0</v>
      </c>
    </row>
    <row r="490" spans="1:15" x14ac:dyDescent="0.35">
      <c r="A490" t="s">
        <v>64</v>
      </c>
      <c r="B490" s="1">
        <v>45637</v>
      </c>
      <c r="C490" t="s">
        <v>65</v>
      </c>
      <c r="D490">
        <v>30</v>
      </c>
      <c r="E490" s="2">
        <v>40992</v>
      </c>
      <c r="F490" t="s">
        <v>24</v>
      </c>
      <c r="G490" t="s">
        <v>66</v>
      </c>
      <c r="H490" t="s">
        <v>89</v>
      </c>
      <c r="I490" s="3">
        <v>1.3888888888888889E-3</v>
      </c>
      <c r="J490" t="s">
        <v>68</v>
      </c>
      <c r="K490">
        <v>25</v>
      </c>
      <c r="L490" s="3">
        <v>6.9444444444444447E-4</v>
      </c>
      <c r="M490" t="s">
        <v>39</v>
      </c>
      <c r="O490">
        <f>IF(Table13[[#This Row],[Goal_assist]]="",1,0)</f>
        <v>1</v>
      </c>
    </row>
    <row r="491" spans="1:15" x14ac:dyDescent="0.35">
      <c r="A491" t="s">
        <v>64</v>
      </c>
      <c r="B491" s="1">
        <v>45637</v>
      </c>
      <c r="C491" t="s">
        <v>65</v>
      </c>
      <c r="D491">
        <v>31</v>
      </c>
      <c r="E491" s="2">
        <v>40999</v>
      </c>
      <c r="F491" t="s">
        <v>16</v>
      </c>
      <c r="G491" t="s">
        <v>66</v>
      </c>
      <c r="H491" t="s">
        <v>86</v>
      </c>
      <c r="I491" s="3">
        <v>8.3333333333333329E-2</v>
      </c>
      <c r="J491" t="s">
        <v>68</v>
      </c>
      <c r="K491">
        <v>57</v>
      </c>
      <c r="L491" s="3">
        <v>8.3333333333333329E-2</v>
      </c>
      <c r="M491" t="s">
        <v>83</v>
      </c>
      <c r="O491">
        <f>IF(Table13[[#This Row],[Goal_assist]]="",1,0)</f>
        <v>1</v>
      </c>
    </row>
    <row r="492" spans="1:15" x14ac:dyDescent="0.35">
      <c r="A492" t="s">
        <v>14</v>
      </c>
      <c r="B492" s="1">
        <v>45637</v>
      </c>
      <c r="C492" t="s">
        <v>65</v>
      </c>
      <c r="D492">
        <v>31</v>
      </c>
      <c r="E492" s="2">
        <v>40999</v>
      </c>
      <c r="F492" t="s">
        <v>24</v>
      </c>
      <c r="G492" t="s">
        <v>112</v>
      </c>
      <c r="H492" t="s">
        <v>100</v>
      </c>
      <c r="I492" s="3">
        <v>4.5138888888888888E-2</v>
      </c>
      <c r="J492" t="s">
        <v>19</v>
      </c>
      <c r="K492">
        <v>37</v>
      </c>
      <c r="L492" s="3">
        <v>1.3888888888888889E-3</v>
      </c>
      <c r="M492" t="s">
        <v>170</v>
      </c>
      <c r="N492" t="s">
        <v>205</v>
      </c>
      <c r="O492">
        <f>IF(Table13[[#This Row],[Goal_assist]]="",1,0)</f>
        <v>0</v>
      </c>
    </row>
    <row r="493" spans="1:15" x14ac:dyDescent="0.35">
      <c r="A493" t="s">
        <v>14</v>
      </c>
      <c r="B493" s="1">
        <v>45637</v>
      </c>
      <c r="C493" t="s">
        <v>65</v>
      </c>
      <c r="D493">
        <v>31</v>
      </c>
      <c r="E493" s="2">
        <v>40999</v>
      </c>
      <c r="F493" t="s">
        <v>24</v>
      </c>
      <c r="G493" t="s">
        <v>112</v>
      </c>
      <c r="H493" t="s">
        <v>100</v>
      </c>
      <c r="I493" s="3">
        <v>4.5138888888888888E-2</v>
      </c>
      <c r="J493" t="s">
        <v>19</v>
      </c>
      <c r="K493">
        <v>70</v>
      </c>
      <c r="L493" s="3">
        <v>4.4444444444444446E-2</v>
      </c>
      <c r="M493" t="s">
        <v>39</v>
      </c>
      <c r="O493">
        <f>IF(Table13[[#This Row],[Goal_assist]]="",1,0)</f>
        <v>1</v>
      </c>
    </row>
    <row r="494" spans="1:15" x14ac:dyDescent="0.35">
      <c r="A494" t="s">
        <v>64</v>
      </c>
      <c r="B494" s="1">
        <v>45637</v>
      </c>
      <c r="C494" t="s">
        <v>75</v>
      </c>
      <c r="D494" t="s">
        <v>92</v>
      </c>
      <c r="E494" s="2">
        <v>41002</v>
      </c>
      <c r="F494" t="s">
        <v>16</v>
      </c>
      <c r="G494" t="s">
        <v>66</v>
      </c>
      <c r="H494" t="s">
        <v>118</v>
      </c>
      <c r="I494" s="3">
        <v>0.12569444444444444</v>
      </c>
      <c r="J494" t="s">
        <v>38</v>
      </c>
      <c r="K494">
        <v>42</v>
      </c>
      <c r="L494" s="3">
        <v>8.4027777777777785E-2</v>
      </c>
      <c r="M494" t="s">
        <v>83</v>
      </c>
      <c r="O494">
        <f>IF(Table13[[#This Row],[Goal_assist]]="",1,0)</f>
        <v>1</v>
      </c>
    </row>
    <row r="495" spans="1:15" x14ac:dyDescent="0.35">
      <c r="A495" t="s">
        <v>64</v>
      </c>
      <c r="B495" s="1">
        <v>45637</v>
      </c>
      <c r="C495" t="s">
        <v>75</v>
      </c>
      <c r="D495" t="s">
        <v>92</v>
      </c>
      <c r="E495" s="2">
        <v>41002</v>
      </c>
      <c r="F495" t="s">
        <v>16</v>
      </c>
      <c r="G495" t="s">
        <v>66</v>
      </c>
      <c r="H495" t="s">
        <v>118</v>
      </c>
      <c r="I495" s="3">
        <v>0.12569444444444444</v>
      </c>
      <c r="J495" t="s">
        <v>38</v>
      </c>
      <c r="K495">
        <v>11</v>
      </c>
      <c r="L495" s="3">
        <v>4.1666666666666664E-2</v>
      </c>
      <c r="M495" t="s">
        <v>83</v>
      </c>
      <c r="O495">
        <f>IF(Table13[[#This Row],[Goal_assist]]="",1,0)</f>
        <v>1</v>
      </c>
    </row>
    <row r="496" spans="1:15" x14ac:dyDescent="0.35">
      <c r="A496" t="s">
        <v>14</v>
      </c>
      <c r="B496" s="1">
        <v>45637</v>
      </c>
      <c r="C496" t="s">
        <v>75</v>
      </c>
      <c r="D496" t="s">
        <v>92</v>
      </c>
      <c r="E496" s="2">
        <v>41003</v>
      </c>
      <c r="F496" t="s">
        <v>16</v>
      </c>
      <c r="G496" t="s">
        <v>112</v>
      </c>
      <c r="H496" t="s">
        <v>241</v>
      </c>
      <c r="I496" s="3">
        <v>0.20972222222222223</v>
      </c>
      <c r="J496" t="s">
        <v>19</v>
      </c>
      <c r="K496">
        <v>26</v>
      </c>
      <c r="L496" s="3">
        <v>4.1666666666666664E-2</v>
      </c>
      <c r="M496" t="s">
        <v>26</v>
      </c>
      <c r="N496" t="s">
        <v>201</v>
      </c>
      <c r="O496">
        <f>IF(Table13[[#This Row],[Goal_assist]]="",1,0)</f>
        <v>0</v>
      </c>
    </row>
    <row r="497" spans="1:15" x14ac:dyDescent="0.35">
      <c r="A497" t="s">
        <v>14</v>
      </c>
      <c r="B497" s="1">
        <v>45637</v>
      </c>
      <c r="C497" t="s">
        <v>75</v>
      </c>
      <c r="D497" t="s">
        <v>92</v>
      </c>
      <c r="E497" s="2">
        <v>41003</v>
      </c>
      <c r="F497" t="s">
        <v>16</v>
      </c>
      <c r="G497" t="s">
        <v>112</v>
      </c>
      <c r="H497" t="s">
        <v>241</v>
      </c>
      <c r="I497" s="3">
        <v>0.20972222222222223</v>
      </c>
      <c r="J497" t="s">
        <v>19</v>
      </c>
      <c r="K497">
        <v>75</v>
      </c>
      <c r="L497" s="3">
        <v>0.12569444444444444</v>
      </c>
      <c r="M497" t="s">
        <v>39</v>
      </c>
      <c r="O497">
        <f>IF(Table13[[#This Row],[Goal_assist]]="",1,0)</f>
        <v>1</v>
      </c>
    </row>
    <row r="498" spans="1:15" x14ac:dyDescent="0.35">
      <c r="A498" t="s">
        <v>64</v>
      </c>
      <c r="B498" s="1">
        <v>45637</v>
      </c>
      <c r="C498" t="s">
        <v>65</v>
      </c>
      <c r="D498">
        <v>32</v>
      </c>
      <c r="E498" s="2">
        <v>41006</v>
      </c>
      <c r="F498" t="s">
        <v>24</v>
      </c>
      <c r="G498" t="s">
        <v>66</v>
      </c>
      <c r="H498" t="s">
        <v>93</v>
      </c>
      <c r="I498" s="3">
        <v>4.4444444444444446E-2</v>
      </c>
      <c r="J498" t="s">
        <v>68</v>
      </c>
      <c r="K498">
        <v>86</v>
      </c>
      <c r="L498" s="3">
        <v>4.3749999999999997E-2</v>
      </c>
      <c r="M498" t="s">
        <v>83</v>
      </c>
      <c r="O498">
        <f>IF(Table13[[#This Row],[Goal_assist]]="",1,0)</f>
        <v>1</v>
      </c>
    </row>
    <row r="499" spans="1:15" x14ac:dyDescent="0.35">
      <c r="A499" t="s">
        <v>64</v>
      </c>
      <c r="B499" s="1">
        <v>45637</v>
      </c>
      <c r="C499" t="s">
        <v>65</v>
      </c>
      <c r="D499">
        <v>32</v>
      </c>
      <c r="E499" s="2">
        <v>41006</v>
      </c>
      <c r="F499" t="s">
        <v>24</v>
      </c>
      <c r="G499" t="s">
        <v>66</v>
      </c>
      <c r="H499" t="s">
        <v>93</v>
      </c>
      <c r="I499" s="3">
        <v>4.4444444444444446E-2</v>
      </c>
      <c r="J499" t="s">
        <v>68</v>
      </c>
      <c r="K499">
        <v>39</v>
      </c>
      <c r="L499" s="3">
        <v>4.3055555555555555E-2</v>
      </c>
      <c r="M499" t="s">
        <v>31</v>
      </c>
      <c r="N499" t="s">
        <v>234</v>
      </c>
      <c r="O499">
        <f>IF(Table13[[#This Row],[Goal_assist]]="",1,0)</f>
        <v>0</v>
      </c>
    </row>
    <row r="500" spans="1:15" x14ac:dyDescent="0.35">
      <c r="A500" t="s">
        <v>64</v>
      </c>
      <c r="B500" s="1">
        <v>45637</v>
      </c>
      <c r="C500" t="s">
        <v>65</v>
      </c>
      <c r="D500">
        <v>33</v>
      </c>
      <c r="E500" s="2">
        <v>41009</v>
      </c>
      <c r="F500" t="s">
        <v>16</v>
      </c>
      <c r="G500" t="s">
        <v>66</v>
      </c>
      <c r="H500" t="s">
        <v>117</v>
      </c>
      <c r="I500" s="3">
        <v>0.16666666666666666</v>
      </c>
      <c r="J500" t="s">
        <v>68</v>
      </c>
      <c r="K500">
        <v>44</v>
      </c>
      <c r="L500" s="3">
        <v>8.3333333333333329E-2</v>
      </c>
      <c r="M500" t="s">
        <v>31</v>
      </c>
      <c r="N500" t="s">
        <v>99</v>
      </c>
      <c r="O500">
        <f>IF(Table13[[#This Row],[Goal_assist]]="",1,0)</f>
        <v>0</v>
      </c>
    </row>
    <row r="501" spans="1:15" x14ac:dyDescent="0.35">
      <c r="A501" t="s">
        <v>14</v>
      </c>
      <c r="B501" s="1">
        <v>45637</v>
      </c>
      <c r="C501" t="s">
        <v>65</v>
      </c>
      <c r="D501">
        <v>33</v>
      </c>
      <c r="E501" s="2">
        <v>41010</v>
      </c>
      <c r="F501" t="s">
        <v>24</v>
      </c>
      <c r="G501" t="s">
        <v>112</v>
      </c>
      <c r="H501" t="s">
        <v>119</v>
      </c>
      <c r="I501" s="3">
        <v>4.4444444444444446E-2</v>
      </c>
      <c r="J501" t="s">
        <v>19</v>
      </c>
      <c r="K501">
        <v>67</v>
      </c>
      <c r="L501" s="3">
        <v>4.3055555555555555E-2</v>
      </c>
      <c r="M501" t="s">
        <v>170</v>
      </c>
      <c r="O501">
        <f>IF(Table13[[#This Row],[Goal_assist]]="",1,0)</f>
        <v>1</v>
      </c>
    </row>
    <row r="502" spans="1:15" x14ac:dyDescent="0.35">
      <c r="A502" t="s">
        <v>14</v>
      </c>
      <c r="B502" s="1">
        <v>45637</v>
      </c>
      <c r="C502" t="s">
        <v>65</v>
      </c>
      <c r="D502">
        <v>33</v>
      </c>
      <c r="E502" s="2">
        <v>41010</v>
      </c>
      <c r="F502" t="s">
        <v>24</v>
      </c>
      <c r="G502" t="s">
        <v>112</v>
      </c>
      <c r="H502" t="s">
        <v>119</v>
      </c>
      <c r="I502" s="3">
        <v>4.4444444444444446E-2</v>
      </c>
      <c r="J502" t="s">
        <v>19</v>
      </c>
      <c r="K502">
        <v>24</v>
      </c>
      <c r="L502" s="3">
        <v>6.9444444444444447E-4</v>
      </c>
      <c r="M502" t="s">
        <v>39</v>
      </c>
      <c r="O502">
        <f>IF(Table13[[#This Row],[Goal_assist]]="",1,0)</f>
        <v>1</v>
      </c>
    </row>
    <row r="503" spans="1:15" x14ac:dyDescent="0.35">
      <c r="A503" t="s">
        <v>14</v>
      </c>
      <c r="B503" s="1">
        <v>45637</v>
      </c>
      <c r="C503" t="s">
        <v>65</v>
      </c>
      <c r="D503">
        <v>33</v>
      </c>
      <c r="E503" s="2">
        <v>41010</v>
      </c>
      <c r="F503" t="s">
        <v>24</v>
      </c>
      <c r="G503" t="s">
        <v>112</v>
      </c>
      <c r="H503" t="s">
        <v>119</v>
      </c>
      <c r="I503" s="3">
        <v>4.4444444444444446E-2</v>
      </c>
      <c r="J503" t="s">
        <v>19</v>
      </c>
      <c r="K503">
        <v>82</v>
      </c>
      <c r="L503" s="3">
        <v>4.3749999999999997E-2</v>
      </c>
      <c r="M503" t="s">
        <v>83</v>
      </c>
      <c r="O503">
        <f>IF(Table13[[#This Row],[Goal_assist]]="",1,0)</f>
        <v>1</v>
      </c>
    </row>
    <row r="504" spans="1:15" x14ac:dyDescent="0.35">
      <c r="A504" t="s">
        <v>64</v>
      </c>
      <c r="B504" s="1">
        <v>45637</v>
      </c>
      <c r="C504" t="s">
        <v>65</v>
      </c>
      <c r="D504">
        <v>34</v>
      </c>
      <c r="E504" s="2">
        <v>41013</v>
      </c>
      <c r="F504" t="s">
        <v>24</v>
      </c>
      <c r="G504" t="s">
        <v>66</v>
      </c>
      <c r="H504" t="s">
        <v>127</v>
      </c>
      <c r="I504" s="3">
        <v>4.3055555555555555E-2</v>
      </c>
      <c r="J504" t="s">
        <v>68</v>
      </c>
      <c r="K504">
        <v>73</v>
      </c>
      <c r="L504" s="3">
        <v>4.3055555555555555E-2</v>
      </c>
      <c r="M504" t="s">
        <v>83</v>
      </c>
      <c r="O504">
        <f>IF(Table13[[#This Row],[Goal_assist]]="",1,0)</f>
        <v>1</v>
      </c>
    </row>
    <row r="505" spans="1:15" x14ac:dyDescent="0.35">
      <c r="A505" t="s">
        <v>64</v>
      </c>
      <c r="B505" s="1">
        <v>45637</v>
      </c>
      <c r="C505" t="s">
        <v>65</v>
      </c>
      <c r="D505">
        <v>34</v>
      </c>
      <c r="E505" s="2">
        <v>41013</v>
      </c>
      <c r="F505" t="s">
        <v>24</v>
      </c>
      <c r="G505" t="s">
        <v>66</v>
      </c>
      <c r="H505" t="s">
        <v>127</v>
      </c>
      <c r="I505" s="3">
        <v>4.3055555555555555E-2</v>
      </c>
      <c r="J505" t="s">
        <v>68</v>
      </c>
      <c r="K505">
        <v>64</v>
      </c>
      <c r="L505" s="3">
        <v>4.2361111111111113E-2</v>
      </c>
      <c r="M505" t="s">
        <v>31</v>
      </c>
      <c r="N505" t="s">
        <v>234</v>
      </c>
      <c r="O505">
        <f>IF(Table13[[#This Row],[Goal_assist]]="",1,0)</f>
        <v>0</v>
      </c>
    </row>
    <row r="506" spans="1:15" x14ac:dyDescent="0.35">
      <c r="A506" t="s">
        <v>14</v>
      </c>
      <c r="B506" s="1">
        <v>45637</v>
      </c>
      <c r="C506" t="s">
        <v>65</v>
      </c>
      <c r="D506">
        <v>34</v>
      </c>
      <c r="E506" s="2">
        <v>41013</v>
      </c>
      <c r="F506" t="s">
        <v>16</v>
      </c>
      <c r="G506" t="s">
        <v>112</v>
      </c>
      <c r="H506" t="s">
        <v>151</v>
      </c>
      <c r="I506" s="3">
        <v>0.12569444444444444</v>
      </c>
      <c r="J506" t="s">
        <v>19</v>
      </c>
      <c r="K506">
        <v>74</v>
      </c>
      <c r="L506" s="3">
        <v>8.4027777777777785E-2</v>
      </c>
      <c r="M506" t="s">
        <v>22</v>
      </c>
      <c r="N506" t="s">
        <v>207</v>
      </c>
      <c r="O506">
        <f>IF(Table13[[#This Row],[Goal_assist]]="",1,0)</f>
        <v>0</v>
      </c>
    </row>
    <row r="507" spans="1:15" x14ac:dyDescent="0.35">
      <c r="A507" t="s">
        <v>14</v>
      </c>
      <c r="B507" s="1">
        <v>45637</v>
      </c>
      <c r="C507" t="s">
        <v>65</v>
      </c>
      <c r="D507">
        <v>35</v>
      </c>
      <c r="E507" s="2">
        <v>41020</v>
      </c>
      <c r="F507" t="s">
        <v>24</v>
      </c>
      <c r="G507" t="s">
        <v>112</v>
      </c>
      <c r="H507" t="s">
        <v>66</v>
      </c>
      <c r="I507" s="3">
        <v>4.3055555555555555E-2</v>
      </c>
      <c r="J507" t="s">
        <v>19</v>
      </c>
      <c r="K507">
        <v>73</v>
      </c>
      <c r="L507" s="3">
        <v>4.3055555555555555E-2</v>
      </c>
      <c r="M507" t="s">
        <v>26</v>
      </c>
      <c r="N507" t="s">
        <v>204</v>
      </c>
      <c r="O507">
        <f>IF(Table13[[#This Row],[Goal_assist]]="",1,0)</f>
        <v>0</v>
      </c>
    </row>
    <row r="508" spans="1:15" x14ac:dyDescent="0.35">
      <c r="A508" t="s">
        <v>14</v>
      </c>
      <c r="B508" s="1">
        <v>45637</v>
      </c>
      <c r="C508" t="s">
        <v>75</v>
      </c>
      <c r="D508" t="s">
        <v>62</v>
      </c>
      <c r="E508" s="2">
        <v>41024</v>
      </c>
      <c r="F508" t="s">
        <v>16</v>
      </c>
      <c r="G508" t="s">
        <v>112</v>
      </c>
      <c r="H508" t="s">
        <v>168</v>
      </c>
      <c r="I508" t="s">
        <v>242</v>
      </c>
      <c r="J508" t="s">
        <v>19</v>
      </c>
      <c r="K508">
        <v>6</v>
      </c>
      <c r="L508" s="3">
        <v>4.1666666666666664E-2</v>
      </c>
      <c r="M508" t="s">
        <v>83</v>
      </c>
      <c r="O508">
        <f>IF(Table13[[#This Row],[Goal_assist]]="",1,0)</f>
        <v>1</v>
      </c>
    </row>
    <row r="509" spans="1:15" x14ac:dyDescent="0.35">
      <c r="A509" t="s">
        <v>14</v>
      </c>
      <c r="B509" s="1">
        <v>45637</v>
      </c>
      <c r="C509" t="s">
        <v>75</v>
      </c>
      <c r="D509" t="s">
        <v>62</v>
      </c>
      <c r="E509" s="2">
        <v>41024</v>
      </c>
      <c r="F509" t="s">
        <v>16</v>
      </c>
      <c r="G509" t="s">
        <v>112</v>
      </c>
      <c r="H509" t="s">
        <v>168</v>
      </c>
      <c r="I509" t="s">
        <v>242</v>
      </c>
      <c r="J509" t="s">
        <v>19</v>
      </c>
      <c r="K509">
        <v>14</v>
      </c>
      <c r="L509" s="3">
        <v>8.3333333333333329E-2</v>
      </c>
      <c r="M509" t="s">
        <v>26</v>
      </c>
      <c r="N509" t="s">
        <v>204</v>
      </c>
      <c r="O509">
        <f>IF(Table13[[#This Row],[Goal_assist]]="",1,0)</f>
        <v>0</v>
      </c>
    </row>
    <row r="510" spans="1:15" x14ac:dyDescent="0.35">
      <c r="A510" t="s">
        <v>64</v>
      </c>
      <c r="B510" s="1">
        <v>45637</v>
      </c>
      <c r="C510" t="s">
        <v>65</v>
      </c>
      <c r="D510">
        <v>36</v>
      </c>
      <c r="E510" s="2">
        <v>41028</v>
      </c>
      <c r="F510" t="s">
        <v>24</v>
      </c>
      <c r="G510" t="s">
        <v>66</v>
      </c>
      <c r="H510" t="s">
        <v>225</v>
      </c>
      <c r="I510" s="3">
        <v>4.8611111111111112E-3</v>
      </c>
      <c r="J510" t="s">
        <v>68</v>
      </c>
      <c r="K510">
        <v>16</v>
      </c>
      <c r="L510" s="3">
        <v>6.9444444444444447E-4</v>
      </c>
      <c r="M510" t="s">
        <v>31</v>
      </c>
      <c r="N510" t="s">
        <v>186</v>
      </c>
      <c r="O510">
        <f>IF(Table13[[#This Row],[Goal_assist]]="",1,0)</f>
        <v>0</v>
      </c>
    </row>
    <row r="511" spans="1:15" x14ac:dyDescent="0.35">
      <c r="A511" t="s">
        <v>64</v>
      </c>
      <c r="B511" s="1">
        <v>45637</v>
      </c>
      <c r="C511" t="s">
        <v>65</v>
      </c>
      <c r="D511">
        <v>36</v>
      </c>
      <c r="E511" s="2">
        <v>41028</v>
      </c>
      <c r="F511" t="s">
        <v>24</v>
      </c>
      <c r="G511" t="s">
        <v>66</v>
      </c>
      <c r="H511" t="s">
        <v>225</v>
      </c>
      <c r="I511" s="3">
        <v>4.8611111111111112E-3</v>
      </c>
      <c r="J511" t="s">
        <v>68</v>
      </c>
      <c r="K511">
        <v>88</v>
      </c>
      <c r="L511" s="3">
        <v>4.8611111111111112E-3</v>
      </c>
      <c r="M511" t="s">
        <v>31</v>
      </c>
      <c r="N511" t="s">
        <v>186</v>
      </c>
      <c r="O511">
        <f>IF(Table13[[#This Row],[Goal_assist]]="",1,0)</f>
        <v>0</v>
      </c>
    </row>
    <row r="512" spans="1:15" x14ac:dyDescent="0.35">
      <c r="A512" t="s">
        <v>14</v>
      </c>
      <c r="B512" s="1">
        <v>45637</v>
      </c>
      <c r="C512" t="s">
        <v>65</v>
      </c>
      <c r="D512">
        <v>36</v>
      </c>
      <c r="E512" s="2">
        <v>41028</v>
      </c>
      <c r="F512" t="s">
        <v>16</v>
      </c>
      <c r="G512" t="s">
        <v>112</v>
      </c>
      <c r="H512" t="s">
        <v>105</v>
      </c>
      <c r="I512" s="3">
        <v>0.125</v>
      </c>
      <c r="J512" t="s">
        <v>19</v>
      </c>
      <c r="K512">
        <v>19</v>
      </c>
      <c r="L512" s="3">
        <v>4.1666666666666664E-2</v>
      </c>
      <c r="M512" t="s">
        <v>26</v>
      </c>
      <c r="N512" t="s">
        <v>183</v>
      </c>
      <c r="O512">
        <f>IF(Table13[[#This Row],[Goal_assist]]="",1,0)</f>
        <v>0</v>
      </c>
    </row>
    <row r="513" spans="1:15" x14ac:dyDescent="0.35">
      <c r="A513" t="s">
        <v>14</v>
      </c>
      <c r="B513" s="1">
        <v>45637</v>
      </c>
      <c r="C513" t="s">
        <v>65</v>
      </c>
      <c r="D513">
        <v>20</v>
      </c>
      <c r="E513" s="2">
        <v>41031</v>
      </c>
      <c r="F513" t="s">
        <v>24</v>
      </c>
      <c r="G513" t="s">
        <v>112</v>
      </c>
      <c r="H513" t="s">
        <v>86</v>
      </c>
      <c r="I513" s="3">
        <v>2.0833333333333333E-3</v>
      </c>
      <c r="J513" t="s">
        <v>19</v>
      </c>
      <c r="K513">
        <v>49</v>
      </c>
      <c r="L513" s="3">
        <v>2.0833333333333333E-3</v>
      </c>
      <c r="M513" t="s">
        <v>22</v>
      </c>
      <c r="N513" t="s">
        <v>205</v>
      </c>
      <c r="O513">
        <f>IF(Table13[[#This Row],[Goal_assist]]="",1,0)</f>
        <v>0</v>
      </c>
    </row>
    <row r="514" spans="1:15" x14ac:dyDescent="0.35">
      <c r="A514" t="s">
        <v>64</v>
      </c>
      <c r="B514" s="1">
        <v>45637</v>
      </c>
      <c r="C514" t="s">
        <v>65</v>
      </c>
      <c r="D514">
        <v>20</v>
      </c>
      <c r="E514" s="2">
        <v>41031</v>
      </c>
      <c r="F514" t="s">
        <v>16</v>
      </c>
      <c r="G514" t="s">
        <v>66</v>
      </c>
      <c r="H514" t="s">
        <v>157</v>
      </c>
      <c r="I514" s="3">
        <v>0.1673611111111111</v>
      </c>
      <c r="J514" t="s">
        <v>68</v>
      </c>
      <c r="K514">
        <v>34</v>
      </c>
      <c r="L514" s="3">
        <v>8.4027777777777785E-2</v>
      </c>
      <c r="M514" t="s">
        <v>83</v>
      </c>
      <c r="O514">
        <f>IF(Table13[[#This Row],[Goal_assist]]="",1,0)</f>
        <v>1</v>
      </c>
    </row>
    <row r="515" spans="1:15" x14ac:dyDescent="0.35">
      <c r="A515" t="s">
        <v>64</v>
      </c>
      <c r="B515" s="1">
        <v>45637</v>
      </c>
      <c r="C515" t="s">
        <v>65</v>
      </c>
      <c r="D515">
        <v>20</v>
      </c>
      <c r="E515" s="2">
        <v>41031</v>
      </c>
      <c r="F515" t="s">
        <v>16</v>
      </c>
      <c r="G515" t="s">
        <v>66</v>
      </c>
      <c r="H515" t="s">
        <v>157</v>
      </c>
      <c r="I515" s="3">
        <v>0.1673611111111111</v>
      </c>
      <c r="J515" t="s">
        <v>68</v>
      </c>
      <c r="K515">
        <v>60</v>
      </c>
      <c r="L515" s="3">
        <v>0.12569444444444444</v>
      </c>
      <c r="M515" t="s">
        <v>83</v>
      </c>
      <c r="O515">
        <f>IF(Table13[[#This Row],[Goal_assist]]="",1,0)</f>
        <v>1</v>
      </c>
    </row>
    <row r="516" spans="1:15" x14ac:dyDescent="0.35">
      <c r="A516" t="s">
        <v>64</v>
      </c>
      <c r="B516" s="1">
        <v>45637</v>
      </c>
      <c r="C516" t="s">
        <v>65</v>
      </c>
      <c r="D516">
        <v>20</v>
      </c>
      <c r="E516" s="2">
        <v>41031</v>
      </c>
      <c r="F516" t="s">
        <v>16</v>
      </c>
      <c r="G516" t="s">
        <v>66</v>
      </c>
      <c r="H516" t="s">
        <v>157</v>
      </c>
      <c r="I516" s="3">
        <v>0.1673611111111111</v>
      </c>
      <c r="J516" t="s">
        <v>68</v>
      </c>
      <c r="K516">
        <v>63</v>
      </c>
      <c r="L516" s="3">
        <v>0.1673611111111111</v>
      </c>
      <c r="M516" t="s">
        <v>31</v>
      </c>
      <c r="N516" t="s">
        <v>99</v>
      </c>
      <c r="O516">
        <f>IF(Table13[[#This Row],[Goal_assist]]="",1,0)</f>
        <v>0</v>
      </c>
    </row>
    <row r="517" spans="1:15" x14ac:dyDescent="0.35">
      <c r="A517" t="s">
        <v>64</v>
      </c>
      <c r="B517" s="1">
        <v>45637</v>
      </c>
      <c r="C517" t="s">
        <v>65</v>
      </c>
      <c r="D517">
        <v>37</v>
      </c>
      <c r="E517" s="2">
        <v>41034</v>
      </c>
      <c r="F517" t="s">
        <v>16</v>
      </c>
      <c r="G517" t="s">
        <v>66</v>
      </c>
      <c r="H517" t="s">
        <v>121</v>
      </c>
      <c r="I517" s="3">
        <v>0.16666666666666666</v>
      </c>
      <c r="J517" t="s">
        <v>68</v>
      </c>
      <c r="K517">
        <v>11</v>
      </c>
      <c r="L517" s="3">
        <v>4.1666666666666664E-2</v>
      </c>
      <c r="M517" t="s">
        <v>39</v>
      </c>
      <c r="O517">
        <f>IF(Table13[[#This Row],[Goal_assist]]="",1,0)</f>
        <v>1</v>
      </c>
    </row>
    <row r="518" spans="1:15" x14ac:dyDescent="0.35">
      <c r="A518" t="s">
        <v>14</v>
      </c>
      <c r="B518" s="1">
        <v>45637</v>
      </c>
      <c r="C518" t="s">
        <v>65</v>
      </c>
      <c r="D518">
        <v>37</v>
      </c>
      <c r="E518" s="2">
        <v>41034</v>
      </c>
      <c r="F518" t="s">
        <v>24</v>
      </c>
      <c r="G518" t="s">
        <v>112</v>
      </c>
      <c r="H518" t="s">
        <v>233</v>
      </c>
      <c r="I518" s="3">
        <v>4.3055555555555555E-2</v>
      </c>
      <c r="J518" t="s">
        <v>19</v>
      </c>
      <c r="K518">
        <v>81</v>
      </c>
      <c r="L518" s="3">
        <v>4.2361111111111113E-2</v>
      </c>
      <c r="M518" t="s">
        <v>83</v>
      </c>
      <c r="O518">
        <f>IF(Table13[[#This Row],[Goal_assist]]="",1,0)</f>
        <v>1</v>
      </c>
    </row>
    <row r="519" spans="1:15" x14ac:dyDescent="0.35">
      <c r="A519" t="s">
        <v>64</v>
      </c>
      <c r="B519" s="1">
        <v>45637</v>
      </c>
      <c r="C519" t="s">
        <v>65</v>
      </c>
      <c r="D519">
        <v>37</v>
      </c>
      <c r="E519" s="2">
        <v>41034</v>
      </c>
      <c r="F519" t="s">
        <v>16</v>
      </c>
      <c r="G519" t="s">
        <v>66</v>
      </c>
      <c r="H519" t="s">
        <v>121</v>
      </c>
      <c r="I519" s="3">
        <v>0.16666666666666666</v>
      </c>
      <c r="J519" t="s">
        <v>68</v>
      </c>
      <c r="K519">
        <v>78</v>
      </c>
      <c r="L519" s="3">
        <v>0.16666666666666666</v>
      </c>
      <c r="M519" t="s">
        <v>83</v>
      </c>
      <c r="O519">
        <f>IF(Table13[[#This Row],[Goal_assist]]="",1,0)</f>
        <v>1</v>
      </c>
    </row>
    <row r="520" spans="1:15" x14ac:dyDescent="0.35">
      <c r="A520" t="s">
        <v>64</v>
      </c>
      <c r="B520" s="1">
        <v>45637</v>
      </c>
      <c r="C520" t="s">
        <v>65</v>
      </c>
      <c r="D520">
        <v>37</v>
      </c>
      <c r="E520" s="2">
        <v>41034</v>
      </c>
      <c r="F520" t="s">
        <v>16</v>
      </c>
      <c r="G520" t="s">
        <v>66</v>
      </c>
      <c r="H520" t="s">
        <v>121</v>
      </c>
      <c r="I520" s="3">
        <v>0.16666666666666666</v>
      </c>
      <c r="J520" t="s">
        <v>68</v>
      </c>
      <c r="K520">
        <v>73</v>
      </c>
      <c r="L520" s="3">
        <v>0.125</v>
      </c>
      <c r="M520" t="s">
        <v>31</v>
      </c>
      <c r="N520" t="s">
        <v>215</v>
      </c>
      <c r="O520">
        <f>IF(Table13[[#This Row],[Goal_assist]]="",1,0)</f>
        <v>0</v>
      </c>
    </row>
    <row r="521" spans="1:15" x14ac:dyDescent="0.35">
      <c r="A521" t="s">
        <v>64</v>
      </c>
      <c r="B521" s="1">
        <v>45637</v>
      </c>
      <c r="C521" t="s">
        <v>65</v>
      </c>
      <c r="D521">
        <v>37</v>
      </c>
      <c r="E521" s="2">
        <v>41034</v>
      </c>
      <c r="F521" t="s">
        <v>16</v>
      </c>
      <c r="G521" t="s">
        <v>66</v>
      </c>
      <c r="H521" t="s">
        <v>121</v>
      </c>
      <c r="I521" s="3">
        <v>0.16666666666666666</v>
      </c>
      <c r="J521" t="s">
        <v>68</v>
      </c>
      <c r="K521">
        <v>63</v>
      </c>
      <c r="L521" s="3">
        <v>8.3333333333333329E-2</v>
      </c>
      <c r="M521" t="s">
        <v>83</v>
      </c>
      <c r="O521">
        <f>IF(Table13[[#This Row],[Goal_assist]]="",1,0)</f>
        <v>1</v>
      </c>
    </row>
    <row r="522" spans="1:15" x14ac:dyDescent="0.35">
      <c r="A522" t="s">
        <v>14</v>
      </c>
      <c r="B522" s="1">
        <v>45637</v>
      </c>
      <c r="C522" t="s">
        <v>65</v>
      </c>
      <c r="D522">
        <v>38</v>
      </c>
      <c r="E522" s="2">
        <v>41042</v>
      </c>
      <c r="F522" t="s">
        <v>16</v>
      </c>
      <c r="G522" t="s">
        <v>112</v>
      </c>
      <c r="H522" t="s">
        <v>89</v>
      </c>
      <c r="I522" s="3">
        <v>0.1673611111111111</v>
      </c>
      <c r="J522" t="s">
        <v>19</v>
      </c>
      <c r="K522">
        <v>18</v>
      </c>
      <c r="L522" s="3">
        <v>4.1666666666666664E-2</v>
      </c>
      <c r="M522" t="s">
        <v>22</v>
      </c>
      <c r="N522" t="s">
        <v>201</v>
      </c>
      <c r="O522">
        <f>IF(Table13[[#This Row],[Goal_assist]]="",1,0)</f>
        <v>0</v>
      </c>
    </row>
    <row r="523" spans="1:15" x14ac:dyDescent="0.35">
      <c r="A523" t="s">
        <v>64</v>
      </c>
      <c r="B523" s="1">
        <v>45637</v>
      </c>
      <c r="C523" t="s">
        <v>91</v>
      </c>
      <c r="D523" t="s">
        <v>46</v>
      </c>
      <c r="E523" s="2">
        <v>41054</v>
      </c>
      <c r="F523" t="s">
        <v>16</v>
      </c>
      <c r="G523" t="s">
        <v>66</v>
      </c>
      <c r="H523" t="s">
        <v>86</v>
      </c>
      <c r="I523" s="3">
        <v>0.125</v>
      </c>
      <c r="J523" t="s">
        <v>68</v>
      </c>
      <c r="K523">
        <v>20</v>
      </c>
      <c r="L523" s="3">
        <v>8.3333333333333329E-2</v>
      </c>
      <c r="M523" t="s">
        <v>26</v>
      </c>
      <c r="N523" t="s">
        <v>99</v>
      </c>
      <c r="O523">
        <f>IF(Table13[[#This Row],[Goal_assist]]="",1,0)</f>
        <v>0</v>
      </c>
    </row>
    <row r="524" spans="1:15" x14ac:dyDescent="0.35">
      <c r="A524" t="s">
        <v>64</v>
      </c>
      <c r="B524" s="4">
        <v>41609</v>
      </c>
      <c r="C524" t="s">
        <v>65</v>
      </c>
      <c r="D524">
        <v>1</v>
      </c>
      <c r="E524" s="2">
        <v>41140</v>
      </c>
      <c r="F524" t="s">
        <v>16</v>
      </c>
      <c r="G524" t="s">
        <v>66</v>
      </c>
      <c r="H524" t="s">
        <v>217</v>
      </c>
      <c r="I524" s="3">
        <v>0.20902777777777778</v>
      </c>
      <c r="J524" t="s">
        <v>68</v>
      </c>
      <c r="K524">
        <v>10</v>
      </c>
      <c r="L524" s="3">
        <v>8.4027777777777785E-2</v>
      </c>
      <c r="M524" t="s">
        <v>31</v>
      </c>
      <c r="N524" t="s">
        <v>186</v>
      </c>
      <c r="O524">
        <f>IF(Table13[[#This Row],[Goal_assist]]="",1,0)</f>
        <v>0</v>
      </c>
    </row>
    <row r="525" spans="1:15" x14ac:dyDescent="0.35">
      <c r="A525" t="s">
        <v>64</v>
      </c>
      <c r="B525" s="4">
        <v>41609</v>
      </c>
      <c r="C525" t="s">
        <v>65</v>
      </c>
      <c r="D525">
        <v>1</v>
      </c>
      <c r="E525" s="2">
        <v>41140</v>
      </c>
      <c r="F525" t="s">
        <v>16</v>
      </c>
      <c r="G525" t="s">
        <v>66</v>
      </c>
      <c r="H525" t="s">
        <v>217</v>
      </c>
      <c r="I525" s="3">
        <v>0.20902777777777778</v>
      </c>
      <c r="J525" t="s">
        <v>68</v>
      </c>
      <c r="K525">
        <v>15</v>
      </c>
      <c r="L525" s="3">
        <v>0.12569444444444444</v>
      </c>
      <c r="M525" t="s">
        <v>31</v>
      </c>
      <c r="N525" t="s">
        <v>237</v>
      </c>
      <c r="O525">
        <f>IF(Table13[[#This Row],[Goal_assist]]="",1,0)</f>
        <v>0</v>
      </c>
    </row>
    <row r="526" spans="1:15" x14ac:dyDescent="0.35">
      <c r="A526" t="s">
        <v>64</v>
      </c>
      <c r="B526" s="4">
        <v>41609</v>
      </c>
      <c r="C526" t="s">
        <v>172</v>
      </c>
      <c r="D526" t="s">
        <v>173</v>
      </c>
      <c r="E526" s="2">
        <v>41144</v>
      </c>
      <c r="F526" t="s">
        <v>16</v>
      </c>
      <c r="G526" t="s">
        <v>66</v>
      </c>
      <c r="H526" t="s">
        <v>112</v>
      </c>
      <c r="I526" s="3">
        <v>0.12638888888888888</v>
      </c>
      <c r="J526" t="s">
        <v>68</v>
      </c>
      <c r="K526">
        <v>60</v>
      </c>
      <c r="L526" s="3">
        <v>8.4027777777777785E-2</v>
      </c>
      <c r="M526" t="s">
        <v>83</v>
      </c>
      <c r="O526">
        <f>IF(Table13[[#This Row],[Goal_assist]]="",1,0)</f>
        <v>1</v>
      </c>
    </row>
    <row r="527" spans="1:15" x14ac:dyDescent="0.35">
      <c r="A527" t="s">
        <v>14</v>
      </c>
      <c r="B527" s="4">
        <v>41609</v>
      </c>
      <c r="C527" t="s">
        <v>172</v>
      </c>
      <c r="D527" t="s">
        <v>173</v>
      </c>
      <c r="E527" s="2">
        <v>41144</v>
      </c>
      <c r="F527" t="s">
        <v>24</v>
      </c>
      <c r="G527" t="s">
        <v>112</v>
      </c>
      <c r="H527" t="s">
        <v>66</v>
      </c>
      <c r="I527" s="3">
        <v>0.12638888888888888</v>
      </c>
      <c r="J527" t="s">
        <v>19</v>
      </c>
      <c r="K527">
        <v>55</v>
      </c>
      <c r="L527" s="3">
        <v>6.9444444444444447E-4</v>
      </c>
      <c r="M527" t="s">
        <v>22</v>
      </c>
      <c r="N527" t="s">
        <v>204</v>
      </c>
      <c r="O527">
        <f>IF(Table13[[#This Row],[Goal_assist]]="",1,0)</f>
        <v>0</v>
      </c>
    </row>
    <row r="528" spans="1:15" x14ac:dyDescent="0.35">
      <c r="A528" t="s">
        <v>64</v>
      </c>
      <c r="B528" s="4">
        <v>41609</v>
      </c>
      <c r="C528" t="s">
        <v>65</v>
      </c>
      <c r="D528">
        <v>2</v>
      </c>
      <c r="E528" s="2">
        <v>41147</v>
      </c>
      <c r="F528" t="s">
        <v>24</v>
      </c>
      <c r="G528" t="s">
        <v>66</v>
      </c>
      <c r="H528" t="s">
        <v>100</v>
      </c>
      <c r="I528" s="3">
        <v>4.3055555555555555E-2</v>
      </c>
      <c r="J528" t="s">
        <v>68</v>
      </c>
      <c r="K528">
        <v>74</v>
      </c>
      <c r="L528" s="3">
        <v>4.2361111111111113E-2</v>
      </c>
      <c r="M528" t="s">
        <v>31</v>
      </c>
      <c r="N528" t="s">
        <v>234</v>
      </c>
      <c r="O528">
        <f>IF(Table13[[#This Row],[Goal_assist]]="",1,0)</f>
        <v>0</v>
      </c>
    </row>
    <row r="529" spans="1:15" x14ac:dyDescent="0.35">
      <c r="A529" t="s">
        <v>64</v>
      </c>
      <c r="B529" s="4">
        <v>41609</v>
      </c>
      <c r="C529" t="s">
        <v>65</v>
      </c>
      <c r="D529">
        <v>2</v>
      </c>
      <c r="E529" s="2">
        <v>41147</v>
      </c>
      <c r="F529" t="s">
        <v>24</v>
      </c>
      <c r="G529" t="s">
        <v>66</v>
      </c>
      <c r="H529" t="s">
        <v>100</v>
      </c>
      <c r="I529" s="3">
        <v>4.3055555555555555E-2</v>
      </c>
      <c r="J529" t="s">
        <v>68</v>
      </c>
      <c r="K529">
        <v>79</v>
      </c>
      <c r="L529" s="3">
        <v>4.3055555555555555E-2</v>
      </c>
      <c r="M529" t="s">
        <v>31</v>
      </c>
      <c r="N529" t="s">
        <v>243</v>
      </c>
      <c r="O529">
        <f>IF(Table13[[#This Row],[Goal_assist]]="",1,0)</f>
        <v>0</v>
      </c>
    </row>
    <row r="530" spans="1:15" x14ac:dyDescent="0.35">
      <c r="A530" t="s">
        <v>14</v>
      </c>
      <c r="B530" s="4">
        <v>41609</v>
      </c>
      <c r="C530" t="s">
        <v>172</v>
      </c>
      <c r="D530" t="s">
        <v>173</v>
      </c>
      <c r="E530" s="2">
        <v>41150</v>
      </c>
      <c r="F530" t="s">
        <v>16</v>
      </c>
      <c r="G530" t="s">
        <v>112</v>
      </c>
      <c r="H530" t="s">
        <v>66</v>
      </c>
      <c r="I530" s="3">
        <v>8.4027777777777785E-2</v>
      </c>
      <c r="J530" t="s">
        <v>19</v>
      </c>
      <c r="K530">
        <v>19</v>
      </c>
      <c r="L530" s="3">
        <v>8.3333333333333329E-2</v>
      </c>
      <c r="M530" t="s">
        <v>26</v>
      </c>
      <c r="N530" t="s">
        <v>219</v>
      </c>
      <c r="O530">
        <f>IF(Table13[[#This Row],[Goal_assist]]="",1,0)</f>
        <v>0</v>
      </c>
    </row>
    <row r="531" spans="1:15" x14ac:dyDescent="0.35">
      <c r="A531" t="s">
        <v>64</v>
      </c>
      <c r="B531" s="4">
        <v>41609</v>
      </c>
      <c r="C531" t="s">
        <v>172</v>
      </c>
      <c r="D531" t="s">
        <v>173</v>
      </c>
      <c r="E531" s="2">
        <v>41150</v>
      </c>
      <c r="F531" t="s">
        <v>24</v>
      </c>
      <c r="G531" t="s">
        <v>66</v>
      </c>
      <c r="H531" t="s">
        <v>112</v>
      </c>
      <c r="I531" s="3">
        <v>8.4027777777777785E-2</v>
      </c>
      <c r="J531" t="s">
        <v>68</v>
      </c>
      <c r="K531">
        <v>45</v>
      </c>
      <c r="L531" s="3">
        <v>8.4027777777777785E-2</v>
      </c>
      <c r="M531" t="s">
        <v>39</v>
      </c>
      <c r="O531">
        <f>IF(Table13[[#This Row],[Goal_assist]]="",1,0)</f>
        <v>1</v>
      </c>
    </row>
    <row r="532" spans="1:15" x14ac:dyDescent="0.35">
      <c r="A532" t="s">
        <v>14</v>
      </c>
      <c r="B532" s="4">
        <v>41609</v>
      </c>
      <c r="C532" t="s">
        <v>65</v>
      </c>
      <c r="D532">
        <v>3</v>
      </c>
      <c r="E532" s="2">
        <v>41154</v>
      </c>
      <c r="F532" t="s">
        <v>16</v>
      </c>
      <c r="G532" t="s">
        <v>112</v>
      </c>
      <c r="H532" t="s">
        <v>233</v>
      </c>
      <c r="I532" s="3">
        <v>0.125</v>
      </c>
      <c r="J532" t="s">
        <v>19</v>
      </c>
      <c r="K532">
        <v>25</v>
      </c>
      <c r="L532" s="3">
        <v>4.1666666666666664E-2</v>
      </c>
      <c r="M532" t="s">
        <v>26</v>
      </c>
      <c r="N532" t="s">
        <v>244</v>
      </c>
      <c r="O532">
        <f>IF(Table13[[#This Row],[Goal_assist]]="",1,0)</f>
        <v>0</v>
      </c>
    </row>
    <row r="533" spans="1:15" x14ac:dyDescent="0.35">
      <c r="A533" t="s">
        <v>14</v>
      </c>
      <c r="B533" s="4">
        <v>41609</v>
      </c>
      <c r="C533" t="s">
        <v>65</v>
      </c>
      <c r="D533">
        <v>3</v>
      </c>
      <c r="E533" s="2">
        <v>41154</v>
      </c>
      <c r="F533" t="s">
        <v>16</v>
      </c>
      <c r="G533" t="s">
        <v>112</v>
      </c>
      <c r="H533" t="s">
        <v>233</v>
      </c>
      <c r="I533" s="3">
        <v>0.125</v>
      </c>
      <c r="J533" t="s">
        <v>19</v>
      </c>
      <c r="K533">
        <v>53</v>
      </c>
      <c r="L533" s="3">
        <v>8.3333333333333329E-2</v>
      </c>
      <c r="M533" t="s">
        <v>31</v>
      </c>
      <c r="O533">
        <f>IF(Table13[[#This Row],[Goal_assist]]="",1,0)</f>
        <v>1</v>
      </c>
    </row>
    <row r="534" spans="1:15" x14ac:dyDescent="0.35">
      <c r="A534" t="s">
        <v>64</v>
      </c>
      <c r="B534" s="4">
        <v>41609</v>
      </c>
      <c r="C534" t="s">
        <v>65</v>
      </c>
      <c r="D534">
        <v>4</v>
      </c>
      <c r="E534" s="2">
        <v>41167</v>
      </c>
      <c r="F534" t="s">
        <v>24</v>
      </c>
      <c r="G534" t="s">
        <v>66</v>
      </c>
      <c r="H534" t="s">
        <v>117</v>
      </c>
      <c r="I534" s="3">
        <v>4.4444444444444446E-2</v>
      </c>
      <c r="J534" t="s">
        <v>68</v>
      </c>
      <c r="K534">
        <v>78</v>
      </c>
      <c r="L534" s="3">
        <v>2.0833333333333333E-3</v>
      </c>
      <c r="M534" t="s">
        <v>31</v>
      </c>
      <c r="N534" t="s">
        <v>186</v>
      </c>
      <c r="O534">
        <f>IF(Table13[[#This Row],[Goal_assist]]="",1,0)</f>
        <v>0</v>
      </c>
    </row>
    <row r="535" spans="1:15" x14ac:dyDescent="0.35">
      <c r="A535" t="s">
        <v>64</v>
      </c>
      <c r="B535" s="4">
        <v>41609</v>
      </c>
      <c r="C535" t="s">
        <v>65</v>
      </c>
      <c r="D535">
        <v>4</v>
      </c>
      <c r="E535" s="2">
        <v>41167</v>
      </c>
      <c r="F535" t="s">
        <v>24</v>
      </c>
      <c r="G535" t="s">
        <v>66</v>
      </c>
      <c r="H535" t="s">
        <v>117</v>
      </c>
      <c r="I535" s="3">
        <v>4.4444444444444446E-2</v>
      </c>
      <c r="J535" t="s">
        <v>68</v>
      </c>
      <c r="K535">
        <v>74</v>
      </c>
      <c r="L535" s="3">
        <v>1.3888888888888889E-3</v>
      </c>
      <c r="M535" t="s">
        <v>83</v>
      </c>
      <c r="O535">
        <f>IF(Table13[[#This Row],[Goal_assist]]="",1,0)</f>
        <v>1</v>
      </c>
    </row>
    <row r="536" spans="1:15" x14ac:dyDescent="0.35">
      <c r="A536" t="s">
        <v>14</v>
      </c>
      <c r="B536" s="4">
        <v>41609</v>
      </c>
      <c r="C536" t="s">
        <v>75</v>
      </c>
      <c r="D536" t="s">
        <v>76</v>
      </c>
      <c r="E536" s="2">
        <v>41170</v>
      </c>
      <c r="F536" t="s">
        <v>16</v>
      </c>
      <c r="G536" t="s">
        <v>112</v>
      </c>
      <c r="H536" t="s">
        <v>41</v>
      </c>
      <c r="I536" s="3">
        <v>0.12638888888888888</v>
      </c>
      <c r="J536" t="s">
        <v>19</v>
      </c>
      <c r="K536">
        <v>90</v>
      </c>
      <c r="L536" s="3">
        <v>0.12638888888888888</v>
      </c>
      <c r="M536" t="s">
        <v>26</v>
      </c>
      <c r="N536" t="s">
        <v>201</v>
      </c>
      <c r="O536">
        <f>IF(Table13[[#This Row],[Goal_assist]]="",1,0)</f>
        <v>0</v>
      </c>
    </row>
    <row r="537" spans="1:15" x14ac:dyDescent="0.35">
      <c r="A537" t="s">
        <v>64</v>
      </c>
      <c r="B537" s="4">
        <v>41609</v>
      </c>
      <c r="C537" t="s">
        <v>75</v>
      </c>
      <c r="D537" t="s">
        <v>76</v>
      </c>
      <c r="E537" s="2">
        <v>41171</v>
      </c>
      <c r="F537" t="s">
        <v>16</v>
      </c>
      <c r="G537" t="s">
        <v>66</v>
      </c>
      <c r="H537" t="s">
        <v>245</v>
      </c>
      <c r="I537" s="3">
        <v>0.12638888888888888</v>
      </c>
      <c r="J537" t="s">
        <v>68</v>
      </c>
      <c r="K537">
        <v>71</v>
      </c>
      <c r="L537" s="3">
        <v>8.4722222222222227E-2</v>
      </c>
      <c r="M537" t="s">
        <v>31</v>
      </c>
      <c r="N537" t="s">
        <v>237</v>
      </c>
      <c r="O537">
        <f>IF(Table13[[#This Row],[Goal_assist]]="",1,0)</f>
        <v>0</v>
      </c>
    </row>
    <row r="538" spans="1:15" x14ac:dyDescent="0.35">
      <c r="A538" t="s">
        <v>64</v>
      </c>
      <c r="B538" s="4">
        <v>41609</v>
      </c>
      <c r="C538" t="s">
        <v>75</v>
      </c>
      <c r="D538" t="s">
        <v>76</v>
      </c>
      <c r="E538" s="2">
        <v>41171</v>
      </c>
      <c r="F538" t="s">
        <v>16</v>
      </c>
      <c r="G538" t="s">
        <v>66</v>
      </c>
      <c r="H538" t="s">
        <v>245</v>
      </c>
      <c r="I538" s="3">
        <v>0.12638888888888888</v>
      </c>
      <c r="J538" t="s">
        <v>68</v>
      </c>
      <c r="K538">
        <v>80</v>
      </c>
      <c r="L538" s="3">
        <v>0.12638888888888888</v>
      </c>
      <c r="M538" t="s">
        <v>22</v>
      </c>
      <c r="N538" t="s">
        <v>234</v>
      </c>
      <c r="O538">
        <f>IF(Table13[[#This Row],[Goal_assist]]="",1,0)</f>
        <v>0</v>
      </c>
    </row>
    <row r="539" spans="1:15" x14ac:dyDescent="0.35">
      <c r="A539" t="s">
        <v>14</v>
      </c>
      <c r="B539" s="4">
        <v>41609</v>
      </c>
      <c r="C539" t="s">
        <v>65</v>
      </c>
      <c r="D539">
        <v>5</v>
      </c>
      <c r="E539" s="2">
        <v>41176</v>
      </c>
      <c r="F539" t="s">
        <v>24</v>
      </c>
      <c r="G539" t="s">
        <v>112</v>
      </c>
      <c r="H539" t="s">
        <v>225</v>
      </c>
      <c r="I539" s="3">
        <v>1.3888888888888889E-3</v>
      </c>
      <c r="J539" t="s">
        <v>19</v>
      </c>
      <c r="K539">
        <v>69</v>
      </c>
      <c r="L539" s="3">
        <v>1.3888888888888889E-3</v>
      </c>
      <c r="M539" t="s">
        <v>83</v>
      </c>
      <c r="O539">
        <f>IF(Table13[[#This Row],[Goal_assist]]="",1,0)</f>
        <v>1</v>
      </c>
    </row>
    <row r="540" spans="1:15" x14ac:dyDescent="0.35">
      <c r="A540" t="s">
        <v>14</v>
      </c>
      <c r="B540" s="4">
        <v>41609</v>
      </c>
      <c r="C540" t="s">
        <v>65</v>
      </c>
      <c r="D540">
        <v>6</v>
      </c>
      <c r="E540" s="2">
        <v>41182</v>
      </c>
      <c r="F540" t="s">
        <v>16</v>
      </c>
      <c r="G540" t="s">
        <v>112</v>
      </c>
      <c r="H540" t="s">
        <v>175</v>
      </c>
      <c r="I540" s="3">
        <v>0.20902777777777778</v>
      </c>
      <c r="J540" t="s">
        <v>19</v>
      </c>
      <c r="K540">
        <v>23</v>
      </c>
      <c r="L540" s="3">
        <v>4.2361111111111113E-2</v>
      </c>
      <c r="M540" t="s">
        <v>83</v>
      </c>
      <c r="O540">
        <f>IF(Table13[[#This Row],[Goal_assist]]="",1,0)</f>
        <v>1</v>
      </c>
    </row>
    <row r="541" spans="1:15" x14ac:dyDescent="0.35">
      <c r="A541" t="s">
        <v>14</v>
      </c>
      <c r="B541" s="4">
        <v>41609</v>
      </c>
      <c r="C541" t="s">
        <v>65</v>
      </c>
      <c r="D541">
        <v>6</v>
      </c>
      <c r="E541" s="2">
        <v>41182</v>
      </c>
      <c r="F541" t="s">
        <v>16</v>
      </c>
      <c r="G541" t="s">
        <v>112</v>
      </c>
      <c r="H541" t="s">
        <v>175</v>
      </c>
      <c r="I541" s="3">
        <v>0.20902777777777778</v>
      </c>
      <c r="J541" t="s">
        <v>19</v>
      </c>
      <c r="K541">
        <v>84</v>
      </c>
      <c r="L541" s="3">
        <v>0.20902777777777778</v>
      </c>
      <c r="M541" t="s">
        <v>83</v>
      </c>
      <c r="O541">
        <f>IF(Table13[[#This Row],[Goal_assist]]="",1,0)</f>
        <v>1</v>
      </c>
    </row>
    <row r="542" spans="1:15" x14ac:dyDescent="0.35">
      <c r="A542" t="s">
        <v>14</v>
      </c>
      <c r="B542" s="4">
        <v>41609</v>
      </c>
      <c r="C542" t="s">
        <v>65</v>
      </c>
      <c r="D542">
        <v>6</v>
      </c>
      <c r="E542" s="2">
        <v>41182</v>
      </c>
      <c r="F542" t="s">
        <v>16</v>
      </c>
      <c r="G542" t="s">
        <v>112</v>
      </c>
      <c r="H542" t="s">
        <v>175</v>
      </c>
      <c r="I542" s="3">
        <v>0.20902777777777778</v>
      </c>
      <c r="J542" t="s">
        <v>19</v>
      </c>
      <c r="K542">
        <v>44</v>
      </c>
      <c r="L542" s="3">
        <v>0.12569444444444444</v>
      </c>
      <c r="M542" t="s">
        <v>22</v>
      </c>
      <c r="N542" t="s">
        <v>202</v>
      </c>
      <c r="O542">
        <f>IF(Table13[[#This Row],[Goal_assist]]="",1,0)</f>
        <v>0</v>
      </c>
    </row>
    <row r="543" spans="1:15" x14ac:dyDescent="0.35">
      <c r="A543" t="s">
        <v>14</v>
      </c>
      <c r="B543" s="4">
        <v>41609</v>
      </c>
      <c r="C543" t="s">
        <v>75</v>
      </c>
      <c r="D543" t="s">
        <v>76</v>
      </c>
      <c r="E543" s="2">
        <v>41185</v>
      </c>
      <c r="F543" t="s">
        <v>24</v>
      </c>
      <c r="G543" t="s">
        <v>112</v>
      </c>
      <c r="H543" t="s">
        <v>214</v>
      </c>
      <c r="I543" s="3">
        <v>4.4444444444444446E-2</v>
      </c>
      <c r="J543" t="s">
        <v>19</v>
      </c>
      <c r="K543">
        <v>42</v>
      </c>
      <c r="L543" s="3">
        <v>6.9444444444444447E-4</v>
      </c>
      <c r="M543" t="s">
        <v>26</v>
      </c>
      <c r="N543" t="s">
        <v>183</v>
      </c>
      <c r="O543">
        <f>IF(Table13[[#This Row],[Goal_assist]]="",1,0)</f>
        <v>0</v>
      </c>
    </row>
    <row r="544" spans="1:15" x14ac:dyDescent="0.35">
      <c r="A544" t="s">
        <v>14</v>
      </c>
      <c r="B544" s="4">
        <v>41609</v>
      </c>
      <c r="C544" t="s">
        <v>75</v>
      </c>
      <c r="D544" t="s">
        <v>76</v>
      </c>
      <c r="E544" s="2">
        <v>41185</v>
      </c>
      <c r="F544" t="s">
        <v>24</v>
      </c>
      <c r="G544" t="s">
        <v>112</v>
      </c>
      <c r="H544" t="s">
        <v>214</v>
      </c>
      <c r="I544" s="3">
        <v>4.4444444444444446E-2</v>
      </c>
      <c r="J544" t="s">
        <v>19</v>
      </c>
      <c r="K544">
        <v>79</v>
      </c>
      <c r="L544" s="3">
        <v>4.3749999999999997E-2</v>
      </c>
      <c r="M544" t="s">
        <v>26</v>
      </c>
      <c r="N544" t="s">
        <v>183</v>
      </c>
      <c r="O544">
        <f>IF(Table13[[#This Row],[Goal_assist]]="",1,0)</f>
        <v>0</v>
      </c>
    </row>
    <row r="545" spans="1:15" x14ac:dyDescent="0.35">
      <c r="A545" t="s">
        <v>14</v>
      </c>
      <c r="B545" s="4">
        <v>41609</v>
      </c>
      <c r="C545" t="s">
        <v>75</v>
      </c>
      <c r="D545" t="s">
        <v>76</v>
      </c>
      <c r="E545" s="2">
        <v>41185</v>
      </c>
      <c r="F545" t="s">
        <v>24</v>
      </c>
      <c r="G545" t="s">
        <v>112</v>
      </c>
      <c r="H545" t="s">
        <v>214</v>
      </c>
      <c r="I545" s="3">
        <v>4.4444444444444446E-2</v>
      </c>
      <c r="J545" t="s">
        <v>19</v>
      </c>
      <c r="K545">
        <v>81</v>
      </c>
      <c r="L545" s="3">
        <v>4.4444444444444446E-2</v>
      </c>
      <c r="M545" t="s">
        <v>31</v>
      </c>
      <c r="N545" t="s">
        <v>219</v>
      </c>
      <c r="O545">
        <f>IF(Table13[[#This Row],[Goal_assist]]="",1,0)</f>
        <v>0</v>
      </c>
    </row>
    <row r="546" spans="1:15" x14ac:dyDescent="0.35">
      <c r="A546" t="s">
        <v>64</v>
      </c>
      <c r="B546" s="4">
        <v>41609</v>
      </c>
      <c r="C546" t="s">
        <v>65</v>
      </c>
      <c r="D546">
        <v>7</v>
      </c>
      <c r="E546" s="2">
        <v>41189</v>
      </c>
      <c r="F546" t="s">
        <v>16</v>
      </c>
      <c r="G546" t="s">
        <v>66</v>
      </c>
      <c r="H546" t="s">
        <v>112</v>
      </c>
      <c r="I546" s="3">
        <v>8.4722222222222227E-2</v>
      </c>
      <c r="J546" t="s">
        <v>68</v>
      </c>
      <c r="K546">
        <v>31</v>
      </c>
      <c r="L546" s="3">
        <v>4.2361111111111113E-2</v>
      </c>
      <c r="M546" t="s">
        <v>31</v>
      </c>
      <c r="O546">
        <f>IF(Table13[[#This Row],[Goal_assist]]="",1,0)</f>
        <v>1</v>
      </c>
    </row>
    <row r="547" spans="1:15" x14ac:dyDescent="0.35">
      <c r="A547" t="s">
        <v>14</v>
      </c>
      <c r="B547" s="4">
        <v>41609</v>
      </c>
      <c r="C547" t="s">
        <v>65</v>
      </c>
      <c r="D547">
        <v>7</v>
      </c>
      <c r="E547" s="2">
        <v>41189</v>
      </c>
      <c r="F547" t="s">
        <v>24</v>
      </c>
      <c r="G547" t="s">
        <v>112</v>
      </c>
      <c r="H547" t="s">
        <v>66</v>
      </c>
      <c r="I547" s="3">
        <v>8.4722222222222227E-2</v>
      </c>
      <c r="J547" t="s">
        <v>19</v>
      </c>
      <c r="K547">
        <v>22</v>
      </c>
      <c r="L547" s="3">
        <v>6.9444444444444447E-4</v>
      </c>
      <c r="M547" t="s">
        <v>31</v>
      </c>
      <c r="N547" t="s">
        <v>183</v>
      </c>
      <c r="O547">
        <f>IF(Table13[[#This Row],[Goal_assist]]="",1,0)</f>
        <v>0</v>
      </c>
    </row>
    <row r="548" spans="1:15" x14ac:dyDescent="0.35">
      <c r="A548" t="s">
        <v>64</v>
      </c>
      <c r="B548" s="4">
        <v>41609</v>
      </c>
      <c r="C548" t="s">
        <v>65</v>
      </c>
      <c r="D548">
        <v>7</v>
      </c>
      <c r="E548" s="2">
        <v>41189</v>
      </c>
      <c r="F548" t="s">
        <v>16</v>
      </c>
      <c r="G548" t="s">
        <v>66</v>
      </c>
      <c r="H548" t="s">
        <v>112</v>
      </c>
      <c r="I548" s="3">
        <v>8.4722222222222227E-2</v>
      </c>
      <c r="J548" t="s">
        <v>68</v>
      </c>
      <c r="K548">
        <v>60</v>
      </c>
      <c r="L548" s="3">
        <v>8.4027777777777785E-2</v>
      </c>
      <c r="M548" t="s">
        <v>39</v>
      </c>
      <c r="O548">
        <f>IF(Table13[[#This Row],[Goal_assist]]="",1,0)</f>
        <v>1</v>
      </c>
    </row>
    <row r="549" spans="1:15" x14ac:dyDescent="0.35">
      <c r="A549" t="s">
        <v>14</v>
      </c>
      <c r="B549" s="4">
        <v>41609</v>
      </c>
      <c r="C549" t="s">
        <v>65</v>
      </c>
      <c r="D549">
        <v>7</v>
      </c>
      <c r="E549" s="2">
        <v>41189</v>
      </c>
      <c r="F549" t="s">
        <v>24</v>
      </c>
      <c r="G549" t="s">
        <v>112</v>
      </c>
      <c r="H549" t="s">
        <v>66</v>
      </c>
      <c r="I549" s="3">
        <v>8.4722222222222227E-2</v>
      </c>
      <c r="J549" t="s">
        <v>19</v>
      </c>
      <c r="K549">
        <v>66</v>
      </c>
      <c r="L549" s="3">
        <v>8.4722222222222227E-2</v>
      </c>
      <c r="M549" t="s">
        <v>26</v>
      </c>
      <c r="N549" t="s">
        <v>204</v>
      </c>
      <c r="O549">
        <f>IF(Table13[[#This Row],[Goal_assist]]="",1,0)</f>
        <v>0</v>
      </c>
    </row>
    <row r="550" spans="1:15" x14ac:dyDescent="0.35">
      <c r="A550" t="s">
        <v>64</v>
      </c>
      <c r="B550" s="4">
        <v>41609</v>
      </c>
      <c r="C550" t="s">
        <v>65</v>
      </c>
      <c r="D550">
        <v>8</v>
      </c>
      <c r="E550" s="2">
        <v>41202</v>
      </c>
      <c r="F550" t="s">
        <v>24</v>
      </c>
      <c r="G550" t="s">
        <v>66</v>
      </c>
      <c r="H550" t="s">
        <v>115</v>
      </c>
      <c r="I550" s="3">
        <v>0.1701388888888889</v>
      </c>
      <c r="J550" t="s">
        <v>68</v>
      </c>
      <c r="K550">
        <v>17</v>
      </c>
      <c r="L550" s="3">
        <v>2.0833333333333333E-3</v>
      </c>
      <c r="M550" t="s">
        <v>31</v>
      </c>
      <c r="N550" t="s">
        <v>224</v>
      </c>
      <c r="O550">
        <f>IF(Table13[[#This Row],[Goal_assist]]="",1,0)</f>
        <v>0</v>
      </c>
    </row>
    <row r="551" spans="1:15" x14ac:dyDescent="0.35">
      <c r="A551" t="s">
        <v>64</v>
      </c>
      <c r="B551" s="4">
        <v>41609</v>
      </c>
      <c r="C551" t="s">
        <v>65</v>
      </c>
      <c r="D551">
        <v>8</v>
      </c>
      <c r="E551" s="2">
        <v>41202</v>
      </c>
      <c r="F551" t="s">
        <v>24</v>
      </c>
      <c r="G551" t="s">
        <v>66</v>
      </c>
      <c r="H551" t="s">
        <v>115</v>
      </c>
      <c r="I551" s="3">
        <v>0.1701388888888889</v>
      </c>
      <c r="J551" t="s">
        <v>68</v>
      </c>
      <c r="K551">
        <v>43</v>
      </c>
      <c r="L551" s="3">
        <v>8.611111111111111E-2</v>
      </c>
      <c r="M551" t="s">
        <v>31</v>
      </c>
      <c r="N551" t="s">
        <v>224</v>
      </c>
      <c r="O551">
        <f>IF(Table13[[#This Row],[Goal_assist]]="",1,0)</f>
        <v>0</v>
      </c>
    </row>
    <row r="552" spans="1:15" x14ac:dyDescent="0.35">
      <c r="A552" t="s">
        <v>64</v>
      </c>
      <c r="B552" s="4">
        <v>41609</v>
      </c>
      <c r="C552" t="s">
        <v>65</v>
      </c>
      <c r="D552">
        <v>8</v>
      </c>
      <c r="E552" s="2">
        <v>41202</v>
      </c>
      <c r="F552" t="s">
        <v>24</v>
      </c>
      <c r="G552" t="s">
        <v>66</v>
      </c>
      <c r="H552" t="s">
        <v>115</v>
      </c>
      <c r="I552" s="3">
        <v>0.1701388888888889</v>
      </c>
      <c r="J552" t="s">
        <v>68</v>
      </c>
      <c r="K552">
        <v>76</v>
      </c>
      <c r="L552" s="3">
        <v>0.12847222222222221</v>
      </c>
      <c r="M552" t="s">
        <v>31</v>
      </c>
      <c r="N552" t="s">
        <v>106</v>
      </c>
      <c r="O552">
        <f>IF(Table13[[#This Row],[Goal_assist]]="",1,0)</f>
        <v>0</v>
      </c>
    </row>
    <row r="553" spans="1:15" x14ac:dyDescent="0.35">
      <c r="A553" t="s">
        <v>14</v>
      </c>
      <c r="B553" s="4">
        <v>41609</v>
      </c>
      <c r="C553" t="s">
        <v>65</v>
      </c>
      <c r="D553">
        <v>8</v>
      </c>
      <c r="E553" s="2">
        <v>41202</v>
      </c>
      <c r="F553" t="s">
        <v>16</v>
      </c>
      <c r="G553" t="s">
        <v>112</v>
      </c>
      <c r="H553" t="s">
        <v>98</v>
      </c>
      <c r="I553" s="3">
        <v>8.3333333333333329E-2</v>
      </c>
      <c r="J553" t="s">
        <v>19</v>
      </c>
      <c r="K553">
        <v>67</v>
      </c>
      <c r="L553" s="3">
        <v>8.3333333333333329E-2</v>
      </c>
      <c r="M553" t="s">
        <v>83</v>
      </c>
      <c r="O553">
        <f>IF(Table13[[#This Row],[Goal_assist]]="",1,0)</f>
        <v>1</v>
      </c>
    </row>
    <row r="554" spans="1:15" x14ac:dyDescent="0.35">
      <c r="A554" t="s">
        <v>14</v>
      </c>
      <c r="B554" s="4">
        <v>41609</v>
      </c>
      <c r="C554" t="s">
        <v>75</v>
      </c>
      <c r="D554" t="s">
        <v>76</v>
      </c>
      <c r="E554" s="2">
        <v>41206</v>
      </c>
      <c r="F554" t="s">
        <v>24</v>
      </c>
      <c r="G554" t="s">
        <v>112</v>
      </c>
      <c r="H554" t="s">
        <v>246</v>
      </c>
      <c r="I554" s="3">
        <v>8.4027777777777785E-2</v>
      </c>
      <c r="J554" t="s">
        <v>19</v>
      </c>
      <c r="K554">
        <v>38</v>
      </c>
      <c r="L554" s="3">
        <v>4.2361111111111113E-2</v>
      </c>
      <c r="M554" t="s">
        <v>26</v>
      </c>
      <c r="N554" t="s">
        <v>204</v>
      </c>
      <c r="O554">
        <f>IF(Table13[[#This Row],[Goal_assist]]="",1,0)</f>
        <v>0</v>
      </c>
    </row>
    <row r="555" spans="1:15" x14ac:dyDescent="0.35">
      <c r="A555" t="s">
        <v>64</v>
      </c>
      <c r="B555" s="4">
        <v>41609</v>
      </c>
      <c r="C555" t="s">
        <v>65</v>
      </c>
      <c r="D555">
        <v>9</v>
      </c>
      <c r="E555" s="2">
        <v>41209</v>
      </c>
      <c r="F555" t="s">
        <v>24</v>
      </c>
      <c r="G555" t="s">
        <v>66</v>
      </c>
      <c r="H555" t="s">
        <v>225</v>
      </c>
      <c r="I555" s="3">
        <v>3.472222222222222E-3</v>
      </c>
      <c r="J555" t="s">
        <v>68</v>
      </c>
      <c r="K555">
        <v>89</v>
      </c>
      <c r="L555" s="3">
        <v>3.472222222222222E-3</v>
      </c>
      <c r="M555" t="s">
        <v>26</v>
      </c>
      <c r="N555" t="s">
        <v>224</v>
      </c>
      <c r="O555">
        <f>IF(Table13[[#This Row],[Goal_assist]]="",1,0)</f>
        <v>0</v>
      </c>
    </row>
    <row r="556" spans="1:15" x14ac:dyDescent="0.35">
      <c r="A556" t="s">
        <v>64</v>
      </c>
      <c r="B556" s="4">
        <v>41609</v>
      </c>
      <c r="C556" t="s">
        <v>65</v>
      </c>
      <c r="D556">
        <v>9</v>
      </c>
      <c r="E556" s="2">
        <v>41209</v>
      </c>
      <c r="F556" t="s">
        <v>24</v>
      </c>
      <c r="G556" t="s">
        <v>66</v>
      </c>
      <c r="H556" t="s">
        <v>225</v>
      </c>
      <c r="I556" s="3">
        <v>3.472222222222222E-3</v>
      </c>
      <c r="J556" t="s">
        <v>68</v>
      </c>
      <c r="K556">
        <v>48</v>
      </c>
      <c r="L556" s="3">
        <v>1.3888888888888889E-3</v>
      </c>
      <c r="M556" t="s">
        <v>31</v>
      </c>
      <c r="N556" t="s">
        <v>247</v>
      </c>
      <c r="O556">
        <f>IF(Table13[[#This Row],[Goal_assist]]="",1,0)</f>
        <v>0</v>
      </c>
    </row>
    <row r="557" spans="1:15" x14ac:dyDescent="0.35">
      <c r="A557" t="s">
        <v>14</v>
      </c>
      <c r="B557" s="4">
        <v>41609</v>
      </c>
      <c r="C557" t="s">
        <v>65</v>
      </c>
      <c r="D557">
        <v>9</v>
      </c>
      <c r="E557" s="2">
        <v>41210</v>
      </c>
      <c r="F557" t="s">
        <v>24</v>
      </c>
      <c r="G557" t="s">
        <v>112</v>
      </c>
      <c r="H557" t="s">
        <v>89</v>
      </c>
      <c r="I557" s="3">
        <v>3.472222222222222E-3</v>
      </c>
      <c r="J557" t="s">
        <v>19</v>
      </c>
      <c r="K557">
        <v>22</v>
      </c>
      <c r="L557" s="3">
        <v>1.3888888888888889E-3</v>
      </c>
      <c r="M557" t="s">
        <v>26</v>
      </c>
      <c r="N557" t="s">
        <v>188</v>
      </c>
      <c r="O557">
        <f>IF(Table13[[#This Row],[Goal_assist]]="",1,0)</f>
        <v>0</v>
      </c>
    </row>
    <row r="558" spans="1:15" x14ac:dyDescent="0.35">
      <c r="A558" t="s">
        <v>14</v>
      </c>
      <c r="B558" s="4">
        <v>41609</v>
      </c>
      <c r="C558" t="s">
        <v>65</v>
      </c>
      <c r="D558">
        <v>9</v>
      </c>
      <c r="E558" s="2">
        <v>41210</v>
      </c>
      <c r="F558" t="s">
        <v>24</v>
      </c>
      <c r="G558" t="s">
        <v>112</v>
      </c>
      <c r="H558" t="s">
        <v>89</v>
      </c>
      <c r="I558" s="3">
        <v>3.472222222222222E-3</v>
      </c>
      <c r="J558" t="s">
        <v>19</v>
      </c>
      <c r="K558">
        <v>73</v>
      </c>
      <c r="L558" s="3">
        <v>2.7777777777777779E-3</v>
      </c>
      <c r="M558" t="s">
        <v>26</v>
      </c>
      <c r="N558" t="s">
        <v>188</v>
      </c>
      <c r="O558">
        <f>IF(Table13[[#This Row],[Goal_assist]]="",1,0)</f>
        <v>0</v>
      </c>
    </row>
    <row r="559" spans="1:15" x14ac:dyDescent="0.35">
      <c r="A559" t="s">
        <v>64</v>
      </c>
      <c r="B559" s="4">
        <v>41609</v>
      </c>
      <c r="C559" t="s">
        <v>75</v>
      </c>
      <c r="D559" t="s">
        <v>76</v>
      </c>
      <c r="E559" s="2">
        <v>41220</v>
      </c>
      <c r="F559" t="s">
        <v>24</v>
      </c>
      <c r="G559" t="s">
        <v>66</v>
      </c>
      <c r="H559" t="s">
        <v>144</v>
      </c>
      <c r="I559" s="3">
        <v>8.4027777777777785E-2</v>
      </c>
      <c r="J559" t="s">
        <v>68</v>
      </c>
      <c r="K559" t="s">
        <v>69</v>
      </c>
      <c r="L559" s="3">
        <v>8.4027777777777785E-2</v>
      </c>
      <c r="M559" t="s">
        <v>55</v>
      </c>
      <c r="O559">
        <f>IF(Table13[[#This Row],[Goal_assist]]="",1,0)</f>
        <v>1</v>
      </c>
    </row>
    <row r="560" spans="1:15" x14ac:dyDescent="0.35">
      <c r="A560" t="s">
        <v>64</v>
      </c>
      <c r="B560" s="4">
        <v>41609</v>
      </c>
      <c r="C560" t="s">
        <v>65</v>
      </c>
      <c r="D560">
        <v>11</v>
      </c>
      <c r="E560" s="2">
        <v>41224</v>
      </c>
      <c r="F560" t="s">
        <v>24</v>
      </c>
      <c r="G560" t="s">
        <v>66</v>
      </c>
      <c r="H560" t="s">
        <v>89</v>
      </c>
      <c r="I560" s="3">
        <v>8.611111111111111E-2</v>
      </c>
      <c r="J560" t="s">
        <v>68</v>
      </c>
      <c r="K560">
        <v>70</v>
      </c>
      <c r="L560" s="3">
        <v>8.611111111111111E-2</v>
      </c>
      <c r="M560" t="s">
        <v>31</v>
      </c>
      <c r="N560" t="s">
        <v>234</v>
      </c>
      <c r="O560">
        <f>IF(Table13[[#This Row],[Goal_assist]]="",1,0)</f>
        <v>0</v>
      </c>
    </row>
    <row r="561" spans="1:15" x14ac:dyDescent="0.35">
      <c r="A561" t="s">
        <v>14</v>
      </c>
      <c r="B561" s="4">
        <v>41609</v>
      </c>
      <c r="C561" t="s">
        <v>65</v>
      </c>
      <c r="D561">
        <v>11</v>
      </c>
      <c r="E561" s="2">
        <v>41224</v>
      </c>
      <c r="F561" t="s">
        <v>24</v>
      </c>
      <c r="G561" t="s">
        <v>112</v>
      </c>
      <c r="H561" t="s">
        <v>127</v>
      </c>
      <c r="I561" s="3">
        <v>4.3055555555555555E-2</v>
      </c>
      <c r="J561" t="s">
        <v>68</v>
      </c>
      <c r="K561">
        <v>20</v>
      </c>
      <c r="L561" s="3">
        <v>6.9444444444444447E-4</v>
      </c>
      <c r="M561" t="s">
        <v>26</v>
      </c>
      <c r="O561">
        <f>IF(Table13[[#This Row],[Goal_assist]]="",1,0)</f>
        <v>1</v>
      </c>
    </row>
    <row r="562" spans="1:15" x14ac:dyDescent="0.35">
      <c r="A562" t="s">
        <v>64</v>
      </c>
      <c r="B562" s="4">
        <v>41609</v>
      </c>
      <c r="C562" t="s">
        <v>65</v>
      </c>
      <c r="D562">
        <v>11</v>
      </c>
      <c r="E562" s="2">
        <v>41224</v>
      </c>
      <c r="F562" t="s">
        <v>24</v>
      </c>
      <c r="G562" t="s">
        <v>66</v>
      </c>
      <c r="H562" t="s">
        <v>89</v>
      </c>
      <c r="I562" s="3">
        <v>8.611111111111111E-2</v>
      </c>
      <c r="J562" t="s">
        <v>68</v>
      </c>
      <c r="K562">
        <v>43</v>
      </c>
      <c r="L562" s="3">
        <v>1.3888888888888889E-3</v>
      </c>
      <c r="M562" t="s">
        <v>31</v>
      </c>
      <c r="N562" t="s">
        <v>222</v>
      </c>
      <c r="O562">
        <f>IF(Table13[[#This Row],[Goal_assist]]="",1,0)</f>
        <v>0</v>
      </c>
    </row>
    <row r="563" spans="1:15" x14ac:dyDescent="0.35">
      <c r="A563" t="s">
        <v>64</v>
      </c>
      <c r="B563" s="4">
        <v>41609</v>
      </c>
      <c r="C563" t="s">
        <v>65</v>
      </c>
      <c r="D563">
        <v>12</v>
      </c>
      <c r="E563" s="2">
        <v>41230</v>
      </c>
      <c r="F563" t="s">
        <v>16</v>
      </c>
      <c r="G563" t="s">
        <v>66</v>
      </c>
      <c r="H563" t="s">
        <v>93</v>
      </c>
      <c r="I563" s="3">
        <v>0.12569444444444444</v>
      </c>
      <c r="J563" t="s">
        <v>68</v>
      </c>
      <c r="K563">
        <v>15</v>
      </c>
      <c r="L563" s="3">
        <v>4.1666666666666664E-2</v>
      </c>
      <c r="M563" t="s">
        <v>31</v>
      </c>
      <c r="N563" t="s">
        <v>243</v>
      </c>
      <c r="O563">
        <f>IF(Table13[[#This Row],[Goal_assist]]="",1,0)</f>
        <v>0</v>
      </c>
    </row>
    <row r="564" spans="1:15" x14ac:dyDescent="0.35">
      <c r="A564" t="s">
        <v>64</v>
      </c>
      <c r="B564" s="4">
        <v>41609</v>
      </c>
      <c r="C564" t="s">
        <v>65</v>
      </c>
      <c r="D564">
        <v>12</v>
      </c>
      <c r="E564" s="2">
        <v>41230</v>
      </c>
      <c r="F564" t="s">
        <v>16</v>
      </c>
      <c r="G564" t="s">
        <v>66</v>
      </c>
      <c r="H564" t="s">
        <v>93</v>
      </c>
      <c r="I564" s="3">
        <v>0.12569444444444444</v>
      </c>
      <c r="J564" t="s">
        <v>68</v>
      </c>
      <c r="K564">
        <v>60</v>
      </c>
      <c r="L564" s="3">
        <v>0.12569444444444444</v>
      </c>
      <c r="M564" t="s">
        <v>31</v>
      </c>
      <c r="N564" t="s">
        <v>247</v>
      </c>
      <c r="O564">
        <f>IF(Table13[[#This Row],[Goal_assist]]="",1,0)</f>
        <v>0</v>
      </c>
    </row>
    <row r="565" spans="1:15" x14ac:dyDescent="0.35">
      <c r="A565" t="s">
        <v>64</v>
      </c>
      <c r="B565" s="4">
        <v>41609</v>
      </c>
      <c r="C565" t="s">
        <v>75</v>
      </c>
      <c r="D565" t="s">
        <v>76</v>
      </c>
      <c r="E565" s="2">
        <v>41233</v>
      </c>
      <c r="F565" t="s">
        <v>24</v>
      </c>
      <c r="G565" t="s">
        <v>66</v>
      </c>
      <c r="H565" t="s">
        <v>245</v>
      </c>
      <c r="I565" s="3">
        <v>2.0833333333333333E-3</v>
      </c>
      <c r="J565" t="s">
        <v>68</v>
      </c>
      <c r="K565">
        <v>39</v>
      </c>
      <c r="L565" s="3">
        <v>2.0833333333333333E-3</v>
      </c>
      <c r="M565" t="s">
        <v>31</v>
      </c>
      <c r="N565" t="s">
        <v>186</v>
      </c>
      <c r="O565">
        <f>IF(Table13[[#This Row],[Goal_assist]]="",1,0)</f>
        <v>0</v>
      </c>
    </row>
    <row r="566" spans="1:15" x14ac:dyDescent="0.35">
      <c r="A566" t="s">
        <v>64</v>
      </c>
      <c r="B566" s="4">
        <v>41609</v>
      </c>
      <c r="C566" t="s">
        <v>75</v>
      </c>
      <c r="D566" t="s">
        <v>76</v>
      </c>
      <c r="E566" s="2">
        <v>41233</v>
      </c>
      <c r="F566" t="s">
        <v>24</v>
      </c>
      <c r="G566" t="s">
        <v>66</v>
      </c>
      <c r="H566" t="s">
        <v>245</v>
      </c>
      <c r="I566" s="3">
        <v>2.0833333333333333E-3</v>
      </c>
      <c r="J566" t="s">
        <v>68</v>
      </c>
      <c r="K566">
        <v>27</v>
      </c>
      <c r="L566" s="3">
        <v>1.3888888888888889E-3</v>
      </c>
      <c r="M566" t="s">
        <v>26</v>
      </c>
      <c r="O566">
        <f>IF(Table13[[#This Row],[Goal_assist]]="",1,0)</f>
        <v>1</v>
      </c>
    </row>
    <row r="567" spans="1:15" x14ac:dyDescent="0.35">
      <c r="A567" t="s">
        <v>64</v>
      </c>
      <c r="B567" s="4">
        <v>41609</v>
      </c>
      <c r="C567" t="s">
        <v>65</v>
      </c>
      <c r="D567">
        <v>13</v>
      </c>
      <c r="E567" s="2">
        <v>41238</v>
      </c>
      <c r="F567" t="s">
        <v>24</v>
      </c>
      <c r="G567" t="s">
        <v>66</v>
      </c>
      <c r="H567" t="s">
        <v>127</v>
      </c>
      <c r="I567" s="3">
        <v>2.7777777777777779E-3</v>
      </c>
      <c r="J567" t="s">
        <v>68</v>
      </c>
      <c r="K567">
        <v>46</v>
      </c>
      <c r="L567" s="3">
        <v>6.9444444444444447E-4</v>
      </c>
      <c r="M567" t="s">
        <v>31</v>
      </c>
      <c r="N567" t="s">
        <v>99</v>
      </c>
      <c r="O567">
        <f>IF(Table13[[#This Row],[Goal_assist]]="",1,0)</f>
        <v>0</v>
      </c>
    </row>
    <row r="568" spans="1:15" x14ac:dyDescent="0.35">
      <c r="A568" t="s">
        <v>64</v>
      </c>
      <c r="B568" s="4">
        <v>41609</v>
      </c>
      <c r="C568" t="s">
        <v>65</v>
      </c>
      <c r="D568">
        <v>13</v>
      </c>
      <c r="E568" s="2">
        <v>41238</v>
      </c>
      <c r="F568" t="s">
        <v>24</v>
      </c>
      <c r="G568" t="s">
        <v>66</v>
      </c>
      <c r="H568" t="s">
        <v>127</v>
      </c>
      <c r="I568" s="3">
        <v>2.7777777777777779E-3</v>
      </c>
      <c r="J568" t="s">
        <v>68</v>
      </c>
      <c r="K568">
        <v>51</v>
      </c>
      <c r="L568" s="3">
        <v>1.3888888888888889E-3</v>
      </c>
      <c r="M568" t="s">
        <v>31</v>
      </c>
      <c r="N568" t="s">
        <v>99</v>
      </c>
      <c r="O568">
        <f>IF(Table13[[#This Row],[Goal_assist]]="",1,0)</f>
        <v>0</v>
      </c>
    </row>
    <row r="569" spans="1:15" x14ac:dyDescent="0.35">
      <c r="A569" t="s">
        <v>64</v>
      </c>
      <c r="B569" s="4">
        <v>41609</v>
      </c>
      <c r="C569" t="s">
        <v>65</v>
      </c>
      <c r="D569">
        <v>14</v>
      </c>
      <c r="E569" s="2">
        <v>41244</v>
      </c>
      <c r="F569" t="s">
        <v>16</v>
      </c>
      <c r="G569" t="s">
        <v>66</v>
      </c>
      <c r="H569" t="s">
        <v>86</v>
      </c>
      <c r="I569" s="3">
        <v>0.20902777777777778</v>
      </c>
      <c r="J569" t="s">
        <v>68</v>
      </c>
      <c r="K569">
        <v>24</v>
      </c>
      <c r="L569" s="3">
        <v>8.3333333333333329E-2</v>
      </c>
      <c r="M569" t="s">
        <v>31</v>
      </c>
      <c r="N569" t="s">
        <v>106</v>
      </c>
      <c r="O569">
        <f>IF(Table13[[#This Row],[Goal_assist]]="",1,0)</f>
        <v>0</v>
      </c>
    </row>
    <row r="570" spans="1:15" x14ac:dyDescent="0.35">
      <c r="A570" t="s">
        <v>64</v>
      </c>
      <c r="B570" s="4">
        <v>41609</v>
      </c>
      <c r="C570" t="s">
        <v>65</v>
      </c>
      <c r="D570">
        <v>14</v>
      </c>
      <c r="E570" s="2">
        <v>41244</v>
      </c>
      <c r="F570" t="s">
        <v>16</v>
      </c>
      <c r="G570" t="s">
        <v>66</v>
      </c>
      <c r="H570" t="s">
        <v>86</v>
      </c>
      <c r="I570" s="3">
        <v>0.20902777777777778</v>
      </c>
      <c r="J570" t="s">
        <v>68</v>
      </c>
      <c r="K570">
        <v>69</v>
      </c>
      <c r="L570" s="3">
        <v>0.20902777777777778</v>
      </c>
      <c r="M570" t="s">
        <v>26</v>
      </c>
      <c r="N570" t="s">
        <v>186</v>
      </c>
      <c r="O570">
        <f>IF(Table13[[#This Row],[Goal_assist]]="",1,0)</f>
        <v>0</v>
      </c>
    </row>
    <row r="571" spans="1:15" x14ac:dyDescent="0.35">
      <c r="A571" t="s">
        <v>14</v>
      </c>
      <c r="B571" s="4">
        <v>41609</v>
      </c>
      <c r="C571" t="s">
        <v>65</v>
      </c>
      <c r="D571">
        <v>14</v>
      </c>
      <c r="E571" s="2">
        <v>41244</v>
      </c>
      <c r="F571" t="s">
        <v>16</v>
      </c>
      <c r="G571" t="s">
        <v>112</v>
      </c>
      <c r="H571" t="s">
        <v>119</v>
      </c>
      <c r="I571" s="3">
        <v>8.3333333333333329E-2</v>
      </c>
      <c r="J571" t="s">
        <v>19</v>
      </c>
      <c r="K571">
        <v>16</v>
      </c>
      <c r="L571" s="3">
        <v>4.1666666666666664E-2</v>
      </c>
      <c r="M571" t="s">
        <v>39</v>
      </c>
      <c r="O571">
        <f>IF(Table13[[#This Row],[Goal_assist]]="",1,0)</f>
        <v>1</v>
      </c>
    </row>
    <row r="572" spans="1:15" x14ac:dyDescent="0.35">
      <c r="A572" t="s">
        <v>14</v>
      </c>
      <c r="B572" s="4">
        <v>41609</v>
      </c>
      <c r="C572" t="s">
        <v>75</v>
      </c>
      <c r="D572" t="s">
        <v>76</v>
      </c>
      <c r="E572" s="2">
        <v>41247</v>
      </c>
      <c r="F572" t="s">
        <v>16</v>
      </c>
      <c r="G572" t="s">
        <v>112</v>
      </c>
      <c r="H572" t="s">
        <v>214</v>
      </c>
      <c r="I572" s="3">
        <v>0.1673611111111111</v>
      </c>
      <c r="J572" t="s">
        <v>19</v>
      </c>
      <c r="K572">
        <v>13</v>
      </c>
      <c r="L572" s="3">
        <v>4.1666666666666664E-2</v>
      </c>
      <c r="M572" t="s">
        <v>26</v>
      </c>
      <c r="N572" t="s">
        <v>183</v>
      </c>
      <c r="O572">
        <f>IF(Table13[[#This Row],[Goal_assist]]="",1,0)</f>
        <v>0</v>
      </c>
    </row>
    <row r="573" spans="1:15" x14ac:dyDescent="0.35">
      <c r="A573" t="s">
        <v>64</v>
      </c>
      <c r="B573" s="4">
        <v>41609</v>
      </c>
      <c r="C573" t="s">
        <v>65</v>
      </c>
      <c r="D573">
        <v>15</v>
      </c>
      <c r="E573" s="2">
        <v>41252</v>
      </c>
      <c r="F573" t="s">
        <v>24</v>
      </c>
      <c r="G573" t="s">
        <v>66</v>
      </c>
      <c r="H573" t="s">
        <v>95</v>
      </c>
      <c r="I573" s="3">
        <v>4.3055555555555555E-2</v>
      </c>
      <c r="J573" t="s">
        <v>68</v>
      </c>
      <c r="K573">
        <v>16</v>
      </c>
      <c r="L573" s="3">
        <v>6.9444444444444447E-4</v>
      </c>
      <c r="M573" t="s">
        <v>31</v>
      </c>
      <c r="N573" t="s">
        <v>99</v>
      </c>
      <c r="O573">
        <f>IF(Table13[[#This Row],[Goal_assist]]="",1,0)</f>
        <v>0</v>
      </c>
    </row>
    <row r="574" spans="1:15" x14ac:dyDescent="0.35">
      <c r="A574" t="s">
        <v>64</v>
      </c>
      <c r="B574" s="4">
        <v>41609</v>
      </c>
      <c r="C574" t="s">
        <v>65</v>
      </c>
      <c r="D574">
        <v>15</v>
      </c>
      <c r="E574" s="2">
        <v>41252</v>
      </c>
      <c r="F574" t="s">
        <v>24</v>
      </c>
      <c r="G574" t="s">
        <v>66</v>
      </c>
      <c r="H574" t="s">
        <v>95</v>
      </c>
      <c r="I574" s="3">
        <v>4.3055555555555555E-2</v>
      </c>
      <c r="J574" t="s">
        <v>68</v>
      </c>
      <c r="K574">
        <v>25</v>
      </c>
      <c r="L574" s="3">
        <v>1.3888888888888889E-3</v>
      </c>
      <c r="M574" t="s">
        <v>31</v>
      </c>
      <c r="N574" t="s">
        <v>99</v>
      </c>
      <c r="O574">
        <f>IF(Table13[[#This Row],[Goal_assist]]="",1,0)</f>
        <v>0</v>
      </c>
    </row>
    <row r="575" spans="1:15" x14ac:dyDescent="0.35">
      <c r="A575" t="s">
        <v>64</v>
      </c>
      <c r="B575" s="4">
        <v>41609</v>
      </c>
      <c r="C575" t="s">
        <v>91</v>
      </c>
      <c r="D575" t="s">
        <v>143</v>
      </c>
      <c r="E575" s="2">
        <v>41255</v>
      </c>
      <c r="F575" t="s">
        <v>24</v>
      </c>
      <c r="G575" t="s">
        <v>66</v>
      </c>
      <c r="H575" t="s">
        <v>248</v>
      </c>
      <c r="I575" s="3">
        <v>1.3888888888888889E-3</v>
      </c>
      <c r="J575" t="s">
        <v>68</v>
      </c>
      <c r="K575">
        <v>10</v>
      </c>
      <c r="L575" s="3">
        <v>6.9444444444444447E-4</v>
      </c>
      <c r="M575" t="s">
        <v>31</v>
      </c>
      <c r="N575" t="s">
        <v>208</v>
      </c>
      <c r="O575">
        <f>IF(Table13[[#This Row],[Goal_assist]]="",1,0)</f>
        <v>0</v>
      </c>
    </row>
    <row r="576" spans="1:15" x14ac:dyDescent="0.35">
      <c r="A576" t="s">
        <v>64</v>
      </c>
      <c r="B576" s="4">
        <v>41609</v>
      </c>
      <c r="C576" t="s">
        <v>91</v>
      </c>
      <c r="D576" t="s">
        <v>143</v>
      </c>
      <c r="E576" s="2">
        <v>41255</v>
      </c>
      <c r="F576" t="s">
        <v>24</v>
      </c>
      <c r="G576" t="s">
        <v>66</v>
      </c>
      <c r="H576" t="s">
        <v>248</v>
      </c>
      <c r="I576" s="3">
        <v>1.3888888888888889E-3</v>
      </c>
      <c r="J576" t="s">
        <v>68</v>
      </c>
      <c r="K576">
        <v>73</v>
      </c>
      <c r="L576" s="3">
        <v>1.3888888888888889E-3</v>
      </c>
      <c r="M576" t="s">
        <v>31</v>
      </c>
      <c r="N576" t="s">
        <v>234</v>
      </c>
      <c r="O576">
        <f>IF(Table13[[#This Row],[Goal_assist]]="",1,0)</f>
        <v>0</v>
      </c>
    </row>
    <row r="577" spans="1:15" x14ac:dyDescent="0.35">
      <c r="A577" t="s">
        <v>14</v>
      </c>
      <c r="B577" s="4">
        <v>41609</v>
      </c>
      <c r="C577" t="s">
        <v>91</v>
      </c>
      <c r="D577" t="s">
        <v>143</v>
      </c>
      <c r="E577" s="2">
        <v>41255</v>
      </c>
      <c r="F577" t="s">
        <v>24</v>
      </c>
      <c r="G577" t="s">
        <v>112</v>
      </c>
      <c r="H577" t="s">
        <v>98</v>
      </c>
      <c r="I577" s="3">
        <v>8.4027777777777785E-2</v>
      </c>
      <c r="J577" t="s">
        <v>19</v>
      </c>
      <c r="K577">
        <v>87</v>
      </c>
      <c r="L577" s="3">
        <v>8.4027777777777785E-2</v>
      </c>
      <c r="M577" t="s">
        <v>31</v>
      </c>
      <c r="N577" t="s">
        <v>205</v>
      </c>
      <c r="O577">
        <f>IF(Table13[[#This Row],[Goal_assist]]="",1,0)</f>
        <v>0</v>
      </c>
    </row>
    <row r="578" spans="1:15" x14ac:dyDescent="0.35">
      <c r="A578" t="s">
        <v>64</v>
      </c>
      <c r="B578" s="4">
        <v>41609</v>
      </c>
      <c r="C578" t="s">
        <v>65</v>
      </c>
      <c r="D578">
        <v>16</v>
      </c>
      <c r="E578" s="2">
        <v>41259</v>
      </c>
      <c r="F578" t="s">
        <v>16</v>
      </c>
      <c r="G578" t="s">
        <v>66</v>
      </c>
      <c r="H578" t="s">
        <v>119</v>
      </c>
      <c r="I578" s="3">
        <v>0.1673611111111111</v>
      </c>
      <c r="J578" t="s">
        <v>68</v>
      </c>
      <c r="K578">
        <v>88</v>
      </c>
      <c r="L578" s="3">
        <v>0.1673611111111111</v>
      </c>
      <c r="M578" t="s">
        <v>31</v>
      </c>
      <c r="O578">
        <f>IF(Table13[[#This Row],[Goal_assist]]="",1,0)</f>
        <v>1</v>
      </c>
    </row>
    <row r="579" spans="1:15" x14ac:dyDescent="0.35">
      <c r="A579" t="s">
        <v>64</v>
      </c>
      <c r="B579" s="4">
        <v>41609</v>
      </c>
      <c r="C579" t="s">
        <v>65</v>
      </c>
      <c r="D579">
        <v>16</v>
      </c>
      <c r="E579" s="2">
        <v>41259</v>
      </c>
      <c r="F579" t="s">
        <v>16</v>
      </c>
      <c r="G579" t="s">
        <v>66</v>
      </c>
      <c r="H579" t="s">
        <v>119</v>
      </c>
      <c r="I579" s="3">
        <v>0.1673611111111111</v>
      </c>
      <c r="J579" t="s">
        <v>68</v>
      </c>
      <c r="K579">
        <v>58</v>
      </c>
      <c r="L579" s="3">
        <v>0.12569444444444444</v>
      </c>
      <c r="M579" t="s">
        <v>31</v>
      </c>
      <c r="N579" t="s">
        <v>234</v>
      </c>
      <c r="O579">
        <f>IF(Table13[[#This Row],[Goal_assist]]="",1,0)</f>
        <v>0</v>
      </c>
    </row>
    <row r="580" spans="1:15" x14ac:dyDescent="0.35">
      <c r="A580" t="s">
        <v>14</v>
      </c>
      <c r="B580" s="4">
        <v>41609</v>
      </c>
      <c r="C580" t="s">
        <v>65</v>
      </c>
      <c r="D580">
        <v>16</v>
      </c>
      <c r="E580" s="2">
        <v>41259</v>
      </c>
      <c r="F580" t="s">
        <v>16</v>
      </c>
      <c r="G580" t="s">
        <v>112</v>
      </c>
      <c r="H580" t="s">
        <v>121</v>
      </c>
      <c r="I580" s="3">
        <v>8.4722222222222227E-2</v>
      </c>
      <c r="J580" t="s">
        <v>68</v>
      </c>
      <c r="K580">
        <v>45</v>
      </c>
      <c r="L580" s="3">
        <v>4.2361111111111113E-2</v>
      </c>
      <c r="M580" t="s">
        <v>26</v>
      </c>
      <c r="N580" t="s">
        <v>219</v>
      </c>
      <c r="O580">
        <f>IF(Table13[[#This Row],[Goal_assist]]="",1,0)</f>
        <v>0</v>
      </c>
    </row>
    <row r="581" spans="1:15" x14ac:dyDescent="0.35">
      <c r="A581" t="s">
        <v>64</v>
      </c>
      <c r="B581" s="4">
        <v>41609</v>
      </c>
      <c r="C581" t="s">
        <v>65</v>
      </c>
      <c r="D581">
        <v>17</v>
      </c>
      <c r="E581" s="2">
        <v>41265</v>
      </c>
      <c r="F581" t="s">
        <v>24</v>
      </c>
      <c r="G581" t="s">
        <v>66</v>
      </c>
      <c r="H581" t="s">
        <v>197</v>
      </c>
      <c r="I581" s="3">
        <v>4.3749999999999997E-2</v>
      </c>
      <c r="J581" t="s">
        <v>68</v>
      </c>
      <c r="K581">
        <v>59</v>
      </c>
      <c r="L581" s="3">
        <v>1.3888888888888889E-3</v>
      </c>
      <c r="M581" t="s">
        <v>31</v>
      </c>
      <c r="N581" t="s">
        <v>106</v>
      </c>
      <c r="O581">
        <f>IF(Table13[[#This Row],[Goal_assist]]="",1,0)</f>
        <v>0</v>
      </c>
    </row>
    <row r="582" spans="1:15" x14ac:dyDescent="0.35">
      <c r="A582" t="s">
        <v>64</v>
      </c>
      <c r="B582" s="4">
        <v>41609</v>
      </c>
      <c r="C582" t="s">
        <v>65</v>
      </c>
      <c r="D582">
        <v>18</v>
      </c>
      <c r="E582" s="2">
        <v>41280</v>
      </c>
      <c r="F582" t="s">
        <v>16</v>
      </c>
      <c r="G582" t="s">
        <v>66</v>
      </c>
      <c r="H582" t="s">
        <v>121</v>
      </c>
      <c r="I582" s="3">
        <v>0.16666666666666666</v>
      </c>
      <c r="J582" t="s">
        <v>68</v>
      </c>
      <c r="K582">
        <v>28</v>
      </c>
      <c r="L582" s="3">
        <v>0.16666666666666666</v>
      </c>
      <c r="M582" t="s">
        <v>83</v>
      </c>
      <c r="O582">
        <f>IF(Table13[[#This Row],[Goal_assist]]="",1,0)</f>
        <v>1</v>
      </c>
    </row>
    <row r="583" spans="1:15" x14ac:dyDescent="0.35">
      <c r="A583" t="s">
        <v>14</v>
      </c>
      <c r="B583" s="4">
        <v>41609</v>
      </c>
      <c r="C583" t="s">
        <v>65</v>
      </c>
      <c r="D583">
        <v>18</v>
      </c>
      <c r="E583" s="2">
        <v>41280</v>
      </c>
      <c r="F583" t="s">
        <v>16</v>
      </c>
      <c r="G583" t="s">
        <v>112</v>
      </c>
      <c r="H583" t="s">
        <v>217</v>
      </c>
      <c r="I583" s="3">
        <v>0.16875000000000001</v>
      </c>
      <c r="J583" t="s">
        <v>249</v>
      </c>
      <c r="K583">
        <v>67</v>
      </c>
      <c r="L583" s="3">
        <v>0.12638888888888888</v>
      </c>
      <c r="M583" t="s">
        <v>31</v>
      </c>
      <c r="N583" t="s">
        <v>183</v>
      </c>
      <c r="O583">
        <f>IF(Table13[[#This Row],[Goal_assist]]="",1,0)</f>
        <v>0</v>
      </c>
    </row>
    <row r="584" spans="1:15" x14ac:dyDescent="0.35">
      <c r="A584" t="s">
        <v>14</v>
      </c>
      <c r="B584" s="4">
        <v>41609</v>
      </c>
      <c r="C584" t="s">
        <v>65</v>
      </c>
      <c r="D584">
        <v>18</v>
      </c>
      <c r="E584" s="2">
        <v>41280</v>
      </c>
      <c r="F584" t="s">
        <v>16</v>
      </c>
      <c r="G584" t="s">
        <v>112</v>
      </c>
      <c r="H584" t="s">
        <v>217</v>
      </c>
      <c r="I584" s="3">
        <v>0.16875000000000001</v>
      </c>
      <c r="J584" t="s">
        <v>249</v>
      </c>
      <c r="K584">
        <v>70</v>
      </c>
      <c r="L584" s="3">
        <v>0.16805555555555557</v>
      </c>
      <c r="M584" t="s">
        <v>39</v>
      </c>
      <c r="O584">
        <f>IF(Table13[[#This Row],[Goal_assist]]="",1,0)</f>
        <v>1</v>
      </c>
    </row>
    <row r="585" spans="1:15" x14ac:dyDescent="0.35">
      <c r="A585" t="s">
        <v>14</v>
      </c>
      <c r="B585" s="4">
        <v>41609</v>
      </c>
      <c r="C585" t="s">
        <v>91</v>
      </c>
      <c r="D585" t="s">
        <v>143</v>
      </c>
      <c r="E585" s="2">
        <v>41283</v>
      </c>
      <c r="F585" t="s">
        <v>16</v>
      </c>
      <c r="G585" t="s">
        <v>112</v>
      </c>
      <c r="H585" t="s">
        <v>98</v>
      </c>
      <c r="I585" s="3">
        <v>0.16666666666666666</v>
      </c>
      <c r="J585" t="s">
        <v>19</v>
      </c>
      <c r="K585">
        <v>24</v>
      </c>
      <c r="L585" s="3">
        <v>8.3333333333333329E-2</v>
      </c>
      <c r="M585" t="s">
        <v>31</v>
      </c>
      <c r="N585" t="s">
        <v>250</v>
      </c>
      <c r="O585">
        <f>IF(Table13[[#This Row],[Goal_assist]]="",1,0)</f>
        <v>0</v>
      </c>
    </row>
    <row r="586" spans="1:15" x14ac:dyDescent="0.35">
      <c r="A586" t="s">
        <v>14</v>
      </c>
      <c r="B586" s="4">
        <v>41609</v>
      </c>
      <c r="C586" t="s">
        <v>91</v>
      </c>
      <c r="D586" t="s">
        <v>143</v>
      </c>
      <c r="E586" s="2">
        <v>41283</v>
      </c>
      <c r="F586" t="s">
        <v>16</v>
      </c>
      <c r="G586" t="s">
        <v>112</v>
      </c>
      <c r="H586" t="s">
        <v>98</v>
      </c>
      <c r="I586" s="3">
        <v>0.16666666666666666</v>
      </c>
      <c r="J586" t="s">
        <v>19</v>
      </c>
      <c r="K586">
        <v>87</v>
      </c>
      <c r="L586" s="3">
        <v>0.125</v>
      </c>
      <c r="M586" t="s">
        <v>31</v>
      </c>
      <c r="N586" t="s">
        <v>188</v>
      </c>
      <c r="O586">
        <f>IF(Table13[[#This Row],[Goal_assist]]="",1,0)</f>
        <v>0</v>
      </c>
    </row>
    <row r="587" spans="1:15" x14ac:dyDescent="0.35">
      <c r="A587" t="s">
        <v>14</v>
      </c>
      <c r="B587" s="4">
        <v>41609</v>
      </c>
      <c r="C587" t="s">
        <v>91</v>
      </c>
      <c r="D587" t="s">
        <v>143</v>
      </c>
      <c r="E587" s="2">
        <v>41283</v>
      </c>
      <c r="F587" t="s">
        <v>16</v>
      </c>
      <c r="G587" t="s">
        <v>112</v>
      </c>
      <c r="H587" t="s">
        <v>98</v>
      </c>
      <c r="I587" s="3">
        <v>0.16666666666666666</v>
      </c>
      <c r="J587" t="s">
        <v>19</v>
      </c>
      <c r="K587">
        <v>2</v>
      </c>
      <c r="L587" s="3">
        <v>4.1666666666666664E-2</v>
      </c>
      <c r="M587" t="s">
        <v>26</v>
      </c>
      <c r="N587" t="s">
        <v>229</v>
      </c>
      <c r="O587">
        <f>IF(Table13[[#This Row],[Goal_assist]]="",1,0)</f>
        <v>0</v>
      </c>
    </row>
    <row r="588" spans="1:15" x14ac:dyDescent="0.35">
      <c r="A588" t="s">
        <v>64</v>
      </c>
      <c r="B588" s="4">
        <v>41609</v>
      </c>
      <c r="C588" t="s">
        <v>65</v>
      </c>
      <c r="D588">
        <v>19</v>
      </c>
      <c r="E588" s="2">
        <v>41287</v>
      </c>
      <c r="F588" t="s">
        <v>24</v>
      </c>
      <c r="G588" t="s">
        <v>66</v>
      </c>
      <c r="H588" t="s">
        <v>157</v>
      </c>
      <c r="I588" s="3">
        <v>4.3749999999999997E-2</v>
      </c>
      <c r="J588" t="s">
        <v>68</v>
      </c>
      <c r="K588">
        <v>26</v>
      </c>
      <c r="L588" s="3">
        <v>6.9444444444444447E-4</v>
      </c>
      <c r="M588" t="s">
        <v>26</v>
      </c>
      <c r="O588">
        <f>IF(Table13[[#This Row],[Goal_assist]]="",1,0)</f>
        <v>1</v>
      </c>
    </row>
    <row r="589" spans="1:15" x14ac:dyDescent="0.35">
      <c r="A589" t="s">
        <v>64</v>
      </c>
      <c r="B589" s="4">
        <v>41609</v>
      </c>
      <c r="C589" t="s">
        <v>91</v>
      </c>
      <c r="D589" t="s">
        <v>92</v>
      </c>
      <c r="E589" s="2">
        <v>41290</v>
      </c>
      <c r="F589" t="s">
        <v>16</v>
      </c>
      <c r="G589" t="s">
        <v>66</v>
      </c>
      <c r="H589" t="s">
        <v>157</v>
      </c>
      <c r="I589" s="3">
        <v>8.4722222222222227E-2</v>
      </c>
      <c r="J589" t="s">
        <v>68</v>
      </c>
      <c r="K589">
        <v>29</v>
      </c>
      <c r="L589" s="3">
        <v>4.2361111111111113E-2</v>
      </c>
      <c r="M589" t="s">
        <v>31</v>
      </c>
      <c r="O589">
        <f>IF(Table13[[#This Row],[Goal_assist]]="",1,0)</f>
        <v>1</v>
      </c>
    </row>
    <row r="590" spans="1:15" x14ac:dyDescent="0.35">
      <c r="A590" t="s">
        <v>64</v>
      </c>
      <c r="B590" s="4">
        <v>41609</v>
      </c>
      <c r="C590" t="s">
        <v>65</v>
      </c>
      <c r="D590">
        <v>20</v>
      </c>
      <c r="E590" s="2">
        <v>41293</v>
      </c>
      <c r="F590" t="s">
        <v>24</v>
      </c>
      <c r="G590" t="s">
        <v>66</v>
      </c>
      <c r="H590" t="s">
        <v>217</v>
      </c>
      <c r="I590" s="3">
        <v>0.12638888888888888</v>
      </c>
      <c r="J590" t="s">
        <v>68</v>
      </c>
      <c r="K590">
        <v>6</v>
      </c>
      <c r="L590" s="3">
        <v>6.9444444444444447E-4</v>
      </c>
      <c r="M590" t="s">
        <v>31</v>
      </c>
      <c r="N590" t="s">
        <v>99</v>
      </c>
      <c r="O590">
        <f>IF(Table13[[#This Row],[Goal_assist]]="",1,0)</f>
        <v>0</v>
      </c>
    </row>
    <row r="591" spans="1:15" x14ac:dyDescent="0.35">
      <c r="A591" t="s">
        <v>14</v>
      </c>
      <c r="B591" s="4">
        <v>41609</v>
      </c>
      <c r="C591" t="s">
        <v>65</v>
      </c>
      <c r="D591">
        <v>20</v>
      </c>
      <c r="E591" s="2">
        <v>41294</v>
      </c>
      <c r="F591" t="s">
        <v>24</v>
      </c>
      <c r="G591" t="s">
        <v>112</v>
      </c>
      <c r="H591" t="s">
        <v>148</v>
      </c>
      <c r="I591" s="3">
        <v>3.472222222222222E-3</v>
      </c>
      <c r="J591" t="s">
        <v>19</v>
      </c>
      <c r="K591">
        <v>41</v>
      </c>
      <c r="L591" s="3">
        <v>2.7777777777777779E-3</v>
      </c>
      <c r="M591" t="s">
        <v>26</v>
      </c>
      <c r="N591" t="s">
        <v>204</v>
      </c>
      <c r="O591">
        <f>IF(Table13[[#This Row],[Goal_assist]]="",1,0)</f>
        <v>0</v>
      </c>
    </row>
    <row r="592" spans="1:15" x14ac:dyDescent="0.35">
      <c r="A592" t="s">
        <v>14</v>
      </c>
      <c r="B592" s="4">
        <v>41609</v>
      </c>
      <c r="C592" t="s">
        <v>65</v>
      </c>
      <c r="D592">
        <v>20</v>
      </c>
      <c r="E592" s="2">
        <v>41294</v>
      </c>
      <c r="F592" t="s">
        <v>24</v>
      </c>
      <c r="G592" t="s">
        <v>112</v>
      </c>
      <c r="H592" t="s">
        <v>148</v>
      </c>
      <c r="I592" s="3">
        <v>3.472222222222222E-3</v>
      </c>
      <c r="J592" t="s">
        <v>19</v>
      </c>
      <c r="K592">
        <v>35</v>
      </c>
      <c r="L592" s="3">
        <v>2.0833333333333333E-3</v>
      </c>
      <c r="M592" t="s">
        <v>31</v>
      </c>
      <c r="N592" t="s">
        <v>235</v>
      </c>
      <c r="O592">
        <f>IF(Table13[[#This Row],[Goal_assist]]="",1,0)</f>
        <v>0</v>
      </c>
    </row>
    <row r="593" spans="1:15" x14ac:dyDescent="0.35">
      <c r="A593" t="s">
        <v>64</v>
      </c>
      <c r="B593" s="4">
        <v>41609</v>
      </c>
      <c r="C593" t="s">
        <v>91</v>
      </c>
      <c r="D593" t="s">
        <v>92</v>
      </c>
      <c r="E593" s="2">
        <v>41298</v>
      </c>
      <c r="F593" t="s">
        <v>24</v>
      </c>
      <c r="G593" t="s">
        <v>66</v>
      </c>
      <c r="H593" t="s">
        <v>157</v>
      </c>
      <c r="I593" s="3">
        <v>8.611111111111111E-2</v>
      </c>
      <c r="J593" t="s">
        <v>68</v>
      </c>
      <c r="K593">
        <v>79</v>
      </c>
      <c r="L593" s="3">
        <v>8.611111111111111E-2</v>
      </c>
      <c r="M593" t="s">
        <v>22</v>
      </c>
      <c r="N593" t="s">
        <v>155</v>
      </c>
      <c r="O593">
        <f>IF(Table13[[#This Row],[Goal_assist]]="",1,0)</f>
        <v>0</v>
      </c>
    </row>
    <row r="594" spans="1:15" x14ac:dyDescent="0.35">
      <c r="A594" t="s">
        <v>64</v>
      </c>
      <c r="B594" s="4">
        <v>41609</v>
      </c>
      <c r="C594" t="s">
        <v>65</v>
      </c>
      <c r="D594">
        <v>21</v>
      </c>
      <c r="E594" s="2">
        <v>41301</v>
      </c>
      <c r="F594" t="s">
        <v>16</v>
      </c>
      <c r="G594" t="s">
        <v>66</v>
      </c>
      <c r="H594" t="s">
        <v>100</v>
      </c>
      <c r="I594" s="3">
        <v>0.20902777777777778</v>
      </c>
      <c r="J594" t="s">
        <v>68</v>
      </c>
      <c r="K594">
        <v>58</v>
      </c>
      <c r="L594" s="3">
        <v>0.20902777777777778</v>
      </c>
      <c r="M594" t="s">
        <v>31</v>
      </c>
      <c r="N594" t="s">
        <v>215</v>
      </c>
      <c r="O594">
        <f>IF(Table13[[#This Row],[Goal_assist]]="",1,0)</f>
        <v>0</v>
      </c>
    </row>
    <row r="595" spans="1:15" x14ac:dyDescent="0.35">
      <c r="A595" t="s">
        <v>64</v>
      </c>
      <c r="B595" s="4">
        <v>41609</v>
      </c>
      <c r="C595" t="s">
        <v>65</v>
      </c>
      <c r="D595">
        <v>21</v>
      </c>
      <c r="E595" s="2">
        <v>41301</v>
      </c>
      <c r="F595" t="s">
        <v>16</v>
      </c>
      <c r="G595" t="s">
        <v>66</v>
      </c>
      <c r="H595" t="s">
        <v>100</v>
      </c>
      <c r="I595" s="3">
        <v>0.20902777777777778</v>
      </c>
      <c r="J595" t="s">
        <v>68</v>
      </c>
      <c r="K595">
        <v>28</v>
      </c>
      <c r="L595" s="3">
        <v>8.4027777777777785E-2</v>
      </c>
      <c r="M595" t="s">
        <v>83</v>
      </c>
      <c r="O595">
        <f>IF(Table13[[#This Row],[Goal_assist]]="",1,0)</f>
        <v>1</v>
      </c>
    </row>
    <row r="596" spans="1:15" x14ac:dyDescent="0.35">
      <c r="A596" t="s">
        <v>14</v>
      </c>
      <c r="B596" s="4">
        <v>41609</v>
      </c>
      <c r="C596" t="s">
        <v>65</v>
      </c>
      <c r="D596">
        <v>21</v>
      </c>
      <c r="E596" s="2">
        <v>41301</v>
      </c>
      <c r="F596" t="s">
        <v>16</v>
      </c>
      <c r="G596" t="s">
        <v>112</v>
      </c>
      <c r="H596" t="s">
        <v>117</v>
      </c>
      <c r="I596" s="3">
        <v>0.16666666666666666</v>
      </c>
      <c r="J596" t="s">
        <v>19</v>
      </c>
      <c r="K596">
        <v>72</v>
      </c>
      <c r="L596" s="3">
        <v>0.16666666666666666</v>
      </c>
      <c r="M596" t="s">
        <v>83</v>
      </c>
      <c r="O596">
        <f>IF(Table13[[#This Row],[Goal_assist]]="",1,0)</f>
        <v>1</v>
      </c>
    </row>
    <row r="597" spans="1:15" x14ac:dyDescent="0.35">
      <c r="A597" t="s">
        <v>14</v>
      </c>
      <c r="B597" s="4">
        <v>41609</v>
      </c>
      <c r="C597" t="s">
        <v>65</v>
      </c>
      <c r="D597">
        <v>21</v>
      </c>
      <c r="E597" s="2">
        <v>41301</v>
      </c>
      <c r="F597" t="s">
        <v>16</v>
      </c>
      <c r="G597" t="s">
        <v>112</v>
      </c>
      <c r="H597" t="s">
        <v>117</v>
      </c>
      <c r="I597" s="3">
        <v>0.16666666666666666</v>
      </c>
      <c r="J597" t="s">
        <v>19</v>
      </c>
      <c r="K597">
        <v>65</v>
      </c>
      <c r="L597" s="3">
        <v>0.125</v>
      </c>
      <c r="M597" t="s">
        <v>22</v>
      </c>
      <c r="N597" t="s">
        <v>207</v>
      </c>
      <c r="O597">
        <f>IF(Table13[[#This Row],[Goal_assist]]="",1,0)</f>
        <v>0</v>
      </c>
    </row>
    <row r="598" spans="1:15" x14ac:dyDescent="0.35">
      <c r="A598" t="s">
        <v>14</v>
      </c>
      <c r="B598" s="4">
        <v>41609</v>
      </c>
      <c r="C598" t="s">
        <v>65</v>
      </c>
      <c r="D598">
        <v>21</v>
      </c>
      <c r="E598" s="2">
        <v>41301</v>
      </c>
      <c r="F598" t="s">
        <v>16</v>
      </c>
      <c r="G598" t="s">
        <v>112</v>
      </c>
      <c r="H598" t="s">
        <v>117</v>
      </c>
      <c r="I598" s="3">
        <v>0.16666666666666666</v>
      </c>
      <c r="J598" t="s">
        <v>19</v>
      </c>
      <c r="K598">
        <v>62</v>
      </c>
      <c r="L598" s="3">
        <v>8.3333333333333329E-2</v>
      </c>
      <c r="M598" t="s">
        <v>31</v>
      </c>
      <c r="N598" t="s">
        <v>204</v>
      </c>
      <c r="O598">
        <f>IF(Table13[[#This Row],[Goal_assist]]="",1,0)</f>
        <v>0</v>
      </c>
    </row>
    <row r="599" spans="1:15" x14ac:dyDescent="0.35">
      <c r="A599" t="s">
        <v>64</v>
      </c>
      <c r="B599" s="4">
        <v>41609</v>
      </c>
      <c r="C599" t="s">
        <v>65</v>
      </c>
      <c r="D599">
        <v>21</v>
      </c>
      <c r="E599" s="2">
        <v>41301</v>
      </c>
      <c r="F599" t="s">
        <v>16</v>
      </c>
      <c r="G599" t="s">
        <v>66</v>
      </c>
      <c r="H599" t="s">
        <v>100</v>
      </c>
      <c r="I599" s="3">
        <v>0.20902777777777778</v>
      </c>
      <c r="J599" t="s">
        <v>68</v>
      </c>
      <c r="K599">
        <v>11</v>
      </c>
      <c r="L599" s="3">
        <v>4.1666666666666664E-2</v>
      </c>
      <c r="M599" t="s">
        <v>26</v>
      </c>
      <c r="N599" t="s">
        <v>106</v>
      </c>
      <c r="O599">
        <f>IF(Table13[[#This Row],[Goal_assist]]="",1,0)</f>
        <v>0</v>
      </c>
    </row>
    <row r="600" spans="1:15" x14ac:dyDescent="0.35">
      <c r="A600" t="s">
        <v>64</v>
      </c>
      <c r="B600" s="4">
        <v>41609</v>
      </c>
      <c r="C600" t="s">
        <v>65</v>
      </c>
      <c r="D600">
        <v>21</v>
      </c>
      <c r="E600" s="2">
        <v>41301</v>
      </c>
      <c r="F600" t="s">
        <v>16</v>
      </c>
      <c r="G600" t="s">
        <v>66</v>
      </c>
      <c r="H600" t="s">
        <v>100</v>
      </c>
      <c r="I600" s="3">
        <v>0.20902777777777778</v>
      </c>
      <c r="J600" t="s">
        <v>68</v>
      </c>
      <c r="K600">
        <v>56</v>
      </c>
      <c r="L600" s="3">
        <v>0.1673611111111111</v>
      </c>
      <c r="M600" t="s">
        <v>31</v>
      </c>
      <c r="N600" t="s">
        <v>208</v>
      </c>
      <c r="O600">
        <f>IF(Table13[[#This Row],[Goal_assist]]="",1,0)</f>
        <v>0</v>
      </c>
    </row>
    <row r="601" spans="1:15" x14ac:dyDescent="0.35">
      <c r="A601" t="s">
        <v>64</v>
      </c>
      <c r="B601" s="4">
        <v>41609</v>
      </c>
      <c r="C601" t="s">
        <v>65</v>
      </c>
      <c r="D601">
        <v>22</v>
      </c>
      <c r="E601" s="2">
        <v>41308</v>
      </c>
      <c r="F601" t="s">
        <v>24</v>
      </c>
      <c r="G601" t="s">
        <v>66</v>
      </c>
      <c r="H601" t="s">
        <v>148</v>
      </c>
      <c r="I601" s="3">
        <v>4.2361111111111113E-2</v>
      </c>
      <c r="J601" t="s">
        <v>68</v>
      </c>
      <c r="K601">
        <v>39</v>
      </c>
      <c r="L601" s="3">
        <v>4.2361111111111113E-2</v>
      </c>
      <c r="M601" t="s">
        <v>83</v>
      </c>
      <c r="O601">
        <f>IF(Table13[[#This Row],[Goal_assist]]="",1,0)</f>
        <v>1</v>
      </c>
    </row>
    <row r="602" spans="1:15" x14ac:dyDescent="0.35">
      <c r="A602" t="s">
        <v>14</v>
      </c>
      <c r="B602" s="4">
        <v>41609</v>
      </c>
      <c r="C602" t="s">
        <v>65</v>
      </c>
      <c r="D602">
        <v>23</v>
      </c>
      <c r="E602" s="2">
        <v>41314</v>
      </c>
      <c r="F602" t="s">
        <v>16</v>
      </c>
      <c r="G602" t="s">
        <v>112</v>
      </c>
      <c r="H602" t="s">
        <v>105</v>
      </c>
      <c r="I602" s="3">
        <v>0.1673611111111111</v>
      </c>
      <c r="J602" t="s">
        <v>19</v>
      </c>
      <c r="K602">
        <v>26</v>
      </c>
      <c r="L602" s="3">
        <v>8.3333333333333329E-2</v>
      </c>
      <c r="M602" t="s">
        <v>31</v>
      </c>
      <c r="N602" t="s">
        <v>198</v>
      </c>
      <c r="O602">
        <f>IF(Table13[[#This Row],[Goal_assist]]="",1,0)</f>
        <v>0</v>
      </c>
    </row>
    <row r="603" spans="1:15" x14ac:dyDescent="0.35">
      <c r="A603" t="s">
        <v>14</v>
      </c>
      <c r="B603" s="4">
        <v>41609</v>
      </c>
      <c r="C603" t="s">
        <v>65</v>
      </c>
      <c r="D603">
        <v>23</v>
      </c>
      <c r="E603" s="2">
        <v>41314</v>
      </c>
      <c r="F603" t="s">
        <v>16</v>
      </c>
      <c r="G603" t="s">
        <v>112</v>
      </c>
      <c r="H603" t="s">
        <v>105</v>
      </c>
      <c r="I603" s="3">
        <v>0.1673611111111111</v>
      </c>
      <c r="J603" t="s">
        <v>19</v>
      </c>
      <c r="K603">
        <v>59</v>
      </c>
      <c r="L603" s="3">
        <v>0.16666666666666666</v>
      </c>
      <c r="M603" t="s">
        <v>26</v>
      </c>
      <c r="N603" t="s">
        <v>188</v>
      </c>
      <c r="O603">
        <f>IF(Table13[[#This Row],[Goal_assist]]="",1,0)</f>
        <v>0</v>
      </c>
    </row>
    <row r="604" spans="1:15" x14ac:dyDescent="0.35">
      <c r="A604" t="s">
        <v>14</v>
      </c>
      <c r="B604" s="4">
        <v>41609</v>
      </c>
      <c r="C604" t="s">
        <v>65</v>
      </c>
      <c r="D604">
        <v>23</v>
      </c>
      <c r="E604" s="2">
        <v>41314</v>
      </c>
      <c r="F604" t="s">
        <v>16</v>
      </c>
      <c r="G604" t="s">
        <v>112</v>
      </c>
      <c r="H604" t="s">
        <v>105</v>
      </c>
      <c r="I604" s="3">
        <v>0.1673611111111111</v>
      </c>
      <c r="J604" t="s">
        <v>19</v>
      </c>
      <c r="K604">
        <v>46</v>
      </c>
      <c r="L604" s="3">
        <v>0.125</v>
      </c>
      <c r="M604" t="s">
        <v>31</v>
      </c>
      <c r="N604" t="s">
        <v>229</v>
      </c>
      <c r="O604">
        <f>IF(Table13[[#This Row],[Goal_assist]]="",1,0)</f>
        <v>0</v>
      </c>
    </row>
    <row r="605" spans="1:15" x14ac:dyDescent="0.35">
      <c r="A605" t="s">
        <v>64</v>
      </c>
      <c r="B605" s="4">
        <v>41609</v>
      </c>
      <c r="C605" t="s">
        <v>65</v>
      </c>
      <c r="D605">
        <v>23</v>
      </c>
      <c r="E605" s="2">
        <v>41315</v>
      </c>
      <c r="F605" t="s">
        <v>16</v>
      </c>
      <c r="G605" t="s">
        <v>66</v>
      </c>
      <c r="H605" t="s">
        <v>117</v>
      </c>
      <c r="I605" s="3">
        <v>0.25069444444444444</v>
      </c>
      <c r="J605" t="s">
        <v>68</v>
      </c>
      <c r="K605">
        <v>13</v>
      </c>
      <c r="L605" s="3">
        <v>8.3333333333333329E-2</v>
      </c>
      <c r="M605" t="s">
        <v>31</v>
      </c>
      <c r="N605" t="s">
        <v>213</v>
      </c>
      <c r="O605">
        <f>IF(Table13[[#This Row],[Goal_assist]]="",1,0)</f>
        <v>0</v>
      </c>
    </row>
    <row r="606" spans="1:15" x14ac:dyDescent="0.35">
      <c r="A606" t="s">
        <v>14</v>
      </c>
      <c r="B606" s="4">
        <v>41609</v>
      </c>
      <c r="C606" t="s">
        <v>75</v>
      </c>
      <c r="D606" t="s">
        <v>143</v>
      </c>
      <c r="E606" s="2">
        <v>41318</v>
      </c>
      <c r="F606" t="s">
        <v>16</v>
      </c>
      <c r="G606" t="s">
        <v>112</v>
      </c>
      <c r="H606" t="s">
        <v>36</v>
      </c>
      <c r="I606" s="3">
        <v>4.2361111111111113E-2</v>
      </c>
      <c r="J606" t="s">
        <v>19</v>
      </c>
      <c r="K606">
        <v>30</v>
      </c>
      <c r="L606" s="3">
        <v>4.2361111111111113E-2</v>
      </c>
      <c r="M606" t="s">
        <v>22</v>
      </c>
      <c r="N606" t="s">
        <v>207</v>
      </c>
      <c r="O606">
        <f>IF(Table13[[#This Row],[Goal_assist]]="",1,0)</f>
        <v>0</v>
      </c>
    </row>
    <row r="607" spans="1:15" x14ac:dyDescent="0.35">
      <c r="A607" t="s">
        <v>64</v>
      </c>
      <c r="B607" s="4">
        <v>41609</v>
      </c>
      <c r="C607" t="s">
        <v>65</v>
      </c>
      <c r="D607">
        <v>24</v>
      </c>
      <c r="E607" s="2">
        <v>41321</v>
      </c>
      <c r="F607" t="s">
        <v>24</v>
      </c>
      <c r="G607" t="s">
        <v>66</v>
      </c>
      <c r="H607" t="s">
        <v>233</v>
      </c>
      <c r="I607" s="3">
        <v>4.3055555555555555E-2</v>
      </c>
      <c r="J607" t="s">
        <v>68</v>
      </c>
      <c r="K607">
        <v>49</v>
      </c>
      <c r="L607" s="3">
        <v>4.2361111111111113E-2</v>
      </c>
      <c r="M607" t="s">
        <v>31</v>
      </c>
      <c r="O607">
        <f>IF(Table13[[#This Row],[Goal_assist]]="",1,0)</f>
        <v>1</v>
      </c>
    </row>
    <row r="608" spans="1:15" x14ac:dyDescent="0.35">
      <c r="A608" t="s">
        <v>64</v>
      </c>
      <c r="B608" s="4">
        <v>41609</v>
      </c>
      <c r="C608" t="s">
        <v>65</v>
      </c>
      <c r="D608">
        <v>24</v>
      </c>
      <c r="E608" s="2">
        <v>41321</v>
      </c>
      <c r="F608" t="s">
        <v>24</v>
      </c>
      <c r="G608" t="s">
        <v>66</v>
      </c>
      <c r="H608" t="s">
        <v>233</v>
      </c>
      <c r="I608" s="3">
        <v>4.3055555555555555E-2</v>
      </c>
      <c r="J608" t="s">
        <v>68</v>
      </c>
      <c r="K608">
        <v>72</v>
      </c>
      <c r="L608" s="3">
        <v>4.3055555555555555E-2</v>
      </c>
      <c r="M608" t="s">
        <v>39</v>
      </c>
      <c r="O608">
        <f>IF(Table13[[#This Row],[Goal_assist]]="",1,0)</f>
        <v>1</v>
      </c>
    </row>
    <row r="609" spans="1:15" x14ac:dyDescent="0.35">
      <c r="A609" t="s">
        <v>64</v>
      </c>
      <c r="B609" s="4">
        <v>41609</v>
      </c>
      <c r="C609" t="s">
        <v>65</v>
      </c>
      <c r="D609">
        <v>25</v>
      </c>
      <c r="E609" s="2">
        <v>41328</v>
      </c>
      <c r="F609" t="s">
        <v>16</v>
      </c>
      <c r="G609" t="s">
        <v>66</v>
      </c>
      <c r="H609" t="s">
        <v>105</v>
      </c>
      <c r="I609" s="3">
        <v>8.4027777777777785E-2</v>
      </c>
      <c r="J609" t="s">
        <v>68</v>
      </c>
      <c r="K609">
        <v>60</v>
      </c>
      <c r="L609" s="3">
        <v>8.4027777777777785E-2</v>
      </c>
      <c r="M609" t="s">
        <v>31</v>
      </c>
      <c r="N609" t="s">
        <v>237</v>
      </c>
      <c r="O609">
        <f>IF(Table13[[#This Row],[Goal_assist]]="",1,0)</f>
        <v>0</v>
      </c>
    </row>
    <row r="610" spans="1:15" x14ac:dyDescent="0.35">
      <c r="A610" t="s">
        <v>14</v>
      </c>
      <c r="B610" s="4">
        <v>41609</v>
      </c>
      <c r="C610" t="s">
        <v>91</v>
      </c>
      <c r="D610" t="s">
        <v>62</v>
      </c>
      <c r="E610" s="2">
        <v>41331</v>
      </c>
      <c r="F610" t="s">
        <v>24</v>
      </c>
      <c r="G610" t="s">
        <v>112</v>
      </c>
      <c r="H610" t="s">
        <v>66</v>
      </c>
      <c r="I610" s="3">
        <v>4.3749999999999997E-2</v>
      </c>
      <c r="J610" t="s">
        <v>19</v>
      </c>
      <c r="K610">
        <v>12</v>
      </c>
      <c r="L610" s="3">
        <v>6.9444444444444447E-4</v>
      </c>
      <c r="M610" t="s">
        <v>83</v>
      </c>
      <c r="O610">
        <f>IF(Table13[[#This Row],[Goal_assist]]="",1,0)</f>
        <v>1</v>
      </c>
    </row>
    <row r="611" spans="1:15" x14ac:dyDescent="0.35">
      <c r="A611" t="s">
        <v>14</v>
      </c>
      <c r="B611" s="4">
        <v>41609</v>
      </c>
      <c r="C611" t="s">
        <v>91</v>
      </c>
      <c r="D611" t="s">
        <v>62</v>
      </c>
      <c r="E611" s="2">
        <v>41331</v>
      </c>
      <c r="F611" t="s">
        <v>24</v>
      </c>
      <c r="G611" t="s">
        <v>112</v>
      </c>
      <c r="H611" t="s">
        <v>66</v>
      </c>
      <c r="I611" s="3">
        <v>4.3749999999999997E-2</v>
      </c>
      <c r="J611" t="s">
        <v>19</v>
      </c>
      <c r="K611">
        <v>57</v>
      </c>
      <c r="L611" s="3">
        <v>1.3888888888888889E-3</v>
      </c>
      <c r="M611" t="s">
        <v>31</v>
      </c>
      <c r="O611">
        <f>IF(Table13[[#This Row],[Goal_assist]]="",1,0)</f>
        <v>1</v>
      </c>
    </row>
    <row r="612" spans="1:15" x14ac:dyDescent="0.35">
      <c r="A612" t="s">
        <v>64</v>
      </c>
      <c r="B612" s="4">
        <v>41609</v>
      </c>
      <c r="C612" t="s">
        <v>65</v>
      </c>
      <c r="D612">
        <v>26</v>
      </c>
      <c r="E612" s="2">
        <v>41335</v>
      </c>
      <c r="F612" t="s">
        <v>24</v>
      </c>
      <c r="G612" t="s">
        <v>66</v>
      </c>
      <c r="H612" t="s">
        <v>112</v>
      </c>
      <c r="I612" s="3">
        <v>8.4027777777777785E-2</v>
      </c>
      <c r="J612" t="s">
        <v>68</v>
      </c>
      <c r="K612">
        <v>18</v>
      </c>
      <c r="L612" s="3">
        <v>4.2361111111111113E-2</v>
      </c>
      <c r="M612" t="s">
        <v>31</v>
      </c>
      <c r="N612" t="s">
        <v>155</v>
      </c>
      <c r="O612">
        <f>IF(Table13[[#This Row],[Goal_assist]]="",1,0)</f>
        <v>0</v>
      </c>
    </row>
    <row r="613" spans="1:15" x14ac:dyDescent="0.35">
      <c r="A613" t="s">
        <v>14</v>
      </c>
      <c r="B613" s="4">
        <v>41609</v>
      </c>
      <c r="C613" t="s">
        <v>75</v>
      </c>
      <c r="D613" t="s">
        <v>143</v>
      </c>
      <c r="E613" s="2">
        <v>41338</v>
      </c>
      <c r="F613" t="s">
        <v>24</v>
      </c>
      <c r="G613" t="s">
        <v>112</v>
      </c>
      <c r="H613" t="s">
        <v>36</v>
      </c>
      <c r="I613" s="3">
        <v>4.3055555555555555E-2</v>
      </c>
      <c r="J613" t="s">
        <v>19</v>
      </c>
      <c r="K613">
        <v>69</v>
      </c>
      <c r="L613" s="3">
        <v>4.3055555555555555E-2</v>
      </c>
      <c r="M613" t="s">
        <v>26</v>
      </c>
      <c r="N613" t="s">
        <v>188</v>
      </c>
      <c r="O613">
        <f>IF(Table13[[#This Row],[Goal_assist]]="",1,0)</f>
        <v>0</v>
      </c>
    </row>
    <row r="614" spans="1:15" x14ac:dyDescent="0.35">
      <c r="A614" t="s">
        <v>64</v>
      </c>
      <c r="B614" s="4">
        <v>41609</v>
      </c>
      <c r="C614" t="s">
        <v>65</v>
      </c>
      <c r="D614">
        <v>27</v>
      </c>
      <c r="E614" s="2">
        <v>41342</v>
      </c>
      <c r="F614" t="s">
        <v>16</v>
      </c>
      <c r="G614" t="s">
        <v>66</v>
      </c>
      <c r="H614" t="s">
        <v>115</v>
      </c>
      <c r="I614" s="3">
        <v>8.3333333333333329E-2</v>
      </c>
      <c r="J614" t="s">
        <v>68</v>
      </c>
      <c r="K614">
        <v>88</v>
      </c>
      <c r="L614" s="3">
        <v>8.3333333333333329E-2</v>
      </c>
      <c r="M614" t="s">
        <v>31</v>
      </c>
      <c r="N614" t="s">
        <v>234</v>
      </c>
      <c r="O614">
        <f>IF(Table13[[#This Row],[Goal_assist]]="",1,0)</f>
        <v>0</v>
      </c>
    </row>
    <row r="615" spans="1:15" x14ac:dyDescent="0.35">
      <c r="A615" t="s">
        <v>14</v>
      </c>
      <c r="B615" s="4">
        <v>41609</v>
      </c>
      <c r="C615" t="s">
        <v>65</v>
      </c>
      <c r="D615">
        <v>27</v>
      </c>
      <c r="E615" s="2">
        <v>41343</v>
      </c>
      <c r="F615" t="s">
        <v>24</v>
      </c>
      <c r="G615" t="s">
        <v>112</v>
      </c>
      <c r="H615" t="s">
        <v>98</v>
      </c>
      <c r="I615" s="3">
        <v>4.3055555555555555E-2</v>
      </c>
      <c r="J615" t="s">
        <v>19</v>
      </c>
      <c r="K615">
        <v>71</v>
      </c>
      <c r="L615" s="3">
        <v>4.3055555555555555E-2</v>
      </c>
      <c r="M615" t="s">
        <v>83</v>
      </c>
      <c r="O615">
        <f>IF(Table13[[#This Row],[Goal_assist]]="",1,0)</f>
        <v>1</v>
      </c>
    </row>
    <row r="616" spans="1:15" x14ac:dyDescent="0.35">
      <c r="A616" t="s">
        <v>14</v>
      </c>
      <c r="B616" s="4">
        <v>41609</v>
      </c>
      <c r="C616" t="s">
        <v>65</v>
      </c>
      <c r="D616">
        <v>27</v>
      </c>
      <c r="E616" s="2">
        <v>41343</v>
      </c>
      <c r="F616" t="s">
        <v>24</v>
      </c>
      <c r="G616" t="s">
        <v>112</v>
      </c>
      <c r="H616" t="s">
        <v>98</v>
      </c>
      <c r="I616" s="3">
        <v>4.3055555555555555E-2</v>
      </c>
      <c r="J616" t="s">
        <v>19</v>
      </c>
      <c r="K616">
        <v>61</v>
      </c>
      <c r="L616" s="3">
        <v>6.9444444444444447E-4</v>
      </c>
      <c r="M616" t="s">
        <v>31</v>
      </c>
      <c r="N616" t="s">
        <v>244</v>
      </c>
      <c r="O616">
        <f>IF(Table13[[#This Row],[Goal_assist]]="",1,0)</f>
        <v>0</v>
      </c>
    </row>
    <row r="617" spans="1:15" x14ac:dyDescent="0.35">
      <c r="A617" t="s">
        <v>64</v>
      </c>
      <c r="B617" s="4">
        <v>41609</v>
      </c>
      <c r="C617" t="s">
        <v>75</v>
      </c>
      <c r="D617" t="s">
        <v>143</v>
      </c>
      <c r="E617" s="2">
        <v>41345</v>
      </c>
      <c r="F617" t="s">
        <v>16</v>
      </c>
      <c r="G617" t="s">
        <v>66</v>
      </c>
      <c r="H617" t="s">
        <v>118</v>
      </c>
      <c r="I617" s="3">
        <v>0.16666666666666666</v>
      </c>
      <c r="J617" t="s">
        <v>68</v>
      </c>
      <c r="K617">
        <v>5</v>
      </c>
      <c r="L617" s="3">
        <v>4.1666666666666664E-2</v>
      </c>
      <c r="M617" t="s">
        <v>31</v>
      </c>
      <c r="N617" t="s">
        <v>106</v>
      </c>
      <c r="O617">
        <f>IF(Table13[[#This Row],[Goal_assist]]="",1,0)</f>
        <v>0</v>
      </c>
    </row>
    <row r="618" spans="1:15" x14ac:dyDescent="0.35">
      <c r="A618" t="s">
        <v>64</v>
      </c>
      <c r="B618" s="4">
        <v>41609</v>
      </c>
      <c r="C618" t="s">
        <v>75</v>
      </c>
      <c r="D618" t="s">
        <v>143</v>
      </c>
      <c r="E618" s="2">
        <v>41345</v>
      </c>
      <c r="F618" t="s">
        <v>16</v>
      </c>
      <c r="G618" t="s">
        <v>66</v>
      </c>
      <c r="H618" t="s">
        <v>118</v>
      </c>
      <c r="I618" s="3">
        <v>0.16666666666666666</v>
      </c>
      <c r="J618" t="s">
        <v>68</v>
      </c>
      <c r="K618">
        <v>40</v>
      </c>
      <c r="L618" s="3">
        <v>8.3333333333333329E-2</v>
      </c>
      <c r="M618" t="s">
        <v>31</v>
      </c>
      <c r="N618" t="s">
        <v>99</v>
      </c>
      <c r="O618">
        <f>IF(Table13[[#This Row],[Goal_assist]]="",1,0)</f>
        <v>0</v>
      </c>
    </row>
    <row r="619" spans="1:15" x14ac:dyDescent="0.35">
      <c r="A619" t="s">
        <v>14</v>
      </c>
      <c r="B619" s="4">
        <v>41609</v>
      </c>
      <c r="C619" t="s">
        <v>65</v>
      </c>
      <c r="D619">
        <v>28</v>
      </c>
      <c r="E619" s="2">
        <v>41349</v>
      </c>
      <c r="F619" t="s">
        <v>16</v>
      </c>
      <c r="G619" t="s">
        <v>112</v>
      </c>
      <c r="H619" t="s">
        <v>89</v>
      </c>
      <c r="I619" s="3">
        <v>0.20972222222222223</v>
      </c>
      <c r="J619" t="s">
        <v>19</v>
      </c>
      <c r="K619">
        <v>52</v>
      </c>
      <c r="L619" s="3">
        <v>8.4722222222222227E-2</v>
      </c>
      <c r="M619" t="s">
        <v>22</v>
      </c>
      <c r="N619" t="s">
        <v>204</v>
      </c>
      <c r="O619">
        <f>IF(Table13[[#This Row],[Goal_assist]]="",1,0)</f>
        <v>0</v>
      </c>
    </row>
    <row r="620" spans="1:15" x14ac:dyDescent="0.35">
      <c r="A620" t="s">
        <v>64</v>
      </c>
      <c r="B620" s="4">
        <v>41609</v>
      </c>
      <c r="C620" t="s">
        <v>65</v>
      </c>
      <c r="D620">
        <v>28</v>
      </c>
      <c r="E620" s="2">
        <v>41350</v>
      </c>
      <c r="F620" t="s">
        <v>16</v>
      </c>
      <c r="G620" t="s">
        <v>66</v>
      </c>
      <c r="H620" t="s">
        <v>225</v>
      </c>
      <c r="I620" s="3">
        <v>0.12569444444444444</v>
      </c>
      <c r="J620" t="s">
        <v>68</v>
      </c>
      <c r="K620">
        <v>40</v>
      </c>
      <c r="L620" s="3">
        <v>8.3333333333333329E-2</v>
      </c>
      <c r="M620" t="s">
        <v>31</v>
      </c>
      <c r="N620" t="s">
        <v>208</v>
      </c>
      <c r="O620">
        <f>IF(Table13[[#This Row],[Goal_assist]]="",1,0)</f>
        <v>0</v>
      </c>
    </row>
    <row r="621" spans="1:15" x14ac:dyDescent="0.35">
      <c r="A621" t="s">
        <v>64</v>
      </c>
      <c r="B621" s="4">
        <v>41609</v>
      </c>
      <c r="C621" t="s">
        <v>65</v>
      </c>
      <c r="D621">
        <v>28</v>
      </c>
      <c r="E621" s="2">
        <v>41350</v>
      </c>
      <c r="F621" t="s">
        <v>16</v>
      </c>
      <c r="G621" t="s">
        <v>66</v>
      </c>
      <c r="H621" t="s">
        <v>225</v>
      </c>
      <c r="I621" s="3">
        <v>0.12569444444444444</v>
      </c>
      <c r="J621" t="s">
        <v>68</v>
      </c>
      <c r="K621">
        <v>57</v>
      </c>
      <c r="L621" s="3">
        <v>0.125</v>
      </c>
      <c r="M621" t="s">
        <v>31</v>
      </c>
      <c r="N621" t="s">
        <v>208</v>
      </c>
      <c r="O621">
        <f>IF(Table13[[#This Row],[Goal_assist]]="",1,0)</f>
        <v>0</v>
      </c>
    </row>
    <row r="622" spans="1:15" x14ac:dyDescent="0.35">
      <c r="A622" t="s">
        <v>64</v>
      </c>
      <c r="B622" s="4">
        <v>41609</v>
      </c>
      <c r="C622" t="s">
        <v>65</v>
      </c>
      <c r="D622">
        <v>29</v>
      </c>
      <c r="E622" s="2">
        <v>41363</v>
      </c>
      <c r="F622" t="s">
        <v>24</v>
      </c>
      <c r="G622" t="s">
        <v>66</v>
      </c>
      <c r="H622" t="s">
        <v>98</v>
      </c>
      <c r="I622" s="3">
        <v>8.4722222222222227E-2</v>
      </c>
      <c r="J622" t="s">
        <v>251</v>
      </c>
      <c r="K622">
        <v>73</v>
      </c>
      <c r="L622" s="3">
        <v>4.3055555555555555E-2</v>
      </c>
      <c r="M622" t="s">
        <v>31</v>
      </c>
      <c r="N622" t="s">
        <v>237</v>
      </c>
      <c r="O622">
        <f>IF(Table13[[#This Row],[Goal_assist]]="",1,0)</f>
        <v>0</v>
      </c>
    </row>
    <row r="623" spans="1:15" x14ac:dyDescent="0.35">
      <c r="A623" t="s">
        <v>14</v>
      </c>
      <c r="B623" s="4">
        <v>41609</v>
      </c>
      <c r="C623" t="s">
        <v>65</v>
      </c>
      <c r="D623">
        <v>29</v>
      </c>
      <c r="E623" s="2">
        <v>41363</v>
      </c>
      <c r="F623" t="s">
        <v>24</v>
      </c>
      <c r="G623" t="s">
        <v>112</v>
      </c>
      <c r="H623" t="s">
        <v>93</v>
      </c>
      <c r="I623" s="3">
        <v>4.2361111111111113E-2</v>
      </c>
      <c r="J623" t="s">
        <v>19</v>
      </c>
      <c r="K623">
        <v>38</v>
      </c>
      <c r="L623" s="3">
        <v>4.2361111111111113E-2</v>
      </c>
      <c r="M623" t="s">
        <v>170</v>
      </c>
      <c r="O623">
        <f>IF(Table13[[#This Row],[Goal_assist]]="",1,0)</f>
        <v>1</v>
      </c>
    </row>
    <row r="624" spans="1:15" x14ac:dyDescent="0.35">
      <c r="A624" t="s">
        <v>64</v>
      </c>
      <c r="B624" s="4">
        <v>41609</v>
      </c>
      <c r="C624" t="s">
        <v>75</v>
      </c>
      <c r="D624" t="s">
        <v>92</v>
      </c>
      <c r="E624" s="2">
        <v>41366</v>
      </c>
      <c r="F624" t="s">
        <v>24</v>
      </c>
      <c r="G624" t="s">
        <v>66</v>
      </c>
      <c r="H624" t="s">
        <v>252</v>
      </c>
      <c r="I624" s="3">
        <v>8.4722222222222227E-2</v>
      </c>
      <c r="J624" t="s">
        <v>68</v>
      </c>
      <c r="K624">
        <v>38</v>
      </c>
      <c r="L624" s="3">
        <v>6.9444444444444447E-4</v>
      </c>
      <c r="M624" t="s">
        <v>31</v>
      </c>
      <c r="N624" t="s">
        <v>155</v>
      </c>
      <c r="O624">
        <f>IF(Table13[[#This Row],[Goal_assist]]="",1,0)</f>
        <v>0</v>
      </c>
    </row>
    <row r="625" spans="1:15" x14ac:dyDescent="0.35">
      <c r="A625" t="s">
        <v>14</v>
      </c>
      <c r="B625" s="4">
        <v>41609</v>
      </c>
      <c r="C625" t="s">
        <v>75</v>
      </c>
      <c r="D625" t="s">
        <v>92</v>
      </c>
      <c r="E625" s="2">
        <v>41367</v>
      </c>
      <c r="F625" t="s">
        <v>16</v>
      </c>
      <c r="G625" t="s">
        <v>112</v>
      </c>
      <c r="H625" t="s">
        <v>253</v>
      </c>
      <c r="I625" s="3">
        <v>0.125</v>
      </c>
      <c r="J625" t="s">
        <v>19</v>
      </c>
      <c r="K625">
        <v>9</v>
      </c>
      <c r="L625" s="3">
        <v>4.1666666666666664E-2</v>
      </c>
      <c r="M625" t="s">
        <v>31</v>
      </c>
      <c r="N625" t="s">
        <v>204</v>
      </c>
      <c r="O625">
        <f>IF(Table13[[#This Row],[Goal_assist]]="",1,0)</f>
        <v>0</v>
      </c>
    </row>
    <row r="626" spans="1:15" x14ac:dyDescent="0.35">
      <c r="A626" t="s">
        <v>14</v>
      </c>
      <c r="B626" s="4">
        <v>41609</v>
      </c>
      <c r="C626" t="s">
        <v>65</v>
      </c>
      <c r="D626">
        <v>30</v>
      </c>
      <c r="E626" s="2">
        <v>41370</v>
      </c>
      <c r="F626" t="s">
        <v>16</v>
      </c>
      <c r="G626" t="s">
        <v>112</v>
      </c>
      <c r="H626" t="s">
        <v>127</v>
      </c>
      <c r="I626" s="3">
        <v>0.20902777777777778</v>
      </c>
      <c r="J626" t="s">
        <v>68</v>
      </c>
      <c r="K626">
        <v>84</v>
      </c>
      <c r="L626" s="3">
        <v>0.12569444444444444</v>
      </c>
      <c r="M626" t="s">
        <v>26</v>
      </c>
      <c r="N626" t="s">
        <v>188</v>
      </c>
      <c r="O626">
        <f>IF(Table13[[#This Row],[Goal_assist]]="",1,0)</f>
        <v>0</v>
      </c>
    </row>
    <row r="627" spans="1:15" x14ac:dyDescent="0.35">
      <c r="A627" t="s">
        <v>14</v>
      </c>
      <c r="B627" s="4">
        <v>41609</v>
      </c>
      <c r="C627" t="s">
        <v>75</v>
      </c>
      <c r="D627" t="s">
        <v>92</v>
      </c>
      <c r="E627" s="2">
        <v>41373</v>
      </c>
      <c r="F627" t="s">
        <v>24</v>
      </c>
      <c r="G627" t="s">
        <v>112</v>
      </c>
      <c r="H627" t="s">
        <v>253</v>
      </c>
      <c r="I627" s="3">
        <v>0.12638888888888888</v>
      </c>
      <c r="J627" t="s">
        <v>19</v>
      </c>
      <c r="K627" t="s">
        <v>141</v>
      </c>
      <c r="L627" s="3">
        <v>0.12638888888888888</v>
      </c>
      <c r="M627" t="s">
        <v>26</v>
      </c>
      <c r="N627" t="s">
        <v>183</v>
      </c>
      <c r="O627">
        <f>IF(Table13[[#This Row],[Goal_assist]]="",1,0)</f>
        <v>0</v>
      </c>
    </row>
    <row r="628" spans="1:15" x14ac:dyDescent="0.35">
      <c r="A628" t="s">
        <v>14</v>
      </c>
      <c r="B628" s="4">
        <v>41609</v>
      </c>
      <c r="C628" t="s">
        <v>75</v>
      </c>
      <c r="D628" t="s">
        <v>92</v>
      </c>
      <c r="E628" s="2">
        <v>41373</v>
      </c>
      <c r="F628" t="s">
        <v>24</v>
      </c>
      <c r="G628" t="s">
        <v>112</v>
      </c>
      <c r="H628" t="s">
        <v>253</v>
      </c>
      <c r="I628" s="3">
        <v>0.12638888888888888</v>
      </c>
      <c r="J628" t="s">
        <v>19</v>
      </c>
      <c r="K628">
        <v>8</v>
      </c>
      <c r="L628" s="3">
        <v>6.9444444444444447E-4</v>
      </c>
      <c r="M628" t="s">
        <v>26</v>
      </c>
      <c r="N628" t="s">
        <v>219</v>
      </c>
      <c r="O628">
        <f>IF(Table13[[#This Row],[Goal_assist]]="",1,0)</f>
        <v>0</v>
      </c>
    </row>
    <row r="629" spans="1:15" x14ac:dyDescent="0.35">
      <c r="A629" t="s">
        <v>14</v>
      </c>
      <c r="B629" s="4">
        <v>41609</v>
      </c>
      <c r="C629" t="s">
        <v>65</v>
      </c>
      <c r="D629">
        <v>31</v>
      </c>
      <c r="E629" s="2">
        <v>41378</v>
      </c>
      <c r="F629" t="s">
        <v>24</v>
      </c>
      <c r="G629" t="s">
        <v>112</v>
      </c>
      <c r="H629" t="s">
        <v>86</v>
      </c>
      <c r="I629" s="3">
        <v>2.0833333333333333E-3</v>
      </c>
      <c r="J629" t="s">
        <v>19</v>
      </c>
      <c r="K629">
        <v>2</v>
      </c>
      <c r="L629" s="3">
        <v>6.9444444444444447E-4</v>
      </c>
      <c r="M629" t="s">
        <v>39</v>
      </c>
      <c r="O629">
        <f>IF(Table13[[#This Row],[Goal_assist]]="",1,0)</f>
        <v>1</v>
      </c>
    </row>
    <row r="630" spans="1:15" x14ac:dyDescent="0.35">
      <c r="A630" t="s">
        <v>14</v>
      </c>
      <c r="B630" s="4">
        <v>41609</v>
      </c>
      <c r="C630" t="s">
        <v>65</v>
      </c>
      <c r="D630">
        <v>31</v>
      </c>
      <c r="E630" s="2">
        <v>41378</v>
      </c>
      <c r="F630" t="s">
        <v>24</v>
      </c>
      <c r="G630" t="s">
        <v>112</v>
      </c>
      <c r="H630" t="s">
        <v>86</v>
      </c>
      <c r="I630" s="3">
        <v>2.0833333333333333E-3</v>
      </c>
      <c r="J630" t="s">
        <v>19</v>
      </c>
      <c r="K630">
        <v>68</v>
      </c>
      <c r="L630" s="3">
        <v>1.3888888888888889E-3</v>
      </c>
      <c r="M630" t="s">
        <v>22</v>
      </c>
      <c r="N630" t="s">
        <v>205</v>
      </c>
      <c r="O630">
        <f>IF(Table13[[#This Row],[Goal_assist]]="",1,0)</f>
        <v>0</v>
      </c>
    </row>
    <row r="631" spans="1:15" x14ac:dyDescent="0.35">
      <c r="A631" t="s">
        <v>14</v>
      </c>
      <c r="B631" s="4">
        <v>41609</v>
      </c>
      <c r="C631" t="s">
        <v>75</v>
      </c>
      <c r="D631" t="s">
        <v>62</v>
      </c>
      <c r="E631" s="2">
        <v>41388</v>
      </c>
      <c r="F631" t="s">
        <v>24</v>
      </c>
      <c r="G631" t="s">
        <v>112</v>
      </c>
      <c r="H631" t="s">
        <v>246</v>
      </c>
      <c r="I631" s="3">
        <v>0.1673611111111111</v>
      </c>
      <c r="J631" t="s">
        <v>19</v>
      </c>
      <c r="K631">
        <v>43</v>
      </c>
      <c r="L631" s="3">
        <v>4.2361111111111113E-2</v>
      </c>
      <c r="M631" t="s">
        <v>26</v>
      </c>
      <c r="N631" t="s">
        <v>188</v>
      </c>
      <c r="O631">
        <f>IF(Table13[[#This Row],[Goal_assist]]="",1,0)</f>
        <v>0</v>
      </c>
    </row>
    <row r="632" spans="1:15" x14ac:dyDescent="0.35">
      <c r="A632" t="s">
        <v>64</v>
      </c>
      <c r="B632" s="4">
        <v>41609</v>
      </c>
      <c r="C632" t="s">
        <v>65</v>
      </c>
      <c r="D632">
        <v>33</v>
      </c>
      <c r="E632" s="2">
        <v>41391</v>
      </c>
      <c r="F632" t="s">
        <v>24</v>
      </c>
      <c r="G632" t="s">
        <v>66</v>
      </c>
      <c r="H632" t="s">
        <v>86</v>
      </c>
      <c r="I632" s="3">
        <v>8.4722222222222227E-2</v>
      </c>
      <c r="J632" t="s">
        <v>68</v>
      </c>
      <c r="K632">
        <v>67</v>
      </c>
      <c r="L632" s="3">
        <v>4.2361111111111113E-2</v>
      </c>
      <c r="M632" t="s">
        <v>31</v>
      </c>
      <c r="N632" t="s">
        <v>213</v>
      </c>
      <c r="O632">
        <f>IF(Table13[[#This Row],[Goal_assist]]="",1,0)</f>
        <v>0</v>
      </c>
    </row>
    <row r="633" spans="1:15" x14ac:dyDescent="0.35">
      <c r="A633" t="s">
        <v>14</v>
      </c>
      <c r="B633" s="4">
        <v>41609</v>
      </c>
      <c r="C633" t="s">
        <v>65</v>
      </c>
      <c r="D633">
        <v>34</v>
      </c>
      <c r="E633" s="2">
        <v>41398</v>
      </c>
      <c r="F633" t="s">
        <v>16</v>
      </c>
      <c r="G633" t="s">
        <v>112</v>
      </c>
      <c r="H633" t="s">
        <v>197</v>
      </c>
      <c r="I633" s="3">
        <v>0.16875000000000001</v>
      </c>
      <c r="J633" t="s">
        <v>19</v>
      </c>
      <c r="K633">
        <v>32</v>
      </c>
      <c r="L633" s="3">
        <v>8.4027777777777785E-2</v>
      </c>
      <c r="M633" t="s">
        <v>22</v>
      </c>
      <c r="N633" t="s">
        <v>207</v>
      </c>
      <c r="O633">
        <f>IF(Table13[[#This Row],[Goal_assist]]="",1,0)</f>
        <v>0</v>
      </c>
    </row>
    <row r="634" spans="1:15" x14ac:dyDescent="0.35">
      <c r="A634" t="s">
        <v>14</v>
      </c>
      <c r="B634" s="4">
        <v>41609</v>
      </c>
      <c r="C634" t="s">
        <v>65</v>
      </c>
      <c r="D634">
        <v>34</v>
      </c>
      <c r="E634" s="2">
        <v>41398</v>
      </c>
      <c r="F634" t="s">
        <v>16</v>
      </c>
      <c r="G634" t="s">
        <v>112</v>
      </c>
      <c r="H634" t="s">
        <v>197</v>
      </c>
      <c r="I634" s="3">
        <v>0.16875000000000001</v>
      </c>
      <c r="J634" t="s">
        <v>19</v>
      </c>
      <c r="K634">
        <v>70</v>
      </c>
      <c r="L634" s="3">
        <v>0.16805555555555557</v>
      </c>
      <c r="M634" t="s">
        <v>22</v>
      </c>
      <c r="N634" t="s">
        <v>204</v>
      </c>
      <c r="O634">
        <f>IF(Table13[[#This Row],[Goal_assist]]="",1,0)</f>
        <v>0</v>
      </c>
    </row>
    <row r="635" spans="1:15" x14ac:dyDescent="0.35">
      <c r="A635" t="s">
        <v>64</v>
      </c>
      <c r="B635" s="4">
        <v>41609</v>
      </c>
      <c r="C635" t="s">
        <v>65</v>
      </c>
      <c r="D635">
        <v>34</v>
      </c>
      <c r="E635" s="2">
        <v>41399</v>
      </c>
      <c r="F635" t="s">
        <v>16</v>
      </c>
      <c r="G635" t="s">
        <v>66</v>
      </c>
      <c r="H635" t="s">
        <v>95</v>
      </c>
      <c r="I635" s="3">
        <v>0.16805555555555557</v>
      </c>
      <c r="J635" t="s">
        <v>68</v>
      </c>
      <c r="K635">
        <v>60</v>
      </c>
      <c r="L635" s="3">
        <v>0.12638888888888888</v>
      </c>
      <c r="M635" t="s">
        <v>39</v>
      </c>
      <c r="O635">
        <f>IF(Table13[[#This Row],[Goal_assist]]="",1,0)</f>
        <v>1</v>
      </c>
    </row>
    <row r="636" spans="1:15" x14ac:dyDescent="0.35">
      <c r="A636" t="s">
        <v>64</v>
      </c>
      <c r="B636" s="4">
        <v>41609</v>
      </c>
      <c r="C636" t="s">
        <v>65</v>
      </c>
      <c r="D636">
        <v>34</v>
      </c>
      <c r="E636" s="2">
        <v>41399</v>
      </c>
      <c r="F636" t="s">
        <v>16</v>
      </c>
      <c r="G636" t="s">
        <v>66</v>
      </c>
      <c r="H636" t="s">
        <v>95</v>
      </c>
      <c r="I636" s="3">
        <v>0.16805555555555557</v>
      </c>
      <c r="J636" t="s">
        <v>68</v>
      </c>
      <c r="K636">
        <v>71</v>
      </c>
      <c r="L636" s="3">
        <v>0.16805555555555557</v>
      </c>
      <c r="M636" t="s">
        <v>31</v>
      </c>
      <c r="N636" t="s">
        <v>234</v>
      </c>
      <c r="O636">
        <f>IF(Table13[[#This Row],[Goal_assist]]="",1,0)</f>
        <v>0</v>
      </c>
    </row>
    <row r="637" spans="1:15" x14ac:dyDescent="0.35">
      <c r="A637" t="s">
        <v>14</v>
      </c>
      <c r="B637" s="4">
        <v>41609</v>
      </c>
      <c r="C637" t="s">
        <v>65</v>
      </c>
      <c r="D637">
        <v>36</v>
      </c>
      <c r="E637" s="2">
        <v>41402</v>
      </c>
      <c r="F637" t="s">
        <v>16</v>
      </c>
      <c r="G637" t="s">
        <v>112</v>
      </c>
      <c r="H637" t="s">
        <v>157</v>
      </c>
      <c r="I637" s="3">
        <v>0.25138888888888888</v>
      </c>
      <c r="J637" t="s">
        <v>249</v>
      </c>
      <c r="K637">
        <v>26</v>
      </c>
      <c r="L637" s="3">
        <v>8.4027777777777785E-2</v>
      </c>
      <c r="M637" t="s">
        <v>26</v>
      </c>
      <c r="N637" t="s">
        <v>205</v>
      </c>
      <c r="O637">
        <f>IF(Table13[[#This Row],[Goal_assist]]="",1,0)</f>
        <v>0</v>
      </c>
    </row>
    <row r="638" spans="1:15" x14ac:dyDescent="0.35">
      <c r="A638" t="s">
        <v>14</v>
      </c>
      <c r="B638" s="4">
        <v>41609</v>
      </c>
      <c r="C638" t="s">
        <v>91</v>
      </c>
      <c r="D638" t="s">
        <v>46</v>
      </c>
      <c r="E638" s="2">
        <v>41411</v>
      </c>
      <c r="F638" t="s">
        <v>24</v>
      </c>
      <c r="G638" t="s">
        <v>112</v>
      </c>
      <c r="H638" t="s">
        <v>119</v>
      </c>
      <c r="I638" t="s">
        <v>254</v>
      </c>
      <c r="J638" t="s">
        <v>19</v>
      </c>
      <c r="K638">
        <v>14</v>
      </c>
      <c r="L638" s="3">
        <v>6.9444444444444447E-4</v>
      </c>
      <c r="M638" t="s">
        <v>22</v>
      </c>
      <c r="N638" t="s">
        <v>250</v>
      </c>
      <c r="O638">
        <f>IF(Table13[[#This Row],[Goal_assist]]="",1,0)</f>
        <v>0</v>
      </c>
    </row>
    <row r="639" spans="1:15" x14ac:dyDescent="0.35">
      <c r="A639" t="s">
        <v>64</v>
      </c>
      <c r="B639" t="s">
        <v>255</v>
      </c>
      <c r="C639" t="s">
        <v>65</v>
      </c>
      <c r="D639">
        <v>1</v>
      </c>
      <c r="E639" s="2">
        <v>41504</v>
      </c>
      <c r="F639" t="s">
        <v>16</v>
      </c>
      <c r="G639" t="s">
        <v>66</v>
      </c>
      <c r="H639" t="s">
        <v>127</v>
      </c>
      <c r="I639" s="3">
        <v>0.29166666666666669</v>
      </c>
      <c r="J639" t="s">
        <v>68</v>
      </c>
      <c r="K639">
        <v>42</v>
      </c>
      <c r="L639" s="3">
        <v>0.20833333333333334</v>
      </c>
      <c r="M639" t="s">
        <v>83</v>
      </c>
      <c r="O639">
        <f>IF(Table13[[#This Row],[Goal_assist]]="",1,0)</f>
        <v>1</v>
      </c>
    </row>
    <row r="640" spans="1:15" x14ac:dyDescent="0.35">
      <c r="A640" t="s">
        <v>64</v>
      </c>
      <c r="B640" t="s">
        <v>255</v>
      </c>
      <c r="C640" t="s">
        <v>65</v>
      </c>
      <c r="D640">
        <v>1</v>
      </c>
      <c r="E640" s="2">
        <v>41504</v>
      </c>
      <c r="F640" t="s">
        <v>16</v>
      </c>
      <c r="G640" t="s">
        <v>66</v>
      </c>
      <c r="H640" t="s">
        <v>127</v>
      </c>
      <c r="I640" s="3">
        <v>0.29166666666666669</v>
      </c>
      <c r="J640" t="s">
        <v>68</v>
      </c>
      <c r="K640">
        <v>13</v>
      </c>
      <c r="L640" s="3">
        <v>8.3333333333333329E-2</v>
      </c>
      <c r="M640" t="s">
        <v>31</v>
      </c>
      <c r="N640" t="s">
        <v>186</v>
      </c>
      <c r="O640">
        <f>IF(Table13[[#This Row],[Goal_assist]]="",1,0)</f>
        <v>0</v>
      </c>
    </row>
    <row r="641" spans="1:15" x14ac:dyDescent="0.35">
      <c r="A641" t="s">
        <v>14</v>
      </c>
      <c r="B641" t="s">
        <v>255</v>
      </c>
      <c r="C641" t="s">
        <v>65</v>
      </c>
      <c r="D641">
        <v>3</v>
      </c>
      <c r="E641" s="2">
        <v>41518</v>
      </c>
      <c r="F641" t="s">
        <v>16</v>
      </c>
      <c r="G641" t="s">
        <v>112</v>
      </c>
      <c r="H641" t="s">
        <v>86</v>
      </c>
      <c r="I641" s="3">
        <v>0.12569444444444444</v>
      </c>
      <c r="J641" t="s">
        <v>19</v>
      </c>
      <c r="K641">
        <v>45</v>
      </c>
      <c r="L641" s="3">
        <v>8.3333333333333329E-2</v>
      </c>
      <c r="M641" t="s">
        <v>22</v>
      </c>
      <c r="N641" t="s">
        <v>207</v>
      </c>
      <c r="O641">
        <f>IF(Table13[[#This Row],[Goal_assist]]="",1,0)</f>
        <v>0</v>
      </c>
    </row>
    <row r="642" spans="1:15" x14ac:dyDescent="0.35">
      <c r="A642" t="s">
        <v>64</v>
      </c>
      <c r="B642" t="s">
        <v>255</v>
      </c>
      <c r="C642" t="s">
        <v>65</v>
      </c>
      <c r="D642">
        <v>3</v>
      </c>
      <c r="E642" s="2">
        <v>41518</v>
      </c>
      <c r="F642" t="s">
        <v>24</v>
      </c>
      <c r="G642" t="s">
        <v>66</v>
      </c>
      <c r="H642" t="s">
        <v>148</v>
      </c>
      <c r="I642" s="3">
        <v>8.5416666666666669E-2</v>
      </c>
      <c r="J642" t="s">
        <v>68</v>
      </c>
      <c r="K642">
        <v>41</v>
      </c>
      <c r="L642" s="3">
        <v>2.0833333333333333E-3</v>
      </c>
      <c r="M642" t="s">
        <v>31</v>
      </c>
      <c r="N642" t="s">
        <v>256</v>
      </c>
      <c r="O642">
        <f>IF(Table13[[#This Row],[Goal_assist]]="",1,0)</f>
        <v>0</v>
      </c>
    </row>
    <row r="643" spans="1:15" x14ac:dyDescent="0.35">
      <c r="A643" t="s">
        <v>64</v>
      </c>
      <c r="B643" t="s">
        <v>255</v>
      </c>
      <c r="C643" t="s">
        <v>65</v>
      </c>
      <c r="D643">
        <v>3</v>
      </c>
      <c r="E643" s="2">
        <v>41518</v>
      </c>
      <c r="F643" t="s">
        <v>24</v>
      </c>
      <c r="G643" t="s">
        <v>66</v>
      </c>
      <c r="H643" t="s">
        <v>148</v>
      </c>
      <c r="I643" s="3">
        <v>8.5416666666666669E-2</v>
      </c>
      <c r="J643" t="s">
        <v>68</v>
      </c>
      <c r="K643">
        <v>39</v>
      </c>
      <c r="L643" s="3">
        <v>1.3888888888888889E-3</v>
      </c>
      <c r="M643" t="s">
        <v>26</v>
      </c>
      <c r="N643" t="s">
        <v>224</v>
      </c>
      <c r="O643">
        <f>IF(Table13[[#This Row],[Goal_assist]]="",1,0)</f>
        <v>0</v>
      </c>
    </row>
    <row r="644" spans="1:15" x14ac:dyDescent="0.35">
      <c r="A644" t="s">
        <v>64</v>
      </c>
      <c r="B644" t="s">
        <v>255</v>
      </c>
      <c r="C644" t="s">
        <v>65</v>
      </c>
      <c r="D644">
        <v>3</v>
      </c>
      <c r="E644" s="2">
        <v>41518</v>
      </c>
      <c r="F644" t="s">
        <v>24</v>
      </c>
      <c r="G644" t="s">
        <v>66</v>
      </c>
      <c r="H644" t="s">
        <v>148</v>
      </c>
      <c r="I644" s="3">
        <v>8.5416666666666669E-2</v>
      </c>
      <c r="J644" t="s">
        <v>68</v>
      </c>
      <c r="K644">
        <v>11</v>
      </c>
      <c r="L644" s="3">
        <v>6.9444444444444447E-4</v>
      </c>
      <c r="M644" t="s">
        <v>31</v>
      </c>
      <c r="N644" t="s">
        <v>224</v>
      </c>
      <c r="O644">
        <f>IF(Table13[[#This Row],[Goal_assist]]="",1,0)</f>
        <v>0</v>
      </c>
    </row>
    <row r="645" spans="1:15" x14ac:dyDescent="0.35">
      <c r="A645" t="s">
        <v>64</v>
      </c>
      <c r="B645" t="s">
        <v>255</v>
      </c>
      <c r="C645" t="s">
        <v>65</v>
      </c>
      <c r="D645">
        <v>4</v>
      </c>
      <c r="E645" s="2">
        <v>41531</v>
      </c>
      <c r="F645" t="s">
        <v>16</v>
      </c>
      <c r="G645" t="s">
        <v>66</v>
      </c>
      <c r="H645" t="s">
        <v>105</v>
      </c>
      <c r="I645" s="3">
        <v>0.12638888888888888</v>
      </c>
      <c r="J645" t="s">
        <v>68</v>
      </c>
      <c r="K645">
        <v>75</v>
      </c>
      <c r="L645" s="3">
        <v>8.3333333333333329E-2</v>
      </c>
      <c r="M645" t="s">
        <v>31</v>
      </c>
      <c r="N645" t="s">
        <v>256</v>
      </c>
      <c r="O645">
        <f>IF(Table13[[#This Row],[Goal_assist]]="",1,0)</f>
        <v>0</v>
      </c>
    </row>
    <row r="646" spans="1:15" x14ac:dyDescent="0.35">
      <c r="A646" t="s">
        <v>14</v>
      </c>
      <c r="B646" t="s">
        <v>255</v>
      </c>
      <c r="C646" t="s">
        <v>65</v>
      </c>
      <c r="D646">
        <v>4</v>
      </c>
      <c r="E646" s="2">
        <v>41531</v>
      </c>
      <c r="F646" t="s">
        <v>24</v>
      </c>
      <c r="G646" t="s">
        <v>112</v>
      </c>
      <c r="H646" t="s">
        <v>180</v>
      </c>
      <c r="I646" s="3">
        <v>8.4722222222222227E-2</v>
      </c>
      <c r="J646" t="s">
        <v>19</v>
      </c>
      <c r="K646">
        <v>64</v>
      </c>
      <c r="L646" s="3">
        <v>4.3055555555555555E-2</v>
      </c>
      <c r="M646" t="s">
        <v>26</v>
      </c>
      <c r="O646">
        <f>IF(Table13[[#This Row],[Goal_assist]]="",1,0)</f>
        <v>1</v>
      </c>
    </row>
    <row r="647" spans="1:15" x14ac:dyDescent="0.35">
      <c r="A647" t="s">
        <v>14</v>
      </c>
      <c r="B647" t="s">
        <v>255</v>
      </c>
      <c r="C647" t="s">
        <v>75</v>
      </c>
      <c r="D647" t="s">
        <v>76</v>
      </c>
      <c r="E647" s="2">
        <v>41534</v>
      </c>
      <c r="F647" t="s">
        <v>24</v>
      </c>
      <c r="G647" t="s">
        <v>112</v>
      </c>
      <c r="H647" t="s">
        <v>253</v>
      </c>
      <c r="I647" s="3">
        <v>4.583333333333333E-2</v>
      </c>
      <c r="J647" t="s">
        <v>19</v>
      </c>
      <c r="K647">
        <v>90</v>
      </c>
      <c r="L647" s="3">
        <v>4.583333333333333E-2</v>
      </c>
      <c r="M647" t="s">
        <v>31</v>
      </c>
      <c r="N647" t="s">
        <v>183</v>
      </c>
      <c r="O647">
        <f>IF(Table13[[#This Row],[Goal_assist]]="",1,0)</f>
        <v>0</v>
      </c>
    </row>
    <row r="648" spans="1:15" x14ac:dyDescent="0.35">
      <c r="A648" t="s">
        <v>14</v>
      </c>
      <c r="B648" t="s">
        <v>255</v>
      </c>
      <c r="C648" t="s">
        <v>75</v>
      </c>
      <c r="D648" t="s">
        <v>76</v>
      </c>
      <c r="E648" s="2">
        <v>41534</v>
      </c>
      <c r="F648" t="s">
        <v>24</v>
      </c>
      <c r="G648" t="s">
        <v>112</v>
      </c>
      <c r="H648" t="s">
        <v>253</v>
      </c>
      <c r="I648" s="3">
        <v>4.583333333333333E-2</v>
      </c>
      <c r="J648" t="s">
        <v>19</v>
      </c>
      <c r="K648">
        <v>66</v>
      </c>
      <c r="L648" s="3">
        <v>2.7777777777777779E-3</v>
      </c>
      <c r="M648" t="s">
        <v>55</v>
      </c>
      <c r="N648" t="s">
        <v>202</v>
      </c>
      <c r="O648">
        <f>IF(Table13[[#This Row],[Goal_assist]]="",1,0)</f>
        <v>0</v>
      </c>
    </row>
    <row r="649" spans="1:15" x14ac:dyDescent="0.35">
      <c r="A649" t="s">
        <v>14</v>
      </c>
      <c r="B649" t="s">
        <v>255</v>
      </c>
      <c r="C649" t="s">
        <v>75</v>
      </c>
      <c r="D649" t="s">
        <v>76</v>
      </c>
      <c r="E649" s="2">
        <v>41534</v>
      </c>
      <c r="F649" t="s">
        <v>24</v>
      </c>
      <c r="G649" t="s">
        <v>112</v>
      </c>
      <c r="H649" t="s">
        <v>253</v>
      </c>
      <c r="I649" s="3">
        <v>4.583333333333333E-2</v>
      </c>
      <c r="J649" t="s">
        <v>19</v>
      </c>
      <c r="K649">
        <v>63</v>
      </c>
      <c r="L649" s="3">
        <v>2.0833333333333333E-3</v>
      </c>
      <c r="M649" t="s">
        <v>31</v>
      </c>
      <c r="N649" t="s">
        <v>257</v>
      </c>
      <c r="O649">
        <f>IF(Table13[[#This Row],[Goal_assist]]="",1,0)</f>
        <v>0</v>
      </c>
    </row>
    <row r="650" spans="1:15" x14ac:dyDescent="0.35">
      <c r="A650" t="s">
        <v>64</v>
      </c>
      <c r="B650" t="s">
        <v>255</v>
      </c>
      <c r="C650" t="s">
        <v>75</v>
      </c>
      <c r="D650" t="s">
        <v>76</v>
      </c>
      <c r="E650" s="2">
        <v>41535</v>
      </c>
      <c r="F650" t="s">
        <v>16</v>
      </c>
      <c r="G650" t="s">
        <v>66</v>
      </c>
      <c r="H650" t="s">
        <v>214</v>
      </c>
      <c r="I650" s="3">
        <v>0.16666666666666666</v>
      </c>
      <c r="J650" t="s">
        <v>68</v>
      </c>
      <c r="K650">
        <v>75</v>
      </c>
      <c r="L650" s="3">
        <v>0.16666666666666666</v>
      </c>
      <c r="M650" t="s">
        <v>31</v>
      </c>
      <c r="N650" t="s">
        <v>106</v>
      </c>
      <c r="O650">
        <f>IF(Table13[[#This Row],[Goal_assist]]="",1,0)</f>
        <v>0</v>
      </c>
    </row>
    <row r="651" spans="1:15" x14ac:dyDescent="0.35">
      <c r="A651" t="s">
        <v>64</v>
      </c>
      <c r="B651" t="s">
        <v>255</v>
      </c>
      <c r="C651" t="s">
        <v>75</v>
      </c>
      <c r="D651" t="s">
        <v>76</v>
      </c>
      <c r="E651" s="2">
        <v>41535</v>
      </c>
      <c r="F651" t="s">
        <v>16</v>
      </c>
      <c r="G651" t="s">
        <v>66</v>
      </c>
      <c r="H651" t="s">
        <v>214</v>
      </c>
      <c r="I651" s="3">
        <v>0.16666666666666666</v>
      </c>
      <c r="J651" t="s">
        <v>68</v>
      </c>
      <c r="K651">
        <v>55</v>
      </c>
      <c r="L651" s="3">
        <v>8.3333333333333329E-2</v>
      </c>
      <c r="M651" t="s">
        <v>31</v>
      </c>
      <c r="N651" t="s">
        <v>222</v>
      </c>
      <c r="O651">
        <f>IF(Table13[[#This Row],[Goal_assist]]="",1,0)</f>
        <v>0</v>
      </c>
    </row>
    <row r="652" spans="1:15" x14ac:dyDescent="0.35">
      <c r="A652" t="s">
        <v>64</v>
      </c>
      <c r="B652" t="s">
        <v>255</v>
      </c>
      <c r="C652" t="s">
        <v>75</v>
      </c>
      <c r="D652" t="s">
        <v>76</v>
      </c>
      <c r="E652" s="2">
        <v>41535</v>
      </c>
      <c r="F652" t="s">
        <v>16</v>
      </c>
      <c r="G652" t="s">
        <v>66</v>
      </c>
      <c r="H652" t="s">
        <v>214</v>
      </c>
      <c r="I652" s="3">
        <v>0.16666666666666666</v>
      </c>
      <c r="J652" t="s">
        <v>68</v>
      </c>
      <c r="K652">
        <v>22</v>
      </c>
      <c r="L652" s="3">
        <v>4.1666666666666664E-2</v>
      </c>
      <c r="M652" t="s">
        <v>39</v>
      </c>
      <c r="O652">
        <f>IF(Table13[[#This Row],[Goal_assist]]="",1,0)</f>
        <v>1</v>
      </c>
    </row>
    <row r="653" spans="1:15" x14ac:dyDescent="0.35">
      <c r="A653" t="s">
        <v>14</v>
      </c>
      <c r="B653" t="s">
        <v>255</v>
      </c>
      <c r="C653" t="s">
        <v>65</v>
      </c>
      <c r="D653">
        <v>5</v>
      </c>
      <c r="E653" s="2">
        <v>41539</v>
      </c>
      <c r="F653" t="s">
        <v>16</v>
      </c>
      <c r="G653" t="s">
        <v>112</v>
      </c>
      <c r="H653" t="s">
        <v>117</v>
      </c>
      <c r="I653" s="3">
        <v>0.1673611111111111</v>
      </c>
      <c r="J653" t="s">
        <v>19</v>
      </c>
      <c r="K653">
        <v>90</v>
      </c>
      <c r="L653" s="3">
        <v>0.1673611111111111</v>
      </c>
      <c r="M653" t="s">
        <v>26</v>
      </c>
      <c r="N653" t="s">
        <v>219</v>
      </c>
      <c r="O653">
        <f>IF(Table13[[#This Row],[Goal_assist]]="",1,0)</f>
        <v>0</v>
      </c>
    </row>
    <row r="654" spans="1:15" x14ac:dyDescent="0.35">
      <c r="A654" t="s">
        <v>14</v>
      </c>
      <c r="B654" t="s">
        <v>255</v>
      </c>
      <c r="C654" t="s">
        <v>65</v>
      </c>
      <c r="D654">
        <v>5</v>
      </c>
      <c r="E654" s="2">
        <v>41539</v>
      </c>
      <c r="F654" t="s">
        <v>16</v>
      </c>
      <c r="G654" t="s">
        <v>112</v>
      </c>
      <c r="H654" t="s">
        <v>117</v>
      </c>
      <c r="I654" s="3">
        <v>0.1673611111111111</v>
      </c>
      <c r="J654" t="s">
        <v>19</v>
      </c>
      <c r="K654">
        <v>34</v>
      </c>
      <c r="L654" s="3">
        <v>8.4027777777777785E-2</v>
      </c>
      <c r="M654" t="s">
        <v>83</v>
      </c>
      <c r="O654">
        <f>IF(Table13[[#This Row],[Goal_assist]]="",1,0)</f>
        <v>1</v>
      </c>
    </row>
    <row r="655" spans="1:15" x14ac:dyDescent="0.35">
      <c r="A655" t="s">
        <v>64</v>
      </c>
      <c r="B655" t="s">
        <v>255</v>
      </c>
      <c r="C655" t="s">
        <v>65</v>
      </c>
      <c r="D655">
        <v>6</v>
      </c>
      <c r="E655" s="2">
        <v>41541</v>
      </c>
      <c r="F655" t="s">
        <v>16</v>
      </c>
      <c r="G655" t="s">
        <v>66</v>
      </c>
      <c r="H655" t="s">
        <v>217</v>
      </c>
      <c r="I655" s="3">
        <v>0.1673611111111111</v>
      </c>
      <c r="J655" t="s">
        <v>68</v>
      </c>
      <c r="K655">
        <v>8</v>
      </c>
      <c r="L655" s="3">
        <v>8.3333333333333329E-2</v>
      </c>
      <c r="M655" t="s">
        <v>22</v>
      </c>
      <c r="N655" t="s">
        <v>256</v>
      </c>
      <c r="O655">
        <f>IF(Table13[[#This Row],[Goal_assist]]="",1,0)</f>
        <v>0</v>
      </c>
    </row>
    <row r="656" spans="1:15" x14ac:dyDescent="0.35">
      <c r="A656" t="s">
        <v>14</v>
      </c>
      <c r="B656" t="s">
        <v>255</v>
      </c>
      <c r="C656" t="s">
        <v>65</v>
      </c>
      <c r="D656">
        <v>6</v>
      </c>
      <c r="E656" s="2">
        <v>41542</v>
      </c>
      <c r="F656" t="s">
        <v>24</v>
      </c>
      <c r="G656" t="s">
        <v>112</v>
      </c>
      <c r="H656" t="s">
        <v>258</v>
      </c>
      <c r="I656" s="3">
        <v>4.3055555555555555E-2</v>
      </c>
      <c r="J656" t="s">
        <v>19</v>
      </c>
      <c r="K656">
        <v>51</v>
      </c>
      <c r="L656" s="3">
        <v>6.9444444444444447E-4</v>
      </c>
      <c r="M656" t="s">
        <v>39</v>
      </c>
      <c r="O656">
        <f>IF(Table13[[#This Row],[Goal_assist]]="",1,0)</f>
        <v>1</v>
      </c>
    </row>
    <row r="657" spans="1:15" x14ac:dyDescent="0.35">
      <c r="A657" t="s">
        <v>14</v>
      </c>
      <c r="B657" t="s">
        <v>255</v>
      </c>
      <c r="C657" t="s">
        <v>65</v>
      </c>
      <c r="D657">
        <v>6</v>
      </c>
      <c r="E657" s="2">
        <v>41542</v>
      </c>
      <c r="F657" t="s">
        <v>24</v>
      </c>
      <c r="G657" t="s">
        <v>112</v>
      </c>
      <c r="H657" t="s">
        <v>258</v>
      </c>
      <c r="I657" s="3">
        <v>4.3055555555555555E-2</v>
      </c>
      <c r="J657" t="s">
        <v>19</v>
      </c>
      <c r="K657" t="s">
        <v>259</v>
      </c>
      <c r="L657" s="3">
        <v>4.3055555555555555E-2</v>
      </c>
      <c r="M657" t="s">
        <v>83</v>
      </c>
      <c r="O657">
        <f>IF(Table13[[#This Row],[Goal_assist]]="",1,0)</f>
        <v>1</v>
      </c>
    </row>
    <row r="658" spans="1:15" x14ac:dyDescent="0.35">
      <c r="A658" t="s">
        <v>64</v>
      </c>
      <c r="B658" t="s">
        <v>255</v>
      </c>
      <c r="C658" t="s">
        <v>65</v>
      </c>
      <c r="D658">
        <v>7</v>
      </c>
      <c r="E658" s="2">
        <v>41545</v>
      </c>
      <c r="F658" t="s">
        <v>24</v>
      </c>
      <c r="G658" t="s">
        <v>66</v>
      </c>
      <c r="H658" t="s">
        <v>131</v>
      </c>
      <c r="I658" s="3">
        <v>1.3888888888888889E-3</v>
      </c>
      <c r="J658" t="s">
        <v>68</v>
      </c>
      <c r="K658">
        <v>21</v>
      </c>
      <c r="L658" s="3">
        <v>6.9444444444444447E-4</v>
      </c>
      <c r="M658" t="s">
        <v>31</v>
      </c>
      <c r="N658" t="s">
        <v>186</v>
      </c>
      <c r="O658">
        <f>IF(Table13[[#This Row],[Goal_assist]]="",1,0)</f>
        <v>0</v>
      </c>
    </row>
    <row r="659" spans="1:15" x14ac:dyDescent="0.35">
      <c r="A659" t="s">
        <v>14</v>
      </c>
      <c r="B659" t="s">
        <v>255</v>
      </c>
      <c r="C659" t="s">
        <v>75</v>
      </c>
      <c r="D659" t="s">
        <v>76</v>
      </c>
      <c r="E659" s="2">
        <v>41549</v>
      </c>
      <c r="F659" t="s">
        <v>16</v>
      </c>
      <c r="G659" t="s">
        <v>112</v>
      </c>
      <c r="H659" t="s">
        <v>206</v>
      </c>
      <c r="I659" s="3">
        <v>0.16666666666666666</v>
      </c>
      <c r="J659" t="s">
        <v>19</v>
      </c>
      <c r="K659">
        <v>21</v>
      </c>
      <c r="L659" s="3">
        <v>4.1666666666666664E-2</v>
      </c>
      <c r="M659" t="s">
        <v>22</v>
      </c>
      <c r="N659" t="s">
        <v>201</v>
      </c>
      <c r="O659">
        <f>IF(Table13[[#This Row],[Goal_assist]]="",1,0)</f>
        <v>0</v>
      </c>
    </row>
    <row r="660" spans="1:15" x14ac:dyDescent="0.35">
      <c r="A660" t="s">
        <v>14</v>
      </c>
      <c r="B660" t="s">
        <v>255</v>
      </c>
      <c r="C660" t="s">
        <v>75</v>
      </c>
      <c r="D660" t="s">
        <v>76</v>
      </c>
      <c r="E660" s="2">
        <v>41549</v>
      </c>
      <c r="F660" t="s">
        <v>16</v>
      </c>
      <c r="G660" t="s">
        <v>112</v>
      </c>
      <c r="H660" t="s">
        <v>206</v>
      </c>
      <c r="I660" s="3">
        <v>0.16666666666666666</v>
      </c>
      <c r="J660" t="s">
        <v>19</v>
      </c>
      <c r="K660">
        <v>65</v>
      </c>
      <c r="L660" s="3">
        <v>8.3333333333333329E-2</v>
      </c>
      <c r="M660" t="s">
        <v>22</v>
      </c>
      <c r="N660" t="s">
        <v>207</v>
      </c>
      <c r="O660">
        <f>IF(Table13[[#This Row],[Goal_assist]]="",1,0)</f>
        <v>0</v>
      </c>
    </row>
    <row r="661" spans="1:15" x14ac:dyDescent="0.35">
      <c r="A661" t="s">
        <v>14</v>
      </c>
      <c r="B661" t="s">
        <v>255</v>
      </c>
      <c r="C661" t="s">
        <v>65</v>
      </c>
      <c r="D661">
        <v>8</v>
      </c>
      <c r="E661" s="2">
        <v>41552</v>
      </c>
      <c r="F661" t="s">
        <v>24</v>
      </c>
      <c r="G661" t="s">
        <v>112</v>
      </c>
      <c r="H661" t="s">
        <v>127</v>
      </c>
      <c r="I661" s="3">
        <v>8.5416666666666669E-2</v>
      </c>
      <c r="J661" t="s">
        <v>19</v>
      </c>
      <c r="K661" t="s">
        <v>239</v>
      </c>
      <c r="L661" s="3">
        <v>8.5416666666666669E-2</v>
      </c>
      <c r="M661" t="s">
        <v>26</v>
      </c>
      <c r="N661" t="s">
        <v>250</v>
      </c>
      <c r="O661">
        <f>IF(Table13[[#This Row],[Goal_assist]]="",1,0)</f>
        <v>0</v>
      </c>
    </row>
    <row r="662" spans="1:15" x14ac:dyDescent="0.35">
      <c r="A662" t="s">
        <v>14</v>
      </c>
      <c r="B662" t="s">
        <v>255</v>
      </c>
      <c r="C662" t="s">
        <v>65</v>
      </c>
      <c r="D662">
        <v>9</v>
      </c>
      <c r="E662" s="2">
        <v>41566</v>
      </c>
      <c r="F662" t="s">
        <v>16</v>
      </c>
      <c r="G662" t="s">
        <v>112</v>
      </c>
      <c r="H662" t="s">
        <v>157</v>
      </c>
      <c r="I662" s="3">
        <v>8.3333333333333329E-2</v>
      </c>
      <c r="J662" t="s">
        <v>19</v>
      </c>
      <c r="K662" t="s">
        <v>69</v>
      </c>
      <c r="L662" s="3">
        <v>8.3333333333333329E-2</v>
      </c>
      <c r="M662" t="s">
        <v>83</v>
      </c>
      <c r="O662">
        <f>IF(Table13[[#This Row],[Goal_assist]]="",1,0)</f>
        <v>1</v>
      </c>
    </row>
    <row r="663" spans="1:15" x14ac:dyDescent="0.35">
      <c r="A663" t="s">
        <v>64</v>
      </c>
      <c r="B663" t="s">
        <v>255</v>
      </c>
      <c r="C663" t="s">
        <v>75</v>
      </c>
      <c r="D663" t="s">
        <v>76</v>
      </c>
      <c r="E663" s="2">
        <v>41569</v>
      </c>
      <c r="F663" t="s">
        <v>24</v>
      </c>
      <c r="G663" t="s">
        <v>66</v>
      </c>
      <c r="H663" t="s">
        <v>118</v>
      </c>
      <c r="I663" s="3">
        <v>4.2361111111111113E-2</v>
      </c>
      <c r="J663" t="s">
        <v>68</v>
      </c>
      <c r="K663">
        <v>23</v>
      </c>
      <c r="L663" s="3">
        <v>4.2361111111111113E-2</v>
      </c>
      <c r="M663" t="s">
        <v>31</v>
      </c>
      <c r="N663" t="s">
        <v>99</v>
      </c>
      <c r="O663">
        <f>IF(Table13[[#This Row],[Goal_assist]]="",1,0)</f>
        <v>0</v>
      </c>
    </row>
    <row r="664" spans="1:15" x14ac:dyDescent="0.35">
      <c r="A664" t="s">
        <v>14</v>
      </c>
      <c r="B664" t="s">
        <v>255</v>
      </c>
      <c r="C664" t="s">
        <v>75</v>
      </c>
      <c r="D664" t="s">
        <v>76</v>
      </c>
      <c r="E664" s="2">
        <v>41570</v>
      </c>
      <c r="F664" t="s">
        <v>16</v>
      </c>
      <c r="G664" t="s">
        <v>112</v>
      </c>
      <c r="H664" t="s">
        <v>260</v>
      </c>
      <c r="I664" s="3">
        <v>8.4027777777777785E-2</v>
      </c>
      <c r="J664" t="s">
        <v>19</v>
      </c>
      <c r="K664">
        <v>29</v>
      </c>
      <c r="L664" s="3">
        <v>8.4027777777777785E-2</v>
      </c>
      <c r="M664" t="s">
        <v>83</v>
      </c>
      <c r="O664">
        <f>IF(Table13[[#This Row],[Goal_assist]]="",1,0)</f>
        <v>1</v>
      </c>
    </row>
    <row r="665" spans="1:15" x14ac:dyDescent="0.35">
      <c r="A665" t="s">
        <v>14</v>
      </c>
      <c r="B665" t="s">
        <v>255</v>
      </c>
      <c r="C665" t="s">
        <v>75</v>
      </c>
      <c r="D665" t="s">
        <v>76</v>
      </c>
      <c r="E665" s="2">
        <v>41570</v>
      </c>
      <c r="F665" t="s">
        <v>16</v>
      </c>
      <c r="G665" t="s">
        <v>112</v>
      </c>
      <c r="H665" t="s">
        <v>260</v>
      </c>
      <c r="I665" s="3">
        <v>8.4027777777777785E-2</v>
      </c>
      <c r="J665" t="s">
        <v>19</v>
      </c>
      <c r="K665">
        <v>4</v>
      </c>
      <c r="L665" s="3">
        <v>4.1666666666666664E-2</v>
      </c>
      <c r="M665" t="s">
        <v>26</v>
      </c>
      <c r="N665" t="s">
        <v>207</v>
      </c>
      <c r="O665">
        <f>IF(Table13[[#This Row],[Goal_assist]]="",1,0)</f>
        <v>0</v>
      </c>
    </row>
    <row r="666" spans="1:15" x14ac:dyDescent="0.35">
      <c r="A666" t="s">
        <v>14</v>
      </c>
      <c r="B666" t="s">
        <v>255</v>
      </c>
      <c r="C666" t="s">
        <v>65</v>
      </c>
      <c r="D666">
        <v>11</v>
      </c>
      <c r="E666" s="2">
        <v>41577</v>
      </c>
      <c r="F666" t="s">
        <v>16</v>
      </c>
      <c r="G666" t="s">
        <v>112</v>
      </c>
      <c r="H666" t="s">
        <v>105</v>
      </c>
      <c r="I666" s="3">
        <v>0.29375000000000001</v>
      </c>
      <c r="J666" t="s">
        <v>19</v>
      </c>
      <c r="K666">
        <v>71</v>
      </c>
      <c r="L666" s="3">
        <v>0.25208333333333333</v>
      </c>
      <c r="M666" t="s">
        <v>26</v>
      </c>
      <c r="N666" t="s">
        <v>183</v>
      </c>
      <c r="O666">
        <f>IF(Table13[[#This Row],[Goal_assist]]="",1,0)</f>
        <v>0</v>
      </c>
    </row>
    <row r="667" spans="1:15" x14ac:dyDescent="0.35">
      <c r="A667" t="s">
        <v>14</v>
      </c>
      <c r="B667" t="s">
        <v>255</v>
      </c>
      <c r="C667" t="s">
        <v>65</v>
      </c>
      <c r="D667">
        <v>11</v>
      </c>
      <c r="E667" s="2">
        <v>41577</v>
      </c>
      <c r="F667" t="s">
        <v>16</v>
      </c>
      <c r="G667" t="s">
        <v>112</v>
      </c>
      <c r="H667" t="s">
        <v>105</v>
      </c>
      <c r="I667" s="3">
        <v>0.29375000000000001</v>
      </c>
      <c r="J667" t="s">
        <v>19</v>
      </c>
      <c r="K667">
        <v>31</v>
      </c>
      <c r="L667" s="3">
        <v>0.125</v>
      </c>
      <c r="M667" t="s">
        <v>83</v>
      </c>
      <c r="O667">
        <f>IF(Table13[[#This Row],[Goal_assist]]="",1,0)</f>
        <v>1</v>
      </c>
    </row>
    <row r="668" spans="1:15" x14ac:dyDescent="0.35">
      <c r="A668" t="s">
        <v>14</v>
      </c>
      <c r="B668" t="s">
        <v>255</v>
      </c>
      <c r="C668" t="s">
        <v>65</v>
      </c>
      <c r="D668">
        <v>11</v>
      </c>
      <c r="E668" s="2">
        <v>41577</v>
      </c>
      <c r="F668" t="s">
        <v>16</v>
      </c>
      <c r="G668" t="s">
        <v>112</v>
      </c>
      <c r="H668" t="s">
        <v>105</v>
      </c>
      <c r="I668" s="3">
        <v>0.29375000000000001</v>
      </c>
      <c r="J668" t="s">
        <v>19</v>
      </c>
      <c r="K668">
        <v>60</v>
      </c>
      <c r="L668" s="3">
        <v>0.20972222222222223</v>
      </c>
      <c r="M668" t="s">
        <v>26</v>
      </c>
      <c r="N668" t="s">
        <v>261</v>
      </c>
      <c r="O668">
        <f>IF(Table13[[#This Row],[Goal_assist]]="",1,0)</f>
        <v>0</v>
      </c>
    </row>
    <row r="669" spans="1:15" x14ac:dyDescent="0.35">
      <c r="A669" t="s">
        <v>14</v>
      </c>
      <c r="B669" t="s">
        <v>255</v>
      </c>
      <c r="C669" t="s">
        <v>65</v>
      </c>
      <c r="D669">
        <v>12</v>
      </c>
      <c r="E669" s="2">
        <v>41580</v>
      </c>
      <c r="F669" t="s">
        <v>24</v>
      </c>
      <c r="G669" t="s">
        <v>112</v>
      </c>
      <c r="H669" t="s">
        <v>225</v>
      </c>
      <c r="I669" s="3">
        <v>8.5416666666666669E-2</v>
      </c>
      <c r="J669" t="s">
        <v>19</v>
      </c>
      <c r="K669">
        <v>48</v>
      </c>
      <c r="L669" s="3">
        <v>2.0833333333333333E-3</v>
      </c>
      <c r="M669" t="s">
        <v>26</v>
      </c>
      <c r="N669" t="s">
        <v>261</v>
      </c>
      <c r="O669">
        <f>IF(Table13[[#This Row],[Goal_assist]]="",1,0)</f>
        <v>0</v>
      </c>
    </row>
    <row r="670" spans="1:15" x14ac:dyDescent="0.35">
      <c r="A670" t="s">
        <v>14</v>
      </c>
      <c r="B670" t="s">
        <v>255</v>
      </c>
      <c r="C670" t="s">
        <v>65</v>
      </c>
      <c r="D670">
        <v>12</v>
      </c>
      <c r="E670" s="2">
        <v>41580</v>
      </c>
      <c r="F670" t="s">
        <v>24</v>
      </c>
      <c r="G670" t="s">
        <v>112</v>
      </c>
      <c r="H670" t="s">
        <v>225</v>
      </c>
      <c r="I670" s="3">
        <v>8.5416666666666669E-2</v>
      </c>
      <c r="J670" t="s">
        <v>19</v>
      </c>
      <c r="K670">
        <v>3</v>
      </c>
      <c r="L670" s="3">
        <v>6.9444444444444447E-4</v>
      </c>
      <c r="M670" t="s">
        <v>26</v>
      </c>
      <c r="N670" t="s">
        <v>250</v>
      </c>
      <c r="O670">
        <f>IF(Table13[[#This Row],[Goal_assist]]="",1,0)</f>
        <v>0</v>
      </c>
    </row>
    <row r="671" spans="1:15" x14ac:dyDescent="0.35">
      <c r="A671" t="s">
        <v>14</v>
      </c>
      <c r="B671" t="s">
        <v>255</v>
      </c>
      <c r="C671" t="s">
        <v>75</v>
      </c>
      <c r="D671" t="s">
        <v>76</v>
      </c>
      <c r="E671" s="2">
        <v>41583</v>
      </c>
      <c r="F671" t="s">
        <v>24</v>
      </c>
      <c r="G671" t="s">
        <v>112</v>
      </c>
      <c r="H671" t="s">
        <v>260</v>
      </c>
      <c r="I671" s="3">
        <v>8.4722222222222227E-2</v>
      </c>
      <c r="J671" t="s">
        <v>19</v>
      </c>
      <c r="K671">
        <v>52</v>
      </c>
      <c r="L671" s="3">
        <v>4.2361111111111113E-2</v>
      </c>
      <c r="M671" t="s">
        <v>26</v>
      </c>
      <c r="N671" t="s">
        <v>183</v>
      </c>
      <c r="O671">
        <f>IF(Table13[[#This Row],[Goal_assist]]="",1,0)</f>
        <v>0</v>
      </c>
    </row>
    <row r="672" spans="1:15" x14ac:dyDescent="0.35">
      <c r="A672" t="s">
        <v>64</v>
      </c>
      <c r="B672" t="s">
        <v>255</v>
      </c>
      <c r="C672" t="s">
        <v>75</v>
      </c>
      <c r="D672" t="s">
        <v>76</v>
      </c>
      <c r="E672" s="2">
        <v>41584</v>
      </c>
      <c r="F672" t="s">
        <v>16</v>
      </c>
      <c r="G672" t="s">
        <v>66</v>
      </c>
      <c r="H672" t="s">
        <v>118</v>
      </c>
      <c r="I672" s="3">
        <v>0.12569444444444444</v>
      </c>
      <c r="J672" t="s">
        <v>68</v>
      </c>
      <c r="K672">
        <v>83</v>
      </c>
      <c r="L672" s="3">
        <v>0.12569444444444444</v>
      </c>
      <c r="M672" t="s">
        <v>31</v>
      </c>
      <c r="N672" t="s">
        <v>224</v>
      </c>
      <c r="O672">
        <f>IF(Table13[[#This Row],[Goal_assist]]="",1,0)</f>
        <v>0</v>
      </c>
    </row>
    <row r="673" spans="1:15" x14ac:dyDescent="0.35">
      <c r="A673" t="s">
        <v>64</v>
      </c>
      <c r="B673" t="s">
        <v>255</v>
      </c>
      <c r="C673" t="s">
        <v>75</v>
      </c>
      <c r="D673" t="s">
        <v>76</v>
      </c>
      <c r="E673" s="2">
        <v>41584</v>
      </c>
      <c r="F673" t="s">
        <v>16</v>
      </c>
      <c r="G673" t="s">
        <v>66</v>
      </c>
      <c r="H673" t="s">
        <v>118</v>
      </c>
      <c r="I673" s="3">
        <v>0.12569444444444444</v>
      </c>
      <c r="J673" t="s">
        <v>68</v>
      </c>
      <c r="K673">
        <v>30</v>
      </c>
      <c r="L673" s="3">
        <v>4.1666666666666664E-2</v>
      </c>
      <c r="M673" t="s">
        <v>83</v>
      </c>
      <c r="O673">
        <f>IF(Table13[[#This Row],[Goal_assist]]="",1,0)</f>
        <v>1</v>
      </c>
    </row>
    <row r="674" spans="1:15" x14ac:dyDescent="0.35">
      <c r="A674" t="s">
        <v>14</v>
      </c>
      <c r="B674" t="s">
        <v>255</v>
      </c>
      <c r="C674" t="s">
        <v>65</v>
      </c>
      <c r="D674">
        <v>13</v>
      </c>
      <c r="E674" s="2">
        <v>41587</v>
      </c>
      <c r="F674" t="s">
        <v>16</v>
      </c>
      <c r="G674" t="s">
        <v>112</v>
      </c>
      <c r="H674" t="s">
        <v>217</v>
      </c>
      <c r="I674" s="3">
        <v>0.20902777777777778</v>
      </c>
      <c r="J674" t="s">
        <v>19</v>
      </c>
      <c r="K674">
        <v>76</v>
      </c>
      <c r="L674" s="3">
        <v>0.20902777777777778</v>
      </c>
      <c r="M674" t="s">
        <v>39</v>
      </c>
      <c r="O674">
        <f>IF(Table13[[#This Row],[Goal_assist]]="",1,0)</f>
        <v>1</v>
      </c>
    </row>
    <row r="675" spans="1:15" x14ac:dyDescent="0.35">
      <c r="A675" t="s">
        <v>14</v>
      </c>
      <c r="B675" t="s">
        <v>255</v>
      </c>
      <c r="C675" t="s">
        <v>65</v>
      </c>
      <c r="D675">
        <v>13</v>
      </c>
      <c r="E675" s="2">
        <v>41587</v>
      </c>
      <c r="F675" t="s">
        <v>16</v>
      </c>
      <c r="G675" t="s">
        <v>112</v>
      </c>
      <c r="H675" t="s">
        <v>217</v>
      </c>
      <c r="I675" s="3">
        <v>0.20902777777777778</v>
      </c>
      <c r="J675" t="s">
        <v>19</v>
      </c>
      <c r="K675">
        <v>27</v>
      </c>
      <c r="L675" s="3">
        <v>0.125</v>
      </c>
      <c r="M675" t="s">
        <v>83</v>
      </c>
      <c r="O675">
        <f>IF(Table13[[#This Row],[Goal_assist]]="",1,0)</f>
        <v>1</v>
      </c>
    </row>
    <row r="676" spans="1:15" x14ac:dyDescent="0.35">
      <c r="A676" t="s">
        <v>14</v>
      </c>
      <c r="B676" t="s">
        <v>255</v>
      </c>
      <c r="C676" t="s">
        <v>65</v>
      </c>
      <c r="D676">
        <v>13</v>
      </c>
      <c r="E676" s="2">
        <v>41587</v>
      </c>
      <c r="F676" t="s">
        <v>16</v>
      </c>
      <c r="G676" t="s">
        <v>112</v>
      </c>
      <c r="H676" t="s">
        <v>217</v>
      </c>
      <c r="I676" s="3">
        <v>0.20902777777777778</v>
      </c>
      <c r="J676" t="s">
        <v>19</v>
      </c>
      <c r="K676">
        <v>12</v>
      </c>
      <c r="L676" s="3">
        <v>4.1666666666666664E-2</v>
      </c>
      <c r="M676" t="s">
        <v>26</v>
      </c>
      <c r="N676" t="s">
        <v>183</v>
      </c>
      <c r="O676">
        <f>IF(Table13[[#This Row],[Goal_assist]]="",1,0)</f>
        <v>0</v>
      </c>
    </row>
    <row r="677" spans="1:15" x14ac:dyDescent="0.35">
      <c r="A677" t="s">
        <v>14</v>
      </c>
      <c r="B677" t="s">
        <v>255</v>
      </c>
      <c r="C677" t="s">
        <v>65</v>
      </c>
      <c r="D677">
        <v>14</v>
      </c>
      <c r="E677" s="2">
        <v>41601</v>
      </c>
      <c r="F677" t="s">
        <v>24</v>
      </c>
      <c r="G677" t="s">
        <v>112</v>
      </c>
      <c r="H677" t="s">
        <v>187</v>
      </c>
      <c r="I677" s="3">
        <v>3.472222222222222E-3</v>
      </c>
      <c r="J677" t="s">
        <v>19</v>
      </c>
      <c r="K677">
        <v>3</v>
      </c>
      <c r="L677" s="3">
        <v>6.9444444444444447E-4</v>
      </c>
      <c r="M677" t="s">
        <v>31</v>
      </c>
      <c r="N677" t="s">
        <v>257</v>
      </c>
      <c r="O677">
        <f>IF(Table13[[#This Row],[Goal_assist]]="",1,0)</f>
        <v>0</v>
      </c>
    </row>
    <row r="678" spans="1:15" x14ac:dyDescent="0.35">
      <c r="A678" t="s">
        <v>14</v>
      </c>
      <c r="B678" t="s">
        <v>255</v>
      </c>
      <c r="C678" t="s">
        <v>75</v>
      </c>
      <c r="D678" t="s">
        <v>76</v>
      </c>
      <c r="E678" s="2">
        <v>41618</v>
      </c>
      <c r="F678" t="s">
        <v>24</v>
      </c>
      <c r="G678" t="s">
        <v>112</v>
      </c>
      <c r="H678" t="s">
        <v>206</v>
      </c>
      <c r="I678" s="3">
        <v>1.3888888888888889E-3</v>
      </c>
      <c r="J678" t="s">
        <v>19</v>
      </c>
      <c r="K678">
        <v>48</v>
      </c>
      <c r="L678" s="3">
        <v>1.3888888888888889E-3</v>
      </c>
      <c r="M678" t="s">
        <v>26</v>
      </c>
      <c r="N678" t="s">
        <v>182</v>
      </c>
      <c r="O678">
        <f>IF(Table13[[#This Row],[Goal_assist]]="",1,0)</f>
        <v>0</v>
      </c>
    </row>
    <row r="679" spans="1:15" x14ac:dyDescent="0.35">
      <c r="A679" t="s">
        <v>14</v>
      </c>
      <c r="B679" t="s">
        <v>255</v>
      </c>
      <c r="C679" t="s">
        <v>65</v>
      </c>
      <c r="D679">
        <v>17</v>
      </c>
      <c r="E679" s="2">
        <v>41630</v>
      </c>
      <c r="F679" t="s">
        <v>24</v>
      </c>
      <c r="G679" t="s">
        <v>112</v>
      </c>
      <c r="H679" t="s">
        <v>148</v>
      </c>
      <c r="I679" s="3">
        <v>8.5416666666666669E-2</v>
      </c>
      <c r="J679" t="s">
        <v>19</v>
      </c>
      <c r="K679">
        <v>40</v>
      </c>
      <c r="L679" s="3">
        <v>4.3055555555555555E-2</v>
      </c>
      <c r="M679" t="s">
        <v>22</v>
      </c>
      <c r="N679" t="s">
        <v>207</v>
      </c>
      <c r="O679">
        <f>IF(Table13[[#This Row],[Goal_assist]]="",1,0)</f>
        <v>0</v>
      </c>
    </row>
    <row r="680" spans="1:15" x14ac:dyDescent="0.35">
      <c r="A680" t="s">
        <v>14</v>
      </c>
      <c r="B680" t="s">
        <v>255</v>
      </c>
      <c r="C680" t="s">
        <v>65</v>
      </c>
      <c r="D680">
        <v>18</v>
      </c>
      <c r="E680" s="2">
        <v>41645</v>
      </c>
      <c r="F680" t="s">
        <v>16</v>
      </c>
      <c r="G680" t="s">
        <v>112</v>
      </c>
      <c r="H680" t="s">
        <v>98</v>
      </c>
      <c r="I680" s="3">
        <v>0.125</v>
      </c>
      <c r="J680" t="s">
        <v>19</v>
      </c>
      <c r="K680">
        <v>82</v>
      </c>
      <c r="L680" s="3">
        <v>8.3333333333333329E-2</v>
      </c>
      <c r="M680" t="s">
        <v>26</v>
      </c>
      <c r="N680" t="s">
        <v>262</v>
      </c>
      <c r="O680">
        <f>IF(Table13[[#This Row],[Goal_assist]]="",1,0)</f>
        <v>0</v>
      </c>
    </row>
    <row r="681" spans="1:15" x14ac:dyDescent="0.35">
      <c r="A681" t="s">
        <v>14</v>
      </c>
      <c r="B681" t="s">
        <v>255</v>
      </c>
      <c r="C681" t="s">
        <v>65</v>
      </c>
      <c r="D681">
        <v>18</v>
      </c>
      <c r="E681" s="2">
        <v>41645</v>
      </c>
      <c r="F681" t="s">
        <v>16</v>
      </c>
      <c r="G681" t="s">
        <v>112</v>
      </c>
      <c r="H681" t="s">
        <v>98</v>
      </c>
      <c r="I681" s="3">
        <v>0.125</v>
      </c>
      <c r="J681" t="s">
        <v>19</v>
      </c>
      <c r="K681">
        <v>90</v>
      </c>
      <c r="L681" s="3">
        <v>0.125</v>
      </c>
      <c r="M681" t="s">
        <v>26</v>
      </c>
      <c r="N681" t="s">
        <v>261</v>
      </c>
      <c r="O681">
        <f>IF(Table13[[#This Row],[Goal_assist]]="",1,0)</f>
        <v>0</v>
      </c>
    </row>
    <row r="682" spans="1:15" x14ac:dyDescent="0.35">
      <c r="A682" t="s">
        <v>64</v>
      </c>
      <c r="B682" t="s">
        <v>255</v>
      </c>
      <c r="C682" t="s">
        <v>91</v>
      </c>
      <c r="D682" t="s">
        <v>143</v>
      </c>
      <c r="E682" s="2">
        <v>41647</v>
      </c>
      <c r="F682" t="s">
        <v>16</v>
      </c>
      <c r="G682" t="s">
        <v>66</v>
      </c>
      <c r="H682" t="s">
        <v>117</v>
      </c>
      <c r="I682" s="3">
        <v>0.16666666666666666</v>
      </c>
      <c r="J682" t="s">
        <v>68</v>
      </c>
      <c r="K682">
        <v>90</v>
      </c>
      <c r="L682" s="3">
        <v>0.125</v>
      </c>
      <c r="M682" t="s">
        <v>31</v>
      </c>
      <c r="N682" t="s">
        <v>247</v>
      </c>
      <c r="O682">
        <f>IF(Table13[[#This Row],[Goal_assist]]="",1,0)</f>
        <v>0</v>
      </c>
    </row>
    <row r="683" spans="1:15" x14ac:dyDescent="0.35">
      <c r="A683" t="s">
        <v>64</v>
      </c>
      <c r="B683" t="s">
        <v>255</v>
      </c>
      <c r="C683" t="s">
        <v>91</v>
      </c>
      <c r="D683" t="s">
        <v>143</v>
      </c>
      <c r="E683" s="2">
        <v>41647</v>
      </c>
      <c r="F683" t="s">
        <v>16</v>
      </c>
      <c r="G683" t="s">
        <v>66</v>
      </c>
      <c r="H683" t="s">
        <v>117</v>
      </c>
      <c r="I683" s="3">
        <v>0.16666666666666666</v>
      </c>
      <c r="J683" t="s">
        <v>68</v>
      </c>
      <c r="K683" t="s">
        <v>141</v>
      </c>
      <c r="L683" s="3">
        <v>0.16666666666666666</v>
      </c>
      <c r="M683" t="s">
        <v>31</v>
      </c>
      <c r="N683" t="s">
        <v>263</v>
      </c>
      <c r="O683">
        <f>IF(Table13[[#This Row],[Goal_assist]]="",1,0)</f>
        <v>0</v>
      </c>
    </row>
    <row r="684" spans="1:15" x14ac:dyDescent="0.35">
      <c r="A684" t="s">
        <v>14</v>
      </c>
      <c r="B684" t="s">
        <v>255</v>
      </c>
      <c r="C684" t="s">
        <v>91</v>
      </c>
      <c r="D684" t="s">
        <v>143</v>
      </c>
      <c r="E684" s="2">
        <v>41654</v>
      </c>
      <c r="F684" t="s">
        <v>24</v>
      </c>
      <c r="G684" t="s">
        <v>112</v>
      </c>
      <c r="H684" t="s">
        <v>100</v>
      </c>
      <c r="I684" s="3">
        <v>1.3888888888888889E-3</v>
      </c>
      <c r="J684" t="s">
        <v>19</v>
      </c>
      <c r="K684">
        <v>22</v>
      </c>
      <c r="L684" s="3">
        <v>6.9444444444444447E-4</v>
      </c>
      <c r="M684" t="s">
        <v>39</v>
      </c>
      <c r="O684">
        <f>IF(Table13[[#This Row],[Goal_assist]]="",1,0)</f>
        <v>1</v>
      </c>
    </row>
    <row r="685" spans="1:15" x14ac:dyDescent="0.35">
      <c r="A685" t="s">
        <v>64</v>
      </c>
      <c r="B685" t="s">
        <v>255</v>
      </c>
      <c r="C685" t="s">
        <v>91</v>
      </c>
      <c r="D685" t="s">
        <v>143</v>
      </c>
      <c r="E685" s="2">
        <v>41655</v>
      </c>
      <c r="F685" t="s">
        <v>24</v>
      </c>
      <c r="G685" t="s">
        <v>66</v>
      </c>
      <c r="H685" t="s">
        <v>117</v>
      </c>
      <c r="I685" s="3">
        <v>1.3888888888888889E-3</v>
      </c>
      <c r="J685" t="s">
        <v>68</v>
      </c>
      <c r="K685">
        <v>43</v>
      </c>
      <c r="L685" s="3">
        <v>6.9444444444444447E-4</v>
      </c>
      <c r="M685" t="s">
        <v>26</v>
      </c>
      <c r="N685" t="s">
        <v>237</v>
      </c>
      <c r="O685">
        <f>IF(Table13[[#This Row],[Goal_assist]]="",1,0)</f>
        <v>0</v>
      </c>
    </row>
    <row r="686" spans="1:15" x14ac:dyDescent="0.35">
      <c r="A686" t="s">
        <v>64</v>
      </c>
      <c r="B686" t="s">
        <v>255</v>
      </c>
      <c r="C686" t="s">
        <v>91</v>
      </c>
      <c r="D686" t="s">
        <v>143</v>
      </c>
      <c r="E686" s="2">
        <v>41655</v>
      </c>
      <c r="F686" t="s">
        <v>24</v>
      </c>
      <c r="G686" t="s">
        <v>66</v>
      </c>
      <c r="H686" t="s">
        <v>117</v>
      </c>
      <c r="I686" s="3">
        <v>1.3888888888888889E-3</v>
      </c>
      <c r="J686" t="s">
        <v>68</v>
      </c>
      <c r="K686">
        <v>63</v>
      </c>
      <c r="L686" s="3">
        <v>1.3888888888888889E-3</v>
      </c>
      <c r="M686" t="s">
        <v>31</v>
      </c>
      <c r="O686">
        <f>IF(Table13[[#This Row],[Goal_assist]]="",1,0)</f>
        <v>1</v>
      </c>
    </row>
    <row r="687" spans="1:15" x14ac:dyDescent="0.35">
      <c r="A687" t="s">
        <v>14</v>
      </c>
      <c r="B687" t="s">
        <v>255</v>
      </c>
      <c r="C687" t="s">
        <v>65</v>
      </c>
      <c r="D687">
        <v>20</v>
      </c>
      <c r="E687" s="2">
        <v>41657</v>
      </c>
      <c r="F687" t="s">
        <v>24</v>
      </c>
      <c r="G687" t="s">
        <v>112</v>
      </c>
      <c r="H687" t="s">
        <v>95</v>
      </c>
      <c r="I687" s="3">
        <v>3.472222222222222E-3</v>
      </c>
      <c r="J687" t="s">
        <v>19</v>
      </c>
      <c r="K687">
        <v>10</v>
      </c>
      <c r="L687" s="3">
        <v>6.9444444444444447E-4</v>
      </c>
      <c r="M687" t="s">
        <v>26</v>
      </c>
      <c r="N687" t="s">
        <v>207</v>
      </c>
      <c r="O687">
        <f>IF(Table13[[#This Row],[Goal_assist]]="",1,0)</f>
        <v>0</v>
      </c>
    </row>
    <row r="688" spans="1:15" x14ac:dyDescent="0.35">
      <c r="A688" t="s">
        <v>14</v>
      </c>
      <c r="B688" t="s">
        <v>255</v>
      </c>
      <c r="C688" t="s">
        <v>65</v>
      </c>
      <c r="D688">
        <v>21</v>
      </c>
      <c r="E688" s="2">
        <v>41664</v>
      </c>
      <c r="F688" t="s">
        <v>16</v>
      </c>
      <c r="G688" t="s">
        <v>112</v>
      </c>
      <c r="H688" t="s">
        <v>233</v>
      </c>
      <c r="I688" s="3">
        <v>8.3333333333333329E-2</v>
      </c>
      <c r="J688" t="s">
        <v>19</v>
      </c>
      <c r="K688">
        <v>57</v>
      </c>
      <c r="L688" s="3">
        <v>4.1666666666666664E-2</v>
      </c>
      <c r="M688" t="s">
        <v>26</v>
      </c>
      <c r="N688" t="s">
        <v>250</v>
      </c>
      <c r="O688">
        <f>IF(Table13[[#This Row],[Goal_assist]]="",1,0)</f>
        <v>0</v>
      </c>
    </row>
    <row r="689" spans="1:15" x14ac:dyDescent="0.35">
      <c r="A689" t="s">
        <v>64</v>
      </c>
      <c r="B689" t="s">
        <v>255</v>
      </c>
      <c r="C689" t="s">
        <v>65</v>
      </c>
      <c r="D689">
        <v>22</v>
      </c>
      <c r="E689" s="2">
        <v>41671</v>
      </c>
      <c r="F689" t="s">
        <v>16</v>
      </c>
      <c r="G689" t="s">
        <v>66</v>
      </c>
      <c r="H689" t="s">
        <v>148</v>
      </c>
      <c r="I689" s="3">
        <v>8.5416666666666669E-2</v>
      </c>
      <c r="J689" t="s">
        <v>68</v>
      </c>
      <c r="K689">
        <v>54</v>
      </c>
      <c r="L689" s="3">
        <v>8.4722222222222227E-2</v>
      </c>
      <c r="M689" t="s">
        <v>83</v>
      </c>
      <c r="O689">
        <f>IF(Table13[[#This Row],[Goal_assist]]="",1,0)</f>
        <v>1</v>
      </c>
    </row>
    <row r="690" spans="1:15" x14ac:dyDescent="0.35">
      <c r="A690" t="s">
        <v>64</v>
      </c>
      <c r="B690" t="s">
        <v>255</v>
      </c>
      <c r="C690" t="s">
        <v>65</v>
      </c>
      <c r="D690">
        <v>23</v>
      </c>
      <c r="E690" s="2">
        <v>41679</v>
      </c>
      <c r="F690" t="s">
        <v>24</v>
      </c>
      <c r="G690" t="s">
        <v>66</v>
      </c>
      <c r="H690" t="s">
        <v>105</v>
      </c>
      <c r="I690" s="3">
        <v>4.4444444444444446E-2</v>
      </c>
      <c r="J690" t="s">
        <v>68</v>
      </c>
      <c r="K690">
        <v>44</v>
      </c>
      <c r="L690" s="3">
        <v>4.3055555555555555E-2</v>
      </c>
      <c r="M690" t="s">
        <v>31</v>
      </c>
      <c r="N690" t="s">
        <v>186</v>
      </c>
      <c r="O690">
        <f>IF(Table13[[#This Row],[Goal_assist]]="",1,0)</f>
        <v>0</v>
      </c>
    </row>
    <row r="691" spans="1:15" x14ac:dyDescent="0.35">
      <c r="A691" t="s">
        <v>64</v>
      </c>
      <c r="B691" t="s">
        <v>255</v>
      </c>
      <c r="C691" t="s">
        <v>65</v>
      </c>
      <c r="D691">
        <v>23</v>
      </c>
      <c r="E691" s="2">
        <v>41679</v>
      </c>
      <c r="F691" t="s">
        <v>24</v>
      </c>
      <c r="G691" t="s">
        <v>66</v>
      </c>
      <c r="H691" t="s">
        <v>105</v>
      </c>
      <c r="I691" s="3">
        <v>4.4444444444444446E-2</v>
      </c>
      <c r="J691" t="s">
        <v>68</v>
      </c>
      <c r="K691">
        <v>56</v>
      </c>
      <c r="L691" s="3">
        <v>4.3749999999999997E-2</v>
      </c>
      <c r="M691" t="s">
        <v>31</v>
      </c>
      <c r="N691" t="s">
        <v>99</v>
      </c>
      <c r="O691">
        <f>IF(Table13[[#This Row],[Goal_assist]]="",1,0)</f>
        <v>0</v>
      </c>
    </row>
    <row r="692" spans="1:15" x14ac:dyDescent="0.35">
      <c r="A692" t="s">
        <v>14</v>
      </c>
      <c r="B692" t="s">
        <v>255</v>
      </c>
      <c r="C692" t="s">
        <v>91</v>
      </c>
      <c r="D692" t="s">
        <v>62</v>
      </c>
      <c r="E692" s="2">
        <v>41681</v>
      </c>
      <c r="F692" t="s">
        <v>24</v>
      </c>
      <c r="G692" t="s">
        <v>112</v>
      </c>
      <c r="H692" t="s">
        <v>119</v>
      </c>
      <c r="I692" s="3">
        <v>1.3888888888888889E-3</v>
      </c>
      <c r="J692" t="s">
        <v>19</v>
      </c>
      <c r="K692">
        <v>15</v>
      </c>
      <c r="L692" s="3">
        <v>1.3888888888888889E-3</v>
      </c>
      <c r="M692" t="s">
        <v>83</v>
      </c>
      <c r="O692">
        <f>IF(Table13[[#This Row],[Goal_assist]]="",1,0)</f>
        <v>1</v>
      </c>
    </row>
    <row r="693" spans="1:15" x14ac:dyDescent="0.35">
      <c r="A693" t="s">
        <v>14</v>
      </c>
      <c r="B693" t="s">
        <v>255</v>
      </c>
      <c r="C693" t="s">
        <v>91</v>
      </c>
      <c r="D693" t="s">
        <v>62</v>
      </c>
      <c r="E693" s="2">
        <v>41681</v>
      </c>
      <c r="F693" t="s">
        <v>24</v>
      </c>
      <c r="G693" t="s">
        <v>112</v>
      </c>
      <c r="H693" t="s">
        <v>119</v>
      </c>
      <c r="I693" s="3">
        <v>1.3888888888888889E-3</v>
      </c>
      <c r="J693" t="s">
        <v>19</v>
      </c>
      <c r="K693">
        <v>6</v>
      </c>
      <c r="L693" s="3">
        <v>6.9444444444444447E-4</v>
      </c>
      <c r="M693" t="s">
        <v>83</v>
      </c>
      <c r="O693">
        <f>IF(Table13[[#This Row],[Goal_assist]]="",1,0)</f>
        <v>1</v>
      </c>
    </row>
    <row r="694" spans="1:15" x14ac:dyDescent="0.35">
      <c r="A694" t="s">
        <v>64</v>
      </c>
      <c r="B694" t="s">
        <v>255</v>
      </c>
      <c r="C694" t="s">
        <v>91</v>
      </c>
      <c r="D694" t="s">
        <v>62</v>
      </c>
      <c r="E694" s="2">
        <v>41682</v>
      </c>
      <c r="F694" t="s">
        <v>24</v>
      </c>
      <c r="G694" t="s">
        <v>66</v>
      </c>
      <c r="H694" t="s">
        <v>217</v>
      </c>
      <c r="I694" s="3">
        <v>4.2361111111111113E-2</v>
      </c>
      <c r="J694" t="s">
        <v>68</v>
      </c>
      <c r="K694">
        <v>26</v>
      </c>
      <c r="L694" s="3">
        <v>6.9444444444444447E-4</v>
      </c>
      <c r="M694" t="s">
        <v>20</v>
      </c>
      <c r="O694">
        <f>IF(Table13[[#This Row],[Goal_assist]]="",1,0)</f>
        <v>1</v>
      </c>
    </row>
    <row r="695" spans="1:15" x14ac:dyDescent="0.35">
      <c r="A695" t="s">
        <v>64</v>
      </c>
      <c r="B695" t="s">
        <v>255</v>
      </c>
      <c r="C695" t="s">
        <v>65</v>
      </c>
      <c r="D695">
        <v>24</v>
      </c>
      <c r="E695" s="2">
        <v>41685</v>
      </c>
      <c r="F695" t="s">
        <v>16</v>
      </c>
      <c r="G695" t="s">
        <v>66</v>
      </c>
      <c r="H695" t="s">
        <v>225</v>
      </c>
      <c r="I695" s="3">
        <v>0.25</v>
      </c>
      <c r="J695" t="s">
        <v>68</v>
      </c>
      <c r="K695">
        <v>36</v>
      </c>
      <c r="L695" s="3">
        <v>8.3333333333333329E-2</v>
      </c>
      <c r="M695" t="s">
        <v>31</v>
      </c>
      <c r="N695" t="s">
        <v>224</v>
      </c>
      <c r="O695">
        <f>IF(Table13[[#This Row],[Goal_assist]]="",1,0)</f>
        <v>0</v>
      </c>
    </row>
    <row r="696" spans="1:15" x14ac:dyDescent="0.35">
      <c r="A696" t="s">
        <v>64</v>
      </c>
      <c r="B696" t="s">
        <v>255</v>
      </c>
      <c r="C696" t="s">
        <v>65</v>
      </c>
      <c r="D696">
        <v>24</v>
      </c>
      <c r="E696" s="2">
        <v>41685</v>
      </c>
      <c r="F696" t="s">
        <v>16</v>
      </c>
      <c r="G696" t="s">
        <v>66</v>
      </c>
      <c r="H696" t="s">
        <v>225</v>
      </c>
      <c r="I696" s="3">
        <v>0.25</v>
      </c>
      <c r="J696" t="s">
        <v>68</v>
      </c>
      <c r="K696">
        <v>68</v>
      </c>
      <c r="L696" s="3">
        <v>0.20833333333333334</v>
      </c>
      <c r="M696" t="s">
        <v>31</v>
      </c>
      <c r="N696" t="s">
        <v>234</v>
      </c>
      <c r="O696">
        <f>IF(Table13[[#This Row],[Goal_assist]]="",1,0)</f>
        <v>0</v>
      </c>
    </row>
    <row r="697" spans="1:15" x14ac:dyDescent="0.35">
      <c r="A697" t="s">
        <v>64</v>
      </c>
      <c r="B697" t="s">
        <v>255</v>
      </c>
      <c r="C697" t="s">
        <v>75</v>
      </c>
      <c r="D697" t="s">
        <v>143</v>
      </c>
      <c r="E697" s="2">
        <v>41688</v>
      </c>
      <c r="F697" t="s">
        <v>24</v>
      </c>
      <c r="G697" t="s">
        <v>66</v>
      </c>
      <c r="H697" t="s">
        <v>41</v>
      </c>
      <c r="I697" s="3">
        <v>1.3888888888888889E-3</v>
      </c>
      <c r="J697" t="s">
        <v>68</v>
      </c>
      <c r="K697">
        <v>54</v>
      </c>
      <c r="L697" s="3">
        <v>6.9444444444444447E-4</v>
      </c>
      <c r="M697" t="s">
        <v>83</v>
      </c>
      <c r="O697">
        <f>IF(Table13[[#This Row],[Goal_assist]]="",1,0)</f>
        <v>1</v>
      </c>
    </row>
    <row r="698" spans="1:15" x14ac:dyDescent="0.35">
      <c r="A698" t="s">
        <v>64</v>
      </c>
      <c r="B698" t="s">
        <v>255</v>
      </c>
      <c r="C698" t="s">
        <v>65</v>
      </c>
      <c r="D698">
        <v>25</v>
      </c>
      <c r="E698" s="2">
        <v>41692</v>
      </c>
      <c r="F698" t="s">
        <v>24</v>
      </c>
      <c r="G698" t="s">
        <v>66</v>
      </c>
      <c r="H698" t="s">
        <v>217</v>
      </c>
      <c r="I698" s="3">
        <v>0.12569444444444444</v>
      </c>
      <c r="J698" t="s">
        <v>68</v>
      </c>
      <c r="K698">
        <v>36</v>
      </c>
      <c r="L698" s="3">
        <v>4.2361111111111113E-2</v>
      </c>
      <c r="M698" t="s">
        <v>31</v>
      </c>
      <c r="N698" t="s">
        <v>247</v>
      </c>
      <c r="O698">
        <f>IF(Table13[[#This Row],[Goal_assist]]="",1,0)</f>
        <v>0</v>
      </c>
    </row>
    <row r="699" spans="1:15" x14ac:dyDescent="0.35">
      <c r="A699" t="s">
        <v>14</v>
      </c>
      <c r="B699" t="s">
        <v>255</v>
      </c>
      <c r="C699" t="s">
        <v>75</v>
      </c>
      <c r="D699" t="s">
        <v>143</v>
      </c>
      <c r="E699" s="2">
        <v>41696</v>
      </c>
      <c r="F699" t="s">
        <v>24</v>
      </c>
      <c r="G699" t="s">
        <v>112</v>
      </c>
      <c r="H699" t="s">
        <v>264</v>
      </c>
      <c r="I699" s="3">
        <v>4.583333333333333E-2</v>
      </c>
      <c r="J699" t="s">
        <v>19</v>
      </c>
      <c r="K699">
        <v>52</v>
      </c>
      <c r="L699" s="3">
        <v>2.0833333333333333E-3</v>
      </c>
      <c r="M699" t="s">
        <v>31</v>
      </c>
      <c r="N699" t="s">
        <v>261</v>
      </c>
      <c r="O699">
        <f>IF(Table13[[#This Row],[Goal_assist]]="",1,0)</f>
        <v>0</v>
      </c>
    </row>
    <row r="700" spans="1:15" x14ac:dyDescent="0.35">
      <c r="A700" t="s">
        <v>14</v>
      </c>
      <c r="B700" t="s">
        <v>255</v>
      </c>
      <c r="C700" t="s">
        <v>75</v>
      </c>
      <c r="D700" t="s">
        <v>143</v>
      </c>
      <c r="E700" s="2">
        <v>41696</v>
      </c>
      <c r="F700" t="s">
        <v>24</v>
      </c>
      <c r="G700" t="s">
        <v>112</v>
      </c>
      <c r="H700" t="s">
        <v>264</v>
      </c>
      <c r="I700" s="3">
        <v>4.583333333333333E-2</v>
      </c>
      <c r="J700" t="s">
        <v>19</v>
      </c>
      <c r="K700">
        <v>89</v>
      </c>
      <c r="L700" s="3">
        <v>4.1666666666666666E-3</v>
      </c>
      <c r="M700" t="s">
        <v>26</v>
      </c>
      <c r="N700" t="s">
        <v>183</v>
      </c>
      <c r="O700">
        <f>IF(Table13[[#This Row],[Goal_assist]]="",1,0)</f>
        <v>0</v>
      </c>
    </row>
    <row r="701" spans="1:15" x14ac:dyDescent="0.35">
      <c r="A701" t="s">
        <v>64</v>
      </c>
      <c r="B701" t="s">
        <v>255</v>
      </c>
      <c r="C701" t="s">
        <v>65</v>
      </c>
      <c r="D701">
        <v>26</v>
      </c>
      <c r="E701" s="2">
        <v>41700</v>
      </c>
      <c r="F701" t="s">
        <v>16</v>
      </c>
      <c r="G701" t="s">
        <v>66</v>
      </c>
      <c r="H701" t="s">
        <v>131</v>
      </c>
      <c r="I701" s="3">
        <v>0.1673611111111111</v>
      </c>
      <c r="J701" t="s">
        <v>68</v>
      </c>
      <c r="K701">
        <v>24</v>
      </c>
      <c r="L701" s="3">
        <v>8.3333333333333329E-2</v>
      </c>
      <c r="M701" t="s">
        <v>39</v>
      </c>
      <c r="O701">
        <f>IF(Table13[[#This Row],[Goal_assist]]="",1,0)</f>
        <v>1</v>
      </c>
    </row>
    <row r="702" spans="1:15" x14ac:dyDescent="0.35">
      <c r="A702" t="s">
        <v>14</v>
      </c>
      <c r="B702" t="s">
        <v>255</v>
      </c>
      <c r="C702" t="s">
        <v>65</v>
      </c>
      <c r="D702">
        <v>26</v>
      </c>
      <c r="E702" s="2">
        <v>41700</v>
      </c>
      <c r="F702" t="s">
        <v>24</v>
      </c>
      <c r="G702" t="s">
        <v>112</v>
      </c>
      <c r="H702" t="s">
        <v>119</v>
      </c>
      <c r="I702" s="3">
        <v>8.4722222222222227E-2</v>
      </c>
      <c r="J702" t="s">
        <v>19</v>
      </c>
      <c r="K702">
        <v>82</v>
      </c>
      <c r="L702" s="3">
        <v>8.4722222222222227E-2</v>
      </c>
      <c r="M702" t="s">
        <v>26</v>
      </c>
      <c r="N702" t="s">
        <v>261</v>
      </c>
      <c r="O702">
        <f>IF(Table13[[#This Row],[Goal_assist]]="",1,0)</f>
        <v>0</v>
      </c>
    </row>
    <row r="703" spans="1:15" x14ac:dyDescent="0.35">
      <c r="A703" t="s">
        <v>14</v>
      </c>
      <c r="B703" t="s">
        <v>255</v>
      </c>
      <c r="C703" t="s">
        <v>65</v>
      </c>
      <c r="D703">
        <v>27</v>
      </c>
      <c r="E703" s="2">
        <v>41707</v>
      </c>
      <c r="F703" t="s">
        <v>16</v>
      </c>
      <c r="G703" t="s">
        <v>112</v>
      </c>
      <c r="H703" t="s">
        <v>127</v>
      </c>
      <c r="I703" s="3">
        <v>0.125</v>
      </c>
      <c r="J703" t="s">
        <v>19</v>
      </c>
      <c r="K703">
        <v>11</v>
      </c>
      <c r="L703" s="3">
        <v>4.1666666666666664E-2</v>
      </c>
      <c r="M703" t="s">
        <v>22</v>
      </c>
      <c r="N703" t="s">
        <v>207</v>
      </c>
      <c r="O703">
        <f>IF(Table13[[#This Row],[Goal_assist]]="",1,0)</f>
        <v>0</v>
      </c>
    </row>
    <row r="704" spans="1:15" x14ac:dyDescent="0.35">
      <c r="A704" t="s">
        <v>64</v>
      </c>
      <c r="B704" t="s">
        <v>255</v>
      </c>
      <c r="C704" t="s">
        <v>75</v>
      </c>
      <c r="D704" t="s">
        <v>143</v>
      </c>
      <c r="E704" s="2">
        <v>41710</v>
      </c>
      <c r="F704" t="s">
        <v>16</v>
      </c>
      <c r="G704" t="s">
        <v>66</v>
      </c>
      <c r="H704" t="s">
        <v>41</v>
      </c>
      <c r="I704" s="3">
        <v>8.4027777777777785E-2</v>
      </c>
      <c r="J704" t="s">
        <v>68</v>
      </c>
      <c r="K704">
        <v>67</v>
      </c>
      <c r="L704" s="3">
        <v>4.1666666666666664E-2</v>
      </c>
      <c r="M704" t="s">
        <v>31</v>
      </c>
      <c r="O704">
        <f>IF(Table13[[#This Row],[Goal_assist]]="",1,0)</f>
        <v>1</v>
      </c>
    </row>
    <row r="705" spans="1:15" x14ac:dyDescent="0.35">
      <c r="A705" t="s">
        <v>14</v>
      </c>
      <c r="B705" t="s">
        <v>255</v>
      </c>
      <c r="C705" t="s">
        <v>65</v>
      </c>
      <c r="D705">
        <v>28</v>
      </c>
      <c r="E705" s="2">
        <v>41713</v>
      </c>
      <c r="F705" t="s">
        <v>24</v>
      </c>
      <c r="G705" t="s">
        <v>112</v>
      </c>
      <c r="H705" t="s">
        <v>157</v>
      </c>
      <c r="I705" s="3">
        <v>6.9444444444444447E-4</v>
      </c>
      <c r="J705" t="s">
        <v>19</v>
      </c>
      <c r="K705">
        <v>23</v>
      </c>
      <c r="L705" s="3">
        <v>6.9444444444444447E-4</v>
      </c>
      <c r="M705" t="s">
        <v>26</v>
      </c>
      <c r="N705" t="s">
        <v>261</v>
      </c>
      <c r="O705">
        <f>IF(Table13[[#This Row],[Goal_assist]]="",1,0)</f>
        <v>0</v>
      </c>
    </row>
    <row r="706" spans="1:15" x14ac:dyDescent="0.35">
      <c r="A706" t="s">
        <v>64</v>
      </c>
      <c r="B706" t="s">
        <v>255</v>
      </c>
      <c r="C706" t="s">
        <v>65</v>
      </c>
      <c r="D706">
        <v>28</v>
      </c>
      <c r="E706" s="2">
        <v>41714</v>
      </c>
      <c r="F706" t="s">
        <v>16</v>
      </c>
      <c r="G706" t="s">
        <v>66</v>
      </c>
      <c r="H706" t="s">
        <v>100</v>
      </c>
      <c r="I706" s="3">
        <v>0.29166666666666669</v>
      </c>
      <c r="J706" t="s">
        <v>68</v>
      </c>
      <c r="K706">
        <v>18</v>
      </c>
      <c r="L706" s="3">
        <v>4.1666666666666664E-2</v>
      </c>
      <c r="M706" t="s">
        <v>31</v>
      </c>
      <c r="N706" t="s">
        <v>234</v>
      </c>
      <c r="O706">
        <f>IF(Table13[[#This Row],[Goal_assist]]="",1,0)</f>
        <v>0</v>
      </c>
    </row>
    <row r="707" spans="1:15" x14ac:dyDescent="0.35">
      <c r="A707" t="s">
        <v>64</v>
      </c>
      <c r="B707" t="s">
        <v>255</v>
      </c>
      <c r="C707" t="s">
        <v>65</v>
      </c>
      <c r="D707">
        <v>28</v>
      </c>
      <c r="E707" s="2">
        <v>41714</v>
      </c>
      <c r="F707" t="s">
        <v>16</v>
      </c>
      <c r="G707" t="s">
        <v>66</v>
      </c>
      <c r="H707" t="s">
        <v>100</v>
      </c>
      <c r="I707" s="3">
        <v>0.29166666666666669</v>
      </c>
      <c r="J707" t="s">
        <v>68</v>
      </c>
      <c r="K707">
        <v>63</v>
      </c>
      <c r="L707" s="3">
        <v>0.16666666666666666</v>
      </c>
      <c r="M707" t="s">
        <v>31</v>
      </c>
      <c r="N707" t="s">
        <v>99</v>
      </c>
      <c r="O707">
        <f>IF(Table13[[#This Row],[Goal_assist]]="",1,0)</f>
        <v>0</v>
      </c>
    </row>
    <row r="708" spans="1:15" x14ac:dyDescent="0.35">
      <c r="A708" t="s">
        <v>64</v>
      </c>
      <c r="B708" t="s">
        <v>255</v>
      </c>
      <c r="C708" t="s">
        <v>65</v>
      </c>
      <c r="D708">
        <v>28</v>
      </c>
      <c r="E708" s="2">
        <v>41714</v>
      </c>
      <c r="F708" t="s">
        <v>16</v>
      </c>
      <c r="G708" t="s">
        <v>66</v>
      </c>
      <c r="H708" t="s">
        <v>100</v>
      </c>
      <c r="I708" s="3">
        <v>0.29166666666666669</v>
      </c>
      <c r="J708" t="s">
        <v>68</v>
      </c>
      <c r="K708">
        <v>88</v>
      </c>
      <c r="L708" s="3">
        <v>0.25</v>
      </c>
      <c r="M708" t="s">
        <v>26</v>
      </c>
      <c r="N708" t="s">
        <v>155</v>
      </c>
      <c r="O708">
        <f>IF(Table13[[#This Row],[Goal_assist]]="",1,0)</f>
        <v>0</v>
      </c>
    </row>
    <row r="709" spans="1:15" x14ac:dyDescent="0.35">
      <c r="A709" t="s">
        <v>14</v>
      </c>
      <c r="B709" t="s">
        <v>255</v>
      </c>
      <c r="C709" t="s">
        <v>75</v>
      </c>
      <c r="D709" t="s">
        <v>143</v>
      </c>
      <c r="E709" s="2">
        <v>41716</v>
      </c>
      <c r="F709" t="s">
        <v>16</v>
      </c>
      <c r="G709" t="s">
        <v>112</v>
      </c>
      <c r="H709" t="s">
        <v>264</v>
      </c>
      <c r="I709" s="3">
        <v>0.12569444444444444</v>
      </c>
      <c r="J709" t="s">
        <v>19</v>
      </c>
      <c r="K709">
        <v>74</v>
      </c>
      <c r="L709" s="3">
        <v>8.4027777777777785E-2</v>
      </c>
      <c r="M709" t="s">
        <v>26</v>
      </c>
      <c r="O709">
        <f>IF(Table13[[#This Row],[Goal_assist]]="",1,0)</f>
        <v>1</v>
      </c>
    </row>
    <row r="710" spans="1:15" x14ac:dyDescent="0.35">
      <c r="A710" t="s">
        <v>14</v>
      </c>
      <c r="B710" t="s">
        <v>255</v>
      </c>
      <c r="C710" t="s">
        <v>75</v>
      </c>
      <c r="D710" t="s">
        <v>143</v>
      </c>
      <c r="E710" s="2">
        <v>41716</v>
      </c>
      <c r="F710" t="s">
        <v>16</v>
      </c>
      <c r="G710" t="s">
        <v>112</v>
      </c>
      <c r="H710" t="s">
        <v>264</v>
      </c>
      <c r="I710" s="3">
        <v>0.12569444444444444</v>
      </c>
      <c r="J710" t="s">
        <v>19</v>
      </c>
      <c r="K710">
        <v>22</v>
      </c>
      <c r="L710" s="3">
        <v>4.1666666666666664E-2</v>
      </c>
      <c r="M710" t="s">
        <v>26</v>
      </c>
      <c r="N710" t="s">
        <v>261</v>
      </c>
      <c r="O710">
        <f>IF(Table13[[#This Row],[Goal_assist]]="",1,0)</f>
        <v>0</v>
      </c>
    </row>
    <row r="711" spans="1:15" x14ac:dyDescent="0.35">
      <c r="A711" t="s">
        <v>14</v>
      </c>
      <c r="B711" t="s">
        <v>255</v>
      </c>
      <c r="C711" t="s">
        <v>65</v>
      </c>
      <c r="D711">
        <v>29</v>
      </c>
      <c r="E711" s="2">
        <v>41721</v>
      </c>
      <c r="F711" t="s">
        <v>16</v>
      </c>
      <c r="G711" t="s">
        <v>112</v>
      </c>
      <c r="H711" t="s">
        <v>66</v>
      </c>
      <c r="I711" s="3">
        <v>0.12777777777777777</v>
      </c>
      <c r="J711" t="s">
        <v>19</v>
      </c>
      <c r="K711">
        <v>55</v>
      </c>
      <c r="L711" s="3">
        <v>0.12638888888888888</v>
      </c>
      <c r="M711" t="s">
        <v>83</v>
      </c>
      <c r="O711">
        <f>IF(Table13[[#This Row],[Goal_assist]]="",1,0)</f>
        <v>1</v>
      </c>
    </row>
    <row r="712" spans="1:15" x14ac:dyDescent="0.35">
      <c r="A712" t="s">
        <v>64</v>
      </c>
      <c r="B712" t="s">
        <v>255</v>
      </c>
      <c r="C712" t="s">
        <v>65</v>
      </c>
      <c r="D712">
        <v>29</v>
      </c>
      <c r="E712" s="2">
        <v>41721</v>
      </c>
      <c r="F712" t="s">
        <v>24</v>
      </c>
      <c r="G712" t="s">
        <v>66</v>
      </c>
      <c r="H712" t="s">
        <v>112</v>
      </c>
      <c r="I712" s="3">
        <v>0.12777777777777777</v>
      </c>
      <c r="J712" t="s">
        <v>68</v>
      </c>
      <c r="K712">
        <v>42</v>
      </c>
      <c r="L712" s="3">
        <v>8.4722222222222227E-2</v>
      </c>
      <c r="M712" t="s">
        <v>31</v>
      </c>
      <c r="N712" t="s">
        <v>256</v>
      </c>
      <c r="O712">
        <f>IF(Table13[[#This Row],[Goal_assist]]="",1,0)</f>
        <v>0</v>
      </c>
    </row>
    <row r="713" spans="1:15" x14ac:dyDescent="0.35">
      <c r="A713" t="s">
        <v>64</v>
      </c>
      <c r="B713" t="s">
        <v>255</v>
      </c>
      <c r="C713" t="s">
        <v>65</v>
      </c>
      <c r="D713">
        <v>29</v>
      </c>
      <c r="E713" s="2">
        <v>41721</v>
      </c>
      <c r="F713" t="s">
        <v>24</v>
      </c>
      <c r="G713" t="s">
        <v>66</v>
      </c>
      <c r="H713" t="s">
        <v>112</v>
      </c>
      <c r="I713" s="3">
        <v>0.12777777777777777</v>
      </c>
      <c r="J713" t="s">
        <v>68</v>
      </c>
      <c r="K713">
        <v>84</v>
      </c>
      <c r="L713" s="3">
        <v>0.12777777777777777</v>
      </c>
      <c r="M713" t="s">
        <v>83</v>
      </c>
      <c r="O713">
        <f>IF(Table13[[#This Row],[Goal_assist]]="",1,0)</f>
        <v>1</v>
      </c>
    </row>
    <row r="714" spans="1:15" x14ac:dyDescent="0.35">
      <c r="A714" t="s">
        <v>64</v>
      </c>
      <c r="B714" t="s">
        <v>255</v>
      </c>
      <c r="C714" t="s">
        <v>65</v>
      </c>
      <c r="D714">
        <v>29</v>
      </c>
      <c r="E714" s="2">
        <v>41721</v>
      </c>
      <c r="F714" t="s">
        <v>24</v>
      </c>
      <c r="G714" t="s">
        <v>66</v>
      </c>
      <c r="H714" t="s">
        <v>112</v>
      </c>
      <c r="I714" s="3">
        <v>0.12777777777777777</v>
      </c>
      <c r="J714" t="s">
        <v>68</v>
      </c>
      <c r="K714">
        <v>65</v>
      </c>
      <c r="L714" s="3">
        <v>0.12708333333333333</v>
      </c>
      <c r="M714" t="s">
        <v>83</v>
      </c>
      <c r="O714">
        <f>IF(Table13[[#This Row],[Goal_assist]]="",1,0)</f>
        <v>1</v>
      </c>
    </row>
    <row r="715" spans="1:15" x14ac:dyDescent="0.35">
      <c r="A715" t="s">
        <v>64</v>
      </c>
      <c r="B715" t="s">
        <v>255</v>
      </c>
      <c r="C715" t="s">
        <v>65</v>
      </c>
      <c r="D715">
        <v>30</v>
      </c>
      <c r="E715" s="2">
        <v>41724</v>
      </c>
      <c r="F715" t="s">
        <v>16</v>
      </c>
      <c r="G715" t="s">
        <v>66</v>
      </c>
      <c r="H715" t="s">
        <v>98</v>
      </c>
      <c r="I715" s="3">
        <v>0.125</v>
      </c>
      <c r="J715" t="s">
        <v>68</v>
      </c>
      <c r="K715">
        <v>30</v>
      </c>
      <c r="L715" s="3">
        <v>8.3333333333333329E-2</v>
      </c>
      <c r="M715" t="s">
        <v>26</v>
      </c>
      <c r="N715" t="s">
        <v>99</v>
      </c>
      <c r="O715">
        <f>IF(Table13[[#This Row],[Goal_assist]]="",1,0)</f>
        <v>0</v>
      </c>
    </row>
    <row r="716" spans="1:15" x14ac:dyDescent="0.35">
      <c r="A716" t="s">
        <v>14</v>
      </c>
      <c r="B716" t="s">
        <v>255</v>
      </c>
      <c r="C716" t="s">
        <v>65</v>
      </c>
      <c r="D716">
        <v>30</v>
      </c>
      <c r="E716" s="2">
        <v>41724</v>
      </c>
      <c r="F716" t="s">
        <v>24</v>
      </c>
      <c r="G716" t="s">
        <v>112</v>
      </c>
      <c r="H716" t="s">
        <v>105</v>
      </c>
      <c r="I716" s="3">
        <v>8.4027777777777785E-2</v>
      </c>
      <c r="J716" t="s">
        <v>19</v>
      </c>
      <c r="K716">
        <v>14</v>
      </c>
      <c r="L716" s="3">
        <v>6.9444444444444447E-4</v>
      </c>
      <c r="M716" t="s">
        <v>39</v>
      </c>
      <c r="O716">
        <f>IF(Table13[[#This Row],[Goal_assist]]="",1,0)</f>
        <v>1</v>
      </c>
    </row>
    <row r="717" spans="1:15" x14ac:dyDescent="0.35">
      <c r="A717" t="s">
        <v>64</v>
      </c>
      <c r="B717" t="s">
        <v>255</v>
      </c>
      <c r="C717" t="s">
        <v>65</v>
      </c>
      <c r="D717">
        <v>31</v>
      </c>
      <c r="E717" s="2">
        <v>41727</v>
      </c>
      <c r="F717" t="s">
        <v>24</v>
      </c>
      <c r="G717" t="s">
        <v>66</v>
      </c>
      <c r="H717" t="s">
        <v>121</v>
      </c>
      <c r="I717" s="3">
        <v>6.9444444444444447E-4</v>
      </c>
      <c r="J717" t="s">
        <v>68</v>
      </c>
      <c r="K717">
        <v>77</v>
      </c>
      <c r="L717" s="3">
        <v>6.9444444444444447E-4</v>
      </c>
      <c r="M717" t="s">
        <v>83</v>
      </c>
      <c r="O717">
        <f>IF(Table13[[#This Row],[Goal_assist]]="",1,0)</f>
        <v>1</v>
      </c>
    </row>
    <row r="718" spans="1:15" x14ac:dyDescent="0.35">
      <c r="A718" t="s">
        <v>14</v>
      </c>
      <c r="B718" t="s">
        <v>255</v>
      </c>
      <c r="C718" t="s">
        <v>65</v>
      </c>
      <c r="D718">
        <v>31</v>
      </c>
      <c r="E718" s="2">
        <v>41727</v>
      </c>
      <c r="F718" t="s">
        <v>16</v>
      </c>
      <c r="G718" t="s">
        <v>112</v>
      </c>
      <c r="H718" t="s">
        <v>225</v>
      </c>
      <c r="I718" s="3">
        <v>0.20833333333333334</v>
      </c>
      <c r="J718" t="s">
        <v>19</v>
      </c>
      <c r="K718">
        <v>15</v>
      </c>
      <c r="L718" s="3">
        <v>4.1666666666666664E-2</v>
      </c>
      <c r="M718" t="s">
        <v>26</v>
      </c>
      <c r="N718" t="s">
        <v>261</v>
      </c>
      <c r="O718">
        <f>IF(Table13[[#This Row],[Goal_assist]]="",1,0)</f>
        <v>0</v>
      </c>
    </row>
    <row r="719" spans="1:15" x14ac:dyDescent="0.35">
      <c r="A719" t="s">
        <v>14</v>
      </c>
      <c r="B719" t="s">
        <v>255</v>
      </c>
      <c r="C719" t="s">
        <v>75</v>
      </c>
      <c r="D719" t="s">
        <v>92</v>
      </c>
      <c r="E719" s="2">
        <v>41731</v>
      </c>
      <c r="F719" t="s">
        <v>16</v>
      </c>
      <c r="G719" t="s">
        <v>112</v>
      </c>
      <c r="H719" t="s">
        <v>246</v>
      </c>
      <c r="I719" s="3">
        <v>0.125</v>
      </c>
      <c r="J719" t="s">
        <v>19</v>
      </c>
      <c r="K719">
        <v>57</v>
      </c>
      <c r="L719" s="3">
        <v>0.125</v>
      </c>
      <c r="M719" t="s">
        <v>31</v>
      </c>
      <c r="N719" t="s">
        <v>250</v>
      </c>
      <c r="O719">
        <f>IF(Table13[[#This Row],[Goal_assist]]="",1,0)</f>
        <v>0</v>
      </c>
    </row>
    <row r="720" spans="1:15" x14ac:dyDescent="0.35">
      <c r="A720" t="s">
        <v>64</v>
      </c>
      <c r="B720" t="s">
        <v>255</v>
      </c>
      <c r="C720" t="s">
        <v>65</v>
      </c>
      <c r="D720">
        <v>32</v>
      </c>
      <c r="E720" s="2">
        <v>41734</v>
      </c>
      <c r="F720" t="s">
        <v>16</v>
      </c>
      <c r="G720" t="s">
        <v>66</v>
      </c>
      <c r="H720" t="s">
        <v>95</v>
      </c>
      <c r="I720" s="3">
        <v>0.12569444444444444</v>
      </c>
      <c r="J720" t="s">
        <v>68</v>
      </c>
      <c r="K720">
        <v>86</v>
      </c>
      <c r="L720" s="3">
        <v>0.12569444444444444</v>
      </c>
      <c r="M720" t="s">
        <v>107</v>
      </c>
      <c r="N720" t="s">
        <v>265</v>
      </c>
      <c r="O720">
        <f>IF(Table13[[#This Row],[Goal_assist]]="",1,0)</f>
        <v>0</v>
      </c>
    </row>
    <row r="721" spans="1:15" x14ac:dyDescent="0.35">
      <c r="A721" t="s">
        <v>64</v>
      </c>
      <c r="B721" t="s">
        <v>255</v>
      </c>
      <c r="C721" t="s">
        <v>65</v>
      </c>
      <c r="D721">
        <v>32</v>
      </c>
      <c r="E721" s="2">
        <v>41734</v>
      </c>
      <c r="F721" t="s">
        <v>16</v>
      </c>
      <c r="G721" t="s">
        <v>66</v>
      </c>
      <c r="H721" t="s">
        <v>95</v>
      </c>
      <c r="I721" s="3">
        <v>0.12569444444444444</v>
      </c>
      <c r="J721" t="s">
        <v>68</v>
      </c>
      <c r="K721">
        <v>15</v>
      </c>
      <c r="L721" s="3">
        <v>4.1666666666666664E-2</v>
      </c>
      <c r="M721" t="s">
        <v>83</v>
      </c>
      <c r="O721">
        <f>IF(Table13[[#This Row],[Goal_assist]]="",1,0)</f>
        <v>1</v>
      </c>
    </row>
    <row r="722" spans="1:15" x14ac:dyDescent="0.35">
      <c r="A722" t="s">
        <v>64</v>
      </c>
      <c r="B722" t="s">
        <v>255</v>
      </c>
      <c r="C722" t="s">
        <v>65</v>
      </c>
      <c r="D722">
        <v>34</v>
      </c>
      <c r="E722" s="2">
        <v>41749</v>
      </c>
      <c r="F722" t="s">
        <v>16</v>
      </c>
      <c r="G722" t="s">
        <v>66</v>
      </c>
      <c r="H722" t="s">
        <v>86</v>
      </c>
      <c r="I722" s="3">
        <v>8.4027777777777785E-2</v>
      </c>
      <c r="J722" t="s">
        <v>68</v>
      </c>
      <c r="K722">
        <v>74</v>
      </c>
      <c r="L722" s="3">
        <v>8.4027777777777785E-2</v>
      </c>
      <c r="M722" t="s">
        <v>39</v>
      </c>
      <c r="O722">
        <f>IF(Table13[[#This Row],[Goal_assist]]="",1,0)</f>
        <v>1</v>
      </c>
    </row>
    <row r="723" spans="1:15" x14ac:dyDescent="0.35">
      <c r="A723" t="s">
        <v>14</v>
      </c>
      <c r="B723" t="s">
        <v>255</v>
      </c>
      <c r="C723" t="s">
        <v>65</v>
      </c>
      <c r="D723">
        <v>35</v>
      </c>
      <c r="E723" s="2">
        <v>41755</v>
      </c>
      <c r="F723" t="s">
        <v>16</v>
      </c>
      <c r="G723" t="s">
        <v>112</v>
      </c>
      <c r="H723" t="s">
        <v>100</v>
      </c>
      <c r="I723" s="3">
        <v>0.16666666666666666</v>
      </c>
      <c r="J723" t="s">
        <v>19</v>
      </c>
      <c r="K723">
        <v>6</v>
      </c>
      <c r="L723" s="3">
        <v>4.1666666666666664E-2</v>
      </c>
      <c r="M723" t="s">
        <v>170</v>
      </c>
      <c r="N723" t="s">
        <v>207</v>
      </c>
      <c r="O723">
        <f>IF(Table13[[#This Row],[Goal_assist]]="",1,0)</f>
        <v>0</v>
      </c>
    </row>
    <row r="724" spans="1:15" x14ac:dyDescent="0.35">
      <c r="A724" t="s">
        <v>14</v>
      </c>
      <c r="B724" t="s">
        <v>255</v>
      </c>
      <c r="C724" t="s">
        <v>65</v>
      </c>
      <c r="D724">
        <v>35</v>
      </c>
      <c r="E724" s="2">
        <v>41755</v>
      </c>
      <c r="F724" t="s">
        <v>16</v>
      </c>
      <c r="G724" t="s">
        <v>112</v>
      </c>
      <c r="H724" t="s">
        <v>100</v>
      </c>
      <c r="I724" s="3">
        <v>0.16666666666666666</v>
      </c>
      <c r="J724" t="s">
        <v>19</v>
      </c>
      <c r="K724">
        <v>52</v>
      </c>
      <c r="L724" s="3">
        <v>8.3333333333333329E-2</v>
      </c>
      <c r="M724" t="s">
        <v>170</v>
      </c>
      <c r="N724" t="s">
        <v>257</v>
      </c>
      <c r="O724">
        <f>IF(Table13[[#This Row],[Goal_assist]]="",1,0)</f>
        <v>0</v>
      </c>
    </row>
    <row r="725" spans="1:15" x14ac:dyDescent="0.35">
      <c r="A725" t="s">
        <v>64</v>
      </c>
      <c r="B725" t="s">
        <v>255</v>
      </c>
      <c r="C725" t="s">
        <v>65</v>
      </c>
      <c r="D725">
        <v>35</v>
      </c>
      <c r="E725" s="2">
        <v>41756</v>
      </c>
      <c r="F725" t="s">
        <v>24</v>
      </c>
      <c r="G725" t="s">
        <v>66</v>
      </c>
      <c r="H725" t="s">
        <v>180</v>
      </c>
      <c r="I725" s="3">
        <v>8.5416666666666669E-2</v>
      </c>
      <c r="J725" t="s">
        <v>68</v>
      </c>
      <c r="K725">
        <v>83</v>
      </c>
      <c r="L725" s="3">
        <v>8.5416666666666669E-2</v>
      </c>
      <c r="M725" t="s">
        <v>26</v>
      </c>
      <c r="N725" t="s">
        <v>224</v>
      </c>
      <c r="O725">
        <f>IF(Table13[[#This Row],[Goal_assist]]="",1,0)</f>
        <v>0</v>
      </c>
    </row>
    <row r="726" spans="1:15" x14ac:dyDescent="0.35">
      <c r="A726" t="s">
        <v>14</v>
      </c>
      <c r="B726" t="s">
        <v>255</v>
      </c>
      <c r="C726" t="s">
        <v>75</v>
      </c>
      <c r="D726" t="s">
        <v>62</v>
      </c>
      <c r="E726" s="2">
        <v>41758</v>
      </c>
      <c r="F726" t="s">
        <v>24</v>
      </c>
      <c r="G726" t="s">
        <v>112</v>
      </c>
      <c r="H726" t="s">
        <v>168</v>
      </c>
      <c r="I726" s="3">
        <v>2.7777777777777779E-3</v>
      </c>
      <c r="J726" t="s">
        <v>19</v>
      </c>
      <c r="K726">
        <v>90</v>
      </c>
      <c r="L726" s="3">
        <v>2.7777777777777779E-3</v>
      </c>
      <c r="M726" t="s">
        <v>39</v>
      </c>
      <c r="O726">
        <f>IF(Table13[[#This Row],[Goal_assist]]="",1,0)</f>
        <v>1</v>
      </c>
    </row>
    <row r="727" spans="1:15" x14ac:dyDescent="0.35">
      <c r="A727" t="s">
        <v>14</v>
      </c>
      <c r="B727" t="s">
        <v>255</v>
      </c>
      <c r="C727" t="s">
        <v>75</v>
      </c>
      <c r="D727" t="s">
        <v>62</v>
      </c>
      <c r="E727" s="2">
        <v>41758</v>
      </c>
      <c r="F727" t="s">
        <v>24</v>
      </c>
      <c r="G727" t="s">
        <v>112</v>
      </c>
      <c r="H727" t="s">
        <v>168</v>
      </c>
      <c r="I727" s="3">
        <v>2.7777777777777779E-3</v>
      </c>
      <c r="J727" t="s">
        <v>19</v>
      </c>
      <c r="K727">
        <v>34</v>
      </c>
      <c r="L727" s="3">
        <v>2.0833333333333333E-3</v>
      </c>
      <c r="M727" t="s">
        <v>162</v>
      </c>
      <c r="N727" t="s">
        <v>261</v>
      </c>
      <c r="O727">
        <f>IF(Table13[[#This Row],[Goal_assist]]="",1,0)</f>
        <v>0</v>
      </c>
    </row>
    <row r="728" spans="1:15" x14ac:dyDescent="0.35">
      <c r="A728" t="s">
        <v>64</v>
      </c>
      <c r="B728" t="s">
        <v>255</v>
      </c>
      <c r="C728" t="s">
        <v>65</v>
      </c>
      <c r="D728">
        <v>36</v>
      </c>
      <c r="E728" s="2">
        <v>41762</v>
      </c>
      <c r="F728" t="s">
        <v>16</v>
      </c>
      <c r="G728" t="s">
        <v>66</v>
      </c>
      <c r="H728" t="s">
        <v>117</v>
      </c>
      <c r="I728" s="3">
        <v>8.4722222222222227E-2</v>
      </c>
      <c r="J728" t="s">
        <v>68</v>
      </c>
      <c r="K728">
        <v>23</v>
      </c>
      <c r="L728" s="3">
        <v>4.1666666666666664E-2</v>
      </c>
      <c r="M728" t="s">
        <v>31</v>
      </c>
      <c r="N728" t="s">
        <v>155</v>
      </c>
      <c r="O728">
        <f>IF(Table13[[#This Row],[Goal_assist]]="",1,0)</f>
        <v>0</v>
      </c>
    </row>
    <row r="729" spans="1:15" x14ac:dyDescent="0.35">
      <c r="A729" t="s">
        <v>14</v>
      </c>
      <c r="B729" t="s">
        <v>255</v>
      </c>
      <c r="C729" t="s">
        <v>65</v>
      </c>
      <c r="D729">
        <v>36</v>
      </c>
      <c r="E729" s="2">
        <v>41763</v>
      </c>
      <c r="F729" t="s">
        <v>16</v>
      </c>
      <c r="G729" t="s">
        <v>112</v>
      </c>
      <c r="H729" t="s">
        <v>148</v>
      </c>
      <c r="I729" s="3">
        <v>8.4722222222222227E-2</v>
      </c>
      <c r="J729" t="s">
        <v>19</v>
      </c>
      <c r="K729">
        <v>90</v>
      </c>
      <c r="L729" s="3">
        <v>8.4722222222222227E-2</v>
      </c>
      <c r="M729" t="s">
        <v>26</v>
      </c>
      <c r="N729" t="s">
        <v>207</v>
      </c>
      <c r="O729">
        <f>IF(Table13[[#This Row],[Goal_assist]]="",1,0)</f>
        <v>0</v>
      </c>
    </row>
    <row r="730" spans="1:15" x14ac:dyDescent="0.35">
      <c r="A730" t="s">
        <v>14</v>
      </c>
      <c r="B730" t="s">
        <v>255</v>
      </c>
      <c r="C730" t="s">
        <v>75</v>
      </c>
      <c r="D730" t="s">
        <v>46</v>
      </c>
      <c r="E730" s="2">
        <v>41783</v>
      </c>
      <c r="F730" t="s">
        <v>16</v>
      </c>
      <c r="G730" t="s">
        <v>112</v>
      </c>
      <c r="H730" t="s">
        <v>119</v>
      </c>
      <c r="I730" t="s">
        <v>266</v>
      </c>
      <c r="J730" t="s">
        <v>19</v>
      </c>
      <c r="K730">
        <v>120</v>
      </c>
      <c r="L730" s="3">
        <v>0.1673611111111111</v>
      </c>
      <c r="M730" t="s">
        <v>83</v>
      </c>
      <c r="O730">
        <f>IF(Table13[[#This Row],[Goal_assist]]="",1,0)</f>
        <v>1</v>
      </c>
    </row>
    <row r="731" spans="1:15" x14ac:dyDescent="0.35">
      <c r="A731" t="s">
        <v>14</v>
      </c>
      <c r="B731" t="s">
        <v>267</v>
      </c>
      <c r="C731" t="s">
        <v>223</v>
      </c>
      <c r="D731" t="s">
        <v>46</v>
      </c>
      <c r="E731" s="2">
        <v>41863</v>
      </c>
      <c r="F731" t="s">
        <v>16</v>
      </c>
      <c r="G731" t="s">
        <v>112</v>
      </c>
      <c r="H731" t="s">
        <v>105</v>
      </c>
      <c r="I731" s="3">
        <v>8.3333333333333329E-2</v>
      </c>
      <c r="J731" t="s">
        <v>19</v>
      </c>
      <c r="K731">
        <v>30</v>
      </c>
      <c r="L731" s="3">
        <v>4.1666666666666664E-2</v>
      </c>
      <c r="M731" t="s">
        <v>26</v>
      </c>
      <c r="N731" t="s">
        <v>261</v>
      </c>
      <c r="O731">
        <f>IF(Table13[[#This Row],[Goal_assist]]="",1,0)</f>
        <v>0</v>
      </c>
    </row>
    <row r="732" spans="1:15" x14ac:dyDescent="0.35">
      <c r="A732" t="s">
        <v>14</v>
      </c>
      <c r="B732" t="s">
        <v>267</v>
      </c>
      <c r="C732" t="s">
        <v>223</v>
      </c>
      <c r="D732" t="s">
        <v>46</v>
      </c>
      <c r="E732" s="2">
        <v>41863</v>
      </c>
      <c r="F732" t="s">
        <v>16</v>
      </c>
      <c r="G732" t="s">
        <v>112</v>
      </c>
      <c r="H732" t="s">
        <v>105</v>
      </c>
      <c r="I732" s="3">
        <v>8.3333333333333329E-2</v>
      </c>
      <c r="J732" t="s">
        <v>19</v>
      </c>
      <c r="K732">
        <v>49</v>
      </c>
      <c r="L732" s="3">
        <v>8.3333333333333329E-2</v>
      </c>
      <c r="M732" t="s">
        <v>31</v>
      </c>
      <c r="N732" t="s">
        <v>183</v>
      </c>
      <c r="O732">
        <f>IF(Table13[[#This Row],[Goal_assist]]="",1,0)</f>
        <v>0</v>
      </c>
    </row>
    <row r="733" spans="1:15" x14ac:dyDescent="0.35">
      <c r="A733" t="s">
        <v>64</v>
      </c>
      <c r="B733" t="s">
        <v>267</v>
      </c>
      <c r="C733" t="s">
        <v>65</v>
      </c>
      <c r="D733">
        <v>1</v>
      </c>
      <c r="E733" s="2">
        <v>41875</v>
      </c>
      <c r="F733" t="s">
        <v>16</v>
      </c>
      <c r="G733" t="s">
        <v>66</v>
      </c>
      <c r="H733" t="s">
        <v>258</v>
      </c>
      <c r="I733" s="3">
        <v>0.125</v>
      </c>
      <c r="J733" t="s">
        <v>68</v>
      </c>
      <c r="K733">
        <v>64</v>
      </c>
      <c r="L733" s="3">
        <v>0.125</v>
      </c>
      <c r="M733" t="s">
        <v>31</v>
      </c>
      <c r="O733">
        <f>IF(Table13[[#This Row],[Goal_assist]]="",1,0)</f>
        <v>1</v>
      </c>
    </row>
    <row r="734" spans="1:15" x14ac:dyDescent="0.35">
      <c r="A734" t="s">
        <v>64</v>
      </c>
      <c r="B734" t="s">
        <v>267</v>
      </c>
      <c r="C734" t="s">
        <v>65</v>
      </c>
      <c r="D734">
        <v>1</v>
      </c>
      <c r="E734" s="2">
        <v>41875</v>
      </c>
      <c r="F734" t="s">
        <v>16</v>
      </c>
      <c r="G734" t="s">
        <v>66</v>
      </c>
      <c r="H734" t="s">
        <v>258</v>
      </c>
      <c r="I734" s="3">
        <v>0.125</v>
      </c>
      <c r="J734" t="s">
        <v>68</v>
      </c>
      <c r="K734">
        <v>42</v>
      </c>
      <c r="L734" s="3">
        <v>4.1666666666666664E-2</v>
      </c>
      <c r="M734" t="s">
        <v>31</v>
      </c>
      <c r="N734" t="s">
        <v>222</v>
      </c>
      <c r="O734">
        <f>IF(Table13[[#This Row],[Goal_assist]]="",1,0)</f>
        <v>0</v>
      </c>
    </row>
    <row r="735" spans="1:15" x14ac:dyDescent="0.35">
      <c r="A735" t="s">
        <v>14</v>
      </c>
      <c r="B735" t="s">
        <v>267</v>
      </c>
      <c r="C735" t="s">
        <v>65</v>
      </c>
      <c r="D735">
        <v>1</v>
      </c>
      <c r="E735" s="2">
        <v>41876</v>
      </c>
      <c r="F735" t="s">
        <v>16</v>
      </c>
      <c r="G735" t="s">
        <v>112</v>
      </c>
      <c r="H735" t="s">
        <v>248</v>
      </c>
      <c r="I735" s="3">
        <v>8.3333333333333329E-2</v>
      </c>
      <c r="J735" t="s">
        <v>19</v>
      </c>
      <c r="K735">
        <v>90</v>
      </c>
      <c r="L735" s="3">
        <v>8.3333333333333329E-2</v>
      </c>
      <c r="M735" t="s">
        <v>26</v>
      </c>
      <c r="N735" t="s">
        <v>257</v>
      </c>
      <c r="O735">
        <f>IF(Table13[[#This Row],[Goal_assist]]="",1,0)</f>
        <v>0</v>
      </c>
    </row>
    <row r="736" spans="1:15" x14ac:dyDescent="0.35">
      <c r="A736" t="s">
        <v>14</v>
      </c>
      <c r="B736" t="s">
        <v>267</v>
      </c>
      <c r="C736" t="s">
        <v>65</v>
      </c>
      <c r="D736">
        <v>3</v>
      </c>
      <c r="E736" s="2">
        <v>41895</v>
      </c>
      <c r="F736" t="s">
        <v>16</v>
      </c>
      <c r="G736" t="s">
        <v>112</v>
      </c>
      <c r="H736" t="s">
        <v>119</v>
      </c>
      <c r="I736" s="3">
        <v>4.3055555555555555E-2</v>
      </c>
      <c r="J736" t="s">
        <v>19</v>
      </c>
      <c r="K736">
        <v>25</v>
      </c>
      <c r="L736" s="3">
        <v>4.2361111111111113E-2</v>
      </c>
      <c r="M736" t="s">
        <v>83</v>
      </c>
      <c r="O736">
        <f>IF(Table13[[#This Row],[Goal_assist]]="",1,0)</f>
        <v>1</v>
      </c>
    </row>
    <row r="737" spans="1:15" x14ac:dyDescent="0.35">
      <c r="A737" t="s">
        <v>14</v>
      </c>
      <c r="B737" t="s">
        <v>267</v>
      </c>
      <c r="C737" t="s">
        <v>75</v>
      </c>
      <c r="D737" t="s">
        <v>76</v>
      </c>
      <c r="E737" s="2">
        <v>41898</v>
      </c>
      <c r="F737" t="s">
        <v>16</v>
      </c>
      <c r="G737" t="s">
        <v>112</v>
      </c>
      <c r="H737" t="s">
        <v>154</v>
      </c>
      <c r="I737" s="3">
        <v>0.20902777777777778</v>
      </c>
      <c r="J737" t="s">
        <v>19</v>
      </c>
      <c r="K737">
        <v>31</v>
      </c>
      <c r="L737" s="3">
        <v>0.125</v>
      </c>
      <c r="M737" t="s">
        <v>26</v>
      </c>
      <c r="N737" t="s">
        <v>261</v>
      </c>
      <c r="O737">
        <f>IF(Table13[[#This Row],[Goal_assist]]="",1,0)</f>
        <v>0</v>
      </c>
    </row>
    <row r="738" spans="1:15" x14ac:dyDescent="0.35">
      <c r="A738" t="s">
        <v>14</v>
      </c>
      <c r="B738" t="s">
        <v>267</v>
      </c>
      <c r="C738" t="s">
        <v>65</v>
      </c>
      <c r="D738">
        <v>4</v>
      </c>
      <c r="E738" s="2">
        <v>41902</v>
      </c>
      <c r="F738" t="s">
        <v>24</v>
      </c>
      <c r="G738" t="s">
        <v>112</v>
      </c>
      <c r="H738" t="s">
        <v>175</v>
      </c>
      <c r="I738" s="3">
        <v>8.8888888888888892E-2</v>
      </c>
      <c r="J738" t="s">
        <v>38</v>
      </c>
      <c r="K738">
        <v>29</v>
      </c>
      <c r="L738" s="3">
        <v>6.9444444444444447E-4</v>
      </c>
      <c r="M738" t="s">
        <v>22</v>
      </c>
      <c r="N738" t="s">
        <v>229</v>
      </c>
      <c r="O738">
        <f>IF(Table13[[#This Row],[Goal_assist]]="",1,0)</f>
        <v>0</v>
      </c>
    </row>
    <row r="739" spans="1:15" x14ac:dyDescent="0.35">
      <c r="A739" t="s">
        <v>14</v>
      </c>
      <c r="B739" t="s">
        <v>267</v>
      </c>
      <c r="C739" t="s">
        <v>65</v>
      </c>
      <c r="D739">
        <v>4</v>
      </c>
      <c r="E739" s="2">
        <v>41902</v>
      </c>
      <c r="F739" t="s">
        <v>24</v>
      </c>
      <c r="G739" t="s">
        <v>112</v>
      </c>
      <c r="H739" t="s">
        <v>175</v>
      </c>
      <c r="I739" s="3">
        <v>8.8888888888888892E-2</v>
      </c>
      <c r="J739" t="s">
        <v>38</v>
      </c>
      <c r="K739">
        <v>41</v>
      </c>
      <c r="L739" s="3">
        <v>2.0833333333333333E-3</v>
      </c>
      <c r="M739" t="s">
        <v>31</v>
      </c>
      <c r="N739" t="s">
        <v>183</v>
      </c>
      <c r="O739">
        <f>IF(Table13[[#This Row],[Goal_assist]]="",1,0)</f>
        <v>0</v>
      </c>
    </row>
    <row r="740" spans="1:15" x14ac:dyDescent="0.35">
      <c r="A740" t="s">
        <v>14</v>
      </c>
      <c r="B740" t="s">
        <v>267</v>
      </c>
      <c r="C740" t="s">
        <v>65</v>
      </c>
      <c r="D740">
        <v>4</v>
      </c>
      <c r="E740" s="2">
        <v>41902</v>
      </c>
      <c r="F740" t="s">
        <v>24</v>
      </c>
      <c r="G740" t="s">
        <v>112</v>
      </c>
      <c r="H740" t="s">
        <v>175</v>
      </c>
      <c r="I740" s="3">
        <v>8.8888888888888892E-2</v>
      </c>
      <c r="J740" t="s">
        <v>38</v>
      </c>
      <c r="K740">
        <v>78</v>
      </c>
      <c r="L740" s="3">
        <v>4.583333333333333E-2</v>
      </c>
      <c r="M740" t="s">
        <v>31</v>
      </c>
      <c r="N740" t="s">
        <v>268</v>
      </c>
      <c r="O740">
        <f>IF(Table13[[#This Row],[Goal_assist]]="",1,0)</f>
        <v>0</v>
      </c>
    </row>
    <row r="741" spans="1:15" x14ac:dyDescent="0.35">
      <c r="A741" t="s">
        <v>64</v>
      </c>
      <c r="B741" t="s">
        <v>267</v>
      </c>
      <c r="C741" t="s">
        <v>65</v>
      </c>
      <c r="D741">
        <v>4</v>
      </c>
      <c r="E741" s="2">
        <v>41903</v>
      </c>
      <c r="F741" t="s">
        <v>24</v>
      </c>
      <c r="G741" t="s">
        <v>66</v>
      </c>
      <c r="H741" t="s">
        <v>127</v>
      </c>
      <c r="I741" s="3">
        <v>3.472222222222222E-3</v>
      </c>
      <c r="J741" t="s">
        <v>68</v>
      </c>
      <c r="K741">
        <v>77</v>
      </c>
      <c r="L741" s="3">
        <v>3.472222222222222E-3</v>
      </c>
      <c r="M741" t="s">
        <v>26</v>
      </c>
      <c r="O741">
        <f>IF(Table13[[#This Row],[Goal_assist]]="",1,0)</f>
        <v>1</v>
      </c>
    </row>
    <row r="742" spans="1:15" x14ac:dyDescent="0.35">
      <c r="A742" t="s">
        <v>14</v>
      </c>
      <c r="B742" t="s">
        <v>267</v>
      </c>
      <c r="C742" t="s">
        <v>65</v>
      </c>
      <c r="D742">
        <v>5</v>
      </c>
      <c r="E742" s="2">
        <v>41905</v>
      </c>
      <c r="F742" t="s">
        <v>16</v>
      </c>
      <c r="G742" t="s">
        <v>112</v>
      </c>
      <c r="H742" t="s">
        <v>258</v>
      </c>
      <c r="I742" s="3">
        <v>0.20902777777777778</v>
      </c>
      <c r="J742" t="s">
        <v>68</v>
      </c>
      <c r="K742">
        <v>28</v>
      </c>
      <c r="L742" s="3">
        <v>8.4027777777777785E-2</v>
      </c>
      <c r="M742" t="s">
        <v>83</v>
      </c>
      <c r="O742">
        <f>IF(Table13[[#This Row],[Goal_assist]]="",1,0)</f>
        <v>1</v>
      </c>
    </row>
    <row r="743" spans="1:15" x14ac:dyDescent="0.35">
      <c r="A743" t="s">
        <v>14</v>
      </c>
      <c r="B743" t="s">
        <v>267</v>
      </c>
      <c r="C743" t="s">
        <v>65</v>
      </c>
      <c r="D743">
        <v>5</v>
      </c>
      <c r="E743" s="2">
        <v>41905</v>
      </c>
      <c r="F743" t="s">
        <v>16</v>
      </c>
      <c r="G743" t="s">
        <v>112</v>
      </c>
      <c r="H743" t="s">
        <v>258</v>
      </c>
      <c r="I743" s="3">
        <v>0.20902777777777778</v>
      </c>
      <c r="J743" t="s">
        <v>68</v>
      </c>
      <c r="K743">
        <v>90</v>
      </c>
      <c r="L743" s="3">
        <v>0.20902777777777778</v>
      </c>
      <c r="M743" t="s">
        <v>26</v>
      </c>
      <c r="N743" t="s">
        <v>261</v>
      </c>
      <c r="O743">
        <f>IF(Table13[[#This Row],[Goal_assist]]="",1,0)</f>
        <v>0</v>
      </c>
    </row>
    <row r="744" spans="1:15" x14ac:dyDescent="0.35">
      <c r="A744" t="s">
        <v>14</v>
      </c>
      <c r="B744" t="s">
        <v>267</v>
      </c>
      <c r="C744" t="s">
        <v>65</v>
      </c>
      <c r="D744">
        <v>5</v>
      </c>
      <c r="E744" s="2">
        <v>41905</v>
      </c>
      <c r="F744" t="s">
        <v>16</v>
      </c>
      <c r="G744" t="s">
        <v>112</v>
      </c>
      <c r="H744" t="s">
        <v>258</v>
      </c>
      <c r="I744" s="3">
        <v>0.20902777777777778</v>
      </c>
      <c r="J744" t="s">
        <v>68</v>
      </c>
      <c r="K744">
        <v>80</v>
      </c>
      <c r="L744" s="3">
        <v>0.1673611111111111</v>
      </c>
      <c r="M744" t="s">
        <v>83</v>
      </c>
      <c r="O744">
        <f>IF(Table13[[#This Row],[Goal_assist]]="",1,0)</f>
        <v>1</v>
      </c>
    </row>
    <row r="745" spans="1:15" x14ac:dyDescent="0.35">
      <c r="A745" t="s">
        <v>14</v>
      </c>
      <c r="B745" t="s">
        <v>267</v>
      </c>
      <c r="C745" t="s">
        <v>65</v>
      </c>
      <c r="D745">
        <v>5</v>
      </c>
      <c r="E745" s="2">
        <v>41905</v>
      </c>
      <c r="F745" t="s">
        <v>16</v>
      </c>
      <c r="G745" t="s">
        <v>112</v>
      </c>
      <c r="H745" t="s">
        <v>258</v>
      </c>
      <c r="I745" s="3">
        <v>0.20902777777777778</v>
      </c>
      <c r="J745" t="s">
        <v>68</v>
      </c>
      <c r="K745">
        <v>32</v>
      </c>
      <c r="L745" s="3">
        <v>0.12569444444444444</v>
      </c>
      <c r="M745" t="s">
        <v>22</v>
      </c>
      <c r="N745" t="s">
        <v>201</v>
      </c>
      <c r="O745">
        <f>IF(Table13[[#This Row],[Goal_assist]]="",1,0)</f>
        <v>0</v>
      </c>
    </row>
    <row r="746" spans="1:15" x14ac:dyDescent="0.35">
      <c r="A746" t="s">
        <v>14</v>
      </c>
      <c r="B746" t="s">
        <v>267</v>
      </c>
      <c r="C746" t="s">
        <v>65</v>
      </c>
      <c r="D746">
        <v>6</v>
      </c>
      <c r="E746" s="2">
        <v>41909</v>
      </c>
      <c r="F746" t="s">
        <v>24</v>
      </c>
      <c r="G746" t="s">
        <v>112</v>
      </c>
      <c r="H746" t="s">
        <v>180</v>
      </c>
      <c r="I746" s="3">
        <v>1.3888888888888889E-3</v>
      </c>
      <c r="J746" t="s">
        <v>68</v>
      </c>
      <c r="K746">
        <v>40</v>
      </c>
      <c r="L746" s="3">
        <v>1.3888888888888889E-3</v>
      </c>
      <c r="M746" t="s">
        <v>26</v>
      </c>
      <c r="N746" t="s">
        <v>183</v>
      </c>
      <c r="O746">
        <f>IF(Table13[[#This Row],[Goal_assist]]="",1,0)</f>
        <v>0</v>
      </c>
    </row>
    <row r="747" spans="1:15" x14ac:dyDescent="0.35">
      <c r="A747" t="s">
        <v>64</v>
      </c>
      <c r="B747" t="s">
        <v>267</v>
      </c>
      <c r="C747" t="s">
        <v>65</v>
      </c>
      <c r="D747">
        <v>6</v>
      </c>
      <c r="E747" s="2">
        <v>41909</v>
      </c>
      <c r="F747" t="s">
        <v>16</v>
      </c>
      <c r="G747" t="s">
        <v>66</v>
      </c>
      <c r="H747" t="s">
        <v>233</v>
      </c>
      <c r="I747" s="3">
        <v>0.25</v>
      </c>
      <c r="J747" t="s">
        <v>68</v>
      </c>
      <c r="K747">
        <v>62</v>
      </c>
      <c r="L747" s="3">
        <v>0.16666666666666666</v>
      </c>
      <c r="M747" t="s">
        <v>22</v>
      </c>
      <c r="N747" t="s">
        <v>155</v>
      </c>
      <c r="O747">
        <f>IF(Table13[[#This Row],[Goal_assist]]="",1,0)</f>
        <v>0</v>
      </c>
    </row>
    <row r="748" spans="1:15" x14ac:dyDescent="0.35">
      <c r="A748" t="s">
        <v>64</v>
      </c>
      <c r="B748" t="s">
        <v>267</v>
      </c>
      <c r="C748" t="s">
        <v>65</v>
      </c>
      <c r="D748">
        <v>6</v>
      </c>
      <c r="E748" s="2">
        <v>41909</v>
      </c>
      <c r="F748" t="s">
        <v>16</v>
      </c>
      <c r="G748" t="s">
        <v>66</v>
      </c>
      <c r="H748" t="s">
        <v>233</v>
      </c>
      <c r="I748" s="3">
        <v>0.25</v>
      </c>
      <c r="J748" t="s">
        <v>68</v>
      </c>
      <c r="K748">
        <v>82</v>
      </c>
      <c r="L748" s="3">
        <v>0.25</v>
      </c>
      <c r="M748" t="s">
        <v>26</v>
      </c>
      <c r="O748">
        <f>IF(Table13[[#This Row],[Goal_assist]]="",1,0)</f>
        <v>1</v>
      </c>
    </row>
    <row r="749" spans="1:15" x14ac:dyDescent="0.35">
      <c r="A749" t="s">
        <v>64</v>
      </c>
      <c r="B749" t="s">
        <v>267</v>
      </c>
      <c r="C749" t="s">
        <v>75</v>
      </c>
      <c r="D749" t="s">
        <v>76</v>
      </c>
      <c r="E749" s="2">
        <v>41912</v>
      </c>
      <c r="F749" t="s">
        <v>24</v>
      </c>
      <c r="G749" t="s">
        <v>66</v>
      </c>
      <c r="H749" t="s">
        <v>252</v>
      </c>
      <c r="I749" s="3">
        <v>0.12638888888888888</v>
      </c>
      <c r="J749" t="s">
        <v>38</v>
      </c>
      <c r="K749">
        <v>12</v>
      </c>
      <c r="L749" s="3">
        <v>4.2361111111111113E-2</v>
      </c>
      <c r="M749" t="s">
        <v>31</v>
      </c>
      <c r="N749" t="s">
        <v>99</v>
      </c>
      <c r="O749">
        <f>IF(Table13[[#This Row],[Goal_assist]]="",1,0)</f>
        <v>0</v>
      </c>
    </row>
    <row r="750" spans="1:15" x14ac:dyDescent="0.35">
      <c r="A750" t="s">
        <v>14</v>
      </c>
      <c r="B750" t="s">
        <v>267</v>
      </c>
      <c r="C750" t="s">
        <v>75</v>
      </c>
      <c r="D750" t="s">
        <v>76</v>
      </c>
      <c r="E750" s="2">
        <v>41913</v>
      </c>
      <c r="F750" t="s">
        <v>24</v>
      </c>
      <c r="G750" t="s">
        <v>112</v>
      </c>
      <c r="H750" t="s">
        <v>269</v>
      </c>
      <c r="I750" s="3">
        <v>4.3055555555555555E-2</v>
      </c>
      <c r="J750" t="s">
        <v>68</v>
      </c>
      <c r="K750">
        <v>25</v>
      </c>
      <c r="L750" s="3">
        <v>4.2361111111111113E-2</v>
      </c>
      <c r="M750" t="s">
        <v>83</v>
      </c>
      <c r="O750">
        <f>IF(Table13[[#This Row],[Goal_assist]]="",1,0)</f>
        <v>1</v>
      </c>
    </row>
    <row r="751" spans="1:15" x14ac:dyDescent="0.35">
      <c r="A751" t="s">
        <v>64</v>
      </c>
      <c r="B751" t="s">
        <v>267</v>
      </c>
      <c r="C751" t="s">
        <v>65</v>
      </c>
      <c r="D751">
        <v>7</v>
      </c>
      <c r="E751" s="2">
        <v>41916</v>
      </c>
      <c r="F751" t="s">
        <v>24</v>
      </c>
      <c r="G751" t="s">
        <v>66</v>
      </c>
      <c r="H751" t="s">
        <v>225</v>
      </c>
      <c r="I751" s="3">
        <v>1.3888888888888889E-3</v>
      </c>
      <c r="J751" t="s">
        <v>68</v>
      </c>
      <c r="K751">
        <v>35</v>
      </c>
      <c r="L751" s="3">
        <v>6.9444444444444447E-4</v>
      </c>
      <c r="M751" t="s">
        <v>31</v>
      </c>
      <c r="N751" t="s">
        <v>166</v>
      </c>
      <c r="O751">
        <f>IF(Table13[[#This Row],[Goal_assist]]="",1,0)</f>
        <v>0</v>
      </c>
    </row>
    <row r="752" spans="1:15" x14ac:dyDescent="0.35">
      <c r="A752" t="s">
        <v>14</v>
      </c>
      <c r="B752" t="s">
        <v>267</v>
      </c>
      <c r="C752" t="s">
        <v>65</v>
      </c>
      <c r="D752">
        <v>7</v>
      </c>
      <c r="E752" s="2">
        <v>41917</v>
      </c>
      <c r="F752" t="s">
        <v>16</v>
      </c>
      <c r="G752" t="s">
        <v>112</v>
      </c>
      <c r="H752" t="s">
        <v>86</v>
      </c>
      <c r="I752" s="3">
        <v>0.20833333333333334</v>
      </c>
      <c r="J752" t="s">
        <v>19</v>
      </c>
      <c r="K752">
        <v>89</v>
      </c>
      <c r="L752" s="3">
        <v>0.20833333333333334</v>
      </c>
      <c r="M752" t="s">
        <v>129</v>
      </c>
      <c r="N752" t="s">
        <v>182</v>
      </c>
      <c r="O752">
        <f>IF(Table13[[#This Row],[Goal_assist]]="",1,0)</f>
        <v>0</v>
      </c>
    </row>
    <row r="753" spans="1:15" x14ac:dyDescent="0.35">
      <c r="A753" t="s">
        <v>14</v>
      </c>
      <c r="B753" t="s">
        <v>267</v>
      </c>
      <c r="C753" t="s">
        <v>65</v>
      </c>
      <c r="D753">
        <v>7</v>
      </c>
      <c r="E753" s="2">
        <v>41917</v>
      </c>
      <c r="F753" t="s">
        <v>16</v>
      </c>
      <c r="G753" t="s">
        <v>112</v>
      </c>
      <c r="H753" t="s">
        <v>86</v>
      </c>
      <c r="I753" s="3">
        <v>0.20833333333333334</v>
      </c>
      <c r="J753" t="s">
        <v>19</v>
      </c>
      <c r="K753">
        <v>3</v>
      </c>
      <c r="L753" s="3">
        <v>4.1666666666666664E-2</v>
      </c>
      <c r="M753" t="s">
        <v>22</v>
      </c>
      <c r="N753" t="s">
        <v>261</v>
      </c>
      <c r="O753">
        <f>IF(Table13[[#This Row],[Goal_assist]]="",1,0)</f>
        <v>0</v>
      </c>
    </row>
    <row r="754" spans="1:15" x14ac:dyDescent="0.35">
      <c r="A754" t="s">
        <v>14</v>
      </c>
      <c r="B754" t="s">
        <v>267</v>
      </c>
      <c r="C754" t="s">
        <v>65</v>
      </c>
      <c r="D754">
        <v>7</v>
      </c>
      <c r="E754" s="2">
        <v>41917</v>
      </c>
      <c r="F754" t="s">
        <v>16</v>
      </c>
      <c r="G754" t="s">
        <v>112</v>
      </c>
      <c r="H754" t="s">
        <v>86</v>
      </c>
      <c r="I754" s="3">
        <v>0.20833333333333334</v>
      </c>
      <c r="J754" t="s">
        <v>19</v>
      </c>
      <c r="K754">
        <v>55</v>
      </c>
      <c r="L754" s="3">
        <v>0.125</v>
      </c>
      <c r="M754" t="s">
        <v>26</v>
      </c>
      <c r="N754" t="s">
        <v>261</v>
      </c>
      <c r="O754">
        <f>IF(Table13[[#This Row],[Goal_assist]]="",1,0)</f>
        <v>0</v>
      </c>
    </row>
    <row r="755" spans="1:15" x14ac:dyDescent="0.35">
      <c r="A755" t="s">
        <v>64</v>
      </c>
      <c r="B755" t="s">
        <v>267</v>
      </c>
      <c r="C755" t="s">
        <v>65</v>
      </c>
      <c r="D755">
        <v>8</v>
      </c>
      <c r="E755" s="2">
        <v>41930</v>
      </c>
      <c r="F755" t="s">
        <v>16</v>
      </c>
      <c r="G755" t="s">
        <v>66</v>
      </c>
      <c r="H755" t="s">
        <v>270</v>
      </c>
      <c r="I755" s="3">
        <v>0.125</v>
      </c>
      <c r="J755" t="s">
        <v>68</v>
      </c>
      <c r="K755">
        <v>74</v>
      </c>
      <c r="L755" s="3">
        <v>0.125</v>
      </c>
      <c r="M755" t="s">
        <v>31</v>
      </c>
      <c r="N755" t="s">
        <v>256</v>
      </c>
      <c r="O755">
        <f>IF(Table13[[#This Row],[Goal_assist]]="",1,0)</f>
        <v>0</v>
      </c>
    </row>
    <row r="756" spans="1:15" x14ac:dyDescent="0.35">
      <c r="A756" t="s">
        <v>14</v>
      </c>
      <c r="B756" t="s">
        <v>267</v>
      </c>
      <c r="C756" t="s">
        <v>65</v>
      </c>
      <c r="D756">
        <v>8</v>
      </c>
      <c r="E756" s="2">
        <v>41930</v>
      </c>
      <c r="F756" t="s">
        <v>24</v>
      </c>
      <c r="G756" t="s">
        <v>112</v>
      </c>
      <c r="H756" t="s">
        <v>127</v>
      </c>
      <c r="I756" s="3">
        <v>3.472222222222222E-3</v>
      </c>
      <c r="J756" t="s">
        <v>68</v>
      </c>
      <c r="K756">
        <v>13</v>
      </c>
      <c r="L756" s="3">
        <v>6.9444444444444447E-4</v>
      </c>
      <c r="M756" t="s">
        <v>83</v>
      </c>
      <c r="O756">
        <f>IF(Table13[[#This Row],[Goal_assist]]="",1,0)</f>
        <v>1</v>
      </c>
    </row>
    <row r="757" spans="1:15" x14ac:dyDescent="0.35">
      <c r="A757" t="s">
        <v>14</v>
      </c>
      <c r="B757" t="s">
        <v>267</v>
      </c>
      <c r="C757" t="s">
        <v>65</v>
      </c>
      <c r="D757">
        <v>8</v>
      </c>
      <c r="E757" s="2">
        <v>41930</v>
      </c>
      <c r="F757" t="s">
        <v>24</v>
      </c>
      <c r="G757" t="s">
        <v>112</v>
      </c>
      <c r="H757" t="s">
        <v>127</v>
      </c>
      <c r="I757" s="3">
        <v>3.472222222222222E-3</v>
      </c>
      <c r="J757" t="s">
        <v>68</v>
      </c>
      <c r="K757">
        <v>61</v>
      </c>
      <c r="L757" s="3">
        <v>2.0833333333333333E-3</v>
      </c>
      <c r="M757" t="s">
        <v>26</v>
      </c>
      <c r="N757" t="s">
        <v>257</v>
      </c>
      <c r="O757">
        <f>IF(Table13[[#This Row],[Goal_assist]]="",1,0)</f>
        <v>0</v>
      </c>
    </row>
    <row r="758" spans="1:15" x14ac:dyDescent="0.35">
      <c r="A758" t="s">
        <v>64</v>
      </c>
      <c r="B758" t="s">
        <v>267</v>
      </c>
      <c r="C758" t="s">
        <v>75</v>
      </c>
      <c r="D758" t="s">
        <v>76</v>
      </c>
      <c r="E758" s="2">
        <v>41933</v>
      </c>
      <c r="F758" t="s">
        <v>16</v>
      </c>
      <c r="G758" t="s">
        <v>66</v>
      </c>
      <c r="H758" t="s">
        <v>214</v>
      </c>
      <c r="I758" s="3">
        <v>0.12569444444444444</v>
      </c>
      <c r="J758" t="s">
        <v>68</v>
      </c>
      <c r="K758">
        <v>24</v>
      </c>
      <c r="L758" s="3">
        <v>8.3333333333333329E-2</v>
      </c>
      <c r="M758" t="s">
        <v>31</v>
      </c>
      <c r="N758" t="s">
        <v>99</v>
      </c>
      <c r="O758">
        <f>IF(Table13[[#This Row],[Goal_assist]]="",1,0)</f>
        <v>0</v>
      </c>
    </row>
    <row r="759" spans="1:15" x14ac:dyDescent="0.35">
      <c r="A759" t="s">
        <v>14</v>
      </c>
      <c r="B759" t="s">
        <v>267</v>
      </c>
      <c r="C759" t="s">
        <v>75</v>
      </c>
      <c r="D759" t="s">
        <v>76</v>
      </c>
      <c r="E759" s="2">
        <v>41934</v>
      </c>
      <c r="F759" t="s">
        <v>24</v>
      </c>
      <c r="G759" t="s">
        <v>112</v>
      </c>
      <c r="H759" t="s">
        <v>145</v>
      </c>
      <c r="I759" s="3">
        <v>2.0833333333333333E-3</v>
      </c>
      <c r="J759" t="s">
        <v>68</v>
      </c>
      <c r="K759">
        <v>23</v>
      </c>
      <c r="L759" s="3">
        <v>6.9444444444444447E-4</v>
      </c>
      <c r="M759" t="s">
        <v>26</v>
      </c>
      <c r="N759" t="s">
        <v>268</v>
      </c>
      <c r="O759">
        <f>IF(Table13[[#This Row],[Goal_assist]]="",1,0)</f>
        <v>0</v>
      </c>
    </row>
    <row r="760" spans="1:15" x14ac:dyDescent="0.35">
      <c r="A760" t="s">
        <v>14</v>
      </c>
      <c r="B760" t="s">
        <v>267</v>
      </c>
      <c r="C760" t="s">
        <v>65</v>
      </c>
      <c r="D760">
        <v>9</v>
      </c>
      <c r="E760" s="2">
        <v>41937</v>
      </c>
      <c r="F760" t="s">
        <v>16</v>
      </c>
      <c r="G760" t="s">
        <v>112</v>
      </c>
      <c r="H760" t="s">
        <v>66</v>
      </c>
      <c r="I760" s="3">
        <v>0.12569444444444444</v>
      </c>
      <c r="J760" t="s">
        <v>68</v>
      </c>
      <c r="K760">
        <v>35</v>
      </c>
      <c r="L760" s="3">
        <v>4.2361111111111113E-2</v>
      </c>
      <c r="M760" t="s">
        <v>83</v>
      </c>
      <c r="O760">
        <f>IF(Table13[[#This Row],[Goal_assist]]="",1,0)</f>
        <v>1</v>
      </c>
    </row>
    <row r="761" spans="1:15" x14ac:dyDescent="0.35">
      <c r="A761" t="s">
        <v>14</v>
      </c>
      <c r="B761" t="s">
        <v>267</v>
      </c>
      <c r="C761" t="s">
        <v>65</v>
      </c>
      <c r="D761">
        <v>10</v>
      </c>
      <c r="E761" s="2">
        <v>41944</v>
      </c>
      <c r="F761" t="s">
        <v>24</v>
      </c>
      <c r="G761" t="s">
        <v>112</v>
      </c>
      <c r="H761" t="s">
        <v>233</v>
      </c>
      <c r="I761" s="3">
        <v>2.7777777777777779E-3</v>
      </c>
      <c r="J761" t="s">
        <v>68</v>
      </c>
      <c r="K761">
        <v>2</v>
      </c>
      <c r="L761" s="3">
        <v>6.9444444444444447E-4</v>
      </c>
      <c r="M761" t="s">
        <v>26</v>
      </c>
      <c r="N761" t="s">
        <v>183</v>
      </c>
      <c r="O761">
        <f>IF(Table13[[#This Row],[Goal_assist]]="",1,0)</f>
        <v>0</v>
      </c>
    </row>
    <row r="762" spans="1:15" x14ac:dyDescent="0.35">
      <c r="A762" t="s">
        <v>64</v>
      </c>
      <c r="B762" t="s">
        <v>267</v>
      </c>
      <c r="C762" t="s">
        <v>75</v>
      </c>
      <c r="D762" t="s">
        <v>76</v>
      </c>
      <c r="E762" s="2">
        <v>41948</v>
      </c>
      <c r="F762" t="s">
        <v>24</v>
      </c>
      <c r="G762" t="s">
        <v>66</v>
      </c>
      <c r="H762" t="s">
        <v>214</v>
      </c>
      <c r="I762" s="3">
        <v>1.3888888888888889E-3</v>
      </c>
      <c r="J762" t="s">
        <v>38</v>
      </c>
      <c r="K762">
        <v>36</v>
      </c>
      <c r="L762" s="3">
        <v>6.9444444444444447E-4</v>
      </c>
      <c r="M762" t="s">
        <v>22</v>
      </c>
      <c r="N762" t="s">
        <v>271</v>
      </c>
      <c r="O762">
        <f>IF(Table13[[#This Row],[Goal_assist]]="",1,0)</f>
        <v>0</v>
      </c>
    </row>
    <row r="763" spans="1:15" x14ac:dyDescent="0.35">
      <c r="A763" t="s">
        <v>64</v>
      </c>
      <c r="B763" t="s">
        <v>267</v>
      </c>
      <c r="C763" t="s">
        <v>75</v>
      </c>
      <c r="D763" t="s">
        <v>76</v>
      </c>
      <c r="E763" s="2">
        <v>41948</v>
      </c>
      <c r="F763" t="s">
        <v>24</v>
      </c>
      <c r="G763" t="s">
        <v>66</v>
      </c>
      <c r="H763" t="s">
        <v>214</v>
      </c>
      <c r="I763" s="3">
        <v>1.3888888888888889E-3</v>
      </c>
      <c r="J763" t="s">
        <v>38</v>
      </c>
      <c r="K763">
        <v>76</v>
      </c>
      <c r="L763" s="3">
        <v>1.3888888888888889E-3</v>
      </c>
      <c r="M763" t="s">
        <v>31</v>
      </c>
      <c r="N763" t="s">
        <v>186</v>
      </c>
      <c r="O763">
        <f>IF(Table13[[#This Row],[Goal_assist]]="",1,0)</f>
        <v>0</v>
      </c>
    </row>
    <row r="764" spans="1:15" x14ac:dyDescent="0.35">
      <c r="A764" t="s">
        <v>14</v>
      </c>
      <c r="B764" t="s">
        <v>267</v>
      </c>
      <c r="C764" t="s">
        <v>65</v>
      </c>
      <c r="D764">
        <v>11</v>
      </c>
      <c r="E764" s="2">
        <v>41951</v>
      </c>
      <c r="F764" t="s">
        <v>16</v>
      </c>
      <c r="G764" t="s">
        <v>112</v>
      </c>
      <c r="H764" t="s">
        <v>225</v>
      </c>
      <c r="I764" s="3">
        <v>0.20902777777777778</v>
      </c>
      <c r="J764" t="s">
        <v>68</v>
      </c>
      <c r="K764">
        <v>83</v>
      </c>
      <c r="L764" s="3">
        <v>0.20902777777777778</v>
      </c>
      <c r="M764" t="s">
        <v>26</v>
      </c>
      <c r="N764" t="s">
        <v>257</v>
      </c>
      <c r="O764">
        <f>IF(Table13[[#This Row],[Goal_assist]]="",1,0)</f>
        <v>0</v>
      </c>
    </row>
    <row r="765" spans="1:15" x14ac:dyDescent="0.35">
      <c r="A765" t="s">
        <v>14</v>
      </c>
      <c r="B765" t="s">
        <v>267</v>
      </c>
      <c r="C765" t="s">
        <v>65</v>
      </c>
      <c r="D765">
        <v>12</v>
      </c>
      <c r="E765" s="2">
        <v>41965</v>
      </c>
      <c r="F765" t="s">
        <v>24</v>
      </c>
      <c r="G765" t="s">
        <v>112</v>
      </c>
      <c r="H765" t="s">
        <v>270</v>
      </c>
      <c r="I765" s="3">
        <v>2.7777777777777779E-3</v>
      </c>
      <c r="J765" t="s">
        <v>68</v>
      </c>
      <c r="K765">
        <v>83</v>
      </c>
      <c r="L765" s="3">
        <v>2.7777777777777779E-3</v>
      </c>
      <c r="M765" t="s">
        <v>83</v>
      </c>
      <c r="O765">
        <f>IF(Table13[[#This Row],[Goal_assist]]="",1,0)</f>
        <v>1</v>
      </c>
    </row>
    <row r="766" spans="1:15" x14ac:dyDescent="0.35">
      <c r="A766" t="s">
        <v>64</v>
      </c>
      <c r="B766" t="s">
        <v>267</v>
      </c>
      <c r="C766" t="s">
        <v>65</v>
      </c>
      <c r="D766">
        <v>12</v>
      </c>
      <c r="E766" s="2">
        <v>41965</v>
      </c>
      <c r="F766" t="s">
        <v>16</v>
      </c>
      <c r="G766" t="s">
        <v>66</v>
      </c>
      <c r="H766" t="s">
        <v>105</v>
      </c>
      <c r="I766" s="3">
        <v>0.20902777777777778</v>
      </c>
      <c r="J766" t="s">
        <v>38</v>
      </c>
      <c r="K766">
        <v>78</v>
      </c>
      <c r="L766" s="3">
        <v>0.20902777777777778</v>
      </c>
      <c r="M766" t="s">
        <v>31</v>
      </c>
      <c r="N766" t="s">
        <v>256</v>
      </c>
      <c r="O766">
        <f>IF(Table13[[#This Row],[Goal_assist]]="",1,0)</f>
        <v>0</v>
      </c>
    </row>
    <row r="767" spans="1:15" x14ac:dyDescent="0.35">
      <c r="A767" t="s">
        <v>64</v>
      </c>
      <c r="B767" t="s">
        <v>267</v>
      </c>
      <c r="C767" t="s">
        <v>65</v>
      </c>
      <c r="D767">
        <v>12</v>
      </c>
      <c r="E767" s="2">
        <v>41965</v>
      </c>
      <c r="F767" t="s">
        <v>16</v>
      </c>
      <c r="G767" t="s">
        <v>66</v>
      </c>
      <c r="H767" t="s">
        <v>105</v>
      </c>
      <c r="I767" s="3">
        <v>0.20902777777777778</v>
      </c>
      <c r="J767" t="s">
        <v>38</v>
      </c>
      <c r="K767">
        <v>73</v>
      </c>
      <c r="L767" s="3">
        <v>0.1673611111111111</v>
      </c>
      <c r="M767" t="s">
        <v>55</v>
      </c>
      <c r="N767" t="s">
        <v>256</v>
      </c>
      <c r="O767">
        <f>IF(Table13[[#This Row],[Goal_assist]]="",1,0)</f>
        <v>0</v>
      </c>
    </row>
    <row r="768" spans="1:15" x14ac:dyDescent="0.35">
      <c r="A768" t="s">
        <v>64</v>
      </c>
      <c r="B768" t="s">
        <v>267</v>
      </c>
      <c r="C768" t="s">
        <v>65</v>
      </c>
      <c r="D768">
        <v>12</v>
      </c>
      <c r="E768" s="2">
        <v>41965</v>
      </c>
      <c r="F768" t="s">
        <v>16</v>
      </c>
      <c r="G768" t="s">
        <v>66</v>
      </c>
      <c r="H768" t="s">
        <v>105</v>
      </c>
      <c r="I768" s="3">
        <v>0.20902777777777778</v>
      </c>
      <c r="J768" t="s">
        <v>38</v>
      </c>
      <c r="K768">
        <v>21</v>
      </c>
      <c r="L768" s="3">
        <v>4.1666666666666664E-2</v>
      </c>
      <c r="M768" t="s">
        <v>39</v>
      </c>
      <c r="O768">
        <f>IF(Table13[[#This Row],[Goal_assist]]="",1,0)</f>
        <v>1</v>
      </c>
    </row>
    <row r="769" spans="1:15" x14ac:dyDescent="0.35">
      <c r="A769" t="s">
        <v>14</v>
      </c>
      <c r="B769" t="s">
        <v>267</v>
      </c>
      <c r="C769" t="s">
        <v>65</v>
      </c>
      <c r="D769">
        <v>12</v>
      </c>
      <c r="E769" s="2">
        <v>41965</v>
      </c>
      <c r="F769" t="s">
        <v>24</v>
      </c>
      <c r="G769" t="s">
        <v>112</v>
      </c>
      <c r="H769" t="s">
        <v>270</v>
      </c>
      <c r="I769" s="3">
        <v>2.7777777777777779E-3</v>
      </c>
      <c r="J769" t="s">
        <v>68</v>
      </c>
      <c r="K769">
        <v>43</v>
      </c>
      <c r="L769" s="3">
        <v>1.3888888888888889E-3</v>
      </c>
      <c r="M769" t="s">
        <v>26</v>
      </c>
      <c r="N769" t="s">
        <v>262</v>
      </c>
      <c r="O769">
        <f>IF(Table13[[#This Row],[Goal_assist]]="",1,0)</f>
        <v>0</v>
      </c>
    </row>
    <row r="770" spans="1:15" x14ac:dyDescent="0.35">
      <c r="A770" t="s">
        <v>64</v>
      </c>
      <c r="B770" t="s">
        <v>267</v>
      </c>
      <c r="C770" t="s">
        <v>75</v>
      </c>
      <c r="D770" t="s">
        <v>76</v>
      </c>
      <c r="E770" s="2">
        <v>41968</v>
      </c>
      <c r="F770" t="s">
        <v>24</v>
      </c>
      <c r="G770" t="s">
        <v>66</v>
      </c>
      <c r="H770" t="s">
        <v>241</v>
      </c>
      <c r="I770" s="3">
        <v>2.7777777777777779E-3</v>
      </c>
      <c r="J770" t="s">
        <v>251</v>
      </c>
      <c r="K770">
        <v>87</v>
      </c>
      <c r="L770" s="3">
        <v>2.7777777777777779E-3</v>
      </c>
      <c r="M770" t="s">
        <v>26</v>
      </c>
      <c r="N770" t="s">
        <v>186</v>
      </c>
      <c r="O770">
        <f>IF(Table13[[#This Row],[Goal_assist]]="",1,0)</f>
        <v>0</v>
      </c>
    </row>
    <row r="771" spans="1:15" x14ac:dyDescent="0.35">
      <c r="A771" t="s">
        <v>64</v>
      </c>
      <c r="B771" t="s">
        <v>267</v>
      </c>
      <c r="C771" t="s">
        <v>75</v>
      </c>
      <c r="D771" t="s">
        <v>76</v>
      </c>
      <c r="E771" s="2">
        <v>41968</v>
      </c>
      <c r="F771" t="s">
        <v>24</v>
      </c>
      <c r="G771" t="s">
        <v>66</v>
      </c>
      <c r="H771" t="s">
        <v>241</v>
      </c>
      <c r="I771" s="3">
        <v>2.7777777777777779E-3</v>
      </c>
      <c r="J771" t="s">
        <v>251</v>
      </c>
      <c r="K771">
        <v>58</v>
      </c>
      <c r="L771" s="3">
        <v>2.0833333333333333E-3</v>
      </c>
      <c r="M771" t="s">
        <v>26</v>
      </c>
      <c r="N771" t="s">
        <v>155</v>
      </c>
      <c r="O771">
        <f>IF(Table13[[#This Row],[Goal_assist]]="",1,0)</f>
        <v>0</v>
      </c>
    </row>
    <row r="772" spans="1:15" x14ac:dyDescent="0.35">
      <c r="A772" t="s">
        <v>64</v>
      </c>
      <c r="B772" t="s">
        <v>267</v>
      </c>
      <c r="C772" t="s">
        <v>75</v>
      </c>
      <c r="D772" t="s">
        <v>76</v>
      </c>
      <c r="E772" s="2">
        <v>41968</v>
      </c>
      <c r="F772" t="s">
        <v>24</v>
      </c>
      <c r="G772" t="s">
        <v>66</v>
      </c>
      <c r="H772" t="s">
        <v>241</v>
      </c>
      <c r="I772" s="3">
        <v>2.7777777777777779E-3</v>
      </c>
      <c r="J772" t="s">
        <v>251</v>
      </c>
      <c r="K772">
        <v>38</v>
      </c>
      <c r="L772" s="3">
        <v>1.3888888888888889E-3</v>
      </c>
      <c r="M772" t="s">
        <v>26</v>
      </c>
      <c r="N772" t="s">
        <v>272</v>
      </c>
      <c r="O772">
        <f>IF(Table13[[#This Row],[Goal_assist]]="",1,0)</f>
        <v>0</v>
      </c>
    </row>
    <row r="773" spans="1:15" x14ac:dyDescent="0.35">
      <c r="A773" t="s">
        <v>14</v>
      </c>
      <c r="B773" t="s">
        <v>267</v>
      </c>
      <c r="C773" t="s">
        <v>75</v>
      </c>
      <c r="D773" t="s">
        <v>76</v>
      </c>
      <c r="E773" s="2">
        <v>41969</v>
      </c>
      <c r="F773" t="s">
        <v>24</v>
      </c>
      <c r="G773" t="s">
        <v>112</v>
      </c>
      <c r="H773" t="s">
        <v>154</v>
      </c>
      <c r="I773" s="3">
        <v>6.9444444444444447E-4</v>
      </c>
      <c r="J773" t="s">
        <v>19</v>
      </c>
      <c r="K773">
        <v>35</v>
      </c>
      <c r="L773" s="3">
        <v>6.9444444444444447E-4</v>
      </c>
      <c r="M773" t="s">
        <v>31</v>
      </c>
      <c r="N773" t="s">
        <v>183</v>
      </c>
      <c r="O773">
        <f>IF(Table13[[#This Row],[Goal_assist]]="",1,0)</f>
        <v>0</v>
      </c>
    </row>
    <row r="774" spans="1:15" x14ac:dyDescent="0.35">
      <c r="A774" t="s">
        <v>14</v>
      </c>
      <c r="B774" t="s">
        <v>267</v>
      </c>
      <c r="C774" t="s">
        <v>65</v>
      </c>
      <c r="D774">
        <v>14</v>
      </c>
      <c r="E774" s="2">
        <v>41979</v>
      </c>
      <c r="F774" t="s">
        <v>16</v>
      </c>
      <c r="G774" t="s">
        <v>112</v>
      </c>
      <c r="H774" t="s">
        <v>98</v>
      </c>
      <c r="I774" s="3">
        <v>0.125</v>
      </c>
      <c r="J774" t="s">
        <v>68</v>
      </c>
      <c r="K774">
        <v>65</v>
      </c>
      <c r="L774" s="3">
        <v>8.3333333333333329E-2</v>
      </c>
      <c r="M774" t="s">
        <v>26</v>
      </c>
      <c r="O774">
        <f>IF(Table13[[#This Row],[Goal_assist]]="",1,0)</f>
        <v>1</v>
      </c>
    </row>
    <row r="775" spans="1:15" x14ac:dyDescent="0.35">
      <c r="A775" t="s">
        <v>14</v>
      </c>
      <c r="B775" t="s">
        <v>267</v>
      </c>
      <c r="C775" t="s">
        <v>65</v>
      </c>
      <c r="D775">
        <v>14</v>
      </c>
      <c r="E775" s="2">
        <v>41979</v>
      </c>
      <c r="F775" t="s">
        <v>16</v>
      </c>
      <c r="G775" t="s">
        <v>112</v>
      </c>
      <c r="H775" t="s">
        <v>98</v>
      </c>
      <c r="I775" s="3">
        <v>0.125</v>
      </c>
      <c r="J775" t="s">
        <v>68</v>
      </c>
      <c r="K775">
        <v>81</v>
      </c>
      <c r="L775" s="3">
        <v>0.125</v>
      </c>
      <c r="M775" t="s">
        <v>31</v>
      </c>
      <c r="N775" t="s">
        <v>201</v>
      </c>
      <c r="O775">
        <f>IF(Table13[[#This Row],[Goal_assist]]="",1,0)</f>
        <v>0</v>
      </c>
    </row>
    <row r="776" spans="1:15" x14ac:dyDescent="0.35">
      <c r="A776" t="s">
        <v>14</v>
      </c>
      <c r="B776" t="s">
        <v>267</v>
      </c>
      <c r="C776" t="s">
        <v>65</v>
      </c>
      <c r="D776">
        <v>14</v>
      </c>
      <c r="E776" s="2">
        <v>41979</v>
      </c>
      <c r="F776" t="s">
        <v>16</v>
      </c>
      <c r="G776" t="s">
        <v>112</v>
      </c>
      <c r="H776" t="s">
        <v>98</v>
      </c>
      <c r="I776" s="3">
        <v>0.125</v>
      </c>
      <c r="J776" t="s">
        <v>68</v>
      </c>
      <c r="K776">
        <v>36</v>
      </c>
      <c r="L776" s="3">
        <v>4.1666666666666664E-2</v>
      </c>
      <c r="M776" t="s">
        <v>83</v>
      </c>
      <c r="O776">
        <f>IF(Table13[[#This Row],[Goal_assist]]="",1,0)</f>
        <v>1</v>
      </c>
    </row>
    <row r="777" spans="1:15" x14ac:dyDescent="0.35">
      <c r="A777" t="s">
        <v>64</v>
      </c>
      <c r="B777" t="s">
        <v>267</v>
      </c>
      <c r="C777" t="s">
        <v>65</v>
      </c>
      <c r="D777">
        <v>14</v>
      </c>
      <c r="E777" s="2">
        <v>41980</v>
      </c>
      <c r="F777" t="s">
        <v>16</v>
      </c>
      <c r="G777" t="s">
        <v>66</v>
      </c>
      <c r="H777" t="s">
        <v>121</v>
      </c>
      <c r="I777" s="3">
        <v>0.20902777777777778</v>
      </c>
      <c r="J777" t="s">
        <v>38</v>
      </c>
      <c r="K777" t="s">
        <v>58</v>
      </c>
      <c r="L777" s="3">
        <v>4.2361111111111113E-2</v>
      </c>
      <c r="M777" t="s">
        <v>31</v>
      </c>
      <c r="N777" t="s">
        <v>106</v>
      </c>
      <c r="O777">
        <f>IF(Table13[[#This Row],[Goal_assist]]="",1,0)</f>
        <v>0</v>
      </c>
    </row>
    <row r="778" spans="1:15" x14ac:dyDescent="0.35">
      <c r="A778" t="s">
        <v>64</v>
      </c>
      <c r="B778" t="s">
        <v>267</v>
      </c>
      <c r="C778" t="s">
        <v>65</v>
      </c>
      <c r="D778">
        <v>14</v>
      </c>
      <c r="E778" s="2">
        <v>41980</v>
      </c>
      <c r="F778" t="s">
        <v>16</v>
      </c>
      <c r="G778" t="s">
        <v>66</v>
      </c>
      <c r="H778" t="s">
        <v>121</v>
      </c>
      <c r="I778" s="3">
        <v>0.20902777777777778</v>
      </c>
      <c r="J778" t="s">
        <v>38</v>
      </c>
      <c r="K778">
        <v>50</v>
      </c>
      <c r="L778" s="3">
        <v>8.4027777777777785E-2</v>
      </c>
      <c r="M778" t="s">
        <v>26</v>
      </c>
      <c r="N778" t="s">
        <v>273</v>
      </c>
      <c r="O778">
        <f>IF(Table13[[#This Row],[Goal_assist]]="",1,0)</f>
        <v>0</v>
      </c>
    </row>
    <row r="779" spans="1:15" x14ac:dyDescent="0.35">
      <c r="A779" t="s">
        <v>64</v>
      </c>
      <c r="B779" t="s">
        <v>267</v>
      </c>
      <c r="C779" t="s">
        <v>65</v>
      </c>
      <c r="D779">
        <v>14</v>
      </c>
      <c r="E779" s="2">
        <v>41980</v>
      </c>
      <c r="F779" t="s">
        <v>16</v>
      </c>
      <c r="G779" t="s">
        <v>66</v>
      </c>
      <c r="H779" t="s">
        <v>121</v>
      </c>
      <c r="I779" s="3">
        <v>0.20902777777777778</v>
      </c>
      <c r="J779" t="s">
        <v>38</v>
      </c>
      <c r="K779">
        <v>81</v>
      </c>
      <c r="L779" s="3">
        <v>0.20902777777777778</v>
      </c>
      <c r="M779" t="s">
        <v>26</v>
      </c>
      <c r="N779" t="s">
        <v>186</v>
      </c>
      <c r="O779">
        <f>IF(Table13[[#This Row],[Goal_assist]]="",1,0)</f>
        <v>0</v>
      </c>
    </row>
    <row r="780" spans="1:15" x14ac:dyDescent="0.35">
      <c r="A780" t="s">
        <v>14</v>
      </c>
      <c r="B780" t="s">
        <v>267</v>
      </c>
      <c r="C780" t="s">
        <v>75</v>
      </c>
      <c r="D780" t="s">
        <v>76</v>
      </c>
      <c r="E780" s="2">
        <v>41982</v>
      </c>
      <c r="F780" t="s">
        <v>16</v>
      </c>
      <c r="G780" t="s">
        <v>112</v>
      </c>
      <c r="H780" t="s">
        <v>269</v>
      </c>
      <c r="I780" s="3">
        <v>0.16666666666666666</v>
      </c>
      <c r="J780" t="s">
        <v>251</v>
      </c>
      <c r="K780">
        <v>20</v>
      </c>
      <c r="L780" s="3">
        <v>4.1666666666666664E-2</v>
      </c>
      <c r="M780" t="s">
        <v>83</v>
      </c>
      <c r="O780">
        <f>IF(Table13[[#This Row],[Goal_assist]]="",1,0)</f>
        <v>1</v>
      </c>
    </row>
    <row r="781" spans="1:15" x14ac:dyDescent="0.35">
      <c r="A781" t="s">
        <v>64</v>
      </c>
      <c r="B781" t="s">
        <v>267</v>
      </c>
      <c r="C781" t="s">
        <v>75</v>
      </c>
      <c r="D781" t="s">
        <v>76</v>
      </c>
      <c r="E781" s="2">
        <v>41983</v>
      </c>
      <c r="F781" t="s">
        <v>16</v>
      </c>
      <c r="G781" t="s">
        <v>66</v>
      </c>
      <c r="H781" t="s">
        <v>252</v>
      </c>
      <c r="I781" s="3">
        <v>0.12569444444444444</v>
      </c>
      <c r="J781" t="s">
        <v>274</v>
      </c>
      <c r="K781">
        <v>19</v>
      </c>
      <c r="L781" s="3">
        <v>4.2361111111111113E-2</v>
      </c>
      <c r="M781" t="s">
        <v>26</v>
      </c>
      <c r="N781" t="s">
        <v>273</v>
      </c>
      <c r="O781">
        <f>IF(Table13[[#This Row],[Goal_assist]]="",1,0)</f>
        <v>0</v>
      </c>
    </row>
    <row r="782" spans="1:15" x14ac:dyDescent="0.35">
      <c r="A782" t="s">
        <v>14</v>
      </c>
      <c r="B782" t="s">
        <v>267</v>
      </c>
      <c r="C782" t="s">
        <v>65</v>
      </c>
      <c r="D782">
        <v>15</v>
      </c>
      <c r="E782" s="2">
        <v>41985</v>
      </c>
      <c r="F782" t="s">
        <v>24</v>
      </c>
      <c r="G782" t="s">
        <v>112</v>
      </c>
      <c r="H782" t="s">
        <v>187</v>
      </c>
      <c r="I782" s="3">
        <v>4.4444444444444446E-2</v>
      </c>
      <c r="J782" t="s">
        <v>68</v>
      </c>
      <c r="K782">
        <v>81</v>
      </c>
      <c r="L782" s="3">
        <v>4.3749999999999997E-2</v>
      </c>
      <c r="M782" t="s">
        <v>26</v>
      </c>
      <c r="N782" t="s">
        <v>183</v>
      </c>
      <c r="O782">
        <f>IF(Table13[[#This Row],[Goal_assist]]="",1,0)</f>
        <v>0</v>
      </c>
    </row>
    <row r="783" spans="1:15" x14ac:dyDescent="0.35">
      <c r="A783" t="s">
        <v>14</v>
      </c>
      <c r="B783" t="s">
        <v>267</v>
      </c>
      <c r="C783" t="s">
        <v>65</v>
      </c>
      <c r="D783">
        <v>15</v>
      </c>
      <c r="E783" s="2">
        <v>41985</v>
      </c>
      <c r="F783" t="s">
        <v>24</v>
      </c>
      <c r="G783" t="s">
        <v>112</v>
      </c>
      <c r="H783" t="s">
        <v>187</v>
      </c>
      <c r="I783" s="3">
        <v>4.4444444444444446E-2</v>
      </c>
      <c r="J783" t="s">
        <v>68</v>
      </c>
      <c r="K783">
        <v>89</v>
      </c>
      <c r="L783" s="3">
        <v>4.4444444444444446E-2</v>
      </c>
      <c r="M783" t="s">
        <v>26</v>
      </c>
      <c r="N783" t="s">
        <v>262</v>
      </c>
      <c r="O783">
        <f>IF(Table13[[#This Row],[Goal_assist]]="",1,0)</f>
        <v>0</v>
      </c>
    </row>
    <row r="784" spans="1:15" x14ac:dyDescent="0.35">
      <c r="A784" t="s">
        <v>64</v>
      </c>
      <c r="B784" t="s">
        <v>267</v>
      </c>
      <c r="C784" t="s">
        <v>65</v>
      </c>
      <c r="D784">
        <v>16</v>
      </c>
      <c r="E784" s="2">
        <v>41993</v>
      </c>
      <c r="F784" t="s">
        <v>16</v>
      </c>
      <c r="G784" t="s">
        <v>66</v>
      </c>
      <c r="H784" t="s">
        <v>248</v>
      </c>
      <c r="I784" s="3">
        <v>0.20833333333333334</v>
      </c>
      <c r="J784" t="s">
        <v>38</v>
      </c>
      <c r="K784">
        <v>82</v>
      </c>
      <c r="L784" s="3">
        <v>0.16666666666666666</v>
      </c>
      <c r="M784" t="s">
        <v>26</v>
      </c>
      <c r="O784">
        <f>IF(Table13[[#This Row],[Goal_assist]]="",1,0)</f>
        <v>1</v>
      </c>
    </row>
    <row r="785" spans="1:15" x14ac:dyDescent="0.35">
      <c r="A785" t="s">
        <v>64</v>
      </c>
      <c r="B785" t="s">
        <v>267</v>
      </c>
      <c r="C785" t="s">
        <v>65</v>
      </c>
      <c r="D785">
        <v>16</v>
      </c>
      <c r="E785" s="2">
        <v>41993</v>
      </c>
      <c r="F785" t="s">
        <v>16</v>
      </c>
      <c r="G785" t="s">
        <v>66</v>
      </c>
      <c r="H785" t="s">
        <v>248</v>
      </c>
      <c r="I785" s="3">
        <v>0.20833333333333334</v>
      </c>
      <c r="J785" t="s">
        <v>38</v>
      </c>
      <c r="K785">
        <v>90</v>
      </c>
      <c r="L785" s="3">
        <v>0.20833333333333334</v>
      </c>
      <c r="M785" t="s">
        <v>26</v>
      </c>
      <c r="O785">
        <f>IF(Table13[[#This Row],[Goal_assist]]="",1,0)</f>
        <v>1</v>
      </c>
    </row>
    <row r="786" spans="1:15" x14ac:dyDescent="0.35">
      <c r="A786" t="s">
        <v>14</v>
      </c>
      <c r="B786" t="s">
        <v>267</v>
      </c>
      <c r="C786" t="s">
        <v>65</v>
      </c>
      <c r="D786">
        <v>17</v>
      </c>
      <c r="E786" s="2">
        <v>42008</v>
      </c>
      <c r="F786" t="s">
        <v>24</v>
      </c>
      <c r="G786" t="s">
        <v>112</v>
      </c>
      <c r="H786" t="s">
        <v>148</v>
      </c>
      <c r="I786" s="3">
        <v>8.4027777777777785E-2</v>
      </c>
      <c r="J786" t="s">
        <v>19</v>
      </c>
      <c r="K786">
        <v>14</v>
      </c>
      <c r="L786" s="3">
        <v>6.9444444444444447E-4</v>
      </c>
      <c r="M786" t="s">
        <v>83</v>
      </c>
      <c r="O786">
        <f>IF(Table13[[#This Row],[Goal_assist]]="",1,0)</f>
        <v>1</v>
      </c>
    </row>
    <row r="787" spans="1:15" x14ac:dyDescent="0.35">
      <c r="A787" t="s">
        <v>64</v>
      </c>
      <c r="B787" t="s">
        <v>267</v>
      </c>
      <c r="C787" t="s">
        <v>91</v>
      </c>
      <c r="D787" t="s">
        <v>143</v>
      </c>
      <c r="E787" s="2">
        <v>42012</v>
      </c>
      <c r="F787" t="s">
        <v>16</v>
      </c>
      <c r="G787" t="s">
        <v>66</v>
      </c>
      <c r="H787" t="s">
        <v>258</v>
      </c>
      <c r="I787" s="3">
        <v>0.20833333333333334</v>
      </c>
      <c r="J787" t="s">
        <v>275</v>
      </c>
      <c r="K787">
        <v>45</v>
      </c>
      <c r="L787" s="3">
        <v>0.125</v>
      </c>
      <c r="M787" t="s">
        <v>83</v>
      </c>
      <c r="O787">
        <f>IF(Table13[[#This Row],[Goal_assist]]="",1,0)</f>
        <v>1</v>
      </c>
    </row>
    <row r="788" spans="1:15" x14ac:dyDescent="0.35">
      <c r="A788" t="s">
        <v>64</v>
      </c>
      <c r="B788" t="s">
        <v>267</v>
      </c>
      <c r="C788" t="s">
        <v>65</v>
      </c>
      <c r="D788">
        <v>18</v>
      </c>
      <c r="E788" s="2">
        <v>42015</v>
      </c>
      <c r="F788" t="s">
        <v>16</v>
      </c>
      <c r="G788" t="s">
        <v>66</v>
      </c>
      <c r="H788" t="s">
        <v>119</v>
      </c>
      <c r="I788" s="3">
        <v>0.12569444444444444</v>
      </c>
      <c r="J788" t="s">
        <v>38</v>
      </c>
      <c r="K788">
        <v>87</v>
      </c>
      <c r="L788" s="3">
        <v>0.12569444444444444</v>
      </c>
      <c r="M788" t="s">
        <v>31</v>
      </c>
      <c r="O788">
        <f>IF(Table13[[#This Row],[Goal_assist]]="",1,0)</f>
        <v>1</v>
      </c>
    </row>
    <row r="789" spans="1:15" x14ac:dyDescent="0.35">
      <c r="A789" t="s">
        <v>14</v>
      </c>
      <c r="B789" t="s">
        <v>267</v>
      </c>
      <c r="C789" t="s">
        <v>91</v>
      </c>
      <c r="D789" t="s">
        <v>143</v>
      </c>
      <c r="E789" s="2">
        <v>42019</v>
      </c>
      <c r="F789" t="s">
        <v>16</v>
      </c>
      <c r="G789" t="s">
        <v>112</v>
      </c>
      <c r="H789" t="s">
        <v>119</v>
      </c>
      <c r="I789" s="3">
        <v>8.4722222222222227E-2</v>
      </c>
      <c r="J789" t="s">
        <v>68</v>
      </c>
      <c r="K789">
        <v>54</v>
      </c>
      <c r="L789" s="3">
        <v>8.4722222222222227E-2</v>
      </c>
      <c r="M789" t="s">
        <v>22</v>
      </c>
      <c r="N789" t="s">
        <v>261</v>
      </c>
      <c r="O789">
        <f>IF(Table13[[#This Row],[Goal_assist]]="",1,0)</f>
        <v>0</v>
      </c>
    </row>
    <row r="790" spans="1:15" x14ac:dyDescent="0.35">
      <c r="A790" t="s">
        <v>14</v>
      </c>
      <c r="B790" t="s">
        <v>267</v>
      </c>
      <c r="C790" t="s">
        <v>65</v>
      </c>
      <c r="D790">
        <v>19</v>
      </c>
      <c r="E790" s="2">
        <v>42022</v>
      </c>
      <c r="F790" t="s">
        <v>24</v>
      </c>
      <c r="G790" t="s">
        <v>112</v>
      </c>
      <c r="H790" t="s">
        <v>117</v>
      </c>
      <c r="I790" s="3">
        <v>2.0833333333333333E-3</v>
      </c>
      <c r="J790" t="s">
        <v>19</v>
      </c>
      <c r="K790">
        <v>63</v>
      </c>
      <c r="L790" s="3">
        <v>6.9444444444444447E-4</v>
      </c>
      <c r="M790" t="s">
        <v>31</v>
      </c>
      <c r="N790" t="s">
        <v>183</v>
      </c>
      <c r="O790">
        <f>IF(Table13[[#This Row],[Goal_assist]]="",1,0)</f>
        <v>0</v>
      </c>
    </row>
    <row r="791" spans="1:15" x14ac:dyDescent="0.35">
      <c r="A791" t="s">
        <v>14</v>
      </c>
      <c r="B791" t="s">
        <v>267</v>
      </c>
      <c r="C791" t="s">
        <v>65</v>
      </c>
      <c r="D791">
        <v>19</v>
      </c>
      <c r="E791" s="2">
        <v>42022</v>
      </c>
      <c r="F791" t="s">
        <v>24</v>
      </c>
      <c r="G791" t="s">
        <v>112</v>
      </c>
      <c r="H791" t="s">
        <v>117</v>
      </c>
      <c r="I791" s="3">
        <v>2.0833333333333333E-3</v>
      </c>
      <c r="J791" t="s">
        <v>19</v>
      </c>
      <c r="K791">
        <v>79</v>
      </c>
      <c r="L791" s="3">
        <v>2.0833333333333333E-3</v>
      </c>
      <c r="M791" t="s">
        <v>22</v>
      </c>
      <c r="N791" t="s">
        <v>268</v>
      </c>
      <c r="O791">
        <f>IF(Table13[[#This Row],[Goal_assist]]="",1,0)</f>
        <v>0</v>
      </c>
    </row>
    <row r="792" spans="1:15" x14ac:dyDescent="0.35">
      <c r="A792" t="s">
        <v>64</v>
      </c>
      <c r="B792" t="s">
        <v>267</v>
      </c>
      <c r="C792" t="s">
        <v>65</v>
      </c>
      <c r="D792">
        <v>19</v>
      </c>
      <c r="E792" s="2">
        <v>42022</v>
      </c>
      <c r="F792" t="s">
        <v>24</v>
      </c>
      <c r="G792" t="s">
        <v>66</v>
      </c>
      <c r="H792" t="s">
        <v>115</v>
      </c>
      <c r="I792" s="3">
        <v>2.7777777777777779E-3</v>
      </c>
      <c r="J792" t="s">
        <v>38</v>
      </c>
      <c r="K792">
        <v>11</v>
      </c>
      <c r="L792" s="3">
        <v>6.9444444444444447E-4</v>
      </c>
      <c r="M792" t="s">
        <v>22</v>
      </c>
      <c r="N792" t="s">
        <v>276</v>
      </c>
      <c r="O792">
        <f>IF(Table13[[#This Row],[Goal_assist]]="",1,0)</f>
        <v>0</v>
      </c>
    </row>
    <row r="793" spans="1:15" x14ac:dyDescent="0.35">
      <c r="A793" t="s">
        <v>64</v>
      </c>
      <c r="B793" t="s">
        <v>267</v>
      </c>
      <c r="C793" t="s">
        <v>65</v>
      </c>
      <c r="D793">
        <v>19</v>
      </c>
      <c r="E793" s="2">
        <v>42022</v>
      </c>
      <c r="F793" t="s">
        <v>24</v>
      </c>
      <c r="G793" t="s">
        <v>66</v>
      </c>
      <c r="H793" t="s">
        <v>115</v>
      </c>
      <c r="I793" s="3">
        <v>2.7777777777777779E-3</v>
      </c>
      <c r="J793" t="s">
        <v>38</v>
      </c>
      <c r="K793">
        <v>33</v>
      </c>
      <c r="L793" s="3">
        <v>1.3888888888888889E-3</v>
      </c>
      <c r="M793" t="s">
        <v>31</v>
      </c>
      <c r="N793" t="s">
        <v>273</v>
      </c>
      <c r="O793">
        <f>IF(Table13[[#This Row],[Goal_assist]]="",1,0)</f>
        <v>0</v>
      </c>
    </row>
    <row r="794" spans="1:15" x14ac:dyDescent="0.35">
      <c r="A794" t="s">
        <v>64</v>
      </c>
      <c r="B794" t="s">
        <v>267</v>
      </c>
      <c r="C794" t="s">
        <v>65</v>
      </c>
      <c r="D794">
        <v>19</v>
      </c>
      <c r="E794" s="2">
        <v>42022</v>
      </c>
      <c r="F794" t="s">
        <v>24</v>
      </c>
      <c r="G794" t="s">
        <v>66</v>
      </c>
      <c r="H794" t="s">
        <v>115</v>
      </c>
      <c r="I794" s="3">
        <v>2.7777777777777779E-3</v>
      </c>
      <c r="J794" t="s">
        <v>38</v>
      </c>
      <c r="K794">
        <v>62</v>
      </c>
      <c r="L794" s="3">
        <v>2.0833333333333333E-3</v>
      </c>
      <c r="M794" t="s">
        <v>31</v>
      </c>
      <c r="N794" t="s">
        <v>276</v>
      </c>
      <c r="O794">
        <f>IF(Table13[[#This Row],[Goal_assist]]="",1,0)</f>
        <v>0</v>
      </c>
    </row>
    <row r="795" spans="1:15" x14ac:dyDescent="0.35">
      <c r="A795" t="s">
        <v>64</v>
      </c>
      <c r="B795" t="s">
        <v>267</v>
      </c>
      <c r="C795" t="s">
        <v>91</v>
      </c>
      <c r="D795" t="s">
        <v>92</v>
      </c>
      <c r="E795" s="2">
        <v>42025</v>
      </c>
      <c r="F795" t="s">
        <v>16</v>
      </c>
      <c r="G795" t="s">
        <v>66</v>
      </c>
      <c r="H795" t="s">
        <v>119</v>
      </c>
      <c r="I795" s="3">
        <v>4.1666666666666664E-2</v>
      </c>
      <c r="J795" t="s">
        <v>275</v>
      </c>
      <c r="K795">
        <v>85</v>
      </c>
      <c r="L795" s="3">
        <v>4.1666666666666664E-2</v>
      </c>
      <c r="M795" t="s">
        <v>107</v>
      </c>
      <c r="O795">
        <f>IF(Table13[[#This Row],[Goal_assist]]="",1,0)</f>
        <v>1</v>
      </c>
    </row>
    <row r="796" spans="1:15" x14ac:dyDescent="0.35">
      <c r="A796" t="s">
        <v>64</v>
      </c>
      <c r="B796" t="s">
        <v>267</v>
      </c>
      <c r="C796" t="s">
        <v>65</v>
      </c>
      <c r="D796">
        <v>20</v>
      </c>
      <c r="E796" s="2">
        <v>42028</v>
      </c>
      <c r="F796" t="s">
        <v>24</v>
      </c>
      <c r="G796" t="s">
        <v>66</v>
      </c>
      <c r="H796" t="s">
        <v>258</v>
      </c>
      <c r="I796" s="3">
        <v>4.1666666666666666E-3</v>
      </c>
      <c r="J796" t="s">
        <v>68</v>
      </c>
      <c r="K796">
        <v>88</v>
      </c>
      <c r="L796" s="3">
        <v>3.472222222222222E-3</v>
      </c>
      <c r="M796" t="s">
        <v>31</v>
      </c>
      <c r="N796" t="s">
        <v>271</v>
      </c>
      <c r="O796">
        <f>IF(Table13[[#This Row],[Goal_assist]]="",1,0)</f>
        <v>0</v>
      </c>
    </row>
    <row r="797" spans="1:15" x14ac:dyDescent="0.35">
      <c r="A797" t="s">
        <v>64</v>
      </c>
      <c r="B797" t="s">
        <v>267</v>
      </c>
      <c r="C797" t="s">
        <v>65</v>
      </c>
      <c r="D797">
        <v>20</v>
      </c>
      <c r="E797" s="2">
        <v>42028</v>
      </c>
      <c r="F797" t="s">
        <v>24</v>
      </c>
      <c r="G797" t="s">
        <v>66</v>
      </c>
      <c r="H797" t="s">
        <v>258</v>
      </c>
      <c r="I797" s="3">
        <v>4.1666666666666666E-3</v>
      </c>
      <c r="J797" t="s">
        <v>68</v>
      </c>
      <c r="K797">
        <v>55</v>
      </c>
      <c r="L797" s="3">
        <v>1.3888888888888889E-3</v>
      </c>
      <c r="M797" t="s">
        <v>83</v>
      </c>
      <c r="O797">
        <f>IF(Table13[[#This Row],[Goal_assist]]="",1,0)</f>
        <v>1</v>
      </c>
    </row>
    <row r="798" spans="1:15" x14ac:dyDescent="0.35">
      <c r="A798" t="s">
        <v>64</v>
      </c>
      <c r="B798" t="s">
        <v>267</v>
      </c>
      <c r="C798" t="s">
        <v>65</v>
      </c>
      <c r="D798">
        <v>21</v>
      </c>
      <c r="E798" s="2">
        <v>42036</v>
      </c>
      <c r="F798" t="s">
        <v>16</v>
      </c>
      <c r="G798" t="s">
        <v>66</v>
      </c>
      <c r="H798" t="s">
        <v>180</v>
      </c>
      <c r="I798" s="3">
        <v>0.12638888888888888</v>
      </c>
      <c r="J798" t="s">
        <v>38</v>
      </c>
      <c r="K798">
        <v>55</v>
      </c>
      <c r="L798" s="3">
        <v>0.12638888888888888</v>
      </c>
      <c r="M798" t="s">
        <v>26</v>
      </c>
      <c r="N798" t="s">
        <v>273</v>
      </c>
      <c r="O798">
        <f>IF(Table13[[#This Row],[Goal_assist]]="",1,0)</f>
        <v>0</v>
      </c>
    </row>
    <row r="799" spans="1:15" x14ac:dyDescent="0.35">
      <c r="A799" t="s">
        <v>64</v>
      </c>
      <c r="B799" t="s">
        <v>267</v>
      </c>
      <c r="C799" t="s">
        <v>65</v>
      </c>
      <c r="D799">
        <v>22</v>
      </c>
      <c r="E799" s="2">
        <v>42043</v>
      </c>
      <c r="F799" t="s">
        <v>24</v>
      </c>
      <c r="G799" t="s">
        <v>66</v>
      </c>
      <c r="H799" t="s">
        <v>86</v>
      </c>
      <c r="I799" s="3">
        <v>8.6805555555555552E-2</v>
      </c>
      <c r="J799" t="s">
        <v>38</v>
      </c>
      <c r="K799">
        <v>15</v>
      </c>
      <c r="L799" s="3">
        <v>6.9444444444444447E-4</v>
      </c>
      <c r="M799" t="s">
        <v>39</v>
      </c>
      <c r="O799">
        <f>IF(Table13[[#This Row],[Goal_assist]]="",1,0)</f>
        <v>1</v>
      </c>
    </row>
    <row r="800" spans="1:15" x14ac:dyDescent="0.35">
      <c r="A800" t="s">
        <v>64</v>
      </c>
      <c r="B800" t="s">
        <v>267</v>
      </c>
      <c r="C800" t="s">
        <v>91</v>
      </c>
      <c r="D800" t="s">
        <v>62</v>
      </c>
      <c r="E800" s="2">
        <v>42046</v>
      </c>
      <c r="F800" t="s">
        <v>16</v>
      </c>
      <c r="G800" t="s">
        <v>66</v>
      </c>
      <c r="H800" t="s">
        <v>180</v>
      </c>
      <c r="I800" s="3">
        <v>0.12569444444444444</v>
      </c>
      <c r="J800" t="s">
        <v>38</v>
      </c>
      <c r="K800">
        <v>41</v>
      </c>
      <c r="L800" s="3">
        <v>4.1666666666666664E-2</v>
      </c>
      <c r="M800" t="s">
        <v>31</v>
      </c>
      <c r="N800" t="s">
        <v>273</v>
      </c>
      <c r="O800">
        <f>IF(Table13[[#This Row],[Goal_assist]]="",1,0)</f>
        <v>0</v>
      </c>
    </row>
    <row r="801" spans="1:15" x14ac:dyDescent="0.35">
      <c r="A801" t="s">
        <v>64</v>
      </c>
      <c r="B801" t="s">
        <v>267</v>
      </c>
      <c r="C801" t="s">
        <v>65</v>
      </c>
      <c r="D801">
        <v>23</v>
      </c>
      <c r="E801" s="2">
        <v>42050</v>
      </c>
      <c r="F801" t="s">
        <v>16</v>
      </c>
      <c r="G801" t="s">
        <v>66</v>
      </c>
      <c r="H801" t="s">
        <v>127</v>
      </c>
      <c r="I801" s="3">
        <v>0.20833333333333334</v>
      </c>
      <c r="J801" t="s">
        <v>68</v>
      </c>
      <c r="K801">
        <v>38</v>
      </c>
      <c r="L801" s="3">
        <v>8.3333333333333329E-2</v>
      </c>
      <c r="M801" t="s">
        <v>26</v>
      </c>
      <c r="N801" t="s">
        <v>271</v>
      </c>
      <c r="O801">
        <f>IF(Table13[[#This Row],[Goal_assist]]="",1,0)</f>
        <v>0</v>
      </c>
    </row>
    <row r="802" spans="1:15" x14ac:dyDescent="0.35">
      <c r="A802" t="s">
        <v>64</v>
      </c>
      <c r="B802" t="s">
        <v>267</v>
      </c>
      <c r="C802" t="s">
        <v>65</v>
      </c>
      <c r="D802">
        <v>23</v>
      </c>
      <c r="E802" s="2">
        <v>42050</v>
      </c>
      <c r="F802" t="s">
        <v>16</v>
      </c>
      <c r="G802" t="s">
        <v>66</v>
      </c>
      <c r="H802" t="s">
        <v>127</v>
      </c>
      <c r="I802" s="3">
        <v>0.20833333333333334</v>
      </c>
      <c r="J802" t="s">
        <v>68</v>
      </c>
      <c r="K802">
        <v>59</v>
      </c>
      <c r="L802" s="3">
        <v>0.125</v>
      </c>
      <c r="M802" t="s">
        <v>26</v>
      </c>
      <c r="N802" t="s">
        <v>186</v>
      </c>
      <c r="O802">
        <f>IF(Table13[[#This Row],[Goal_assist]]="",1,0)</f>
        <v>0</v>
      </c>
    </row>
    <row r="803" spans="1:15" x14ac:dyDescent="0.35">
      <c r="A803" t="s">
        <v>64</v>
      </c>
      <c r="B803" t="s">
        <v>267</v>
      </c>
      <c r="C803" t="s">
        <v>65</v>
      </c>
      <c r="D803">
        <v>23</v>
      </c>
      <c r="E803" s="2">
        <v>42050</v>
      </c>
      <c r="F803" t="s">
        <v>16</v>
      </c>
      <c r="G803" t="s">
        <v>66</v>
      </c>
      <c r="H803" t="s">
        <v>127</v>
      </c>
      <c r="I803" s="3">
        <v>0.20833333333333334</v>
      </c>
      <c r="J803" t="s">
        <v>68</v>
      </c>
      <c r="K803">
        <v>65</v>
      </c>
      <c r="L803" s="3">
        <v>0.16666666666666666</v>
      </c>
      <c r="M803" t="s">
        <v>83</v>
      </c>
      <c r="O803">
        <f>IF(Table13[[#This Row],[Goal_assist]]="",1,0)</f>
        <v>1</v>
      </c>
    </row>
    <row r="804" spans="1:15" x14ac:dyDescent="0.35">
      <c r="A804" t="s">
        <v>14</v>
      </c>
      <c r="B804" t="s">
        <v>267</v>
      </c>
      <c r="C804" t="s">
        <v>75</v>
      </c>
      <c r="D804" t="s">
        <v>143</v>
      </c>
      <c r="E804" s="2">
        <v>42053</v>
      </c>
      <c r="F804" t="s">
        <v>24</v>
      </c>
      <c r="G804" t="s">
        <v>112</v>
      </c>
      <c r="H804" t="s">
        <v>264</v>
      </c>
      <c r="I804" s="3">
        <v>1.3888888888888889E-3</v>
      </c>
      <c r="J804" t="s">
        <v>19</v>
      </c>
      <c r="K804">
        <v>26</v>
      </c>
      <c r="L804" s="3">
        <v>6.9444444444444447E-4</v>
      </c>
      <c r="M804" t="s">
        <v>22</v>
      </c>
      <c r="N804" t="s">
        <v>262</v>
      </c>
      <c r="O804">
        <f>IF(Table13[[#This Row],[Goal_assist]]="",1,0)</f>
        <v>0</v>
      </c>
    </row>
    <row r="805" spans="1:15" x14ac:dyDescent="0.35">
      <c r="A805" t="s">
        <v>14</v>
      </c>
      <c r="B805" t="s">
        <v>267</v>
      </c>
      <c r="C805" t="s">
        <v>65</v>
      </c>
      <c r="D805">
        <v>24</v>
      </c>
      <c r="E805" s="2">
        <v>42057</v>
      </c>
      <c r="F805" t="s">
        <v>24</v>
      </c>
      <c r="G805" t="s">
        <v>112</v>
      </c>
      <c r="H805" t="s">
        <v>258</v>
      </c>
      <c r="I805" s="3">
        <v>1.3888888888888889E-3</v>
      </c>
      <c r="J805" t="s">
        <v>68</v>
      </c>
      <c r="K805">
        <v>69</v>
      </c>
      <c r="L805" s="3">
        <v>1.3888888888888889E-3</v>
      </c>
      <c r="M805" t="s">
        <v>22</v>
      </c>
      <c r="N805" t="s">
        <v>257</v>
      </c>
      <c r="O805">
        <f>IF(Table13[[#This Row],[Goal_assist]]="",1,0)</f>
        <v>0</v>
      </c>
    </row>
    <row r="806" spans="1:15" x14ac:dyDescent="0.35">
      <c r="A806" t="s">
        <v>64</v>
      </c>
      <c r="B806" t="s">
        <v>267</v>
      </c>
      <c r="C806" t="s">
        <v>65</v>
      </c>
      <c r="D806">
        <v>25</v>
      </c>
      <c r="E806" s="2">
        <v>42063</v>
      </c>
      <c r="F806" t="s">
        <v>24</v>
      </c>
      <c r="G806" t="s">
        <v>66</v>
      </c>
      <c r="H806" t="s">
        <v>233</v>
      </c>
      <c r="I806" s="3">
        <v>4.3749999999999997E-2</v>
      </c>
      <c r="J806" t="s">
        <v>38</v>
      </c>
      <c r="K806">
        <v>70</v>
      </c>
      <c r="L806" s="3">
        <v>4.3749999999999997E-2</v>
      </c>
      <c r="M806" t="s">
        <v>26</v>
      </c>
      <c r="N806" t="s">
        <v>273</v>
      </c>
      <c r="O806">
        <f>IF(Table13[[#This Row],[Goal_assist]]="",1,0)</f>
        <v>0</v>
      </c>
    </row>
    <row r="807" spans="1:15" x14ac:dyDescent="0.35">
      <c r="A807" t="s">
        <v>14</v>
      </c>
      <c r="B807" t="s">
        <v>267</v>
      </c>
      <c r="C807" t="s">
        <v>65</v>
      </c>
      <c r="D807">
        <v>25</v>
      </c>
      <c r="E807" s="2">
        <v>42064</v>
      </c>
      <c r="F807" t="s">
        <v>16</v>
      </c>
      <c r="G807" t="s">
        <v>112</v>
      </c>
      <c r="H807" t="s">
        <v>180</v>
      </c>
      <c r="I807" s="3">
        <v>4.2361111111111113E-2</v>
      </c>
      <c r="J807" t="s">
        <v>68</v>
      </c>
      <c r="K807">
        <v>52</v>
      </c>
      <c r="L807" s="3">
        <v>4.1666666666666664E-2</v>
      </c>
      <c r="M807" t="s">
        <v>83</v>
      </c>
      <c r="O807">
        <f>IF(Table13[[#This Row],[Goal_assist]]="",1,0)</f>
        <v>1</v>
      </c>
    </row>
    <row r="808" spans="1:15" x14ac:dyDescent="0.35">
      <c r="A808" t="s">
        <v>64</v>
      </c>
      <c r="B808" t="s">
        <v>267</v>
      </c>
      <c r="C808" t="s">
        <v>65</v>
      </c>
      <c r="D808">
        <v>26</v>
      </c>
      <c r="E808" s="2">
        <v>42071</v>
      </c>
      <c r="F808" t="s">
        <v>16</v>
      </c>
      <c r="G808" t="s">
        <v>66</v>
      </c>
      <c r="H808" t="s">
        <v>225</v>
      </c>
      <c r="I808" s="3">
        <v>0.25069444444444444</v>
      </c>
      <c r="J808" t="s">
        <v>38</v>
      </c>
      <c r="K808">
        <v>56</v>
      </c>
      <c r="L808" s="3">
        <v>0.125</v>
      </c>
      <c r="M808" t="s">
        <v>83</v>
      </c>
      <c r="O808">
        <f>IF(Table13[[#This Row],[Goal_assist]]="",1,0)</f>
        <v>1</v>
      </c>
    </row>
    <row r="809" spans="1:15" x14ac:dyDescent="0.35">
      <c r="A809" t="s">
        <v>64</v>
      </c>
      <c r="B809" t="s">
        <v>267</v>
      </c>
      <c r="C809" t="s">
        <v>65</v>
      </c>
      <c r="D809">
        <v>26</v>
      </c>
      <c r="E809" s="2">
        <v>42071</v>
      </c>
      <c r="F809" t="s">
        <v>16</v>
      </c>
      <c r="G809" t="s">
        <v>66</v>
      </c>
      <c r="H809" t="s">
        <v>225</v>
      </c>
      <c r="I809" s="3">
        <v>0.25069444444444444</v>
      </c>
      <c r="J809" t="s">
        <v>38</v>
      </c>
      <c r="K809">
        <v>68</v>
      </c>
      <c r="L809" s="3">
        <v>0.20833333333333334</v>
      </c>
      <c r="M809" t="s">
        <v>31</v>
      </c>
      <c r="N809" t="s">
        <v>186</v>
      </c>
      <c r="O809">
        <f>IF(Table13[[#This Row],[Goal_assist]]="",1,0)</f>
        <v>0</v>
      </c>
    </row>
    <row r="810" spans="1:15" x14ac:dyDescent="0.35">
      <c r="A810" t="s">
        <v>64</v>
      </c>
      <c r="B810" t="s">
        <v>267</v>
      </c>
      <c r="C810" t="s">
        <v>65</v>
      </c>
      <c r="D810">
        <v>26</v>
      </c>
      <c r="E810" s="2">
        <v>42071</v>
      </c>
      <c r="F810" t="s">
        <v>16</v>
      </c>
      <c r="G810" t="s">
        <v>66</v>
      </c>
      <c r="H810" t="s">
        <v>225</v>
      </c>
      <c r="I810" s="3">
        <v>0.25069444444444444</v>
      </c>
      <c r="J810" t="s">
        <v>38</v>
      </c>
      <c r="K810">
        <v>63</v>
      </c>
      <c r="L810" s="3">
        <v>0.16666666666666666</v>
      </c>
      <c r="M810" t="s">
        <v>55</v>
      </c>
      <c r="O810">
        <f>IF(Table13[[#This Row],[Goal_assist]]="",1,0)</f>
        <v>1</v>
      </c>
    </row>
    <row r="811" spans="1:15" x14ac:dyDescent="0.35">
      <c r="A811" t="s">
        <v>14</v>
      </c>
      <c r="B811" t="s">
        <v>267</v>
      </c>
      <c r="C811" t="s">
        <v>75</v>
      </c>
      <c r="D811" t="s">
        <v>143</v>
      </c>
      <c r="E811" s="2">
        <v>42073</v>
      </c>
      <c r="F811" t="s">
        <v>16</v>
      </c>
      <c r="G811" t="s">
        <v>112</v>
      </c>
      <c r="H811" t="s">
        <v>264</v>
      </c>
      <c r="I811" s="3">
        <v>0.12777777777777777</v>
      </c>
      <c r="J811" t="s">
        <v>68</v>
      </c>
      <c r="K811">
        <v>45</v>
      </c>
      <c r="L811" s="3">
        <v>8.4722222222222227E-2</v>
      </c>
      <c r="M811" t="s">
        <v>22</v>
      </c>
      <c r="N811" t="s">
        <v>235</v>
      </c>
      <c r="O811">
        <f>IF(Table13[[#This Row],[Goal_assist]]="",1,0)</f>
        <v>0</v>
      </c>
    </row>
    <row r="812" spans="1:15" x14ac:dyDescent="0.35">
      <c r="A812" t="s">
        <v>14</v>
      </c>
      <c r="B812" t="s">
        <v>267</v>
      </c>
      <c r="C812" t="s">
        <v>75</v>
      </c>
      <c r="D812" t="s">
        <v>143</v>
      </c>
      <c r="E812" s="2">
        <v>42073</v>
      </c>
      <c r="F812" t="s">
        <v>16</v>
      </c>
      <c r="G812" t="s">
        <v>112</v>
      </c>
      <c r="H812" t="s">
        <v>264</v>
      </c>
      <c r="I812" s="3">
        <v>0.12777777777777777</v>
      </c>
      <c r="J812" t="s">
        <v>68</v>
      </c>
      <c r="K812">
        <v>25</v>
      </c>
      <c r="L812" s="3">
        <v>4.2361111111111113E-2</v>
      </c>
      <c r="M812" t="s">
        <v>22</v>
      </c>
      <c r="N812" t="s">
        <v>277</v>
      </c>
      <c r="O812">
        <f>IF(Table13[[#This Row],[Goal_assist]]="",1,0)</f>
        <v>0</v>
      </c>
    </row>
    <row r="813" spans="1:15" x14ac:dyDescent="0.35">
      <c r="A813" t="s">
        <v>64</v>
      </c>
      <c r="B813" t="s">
        <v>267</v>
      </c>
      <c r="C813" t="s">
        <v>65</v>
      </c>
      <c r="D813">
        <v>27</v>
      </c>
      <c r="E813" s="2">
        <v>42077</v>
      </c>
      <c r="F813" t="s">
        <v>24</v>
      </c>
      <c r="G813" t="s">
        <v>66</v>
      </c>
      <c r="H813" t="s">
        <v>270</v>
      </c>
      <c r="I813" s="3">
        <v>1.3888888888888889E-3</v>
      </c>
      <c r="J813" t="s">
        <v>275</v>
      </c>
      <c r="K813">
        <v>55</v>
      </c>
      <c r="L813" s="3">
        <v>1.3888888888888889E-3</v>
      </c>
      <c r="M813" t="s">
        <v>22</v>
      </c>
      <c r="N813" t="s">
        <v>276</v>
      </c>
      <c r="O813">
        <f>IF(Table13[[#This Row],[Goal_assist]]="",1,0)</f>
        <v>0</v>
      </c>
    </row>
    <row r="814" spans="1:15" x14ac:dyDescent="0.35">
      <c r="A814" t="s">
        <v>64</v>
      </c>
      <c r="B814" t="s">
        <v>267</v>
      </c>
      <c r="C814" t="s">
        <v>65</v>
      </c>
      <c r="D814">
        <v>27</v>
      </c>
      <c r="E814" s="2">
        <v>42077</v>
      </c>
      <c r="F814" t="s">
        <v>24</v>
      </c>
      <c r="G814" t="s">
        <v>66</v>
      </c>
      <c r="H814" t="s">
        <v>270</v>
      </c>
      <c r="I814" s="3">
        <v>1.3888888888888889E-3</v>
      </c>
      <c r="J814" t="s">
        <v>275</v>
      </c>
      <c r="K814">
        <v>31</v>
      </c>
      <c r="L814" s="3">
        <v>6.9444444444444447E-4</v>
      </c>
      <c r="M814" t="s">
        <v>83</v>
      </c>
      <c r="O814">
        <f>IF(Table13[[#This Row],[Goal_assist]]="",1,0)</f>
        <v>1</v>
      </c>
    </row>
    <row r="815" spans="1:15" x14ac:dyDescent="0.35">
      <c r="A815" t="s">
        <v>14</v>
      </c>
      <c r="B815" t="s">
        <v>267</v>
      </c>
      <c r="C815" t="s">
        <v>65</v>
      </c>
      <c r="D815">
        <v>28</v>
      </c>
      <c r="E815" s="2">
        <v>42085</v>
      </c>
      <c r="F815" t="s">
        <v>24</v>
      </c>
      <c r="G815" t="s">
        <v>112</v>
      </c>
      <c r="H815" t="s">
        <v>66</v>
      </c>
      <c r="I815" s="3">
        <v>8.4027777777777785E-2</v>
      </c>
      <c r="J815" t="s">
        <v>19</v>
      </c>
      <c r="K815">
        <v>31</v>
      </c>
      <c r="L815" s="3">
        <v>4.2361111111111113E-2</v>
      </c>
      <c r="M815" t="s">
        <v>26</v>
      </c>
      <c r="N815" t="s">
        <v>183</v>
      </c>
      <c r="O815">
        <f>IF(Table13[[#This Row],[Goal_assist]]="",1,0)</f>
        <v>0</v>
      </c>
    </row>
    <row r="816" spans="1:15" x14ac:dyDescent="0.35">
      <c r="A816" t="s">
        <v>14</v>
      </c>
      <c r="B816" t="s">
        <v>267</v>
      </c>
      <c r="C816" t="s">
        <v>65</v>
      </c>
      <c r="D816">
        <v>29</v>
      </c>
      <c r="E816" s="2">
        <v>42099</v>
      </c>
      <c r="F816" t="s">
        <v>16</v>
      </c>
      <c r="G816" t="s">
        <v>112</v>
      </c>
      <c r="H816" t="s">
        <v>233</v>
      </c>
      <c r="I816" s="3">
        <v>0.37569444444444444</v>
      </c>
      <c r="J816" t="s">
        <v>68</v>
      </c>
      <c r="K816">
        <v>38</v>
      </c>
      <c r="L816" s="3">
        <v>0.16666666666666666</v>
      </c>
      <c r="M816" t="s">
        <v>170</v>
      </c>
      <c r="N816" t="s">
        <v>261</v>
      </c>
      <c r="O816">
        <f>IF(Table13[[#This Row],[Goal_assist]]="",1,0)</f>
        <v>0</v>
      </c>
    </row>
    <row r="817" spans="1:15" x14ac:dyDescent="0.35">
      <c r="A817" t="s">
        <v>14</v>
      </c>
      <c r="B817" t="s">
        <v>267</v>
      </c>
      <c r="C817" t="s">
        <v>65</v>
      </c>
      <c r="D817">
        <v>29</v>
      </c>
      <c r="E817" s="2">
        <v>42099</v>
      </c>
      <c r="F817" t="s">
        <v>16</v>
      </c>
      <c r="G817" t="s">
        <v>112</v>
      </c>
      <c r="H817" t="s">
        <v>233</v>
      </c>
      <c r="I817" s="3">
        <v>0.37569444444444444</v>
      </c>
      <c r="J817" t="s">
        <v>68</v>
      </c>
      <c r="K817">
        <v>90</v>
      </c>
      <c r="L817" s="3">
        <v>0.37569444444444444</v>
      </c>
      <c r="M817" t="s">
        <v>22</v>
      </c>
      <c r="N817" t="s">
        <v>250</v>
      </c>
      <c r="O817">
        <f>IF(Table13[[#This Row],[Goal_assist]]="",1,0)</f>
        <v>0</v>
      </c>
    </row>
    <row r="818" spans="1:15" x14ac:dyDescent="0.35">
      <c r="A818" t="s">
        <v>14</v>
      </c>
      <c r="B818" t="s">
        <v>267</v>
      </c>
      <c r="C818" t="s">
        <v>65</v>
      </c>
      <c r="D818">
        <v>29</v>
      </c>
      <c r="E818" s="2">
        <v>42099</v>
      </c>
      <c r="F818" t="s">
        <v>16</v>
      </c>
      <c r="G818" t="s">
        <v>112</v>
      </c>
      <c r="H818" t="s">
        <v>233</v>
      </c>
      <c r="I818" s="3">
        <v>0.37569444444444444</v>
      </c>
      <c r="J818" t="s">
        <v>68</v>
      </c>
      <c r="K818">
        <v>30</v>
      </c>
      <c r="L818" s="3">
        <v>8.3333333333333329E-2</v>
      </c>
      <c r="M818" t="s">
        <v>26</v>
      </c>
      <c r="N818" t="s">
        <v>268</v>
      </c>
      <c r="O818">
        <f>IF(Table13[[#This Row],[Goal_assist]]="",1,0)</f>
        <v>0</v>
      </c>
    </row>
    <row r="819" spans="1:15" x14ac:dyDescent="0.35">
      <c r="A819" t="s">
        <v>14</v>
      </c>
      <c r="B819" t="s">
        <v>267</v>
      </c>
      <c r="C819" t="s">
        <v>65</v>
      </c>
      <c r="D819">
        <v>29</v>
      </c>
      <c r="E819" s="2">
        <v>42099</v>
      </c>
      <c r="F819" t="s">
        <v>16</v>
      </c>
      <c r="G819" t="s">
        <v>112</v>
      </c>
      <c r="H819" t="s">
        <v>233</v>
      </c>
      <c r="I819" s="3">
        <v>0.37569444444444444</v>
      </c>
      <c r="J819" t="s">
        <v>68</v>
      </c>
      <c r="K819">
        <v>36</v>
      </c>
      <c r="L819" s="3">
        <v>0.125</v>
      </c>
      <c r="M819" t="s">
        <v>26</v>
      </c>
      <c r="O819">
        <f>IF(Table13[[#This Row],[Goal_assist]]="",1,0)</f>
        <v>1</v>
      </c>
    </row>
    <row r="820" spans="1:15" x14ac:dyDescent="0.35">
      <c r="A820" t="s">
        <v>14</v>
      </c>
      <c r="B820" t="s">
        <v>267</v>
      </c>
      <c r="C820" t="s">
        <v>65</v>
      </c>
      <c r="D820">
        <v>29</v>
      </c>
      <c r="E820" s="2">
        <v>42099</v>
      </c>
      <c r="F820" t="s">
        <v>16</v>
      </c>
      <c r="G820" t="s">
        <v>112</v>
      </c>
      <c r="H820" t="s">
        <v>233</v>
      </c>
      <c r="I820" s="3">
        <v>0.37569444444444444</v>
      </c>
      <c r="J820" t="s">
        <v>68</v>
      </c>
      <c r="K820">
        <v>54</v>
      </c>
      <c r="L820" s="3">
        <v>0.25</v>
      </c>
      <c r="M820" t="s">
        <v>22</v>
      </c>
      <c r="N820" t="s">
        <v>261</v>
      </c>
      <c r="O820">
        <f>IF(Table13[[#This Row],[Goal_assist]]="",1,0)</f>
        <v>0</v>
      </c>
    </row>
    <row r="821" spans="1:15" x14ac:dyDescent="0.35">
      <c r="A821" t="s">
        <v>14</v>
      </c>
      <c r="B821" t="s">
        <v>267</v>
      </c>
      <c r="C821" t="s">
        <v>65</v>
      </c>
      <c r="D821">
        <v>30</v>
      </c>
      <c r="E821" s="2">
        <v>42102</v>
      </c>
      <c r="F821" t="s">
        <v>24</v>
      </c>
      <c r="G821" t="s">
        <v>112</v>
      </c>
      <c r="H821" t="s">
        <v>225</v>
      </c>
      <c r="I821" s="3">
        <v>1.3888888888888889E-3</v>
      </c>
      <c r="J821" t="s">
        <v>19</v>
      </c>
      <c r="K821">
        <v>68</v>
      </c>
      <c r="L821" s="3">
        <v>6.9444444444444447E-4</v>
      </c>
      <c r="M821" t="s">
        <v>22</v>
      </c>
      <c r="N821" t="s">
        <v>262</v>
      </c>
      <c r="O821">
        <f>IF(Table13[[#This Row],[Goal_assist]]="",1,0)</f>
        <v>0</v>
      </c>
    </row>
    <row r="822" spans="1:15" x14ac:dyDescent="0.35">
      <c r="A822" t="s">
        <v>64</v>
      </c>
      <c r="B822" t="s">
        <v>267</v>
      </c>
      <c r="C822" t="s">
        <v>65</v>
      </c>
      <c r="D822">
        <v>30</v>
      </c>
      <c r="E822" s="2">
        <v>42102</v>
      </c>
      <c r="F822" t="s">
        <v>16</v>
      </c>
      <c r="G822" t="s">
        <v>66</v>
      </c>
      <c r="H822" t="s">
        <v>131</v>
      </c>
      <c r="I822" s="3">
        <v>0.16666666666666666</v>
      </c>
      <c r="J822" t="s">
        <v>38</v>
      </c>
      <c r="K822">
        <v>33</v>
      </c>
      <c r="L822" s="3">
        <v>4.1666666666666664E-2</v>
      </c>
      <c r="M822" t="s">
        <v>31</v>
      </c>
      <c r="N822" t="s">
        <v>271</v>
      </c>
      <c r="O822">
        <f>IF(Table13[[#This Row],[Goal_assist]]="",1,0)</f>
        <v>0</v>
      </c>
    </row>
    <row r="823" spans="1:15" x14ac:dyDescent="0.35">
      <c r="A823" t="s">
        <v>64</v>
      </c>
      <c r="B823" t="s">
        <v>267</v>
      </c>
      <c r="C823" t="s">
        <v>65</v>
      </c>
      <c r="D823">
        <v>31</v>
      </c>
      <c r="E823" s="2">
        <v>42105</v>
      </c>
      <c r="F823" t="s">
        <v>24</v>
      </c>
      <c r="G823" t="s">
        <v>66</v>
      </c>
      <c r="H823" t="s">
        <v>105</v>
      </c>
      <c r="I823" s="3">
        <v>8.4722222222222227E-2</v>
      </c>
      <c r="J823" t="s">
        <v>38</v>
      </c>
      <c r="K823">
        <v>15</v>
      </c>
      <c r="L823" s="3">
        <v>6.9444444444444447E-4</v>
      </c>
      <c r="M823" t="s">
        <v>31</v>
      </c>
      <c r="N823" t="s">
        <v>256</v>
      </c>
      <c r="O823">
        <f>IF(Table13[[#This Row],[Goal_assist]]="",1,0)</f>
        <v>0</v>
      </c>
    </row>
    <row r="824" spans="1:15" x14ac:dyDescent="0.35">
      <c r="A824" t="s">
        <v>14</v>
      </c>
      <c r="B824" t="s">
        <v>267</v>
      </c>
      <c r="C824" t="s">
        <v>65</v>
      </c>
      <c r="D824">
        <v>31</v>
      </c>
      <c r="E824" s="2">
        <v>42105</v>
      </c>
      <c r="F824" t="s">
        <v>16</v>
      </c>
      <c r="G824" t="s">
        <v>112</v>
      </c>
      <c r="H824" t="s">
        <v>270</v>
      </c>
      <c r="I824" s="3">
        <v>0.125</v>
      </c>
      <c r="J824" t="s">
        <v>19</v>
      </c>
      <c r="K824">
        <v>21</v>
      </c>
      <c r="L824" s="3">
        <v>4.1666666666666664E-2</v>
      </c>
      <c r="M824" t="s">
        <v>39</v>
      </c>
      <c r="O824">
        <f>IF(Table13[[#This Row],[Goal_assist]]="",1,0)</f>
        <v>1</v>
      </c>
    </row>
    <row r="825" spans="1:15" x14ac:dyDescent="0.35">
      <c r="A825" t="s">
        <v>64</v>
      </c>
      <c r="B825" t="s">
        <v>267</v>
      </c>
      <c r="C825" t="s">
        <v>65</v>
      </c>
      <c r="D825">
        <v>32</v>
      </c>
      <c r="E825" s="2">
        <v>42112</v>
      </c>
      <c r="F825" t="s">
        <v>16</v>
      </c>
      <c r="G825" t="s">
        <v>66</v>
      </c>
      <c r="H825" t="s">
        <v>148</v>
      </c>
      <c r="I825" s="3">
        <v>8.3333333333333329E-2</v>
      </c>
      <c r="J825" t="s">
        <v>38</v>
      </c>
      <c r="K825" t="s">
        <v>239</v>
      </c>
      <c r="L825" s="3">
        <v>8.3333333333333329E-2</v>
      </c>
      <c r="M825" t="s">
        <v>31</v>
      </c>
      <c r="O825">
        <f>IF(Table13[[#This Row],[Goal_assist]]="",1,0)</f>
        <v>1</v>
      </c>
    </row>
    <row r="826" spans="1:15" x14ac:dyDescent="0.35">
      <c r="A826" t="s">
        <v>14</v>
      </c>
      <c r="B826" t="s">
        <v>267</v>
      </c>
      <c r="C826" t="s">
        <v>65</v>
      </c>
      <c r="D826">
        <v>32</v>
      </c>
      <c r="E826" s="2">
        <v>42112</v>
      </c>
      <c r="F826" t="s">
        <v>16</v>
      </c>
      <c r="G826" t="s">
        <v>112</v>
      </c>
      <c r="H826" t="s">
        <v>157</v>
      </c>
      <c r="I826" s="3">
        <v>0.12569444444444444</v>
      </c>
      <c r="J826" t="s">
        <v>68</v>
      </c>
      <c r="K826" t="s">
        <v>141</v>
      </c>
      <c r="L826" s="3">
        <v>0.12569444444444444</v>
      </c>
      <c r="M826" t="s">
        <v>31</v>
      </c>
      <c r="N826" t="s">
        <v>278</v>
      </c>
      <c r="O826">
        <f>IF(Table13[[#This Row],[Goal_assist]]="",1,0)</f>
        <v>0</v>
      </c>
    </row>
    <row r="827" spans="1:15" x14ac:dyDescent="0.35">
      <c r="A827" t="s">
        <v>64</v>
      </c>
      <c r="B827" t="s">
        <v>267</v>
      </c>
      <c r="C827" t="s">
        <v>65</v>
      </c>
      <c r="D827">
        <v>33</v>
      </c>
      <c r="E827" s="2">
        <v>42119</v>
      </c>
      <c r="F827" t="s">
        <v>24</v>
      </c>
      <c r="G827" t="s">
        <v>66</v>
      </c>
      <c r="H827" t="s">
        <v>121</v>
      </c>
      <c r="I827" s="3">
        <v>1.3888888888888889E-3</v>
      </c>
      <c r="J827" t="s">
        <v>38</v>
      </c>
      <c r="K827">
        <v>25</v>
      </c>
      <c r="L827" s="3">
        <v>1.3888888888888889E-3</v>
      </c>
      <c r="M827" t="s">
        <v>31</v>
      </c>
      <c r="N827" t="s">
        <v>273</v>
      </c>
      <c r="O827">
        <f>IF(Table13[[#This Row],[Goal_assist]]="",1,0)</f>
        <v>0</v>
      </c>
    </row>
    <row r="828" spans="1:15" x14ac:dyDescent="0.35">
      <c r="A828" t="s">
        <v>64</v>
      </c>
      <c r="B828" t="s">
        <v>267</v>
      </c>
      <c r="C828" t="s">
        <v>65</v>
      </c>
      <c r="D828">
        <v>34</v>
      </c>
      <c r="E828" s="2">
        <v>42122</v>
      </c>
      <c r="F828" t="s">
        <v>16</v>
      </c>
      <c r="G828" t="s">
        <v>66</v>
      </c>
      <c r="H828" t="s">
        <v>117</v>
      </c>
      <c r="I828" s="3">
        <v>0.25</v>
      </c>
      <c r="J828" t="s">
        <v>38</v>
      </c>
      <c r="K828">
        <v>47</v>
      </c>
      <c r="L828" s="3">
        <v>0.25</v>
      </c>
      <c r="M828" t="s">
        <v>31</v>
      </c>
      <c r="N828" t="s">
        <v>273</v>
      </c>
      <c r="O828">
        <f>IF(Table13[[#This Row],[Goal_assist]]="",1,0)</f>
        <v>0</v>
      </c>
    </row>
    <row r="829" spans="1:15" x14ac:dyDescent="0.35">
      <c r="A829" t="s">
        <v>64</v>
      </c>
      <c r="B829" t="s">
        <v>267</v>
      </c>
      <c r="C829" t="s">
        <v>65</v>
      </c>
      <c r="D829">
        <v>34</v>
      </c>
      <c r="E829" s="2">
        <v>42122</v>
      </c>
      <c r="F829" t="s">
        <v>16</v>
      </c>
      <c r="G829" t="s">
        <v>66</v>
      </c>
      <c r="H829" t="s">
        <v>117</v>
      </c>
      <c r="I829" s="3">
        <v>0.25</v>
      </c>
      <c r="J829" t="s">
        <v>38</v>
      </c>
      <c r="K829">
        <v>9</v>
      </c>
      <c r="L829" s="3">
        <v>4.1666666666666664E-2</v>
      </c>
      <c r="M829" t="s">
        <v>83</v>
      </c>
      <c r="O829">
        <f>IF(Table13[[#This Row],[Goal_assist]]="",1,0)</f>
        <v>1</v>
      </c>
    </row>
    <row r="830" spans="1:15" x14ac:dyDescent="0.35">
      <c r="A830" t="s">
        <v>14</v>
      </c>
      <c r="B830" t="s">
        <v>267</v>
      </c>
      <c r="C830" t="s">
        <v>65</v>
      </c>
      <c r="D830">
        <v>35</v>
      </c>
      <c r="E830" s="2">
        <v>42126</v>
      </c>
      <c r="F830" t="s">
        <v>24</v>
      </c>
      <c r="G830" t="s">
        <v>112</v>
      </c>
      <c r="H830" t="s">
        <v>105</v>
      </c>
      <c r="I830" s="3">
        <v>8.5416666666666669E-2</v>
      </c>
      <c r="J830" t="s">
        <v>68</v>
      </c>
      <c r="K830">
        <v>69</v>
      </c>
      <c r="L830" s="3">
        <v>4.3749999999999997E-2</v>
      </c>
      <c r="M830" t="s">
        <v>22</v>
      </c>
      <c r="N830" t="s">
        <v>261</v>
      </c>
      <c r="O830">
        <f>IF(Table13[[#This Row],[Goal_assist]]="",1,0)</f>
        <v>0</v>
      </c>
    </row>
    <row r="831" spans="1:15" x14ac:dyDescent="0.35">
      <c r="A831" t="s">
        <v>14</v>
      </c>
      <c r="B831" t="s">
        <v>267</v>
      </c>
      <c r="C831" t="s">
        <v>65</v>
      </c>
      <c r="D831">
        <v>35</v>
      </c>
      <c r="E831" s="2">
        <v>42126</v>
      </c>
      <c r="F831" t="s">
        <v>24</v>
      </c>
      <c r="G831" t="s">
        <v>112</v>
      </c>
      <c r="H831" t="s">
        <v>105</v>
      </c>
      <c r="I831" s="3">
        <v>8.5416666666666669E-2</v>
      </c>
      <c r="J831" t="s">
        <v>68</v>
      </c>
      <c r="K831">
        <v>37</v>
      </c>
      <c r="L831" s="3">
        <v>1.3888888888888889E-3</v>
      </c>
      <c r="M831" t="s">
        <v>26</v>
      </c>
      <c r="N831" t="s">
        <v>278</v>
      </c>
      <c r="O831">
        <f>IF(Table13[[#This Row],[Goal_assist]]="",1,0)</f>
        <v>0</v>
      </c>
    </row>
    <row r="832" spans="1:15" x14ac:dyDescent="0.35">
      <c r="A832" t="s">
        <v>64</v>
      </c>
      <c r="B832" t="s">
        <v>267</v>
      </c>
      <c r="C832" t="s">
        <v>65</v>
      </c>
      <c r="D832">
        <v>35</v>
      </c>
      <c r="E832" s="2">
        <v>42126</v>
      </c>
      <c r="F832" t="s">
        <v>24</v>
      </c>
      <c r="G832" t="s">
        <v>66</v>
      </c>
      <c r="H832" t="s">
        <v>248</v>
      </c>
      <c r="I832" s="3">
        <v>5.5555555555555558E-3</v>
      </c>
      <c r="J832" t="s">
        <v>38</v>
      </c>
      <c r="K832">
        <v>80</v>
      </c>
      <c r="L832" s="3">
        <v>4.1666666666666666E-3</v>
      </c>
      <c r="M832" t="s">
        <v>31</v>
      </c>
      <c r="N832" t="s">
        <v>273</v>
      </c>
      <c r="O832">
        <f>IF(Table13[[#This Row],[Goal_assist]]="",1,0)</f>
        <v>0</v>
      </c>
    </row>
    <row r="833" spans="1:15" x14ac:dyDescent="0.35">
      <c r="A833" t="s">
        <v>64</v>
      </c>
      <c r="B833" t="s">
        <v>267</v>
      </c>
      <c r="C833" t="s">
        <v>65</v>
      </c>
      <c r="D833">
        <v>35</v>
      </c>
      <c r="E833" s="2">
        <v>42126</v>
      </c>
      <c r="F833" t="s">
        <v>24</v>
      </c>
      <c r="G833" t="s">
        <v>66</v>
      </c>
      <c r="H833" t="s">
        <v>248</v>
      </c>
      <c r="I833" s="3">
        <v>5.5555555555555558E-3</v>
      </c>
      <c r="J833" t="s">
        <v>38</v>
      </c>
      <c r="K833">
        <v>47</v>
      </c>
      <c r="L833" s="3">
        <v>2.0833333333333333E-3</v>
      </c>
      <c r="M833" t="s">
        <v>22</v>
      </c>
      <c r="N833" t="s">
        <v>155</v>
      </c>
      <c r="O833">
        <f>IF(Table13[[#This Row],[Goal_assist]]="",1,0)</f>
        <v>0</v>
      </c>
    </row>
    <row r="834" spans="1:15" x14ac:dyDescent="0.35">
      <c r="A834" t="s">
        <v>14</v>
      </c>
      <c r="B834" t="s">
        <v>267</v>
      </c>
      <c r="C834" t="s">
        <v>65</v>
      </c>
      <c r="D834">
        <v>35</v>
      </c>
      <c r="E834" s="2">
        <v>42126</v>
      </c>
      <c r="F834" t="s">
        <v>24</v>
      </c>
      <c r="G834" t="s">
        <v>112</v>
      </c>
      <c r="H834" t="s">
        <v>105</v>
      </c>
      <c r="I834" s="3">
        <v>8.5416666666666669E-2</v>
      </c>
      <c r="J834" t="s">
        <v>68</v>
      </c>
      <c r="K834">
        <v>36</v>
      </c>
      <c r="L834" s="3">
        <v>6.9444444444444447E-4</v>
      </c>
      <c r="M834" t="s">
        <v>22</v>
      </c>
      <c r="N834" t="s">
        <v>257</v>
      </c>
      <c r="O834">
        <f>IF(Table13[[#This Row],[Goal_assist]]="",1,0)</f>
        <v>0</v>
      </c>
    </row>
    <row r="835" spans="1:15" x14ac:dyDescent="0.35">
      <c r="A835" t="s">
        <v>14</v>
      </c>
      <c r="B835" t="s">
        <v>267</v>
      </c>
      <c r="C835" t="s">
        <v>75</v>
      </c>
      <c r="D835" t="s">
        <v>62</v>
      </c>
      <c r="E835" s="2">
        <v>42129</v>
      </c>
      <c r="F835" t="s">
        <v>24</v>
      </c>
      <c r="G835" t="s">
        <v>112</v>
      </c>
      <c r="H835" t="s">
        <v>260</v>
      </c>
      <c r="I835" s="3">
        <v>8.4027777777777785E-2</v>
      </c>
      <c r="J835" t="s">
        <v>68</v>
      </c>
      <c r="K835">
        <v>27</v>
      </c>
      <c r="L835" s="3">
        <v>4.2361111111111113E-2</v>
      </c>
      <c r="M835" t="s">
        <v>22</v>
      </c>
      <c r="N835" t="s">
        <v>268</v>
      </c>
      <c r="O835">
        <f>IF(Table13[[#This Row],[Goal_assist]]="",1,0)</f>
        <v>0</v>
      </c>
    </row>
    <row r="836" spans="1:15" x14ac:dyDescent="0.35">
      <c r="A836" t="s">
        <v>64</v>
      </c>
      <c r="B836" t="s">
        <v>267</v>
      </c>
      <c r="C836" t="s">
        <v>75</v>
      </c>
      <c r="D836" t="s">
        <v>62</v>
      </c>
      <c r="E836" s="2">
        <v>42130</v>
      </c>
      <c r="F836" t="s">
        <v>16</v>
      </c>
      <c r="G836" t="s">
        <v>66</v>
      </c>
      <c r="H836" t="s">
        <v>168</v>
      </c>
      <c r="I836" s="3">
        <v>0.125</v>
      </c>
      <c r="J836" t="s">
        <v>38</v>
      </c>
      <c r="K836">
        <v>80</v>
      </c>
      <c r="L836" s="3">
        <v>8.3333333333333329E-2</v>
      </c>
      <c r="M836" t="s">
        <v>26</v>
      </c>
      <c r="N836" t="s">
        <v>276</v>
      </c>
      <c r="O836">
        <f>IF(Table13[[#This Row],[Goal_assist]]="",1,0)</f>
        <v>0</v>
      </c>
    </row>
    <row r="837" spans="1:15" x14ac:dyDescent="0.35">
      <c r="A837" t="s">
        <v>64</v>
      </c>
      <c r="B837" t="s">
        <v>267</v>
      </c>
      <c r="C837" t="s">
        <v>75</v>
      </c>
      <c r="D837" t="s">
        <v>62</v>
      </c>
      <c r="E837" s="2">
        <v>42130</v>
      </c>
      <c r="F837" t="s">
        <v>16</v>
      </c>
      <c r="G837" t="s">
        <v>66</v>
      </c>
      <c r="H837" t="s">
        <v>168</v>
      </c>
      <c r="I837" s="3">
        <v>0.125</v>
      </c>
      <c r="J837" t="s">
        <v>38</v>
      </c>
      <c r="K837">
        <v>77</v>
      </c>
      <c r="L837" s="3">
        <v>4.1666666666666664E-2</v>
      </c>
      <c r="M837" t="s">
        <v>31</v>
      </c>
      <c r="N837" t="s">
        <v>155</v>
      </c>
      <c r="O837">
        <f>IF(Table13[[#This Row],[Goal_assist]]="",1,0)</f>
        <v>0</v>
      </c>
    </row>
    <row r="838" spans="1:15" x14ac:dyDescent="0.35">
      <c r="A838" t="s">
        <v>14</v>
      </c>
      <c r="B838" t="s">
        <v>267</v>
      </c>
      <c r="C838" t="s">
        <v>75</v>
      </c>
      <c r="D838" t="s">
        <v>62</v>
      </c>
      <c r="E838" s="2">
        <v>42137</v>
      </c>
      <c r="F838" t="s">
        <v>16</v>
      </c>
      <c r="G838" t="s">
        <v>112</v>
      </c>
      <c r="H838" t="s">
        <v>260</v>
      </c>
      <c r="I838" s="3">
        <v>4.2361111111111113E-2</v>
      </c>
      <c r="J838" t="s">
        <v>19</v>
      </c>
      <c r="K838">
        <v>23</v>
      </c>
      <c r="L838" s="3">
        <v>4.1666666666666664E-2</v>
      </c>
      <c r="M838" t="s">
        <v>83</v>
      </c>
      <c r="O838">
        <f>IF(Table13[[#This Row],[Goal_assist]]="",1,0)</f>
        <v>1</v>
      </c>
    </row>
    <row r="839" spans="1:15" x14ac:dyDescent="0.35">
      <c r="A839" t="s">
        <v>14</v>
      </c>
      <c r="B839" t="s">
        <v>267</v>
      </c>
      <c r="C839" t="s">
        <v>65</v>
      </c>
      <c r="D839">
        <v>37</v>
      </c>
      <c r="E839" s="2">
        <v>42141</v>
      </c>
      <c r="F839" t="s">
        <v>24</v>
      </c>
      <c r="G839" t="s">
        <v>112</v>
      </c>
      <c r="H839" t="s">
        <v>121</v>
      </c>
      <c r="I839" s="3">
        <v>4.4444444444444446E-2</v>
      </c>
      <c r="J839" t="s">
        <v>19</v>
      </c>
      <c r="K839">
        <v>59</v>
      </c>
      <c r="L839" s="3">
        <v>6.9444444444444447E-4</v>
      </c>
      <c r="M839" t="s">
        <v>31</v>
      </c>
      <c r="N839" t="s">
        <v>183</v>
      </c>
      <c r="O839">
        <f>IF(Table13[[#This Row],[Goal_assist]]="",1,0)</f>
        <v>0</v>
      </c>
    </row>
    <row r="840" spans="1:15" x14ac:dyDescent="0.35">
      <c r="A840" t="s">
        <v>14</v>
      </c>
      <c r="B840" t="s">
        <v>267</v>
      </c>
      <c r="C840" t="s">
        <v>65</v>
      </c>
      <c r="D840">
        <v>37</v>
      </c>
      <c r="E840" s="2">
        <v>42141</v>
      </c>
      <c r="F840" t="s">
        <v>24</v>
      </c>
      <c r="G840" t="s">
        <v>112</v>
      </c>
      <c r="H840" t="s">
        <v>121</v>
      </c>
      <c r="I840" s="3">
        <v>4.4444444444444446E-2</v>
      </c>
      <c r="J840" t="s">
        <v>19</v>
      </c>
      <c r="K840">
        <v>83</v>
      </c>
      <c r="L840" s="3">
        <v>4.3749999999999997E-2</v>
      </c>
      <c r="M840" t="s">
        <v>26</v>
      </c>
      <c r="N840" t="s">
        <v>278</v>
      </c>
      <c r="O840">
        <f>IF(Table13[[#This Row],[Goal_assist]]="",1,0)</f>
        <v>0</v>
      </c>
    </row>
    <row r="841" spans="1:15" x14ac:dyDescent="0.35">
      <c r="A841" t="s">
        <v>14</v>
      </c>
      <c r="B841" t="s">
        <v>267</v>
      </c>
      <c r="C841" t="s">
        <v>65</v>
      </c>
      <c r="D841">
        <v>37</v>
      </c>
      <c r="E841" s="2">
        <v>42141</v>
      </c>
      <c r="F841" t="s">
        <v>24</v>
      </c>
      <c r="G841" t="s">
        <v>112</v>
      </c>
      <c r="H841" t="s">
        <v>121</v>
      </c>
      <c r="I841" s="3">
        <v>4.4444444444444446E-2</v>
      </c>
      <c r="J841" t="s">
        <v>19</v>
      </c>
      <c r="K841" t="s">
        <v>69</v>
      </c>
      <c r="L841" s="3">
        <v>4.4444444444444446E-2</v>
      </c>
      <c r="M841" t="s">
        <v>22</v>
      </c>
      <c r="N841" t="s">
        <v>268</v>
      </c>
      <c r="O841">
        <f>IF(Table13[[#This Row],[Goal_assist]]="",1,0)</f>
        <v>0</v>
      </c>
    </row>
    <row r="842" spans="1:15" x14ac:dyDescent="0.35">
      <c r="A842" t="s">
        <v>64</v>
      </c>
      <c r="B842" t="s">
        <v>267</v>
      </c>
      <c r="C842" t="s">
        <v>65</v>
      </c>
      <c r="D842">
        <v>37</v>
      </c>
      <c r="E842" s="2">
        <v>42141</v>
      </c>
      <c r="F842" t="s">
        <v>24</v>
      </c>
      <c r="G842" t="s">
        <v>66</v>
      </c>
      <c r="H842" t="s">
        <v>119</v>
      </c>
      <c r="I842" s="3">
        <v>6.9444444444444447E-4</v>
      </c>
      <c r="J842" t="s">
        <v>38</v>
      </c>
      <c r="K842">
        <v>65</v>
      </c>
      <c r="L842" s="3">
        <v>6.9444444444444447E-4</v>
      </c>
      <c r="M842" t="s">
        <v>31</v>
      </c>
      <c r="N842" t="s">
        <v>186</v>
      </c>
      <c r="O842">
        <f>IF(Table13[[#This Row],[Goal_assist]]="",1,0)</f>
        <v>0</v>
      </c>
    </row>
    <row r="843" spans="1:15" x14ac:dyDescent="0.35">
      <c r="A843" t="s">
        <v>14</v>
      </c>
      <c r="B843" t="s">
        <v>267</v>
      </c>
      <c r="C843" t="s">
        <v>65</v>
      </c>
      <c r="D843">
        <v>38</v>
      </c>
      <c r="E843" s="2">
        <v>42147</v>
      </c>
      <c r="F843" t="s">
        <v>16</v>
      </c>
      <c r="G843" t="s">
        <v>112</v>
      </c>
      <c r="H843" t="s">
        <v>117</v>
      </c>
      <c r="I843" s="3">
        <v>0.29375000000000001</v>
      </c>
      <c r="J843" t="s">
        <v>19</v>
      </c>
      <c r="K843">
        <v>32</v>
      </c>
      <c r="L843" s="3">
        <v>8.4722222222222227E-2</v>
      </c>
      <c r="M843" t="s">
        <v>39</v>
      </c>
      <c r="O843">
        <f>IF(Table13[[#This Row],[Goal_assist]]="",1,0)</f>
        <v>1</v>
      </c>
    </row>
    <row r="844" spans="1:15" x14ac:dyDescent="0.35">
      <c r="A844" t="s">
        <v>14</v>
      </c>
      <c r="B844" t="s">
        <v>267</v>
      </c>
      <c r="C844" t="s">
        <v>65</v>
      </c>
      <c r="D844">
        <v>38</v>
      </c>
      <c r="E844" s="2">
        <v>42147</v>
      </c>
      <c r="F844" t="s">
        <v>16</v>
      </c>
      <c r="G844" t="s">
        <v>112</v>
      </c>
      <c r="H844" t="s">
        <v>117</v>
      </c>
      <c r="I844" s="3">
        <v>0.29375000000000001</v>
      </c>
      <c r="J844" t="s">
        <v>19</v>
      </c>
      <c r="K844">
        <v>34</v>
      </c>
      <c r="L844" s="3">
        <v>0.12638888888888888</v>
      </c>
      <c r="M844" t="s">
        <v>83</v>
      </c>
      <c r="O844">
        <f>IF(Table13[[#This Row],[Goal_assist]]="",1,0)</f>
        <v>1</v>
      </c>
    </row>
    <row r="845" spans="1:15" x14ac:dyDescent="0.35">
      <c r="A845" t="s">
        <v>64</v>
      </c>
      <c r="B845" t="s">
        <v>267</v>
      </c>
      <c r="C845" t="s">
        <v>65</v>
      </c>
      <c r="D845">
        <v>38</v>
      </c>
      <c r="E845" s="2">
        <v>42147</v>
      </c>
      <c r="F845" t="s">
        <v>16</v>
      </c>
      <c r="G845" t="s">
        <v>66</v>
      </c>
      <c r="H845" t="s">
        <v>115</v>
      </c>
      <c r="I845" s="3">
        <v>8.4722222222222227E-2</v>
      </c>
      <c r="J845" t="s">
        <v>38</v>
      </c>
      <c r="K845">
        <v>59</v>
      </c>
      <c r="L845" s="3">
        <v>8.3333333333333329E-2</v>
      </c>
      <c r="M845" t="s">
        <v>26</v>
      </c>
      <c r="N845" t="s">
        <v>256</v>
      </c>
      <c r="O845">
        <f>IF(Table13[[#This Row],[Goal_assist]]="",1,0)</f>
        <v>0</v>
      </c>
    </row>
    <row r="846" spans="1:15" x14ac:dyDescent="0.35">
      <c r="A846" t="s">
        <v>64</v>
      </c>
      <c r="B846" t="s">
        <v>267</v>
      </c>
      <c r="C846" t="s">
        <v>65</v>
      </c>
      <c r="D846">
        <v>38</v>
      </c>
      <c r="E846" s="2">
        <v>42147</v>
      </c>
      <c r="F846" t="s">
        <v>16</v>
      </c>
      <c r="G846" t="s">
        <v>66</v>
      </c>
      <c r="H846" t="s">
        <v>115</v>
      </c>
      <c r="I846" s="3">
        <v>8.4722222222222227E-2</v>
      </c>
      <c r="J846" t="s">
        <v>38</v>
      </c>
      <c r="K846">
        <v>5</v>
      </c>
      <c r="L846" s="3">
        <v>4.1666666666666664E-2</v>
      </c>
      <c r="M846" t="s">
        <v>22</v>
      </c>
      <c r="N846" t="s">
        <v>272</v>
      </c>
      <c r="O846">
        <f>IF(Table13[[#This Row],[Goal_assist]]="",1,0)</f>
        <v>0</v>
      </c>
    </row>
    <row r="847" spans="1:15" x14ac:dyDescent="0.35">
      <c r="A847" t="s">
        <v>14</v>
      </c>
      <c r="B847" t="s">
        <v>267</v>
      </c>
      <c r="C847" t="s">
        <v>65</v>
      </c>
      <c r="D847">
        <v>38</v>
      </c>
      <c r="E847" s="2">
        <v>42147</v>
      </c>
      <c r="F847" t="s">
        <v>16</v>
      </c>
      <c r="G847" t="s">
        <v>112</v>
      </c>
      <c r="H847" t="s">
        <v>117</v>
      </c>
      <c r="I847" s="3">
        <v>0.29375000000000001</v>
      </c>
      <c r="J847" t="s">
        <v>19</v>
      </c>
      <c r="K847">
        <v>13</v>
      </c>
      <c r="L847" s="3">
        <v>4.1666666666666664E-2</v>
      </c>
      <c r="M847" t="s">
        <v>22</v>
      </c>
      <c r="N847" t="s">
        <v>201</v>
      </c>
      <c r="O847">
        <f>IF(Table13[[#This Row],[Goal_assist]]="",1,0)</f>
        <v>0</v>
      </c>
    </row>
    <row r="848" spans="1:15" x14ac:dyDescent="0.35">
      <c r="A848" t="s">
        <v>64</v>
      </c>
      <c r="B848" t="s">
        <v>267</v>
      </c>
      <c r="C848" t="s">
        <v>91</v>
      </c>
      <c r="D848" t="s">
        <v>46</v>
      </c>
      <c r="E848" s="2">
        <v>42154</v>
      </c>
      <c r="F848" t="s">
        <v>24</v>
      </c>
      <c r="G848" t="s">
        <v>66</v>
      </c>
      <c r="H848" t="s">
        <v>86</v>
      </c>
      <c r="I848" s="3">
        <v>4.3749999999999997E-2</v>
      </c>
      <c r="J848" t="s">
        <v>38</v>
      </c>
      <c r="K848">
        <v>74</v>
      </c>
      <c r="L848" s="3">
        <v>2.0833333333333333E-3</v>
      </c>
      <c r="M848" t="s">
        <v>31</v>
      </c>
      <c r="N848" t="s">
        <v>155</v>
      </c>
      <c r="O848">
        <f>IF(Table13[[#This Row],[Goal_assist]]="",1,0)</f>
        <v>0</v>
      </c>
    </row>
    <row r="849" spans="1:15" x14ac:dyDescent="0.35">
      <c r="A849" t="s">
        <v>64</v>
      </c>
      <c r="B849" t="s">
        <v>267</v>
      </c>
      <c r="C849" t="s">
        <v>91</v>
      </c>
      <c r="D849" t="s">
        <v>46</v>
      </c>
      <c r="E849" s="2">
        <v>42154</v>
      </c>
      <c r="F849" t="s">
        <v>24</v>
      </c>
      <c r="G849" t="s">
        <v>66</v>
      </c>
      <c r="H849" t="s">
        <v>86</v>
      </c>
      <c r="I849" s="3">
        <v>4.3749999999999997E-2</v>
      </c>
      <c r="J849" t="s">
        <v>38</v>
      </c>
      <c r="K849">
        <v>20</v>
      </c>
      <c r="L849" s="3">
        <v>6.9444444444444447E-4</v>
      </c>
      <c r="M849" t="s">
        <v>20</v>
      </c>
      <c r="O849">
        <f>IF(Table13[[#This Row],[Goal_assist]]="",1,0)</f>
        <v>1</v>
      </c>
    </row>
    <row r="850" spans="1:15" x14ac:dyDescent="0.35">
      <c r="A850" t="s">
        <v>64</v>
      </c>
      <c r="B850" t="s">
        <v>279</v>
      </c>
      <c r="C850" t="s">
        <v>223</v>
      </c>
      <c r="D850" t="s">
        <v>46</v>
      </c>
      <c r="E850" s="2">
        <v>42227</v>
      </c>
      <c r="F850" t="s">
        <v>16</v>
      </c>
      <c r="G850" t="s">
        <v>66</v>
      </c>
      <c r="H850" t="s">
        <v>105</v>
      </c>
      <c r="I850" t="s">
        <v>280</v>
      </c>
      <c r="J850" t="s">
        <v>38</v>
      </c>
      <c r="K850">
        <v>16</v>
      </c>
      <c r="L850" s="3">
        <v>8.4027777777777785E-2</v>
      </c>
      <c r="M850" t="s">
        <v>39</v>
      </c>
      <c r="O850">
        <f>IF(Table13[[#This Row],[Goal_assist]]="",1,0)</f>
        <v>1</v>
      </c>
    </row>
    <row r="851" spans="1:15" x14ac:dyDescent="0.35">
      <c r="A851" t="s">
        <v>64</v>
      </c>
      <c r="B851" t="s">
        <v>279</v>
      </c>
      <c r="C851" t="s">
        <v>223</v>
      </c>
      <c r="D851" t="s">
        <v>46</v>
      </c>
      <c r="E851" s="2">
        <v>42227</v>
      </c>
      <c r="F851" t="s">
        <v>16</v>
      </c>
      <c r="G851" t="s">
        <v>66</v>
      </c>
      <c r="H851" t="s">
        <v>105</v>
      </c>
      <c r="I851" t="s">
        <v>280</v>
      </c>
      <c r="J851" t="s">
        <v>38</v>
      </c>
      <c r="K851">
        <v>7</v>
      </c>
      <c r="L851" s="3">
        <v>4.2361111111111113E-2</v>
      </c>
      <c r="M851" t="s">
        <v>39</v>
      </c>
      <c r="O851">
        <f>IF(Table13[[#This Row],[Goal_assist]]="",1,0)</f>
        <v>1</v>
      </c>
    </row>
    <row r="852" spans="1:15" x14ac:dyDescent="0.35">
      <c r="A852" t="s">
        <v>64</v>
      </c>
      <c r="B852" t="s">
        <v>279</v>
      </c>
      <c r="C852" t="s">
        <v>172</v>
      </c>
      <c r="D852" t="s">
        <v>173</v>
      </c>
      <c r="E852" s="2">
        <v>42233</v>
      </c>
      <c r="F852" t="s">
        <v>16</v>
      </c>
      <c r="G852" t="s">
        <v>66</v>
      </c>
      <c r="H852" t="s">
        <v>86</v>
      </c>
      <c r="I852" s="3">
        <v>4.2361111111111113E-2</v>
      </c>
      <c r="J852" t="s">
        <v>38</v>
      </c>
      <c r="K852">
        <v>43</v>
      </c>
      <c r="L852" s="3">
        <v>4.1666666666666664E-2</v>
      </c>
      <c r="M852" t="s">
        <v>31</v>
      </c>
      <c r="N852" t="s">
        <v>273</v>
      </c>
      <c r="O852">
        <f>IF(Table13[[#This Row],[Goal_assist]]="",1,0)</f>
        <v>0</v>
      </c>
    </row>
    <row r="853" spans="1:15" x14ac:dyDescent="0.35">
      <c r="A853" t="s">
        <v>14</v>
      </c>
      <c r="B853" t="s">
        <v>279</v>
      </c>
      <c r="C853" t="s">
        <v>65</v>
      </c>
      <c r="D853">
        <v>3</v>
      </c>
      <c r="E853" s="2">
        <v>42259</v>
      </c>
      <c r="F853" t="s">
        <v>24</v>
      </c>
      <c r="G853" t="s">
        <v>112</v>
      </c>
      <c r="H853" t="s">
        <v>121</v>
      </c>
      <c r="I853" s="3">
        <v>4.1666666666666666E-3</v>
      </c>
      <c r="J853" t="s">
        <v>19</v>
      </c>
      <c r="K853">
        <v>17</v>
      </c>
      <c r="L853" s="3">
        <v>1.3888888888888889E-3</v>
      </c>
      <c r="M853" t="s">
        <v>83</v>
      </c>
      <c r="O853">
        <f>IF(Table13[[#This Row],[Goal_assist]]="",1,0)</f>
        <v>1</v>
      </c>
    </row>
    <row r="854" spans="1:15" x14ac:dyDescent="0.35">
      <c r="A854" t="s">
        <v>14</v>
      </c>
      <c r="B854" t="s">
        <v>279</v>
      </c>
      <c r="C854" t="s">
        <v>65</v>
      </c>
      <c r="D854">
        <v>3</v>
      </c>
      <c r="E854" s="2">
        <v>42259</v>
      </c>
      <c r="F854" t="s">
        <v>24</v>
      </c>
      <c r="G854" t="s">
        <v>112</v>
      </c>
      <c r="H854" t="s">
        <v>121</v>
      </c>
      <c r="I854" s="3">
        <v>4.1666666666666666E-3</v>
      </c>
      <c r="J854" t="s">
        <v>19</v>
      </c>
      <c r="K854">
        <v>81</v>
      </c>
      <c r="L854" s="3">
        <v>4.1666666666666666E-3</v>
      </c>
      <c r="M854" t="s">
        <v>26</v>
      </c>
      <c r="N854" t="s">
        <v>281</v>
      </c>
      <c r="O854">
        <f>IF(Table13[[#This Row],[Goal_assist]]="",1,0)</f>
        <v>0</v>
      </c>
    </row>
    <row r="855" spans="1:15" x14ac:dyDescent="0.35">
      <c r="A855" t="s">
        <v>14</v>
      </c>
      <c r="B855" t="s">
        <v>279</v>
      </c>
      <c r="C855" t="s">
        <v>65</v>
      </c>
      <c r="D855">
        <v>3</v>
      </c>
      <c r="E855" s="2">
        <v>42259</v>
      </c>
      <c r="F855" t="s">
        <v>24</v>
      </c>
      <c r="G855" t="s">
        <v>112</v>
      </c>
      <c r="H855" t="s">
        <v>121</v>
      </c>
      <c r="I855" s="3">
        <v>4.1666666666666666E-3</v>
      </c>
      <c r="J855" t="s">
        <v>19</v>
      </c>
      <c r="K855">
        <v>62</v>
      </c>
      <c r="L855" s="3">
        <v>3.472222222222222E-3</v>
      </c>
      <c r="M855" t="s">
        <v>26</v>
      </c>
      <c r="N855" t="s">
        <v>261</v>
      </c>
      <c r="O855">
        <f>IF(Table13[[#This Row],[Goal_assist]]="",1,0)</f>
        <v>0</v>
      </c>
    </row>
    <row r="856" spans="1:15" x14ac:dyDescent="0.35">
      <c r="A856" t="s">
        <v>14</v>
      </c>
      <c r="B856" t="s">
        <v>279</v>
      </c>
      <c r="C856" t="s">
        <v>65</v>
      </c>
      <c r="D856">
        <v>3</v>
      </c>
      <c r="E856" s="2">
        <v>42259</v>
      </c>
      <c r="F856" t="s">
        <v>24</v>
      </c>
      <c r="G856" t="s">
        <v>112</v>
      </c>
      <c r="H856" t="s">
        <v>121</v>
      </c>
      <c r="I856" s="3">
        <v>4.1666666666666666E-3</v>
      </c>
      <c r="J856" t="s">
        <v>19</v>
      </c>
      <c r="K856">
        <v>20</v>
      </c>
      <c r="L856" s="3">
        <v>2.0833333333333333E-3</v>
      </c>
      <c r="M856" t="s">
        <v>31</v>
      </c>
      <c r="N856" t="s">
        <v>261</v>
      </c>
      <c r="O856">
        <f>IF(Table13[[#This Row],[Goal_assist]]="",1,0)</f>
        <v>0</v>
      </c>
    </row>
    <row r="857" spans="1:15" x14ac:dyDescent="0.35">
      <c r="A857" t="s">
        <v>14</v>
      </c>
      <c r="B857" t="s">
        <v>279</v>
      </c>
      <c r="C857" t="s">
        <v>65</v>
      </c>
      <c r="D857">
        <v>3</v>
      </c>
      <c r="E857" s="2">
        <v>42259</v>
      </c>
      <c r="F857" t="s">
        <v>24</v>
      </c>
      <c r="G857" t="s">
        <v>112</v>
      </c>
      <c r="H857" t="s">
        <v>121</v>
      </c>
      <c r="I857" s="3">
        <v>4.1666666666666666E-3</v>
      </c>
      <c r="J857" t="s">
        <v>19</v>
      </c>
      <c r="K857">
        <v>7</v>
      </c>
      <c r="L857" s="3">
        <v>6.9444444444444447E-4</v>
      </c>
      <c r="M857" t="s">
        <v>26</v>
      </c>
      <c r="N857" t="s">
        <v>250</v>
      </c>
      <c r="O857">
        <f>IF(Table13[[#This Row],[Goal_assist]]="",1,0)</f>
        <v>0</v>
      </c>
    </row>
    <row r="858" spans="1:15" x14ac:dyDescent="0.35">
      <c r="A858" t="s">
        <v>64</v>
      </c>
      <c r="B858" t="s">
        <v>279</v>
      </c>
      <c r="C858" t="s">
        <v>65</v>
      </c>
      <c r="D858">
        <v>3</v>
      </c>
      <c r="E858" s="2">
        <v>42259</v>
      </c>
      <c r="F858" t="s">
        <v>24</v>
      </c>
      <c r="G858" t="s">
        <v>66</v>
      </c>
      <c r="H858" t="s">
        <v>119</v>
      </c>
      <c r="I858" s="3">
        <v>4.3055555555555555E-2</v>
      </c>
      <c r="J858" t="s">
        <v>38</v>
      </c>
      <c r="K858">
        <v>77</v>
      </c>
      <c r="L858" s="3">
        <v>4.3055555555555555E-2</v>
      </c>
      <c r="M858" t="s">
        <v>31</v>
      </c>
      <c r="N858" t="s">
        <v>273</v>
      </c>
      <c r="O858">
        <f>IF(Table13[[#This Row],[Goal_assist]]="",1,0)</f>
        <v>0</v>
      </c>
    </row>
    <row r="859" spans="1:15" x14ac:dyDescent="0.35">
      <c r="A859" t="s">
        <v>14</v>
      </c>
      <c r="B859" t="s">
        <v>279</v>
      </c>
      <c r="C859" t="s">
        <v>75</v>
      </c>
      <c r="D859" t="s">
        <v>76</v>
      </c>
      <c r="E859" s="2">
        <v>42262</v>
      </c>
      <c r="F859" t="s">
        <v>16</v>
      </c>
      <c r="G859" t="s">
        <v>112</v>
      </c>
      <c r="H859" t="s">
        <v>152</v>
      </c>
      <c r="I859" s="3">
        <v>0.16666666666666666</v>
      </c>
      <c r="J859" t="s">
        <v>19</v>
      </c>
      <c r="K859">
        <v>64</v>
      </c>
      <c r="L859" s="3">
        <v>0.125</v>
      </c>
      <c r="M859" t="s">
        <v>83</v>
      </c>
      <c r="O859">
        <f>IF(Table13[[#This Row],[Goal_assist]]="",1,0)</f>
        <v>1</v>
      </c>
    </row>
    <row r="860" spans="1:15" x14ac:dyDescent="0.35">
      <c r="A860" t="s">
        <v>14</v>
      </c>
      <c r="B860" t="s">
        <v>279</v>
      </c>
      <c r="C860" t="s">
        <v>75</v>
      </c>
      <c r="D860" t="s">
        <v>76</v>
      </c>
      <c r="E860" s="2">
        <v>42262</v>
      </c>
      <c r="F860" t="s">
        <v>16</v>
      </c>
      <c r="G860" t="s">
        <v>112</v>
      </c>
      <c r="H860" t="s">
        <v>152</v>
      </c>
      <c r="I860" s="3">
        <v>0.16666666666666666</v>
      </c>
      <c r="J860" t="s">
        <v>19</v>
      </c>
      <c r="K860">
        <v>56</v>
      </c>
      <c r="L860" s="3">
        <v>8.3333333333333329E-2</v>
      </c>
      <c r="M860" t="s">
        <v>83</v>
      </c>
      <c r="O860">
        <f>IF(Table13[[#This Row],[Goal_assist]]="",1,0)</f>
        <v>1</v>
      </c>
    </row>
    <row r="861" spans="1:15" x14ac:dyDescent="0.35">
      <c r="A861" t="s">
        <v>14</v>
      </c>
      <c r="B861" t="s">
        <v>279</v>
      </c>
      <c r="C861" t="s">
        <v>75</v>
      </c>
      <c r="D861" t="s">
        <v>76</v>
      </c>
      <c r="E861" s="2">
        <v>42262</v>
      </c>
      <c r="F861" t="s">
        <v>16</v>
      </c>
      <c r="G861" t="s">
        <v>112</v>
      </c>
      <c r="H861" t="s">
        <v>152</v>
      </c>
      <c r="I861" s="3">
        <v>0.16666666666666666</v>
      </c>
      <c r="J861" t="s">
        <v>19</v>
      </c>
      <c r="K861">
        <v>82</v>
      </c>
      <c r="L861" s="3">
        <v>0.16666666666666666</v>
      </c>
      <c r="M861" t="s">
        <v>22</v>
      </c>
      <c r="O861">
        <f>IF(Table13[[#This Row],[Goal_assist]]="",1,0)</f>
        <v>1</v>
      </c>
    </row>
    <row r="862" spans="1:15" x14ac:dyDescent="0.35">
      <c r="A862" t="s">
        <v>64</v>
      </c>
      <c r="B862" t="s">
        <v>279</v>
      </c>
      <c r="C862" t="s">
        <v>65</v>
      </c>
      <c r="D862">
        <v>4</v>
      </c>
      <c r="E862" s="2">
        <v>42267</v>
      </c>
      <c r="F862" t="s">
        <v>16</v>
      </c>
      <c r="G862" t="s">
        <v>66</v>
      </c>
      <c r="H862" t="s">
        <v>127</v>
      </c>
      <c r="I862" s="3">
        <v>0.1673611111111111</v>
      </c>
      <c r="J862" t="s">
        <v>282</v>
      </c>
      <c r="K862">
        <v>61</v>
      </c>
      <c r="L862" s="3">
        <v>0.125</v>
      </c>
      <c r="M862" t="s">
        <v>83</v>
      </c>
      <c r="O862">
        <f>IF(Table13[[#This Row],[Goal_assist]]="",1,0)</f>
        <v>1</v>
      </c>
    </row>
    <row r="863" spans="1:15" x14ac:dyDescent="0.35">
      <c r="A863" t="s">
        <v>64</v>
      </c>
      <c r="B863" t="s">
        <v>279</v>
      </c>
      <c r="C863" t="s">
        <v>65</v>
      </c>
      <c r="D863">
        <v>4</v>
      </c>
      <c r="E863" s="2">
        <v>42267</v>
      </c>
      <c r="F863" t="s">
        <v>16</v>
      </c>
      <c r="G863" t="s">
        <v>66</v>
      </c>
      <c r="H863" t="s">
        <v>127</v>
      </c>
      <c r="I863" s="3">
        <v>0.1673611111111111</v>
      </c>
      <c r="J863" t="s">
        <v>282</v>
      </c>
      <c r="K863">
        <v>90</v>
      </c>
      <c r="L863" s="3">
        <v>0.1673611111111111</v>
      </c>
      <c r="M863" t="s">
        <v>31</v>
      </c>
      <c r="N863" t="s">
        <v>271</v>
      </c>
      <c r="O863">
        <f>IF(Table13[[#This Row],[Goal_assist]]="",1,0)</f>
        <v>0</v>
      </c>
    </row>
    <row r="864" spans="1:15" x14ac:dyDescent="0.35">
      <c r="A864" t="s">
        <v>14</v>
      </c>
      <c r="B864" t="s">
        <v>279</v>
      </c>
      <c r="C864" t="s">
        <v>75</v>
      </c>
      <c r="D864" t="s">
        <v>76</v>
      </c>
      <c r="E864" s="2">
        <v>42277</v>
      </c>
      <c r="F864" t="s">
        <v>24</v>
      </c>
      <c r="G864" t="s">
        <v>112</v>
      </c>
      <c r="H864" t="s">
        <v>283</v>
      </c>
      <c r="I864" s="3">
        <v>1.3888888888888889E-3</v>
      </c>
      <c r="J864" t="s">
        <v>249</v>
      </c>
      <c r="K864">
        <v>90</v>
      </c>
      <c r="L864" s="3">
        <v>1.3888888888888889E-3</v>
      </c>
      <c r="M864" t="s">
        <v>31</v>
      </c>
      <c r="N864" t="s">
        <v>281</v>
      </c>
      <c r="O864">
        <f>IF(Table13[[#This Row],[Goal_assist]]="",1,0)</f>
        <v>0</v>
      </c>
    </row>
    <row r="865" spans="1:15" x14ac:dyDescent="0.35">
      <c r="A865" t="s">
        <v>14</v>
      </c>
      <c r="B865" t="s">
        <v>279</v>
      </c>
      <c r="C865" t="s">
        <v>75</v>
      </c>
      <c r="D865" t="s">
        <v>76</v>
      </c>
      <c r="E865" s="2">
        <v>42277</v>
      </c>
      <c r="F865" t="s">
        <v>24</v>
      </c>
      <c r="G865" t="s">
        <v>112</v>
      </c>
      <c r="H865" t="s">
        <v>283</v>
      </c>
      <c r="I865" s="3">
        <v>1.3888888888888889E-3</v>
      </c>
      <c r="J865" t="s">
        <v>249</v>
      </c>
      <c r="K865">
        <v>29</v>
      </c>
      <c r="L865" s="3">
        <v>6.9444444444444447E-4</v>
      </c>
      <c r="M865" t="s">
        <v>26</v>
      </c>
      <c r="N865" t="s">
        <v>257</v>
      </c>
      <c r="O865">
        <f>IF(Table13[[#This Row],[Goal_assist]]="",1,0)</f>
        <v>0</v>
      </c>
    </row>
    <row r="866" spans="1:15" x14ac:dyDescent="0.35">
      <c r="A866" t="s">
        <v>14</v>
      </c>
      <c r="B866" t="s">
        <v>279</v>
      </c>
      <c r="C866" t="s">
        <v>65</v>
      </c>
      <c r="D866">
        <v>8</v>
      </c>
      <c r="E866" s="2">
        <v>42294</v>
      </c>
      <c r="F866" t="s">
        <v>16</v>
      </c>
      <c r="G866" t="s">
        <v>112</v>
      </c>
      <c r="H866" t="s">
        <v>127</v>
      </c>
      <c r="I866" s="3">
        <v>0.125</v>
      </c>
      <c r="J866" t="s">
        <v>68</v>
      </c>
      <c r="K866">
        <v>30</v>
      </c>
      <c r="L866" s="3">
        <v>8.3333333333333329E-2</v>
      </c>
      <c r="M866" t="s">
        <v>26</v>
      </c>
      <c r="N866" t="s">
        <v>277</v>
      </c>
      <c r="O866">
        <f>IF(Table13[[#This Row],[Goal_assist]]="",1,0)</f>
        <v>0</v>
      </c>
    </row>
    <row r="867" spans="1:15" x14ac:dyDescent="0.35">
      <c r="A867" t="s">
        <v>14</v>
      </c>
      <c r="B867" t="s">
        <v>279</v>
      </c>
      <c r="C867" t="s">
        <v>65</v>
      </c>
      <c r="D867">
        <v>9</v>
      </c>
      <c r="E867" s="2">
        <v>42301</v>
      </c>
      <c r="F867" t="s">
        <v>24</v>
      </c>
      <c r="G867" t="s">
        <v>112</v>
      </c>
      <c r="H867" t="s">
        <v>98</v>
      </c>
      <c r="I867" s="3">
        <v>4.3749999999999997E-2</v>
      </c>
      <c r="J867" t="s">
        <v>68</v>
      </c>
      <c r="K867">
        <v>8</v>
      </c>
      <c r="L867" s="3">
        <v>6.9444444444444447E-4</v>
      </c>
      <c r="M867" t="s">
        <v>26</v>
      </c>
      <c r="N867" t="s">
        <v>281</v>
      </c>
      <c r="O867">
        <f>IF(Table13[[#This Row],[Goal_assist]]="",1,0)</f>
        <v>0</v>
      </c>
    </row>
    <row r="868" spans="1:15" x14ac:dyDescent="0.35">
      <c r="A868" t="s">
        <v>14</v>
      </c>
      <c r="B868" t="s">
        <v>279</v>
      </c>
      <c r="C868" t="s">
        <v>65</v>
      </c>
      <c r="D868">
        <v>10</v>
      </c>
      <c r="E868" s="2">
        <v>42308</v>
      </c>
      <c r="F868" t="s">
        <v>16</v>
      </c>
      <c r="G868" t="s">
        <v>112</v>
      </c>
      <c r="H868" t="s">
        <v>284</v>
      </c>
      <c r="I868" s="3">
        <v>0.12569444444444444</v>
      </c>
      <c r="J868" t="s">
        <v>68</v>
      </c>
      <c r="K868">
        <v>14</v>
      </c>
      <c r="L868" s="3">
        <v>8.3333333333333329E-2</v>
      </c>
      <c r="M868" t="s">
        <v>22</v>
      </c>
      <c r="N868" t="s">
        <v>201</v>
      </c>
      <c r="O868">
        <f>IF(Table13[[#This Row],[Goal_assist]]="",1,0)</f>
        <v>0</v>
      </c>
    </row>
    <row r="869" spans="1:15" x14ac:dyDescent="0.35">
      <c r="A869" t="s">
        <v>64</v>
      </c>
      <c r="B869" t="s">
        <v>279</v>
      </c>
      <c r="C869" t="s">
        <v>75</v>
      </c>
      <c r="D869" t="s">
        <v>76</v>
      </c>
      <c r="E869" s="2">
        <v>42332</v>
      </c>
      <c r="F869" t="s">
        <v>16</v>
      </c>
      <c r="G869" t="s">
        <v>66</v>
      </c>
      <c r="H869" t="s">
        <v>116</v>
      </c>
      <c r="I869" s="3">
        <v>0.25069444444444444</v>
      </c>
      <c r="J869" t="s">
        <v>275</v>
      </c>
      <c r="K869">
        <v>60</v>
      </c>
      <c r="L869" s="3">
        <v>0.20833333333333334</v>
      </c>
      <c r="M869" t="s">
        <v>55</v>
      </c>
      <c r="O869">
        <f>IF(Table13[[#This Row],[Goal_assist]]="",1,0)</f>
        <v>1</v>
      </c>
    </row>
    <row r="870" spans="1:15" x14ac:dyDescent="0.35">
      <c r="A870" t="s">
        <v>64</v>
      </c>
      <c r="B870" t="s">
        <v>279</v>
      </c>
      <c r="C870" t="s">
        <v>75</v>
      </c>
      <c r="D870" t="s">
        <v>76</v>
      </c>
      <c r="E870" s="2">
        <v>42332</v>
      </c>
      <c r="F870" t="s">
        <v>16</v>
      </c>
      <c r="G870" t="s">
        <v>66</v>
      </c>
      <c r="H870" t="s">
        <v>116</v>
      </c>
      <c r="I870" s="3">
        <v>0.25069444444444444</v>
      </c>
      <c r="J870" t="s">
        <v>275</v>
      </c>
      <c r="K870">
        <v>18</v>
      </c>
      <c r="L870" s="3">
        <v>8.3333333333333329E-2</v>
      </c>
      <c r="M870" t="s">
        <v>31</v>
      </c>
      <c r="N870" t="s">
        <v>273</v>
      </c>
      <c r="O870">
        <f>IF(Table13[[#This Row],[Goal_assist]]="",1,0)</f>
        <v>0</v>
      </c>
    </row>
    <row r="871" spans="1:15" x14ac:dyDescent="0.35">
      <c r="A871" t="s">
        <v>14</v>
      </c>
      <c r="B871" t="s">
        <v>279</v>
      </c>
      <c r="C871" t="s">
        <v>75</v>
      </c>
      <c r="D871" t="s">
        <v>76</v>
      </c>
      <c r="E871" s="2">
        <v>42333</v>
      </c>
      <c r="F871" t="s">
        <v>24</v>
      </c>
      <c r="G871" t="s">
        <v>112</v>
      </c>
      <c r="H871" t="s">
        <v>152</v>
      </c>
      <c r="I871" s="3">
        <v>0.12777777777777777</v>
      </c>
      <c r="J871" t="s">
        <v>68</v>
      </c>
      <c r="K871">
        <v>70</v>
      </c>
      <c r="L871" s="3">
        <v>2.7777777777777779E-3</v>
      </c>
      <c r="M871" t="s">
        <v>26</v>
      </c>
      <c r="N871" t="s">
        <v>261</v>
      </c>
      <c r="O871">
        <f>IF(Table13[[#This Row],[Goal_assist]]="",1,0)</f>
        <v>0</v>
      </c>
    </row>
    <row r="872" spans="1:15" x14ac:dyDescent="0.35">
      <c r="A872" t="s">
        <v>14</v>
      </c>
      <c r="B872" t="s">
        <v>279</v>
      </c>
      <c r="C872" t="s">
        <v>75</v>
      </c>
      <c r="D872" t="s">
        <v>76</v>
      </c>
      <c r="E872" s="2">
        <v>42333</v>
      </c>
      <c r="F872" t="s">
        <v>24</v>
      </c>
      <c r="G872" t="s">
        <v>112</v>
      </c>
      <c r="H872" t="s">
        <v>152</v>
      </c>
      <c r="I872" s="3">
        <v>0.12777777777777777</v>
      </c>
      <c r="J872" t="s">
        <v>68</v>
      </c>
      <c r="K872">
        <v>18</v>
      </c>
      <c r="L872" s="3">
        <v>6.9444444444444447E-4</v>
      </c>
      <c r="M872" t="s">
        <v>22</v>
      </c>
      <c r="N872" t="s">
        <v>261</v>
      </c>
      <c r="O872">
        <f>IF(Table13[[#This Row],[Goal_assist]]="",1,0)</f>
        <v>0</v>
      </c>
    </row>
    <row r="873" spans="1:15" x14ac:dyDescent="0.35">
      <c r="A873" t="s">
        <v>64</v>
      </c>
      <c r="B873" t="s">
        <v>279</v>
      </c>
      <c r="C873" t="s">
        <v>65</v>
      </c>
      <c r="D873">
        <v>13</v>
      </c>
      <c r="E873" s="2">
        <v>42336</v>
      </c>
      <c r="F873" t="s">
        <v>16</v>
      </c>
      <c r="G873" t="s">
        <v>66</v>
      </c>
      <c r="H873" t="s">
        <v>217</v>
      </c>
      <c r="I873" s="3">
        <v>0.16666666666666666</v>
      </c>
      <c r="J873" t="s">
        <v>38</v>
      </c>
      <c r="K873" t="s">
        <v>69</v>
      </c>
      <c r="L873" s="3">
        <v>0.16666666666666666</v>
      </c>
      <c r="M873" t="s">
        <v>31</v>
      </c>
      <c r="N873" t="s">
        <v>256</v>
      </c>
      <c r="O873">
        <f>IF(Table13[[#This Row],[Goal_assist]]="",1,0)</f>
        <v>0</v>
      </c>
    </row>
    <row r="874" spans="1:15" x14ac:dyDescent="0.35">
      <c r="A874" t="s">
        <v>14</v>
      </c>
      <c r="B874" t="s">
        <v>279</v>
      </c>
      <c r="C874" t="s">
        <v>65</v>
      </c>
      <c r="D874">
        <v>13</v>
      </c>
      <c r="E874" s="2">
        <v>42337</v>
      </c>
      <c r="F874" t="s">
        <v>24</v>
      </c>
      <c r="G874" t="s">
        <v>112</v>
      </c>
      <c r="H874" t="s">
        <v>270</v>
      </c>
      <c r="I874" s="3">
        <v>1.3888888888888889E-3</v>
      </c>
      <c r="J874" t="s">
        <v>68</v>
      </c>
      <c r="K874">
        <v>82</v>
      </c>
      <c r="L874" s="3">
        <v>1.3888888888888889E-3</v>
      </c>
      <c r="M874" t="s">
        <v>83</v>
      </c>
      <c r="O874">
        <f>IF(Table13[[#This Row],[Goal_assist]]="",1,0)</f>
        <v>1</v>
      </c>
    </row>
    <row r="875" spans="1:15" x14ac:dyDescent="0.35">
      <c r="A875" t="s">
        <v>14</v>
      </c>
      <c r="B875" t="s">
        <v>279</v>
      </c>
      <c r="C875" t="s">
        <v>65</v>
      </c>
      <c r="D875">
        <v>14</v>
      </c>
      <c r="E875" s="2">
        <v>42343</v>
      </c>
      <c r="F875" t="s">
        <v>16</v>
      </c>
      <c r="G875" t="s">
        <v>112</v>
      </c>
      <c r="H875" t="s">
        <v>117</v>
      </c>
      <c r="I875" s="3">
        <v>0.1673611111111111</v>
      </c>
      <c r="J875" t="s">
        <v>19</v>
      </c>
      <c r="K875">
        <v>38</v>
      </c>
      <c r="L875" s="3">
        <v>0.16666666666666666</v>
      </c>
      <c r="M875" t="s">
        <v>26</v>
      </c>
      <c r="N875" t="s">
        <v>277</v>
      </c>
      <c r="O875">
        <f>IF(Table13[[#This Row],[Goal_assist]]="",1,0)</f>
        <v>0</v>
      </c>
    </row>
    <row r="876" spans="1:15" x14ac:dyDescent="0.35">
      <c r="A876" t="s">
        <v>14</v>
      </c>
      <c r="B876" t="s">
        <v>279</v>
      </c>
      <c r="C876" t="s">
        <v>75</v>
      </c>
      <c r="D876" t="s">
        <v>76</v>
      </c>
      <c r="E876" s="2">
        <v>42346</v>
      </c>
      <c r="F876" t="s">
        <v>16</v>
      </c>
      <c r="G876" t="s">
        <v>112</v>
      </c>
      <c r="H876" t="s">
        <v>283</v>
      </c>
      <c r="I876" s="3">
        <v>0.33333333333333331</v>
      </c>
      <c r="J876" t="s">
        <v>19</v>
      </c>
      <c r="K876">
        <v>59</v>
      </c>
      <c r="L876" s="3">
        <v>0.25</v>
      </c>
      <c r="M876" t="s">
        <v>26</v>
      </c>
      <c r="N876" t="s">
        <v>257</v>
      </c>
      <c r="O876">
        <f>IF(Table13[[#This Row],[Goal_assist]]="",1,0)</f>
        <v>0</v>
      </c>
    </row>
    <row r="877" spans="1:15" x14ac:dyDescent="0.35">
      <c r="A877" t="s">
        <v>14</v>
      </c>
      <c r="B877" t="s">
        <v>279</v>
      </c>
      <c r="C877" t="s">
        <v>75</v>
      </c>
      <c r="D877" t="s">
        <v>76</v>
      </c>
      <c r="E877" s="2">
        <v>42346</v>
      </c>
      <c r="F877" t="s">
        <v>16</v>
      </c>
      <c r="G877" t="s">
        <v>112</v>
      </c>
      <c r="H877" t="s">
        <v>283</v>
      </c>
      <c r="I877" s="3">
        <v>0.33333333333333331</v>
      </c>
      <c r="J877" t="s">
        <v>19</v>
      </c>
      <c r="K877">
        <v>50</v>
      </c>
      <c r="L877" s="3">
        <v>0.20833333333333334</v>
      </c>
      <c r="M877" t="s">
        <v>26</v>
      </c>
      <c r="N877" t="s">
        <v>285</v>
      </c>
      <c r="O877">
        <f>IF(Table13[[#This Row],[Goal_assist]]="",1,0)</f>
        <v>0</v>
      </c>
    </row>
    <row r="878" spans="1:15" x14ac:dyDescent="0.35">
      <c r="A878" t="s">
        <v>14</v>
      </c>
      <c r="B878" t="s">
        <v>279</v>
      </c>
      <c r="C878" t="s">
        <v>75</v>
      </c>
      <c r="D878" t="s">
        <v>76</v>
      </c>
      <c r="E878" s="2">
        <v>42346</v>
      </c>
      <c r="F878" t="s">
        <v>16</v>
      </c>
      <c r="G878" t="s">
        <v>112</v>
      </c>
      <c r="H878" t="s">
        <v>283</v>
      </c>
      <c r="I878" s="3">
        <v>0.33333333333333331</v>
      </c>
      <c r="J878" t="s">
        <v>19</v>
      </c>
      <c r="K878">
        <v>47</v>
      </c>
      <c r="L878" s="3">
        <v>0.16666666666666666</v>
      </c>
      <c r="M878" t="s">
        <v>55</v>
      </c>
      <c r="O878">
        <f>IF(Table13[[#This Row],[Goal_assist]]="",1,0)</f>
        <v>1</v>
      </c>
    </row>
    <row r="879" spans="1:15" x14ac:dyDescent="0.35">
      <c r="A879" t="s">
        <v>14</v>
      </c>
      <c r="B879" t="s">
        <v>279</v>
      </c>
      <c r="C879" t="s">
        <v>75</v>
      </c>
      <c r="D879" t="s">
        <v>76</v>
      </c>
      <c r="E879" s="2">
        <v>42346</v>
      </c>
      <c r="F879" t="s">
        <v>16</v>
      </c>
      <c r="G879" t="s">
        <v>112</v>
      </c>
      <c r="H879" t="s">
        <v>283</v>
      </c>
      <c r="I879" s="3">
        <v>0.33333333333333331</v>
      </c>
      <c r="J879" t="s">
        <v>19</v>
      </c>
      <c r="K879">
        <v>39</v>
      </c>
      <c r="L879" s="3">
        <v>0.125</v>
      </c>
      <c r="M879" t="s">
        <v>39</v>
      </c>
      <c r="O879">
        <f>IF(Table13[[#This Row],[Goal_assist]]="",1,0)</f>
        <v>1</v>
      </c>
    </row>
    <row r="880" spans="1:15" x14ac:dyDescent="0.35">
      <c r="A880" t="s">
        <v>64</v>
      </c>
      <c r="B880" t="s">
        <v>279</v>
      </c>
      <c r="C880" t="s">
        <v>75</v>
      </c>
      <c r="D880" t="s">
        <v>76</v>
      </c>
      <c r="E880" s="2">
        <v>42347</v>
      </c>
      <c r="F880" t="s">
        <v>24</v>
      </c>
      <c r="G880" t="s">
        <v>66</v>
      </c>
      <c r="H880" t="s">
        <v>236</v>
      </c>
      <c r="I880" s="3">
        <v>4.2361111111111113E-2</v>
      </c>
      <c r="J880" t="s">
        <v>251</v>
      </c>
      <c r="K880">
        <v>20</v>
      </c>
      <c r="L880" s="3">
        <v>6.9444444444444447E-4</v>
      </c>
      <c r="M880" t="s">
        <v>26</v>
      </c>
      <c r="N880" t="s">
        <v>276</v>
      </c>
      <c r="O880">
        <f>IF(Table13[[#This Row],[Goal_assist]]="",1,0)</f>
        <v>0</v>
      </c>
    </row>
    <row r="881" spans="1:15" x14ac:dyDescent="0.35">
      <c r="A881" t="s">
        <v>64</v>
      </c>
      <c r="B881" t="s">
        <v>279</v>
      </c>
      <c r="C881" t="s">
        <v>65</v>
      </c>
      <c r="D881">
        <v>15</v>
      </c>
      <c r="E881" s="2">
        <v>42350</v>
      </c>
      <c r="F881" t="s">
        <v>16</v>
      </c>
      <c r="G881" t="s">
        <v>66</v>
      </c>
      <c r="H881" t="s">
        <v>115</v>
      </c>
      <c r="I881" s="3">
        <v>8.4722222222222227E-2</v>
      </c>
      <c r="J881" t="s">
        <v>38</v>
      </c>
      <c r="K881">
        <v>39</v>
      </c>
      <c r="L881" s="3">
        <v>4.1666666666666664E-2</v>
      </c>
      <c r="M881" t="s">
        <v>39</v>
      </c>
      <c r="O881">
        <f>IF(Table13[[#This Row],[Goal_assist]]="",1,0)</f>
        <v>1</v>
      </c>
    </row>
    <row r="882" spans="1:15" x14ac:dyDescent="0.35">
      <c r="A882" t="s">
        <v>14</v>
      </c>
      <c r="B882" t="s">
        <v>279</v>
      </c>
      <c r="C882" t="s">
        <v>65</v>
      </c>
      <c r="D882">
        <v>16</v>
      </c>
      <c r="E882" s="2">
        <v>42358</v>
      </c>
      <c r="F882" t="s">
        <v>16</v>
      </c>
      <c r="G882" t="s">
        <v>112</v>
      </c>
      <c r="H882" t="s">
        <v>225</v>
      </c>
      <c r="I882" s="3">
        <v>0.41805555555555557</v>
      </c>
      <c r="J882" t="s">
        <v>19</v>
      </c>
      <c r="K882">
        <v>54</v>
      </c>
      <c r="L882" s="3">
        <v>0.25138888888888888</v>
      </c>
      <c r="M882" t="s">
        <v>22</v>
      </c>
      <c r="N882" t="s">
        <v>268</v>
      </c>
      <c r="O882">
        <f>IF(Table13[[#This Row],[Goal_assist]]="",1,0)</f>
        <v>0</v>
      </c>
    </row>
    <row r="883" spans="1:15" x14ac:dyDescent="0.35">
      <c r="A883" t="s">
        <v>14</v>
      </c>
      <c r="B883" t="s">
        <v>279</v>
      </c>
      <c r="C883" t="s">
        <v>65</v>
      </c>
      <c r="D883">
        <v>16</v>
      </c>
      <c r="E883" s="2">
        <v>42358</v>
      </c>
      <c r="F883" t="s">
        <v>16</v>
      </c>
      <c r="G883" t="s">
        <v>112</v>
      </c>
      <c r="H883" t="s">
        <v>225</v>
      </c>
      <c r="I883" s="3">
        <v>0.41805555555555557</v>
      </c>
      <c r="J883" t="s">
        <v>19</v>
      </c>
      <c r="K883">
        <v>30</v>
      </c>
      <c r="L883" s="3">
        <v>0.12638888888888888</v>
      </c>
      <c r="M883" t="s">
        <v>83</v>
      </c>
      <c r="O883">
        <f>IF(Table13[[#This Row],[Goal_assist]]="",1,0)</f>
        <v>1</v>
      </c>
    </row>
    <row r="884" spans="1:15" x14ac:dyDescent="0.35">
      <c r="A884" t="s">
        <v>64</v>
      </c>
      <c r="B884" t="s">
        <v>279</v>
      </c>
      <c r="C884" t="s">
        <v>163</v>
      </c>
      <c r="D884" t="s">
        <v>46</v>
      </c>
      <c r="E884" s="2">
        <v>42358</v>
      </c>
      <c r="F884" t="s">
        <v>24</v>
      </c>
      <c r="G884" t="s">
        <v>66</v>
      </c>
      <c r="H884" t="s">
        <v>286</v>
      </c>
      <c r="I884" s="3">
        <v>2.0833333333333333E-3</v>
      </c>
      <c r="J884" t="s">
        <v>38</v>
      </c>
      <c r="K884">
        <v>36</v>
      </c>
      <c r="L884" s="3">
        <v>6.9444444444444447E-4</v>
      </c>
      <c r="M884" t="s">
        <v>31</v>
      </c>
      <c r="N884" t="s">
        <v>256</v>
      </c>
      <c r="O884">
        <f>IF(Table13[[#This Row],[Goal_assist]]="",1,0)</f>
        <v>0</v>
      </c>
    </row>
    <row r="885" spans="1:15" x14ac:dyDescent="0.35">
      <c r="A885" t="s">
        <v>14</v>
      </c>
      <c r="B885" t="s">
        <v>279</v>
      </c>
      <c r="C885" t="s">
        <v>65</v>
      </c>
      <c r="D885">
        <v>17</v>
      </c>
      <c r="E885" s="2">
        <v>42368</v>
      </c>
      <c r="F885" t="s">
        <v>16</v>
      </c>
      <c r="G885" t="s">
        <v>112</v>
      </c>
      <c r="H885" t="s">
        <v>217</v>
      </c>
      <c r="I885" s="3">
        <v>0.12569444444444444</v>
      </c>
      <c r="J885" t="s">
        <v>19</v>
      </c>
      <c r="K885">
        <v>68</v>
      </c>
      <c r="L885" s="3">
        <v>8.4027777777777785E-2</v>
      </c>
      <c r="M885" t="s">
        <v>31</v>
      </c>
      <c r="N885" t="s">
        <v>201</v>
      </c>
      <c r="O885">
        <f>IF(Table13[[#This Row],[Goal_assist]]="",1,0)</f>
        <v>0</v>
      </c>
    </row>
    <row r="886" spans="1:15" x14ac:dyDescent="0.35">
      <c r="A886" t="s">
        <v>14</v>
      </c>
      <c r="B886" t="s">
        <v>279</v>
      </c>
      <c r="C886" t="s">
        <v>65</v>
      </c>
      <c r="D886">
        <v>17</v>
      </c>
      <c r="E886" s="2">
        <v>42368</v>
      </c>
      <c r="F886" t="s">
        <v>16</v>
      </c>
      <c r="G886" t="s">
        <v>112</v>
      </c>
      <c r="H886" t="s">
        <v>217</v>
      </c>
      <c r="I886" s="3">
        <v>0.12569444444444444</v>
      </c>
      <c r="J886" t="s">
        <v>19</v>
      </c>
      <c r="K886">
        <v>42</v>
      </c>
      <c r="L886" s="3">
        <v>4.1666666666666664E-2</v>
      </c>
      <c r="M886" t="s">
        <v>83</v>
      </c>
      <c r="O886">
        <f>IF(Table13[[#This Row],[Goal_assist]]="",1,0)</f>
        <v>1</v>
      </c>
    </row>
    <row r="887" spans="1:15" x14ac:dyDescent="0.35">
      <c r="A887" t="s">
        <v>64</v>
      </c>
      <c r="B887" t="s">
        <v>279</v>
      </c>
      <c r="C887" t="s">
        <v>65</v>
      </c>
      <c r="D887">
        <v>17</v>
      </c>
      <c r="E887" s="2">
        <v>42368</v>
      </c>
      <c r="F887" t="s">
        <v>16</v>
      </c>
      <c r="G887" t="s">
        <v>66</v>
      </c>
      <c r="H887" t="s">
        <v>95</v>
      </c>
      <c r="I887" s="3">
        <v>0.16666666666666666</v>
      </c>
      <c r="J887" t="s">
        <v>275</v>
      </c>
      <c r="K887">
        <v>33</v>
      </c>
      <c r="L887" s="3">
        <v>8.3333333333333329E-2</v>
      </c>
      <c r="M887" t="s">
        <v>26</v>
      </c>
      <c r="N887" t="s">
        <v>256</v>
      </c>
      <c r="O887">
        <f>IF(Table13[[#This Row],[Goal_assist]]="",1,0)</f>
        <v>0</v>
      </c>
    </row>
    <row r="888" spans="1:15" x14ac:dyDescent="0.35">
      <c r="A888" t="s">
        <v>64</v>
      </c>
      <c r="B888" t="s">
        <v>279</v>
      </c>
      <c r="C888" t="s">
        <v>91</v>
      </c>
      <c r="D888" t="s">
        <v>143</v>
      </c>
      <c r="E888" s="2">
        <v>42375</v>
      </c>
      <c r="F888" t="s">
        <v>16</v>
      </c>
      <c r="G888" t="s">
        <v>66</v>
      </c>
      <c r="H888" t="s">
        <v>121</v>
      </c>
      <c r="I888" s="3">
        <v>0.1673611111111111</v>
      </c>
      <c r="J888" t="s">
        <v>38</v>
      </c>
      <c r="K888">
        <v>44</v>
      </c>
      <c r="L888" s="3">
        <v>8.4027777777777785E-2</v>
      </c>
      <c r="M888" t="s">
        <v>39</v>
      </c>
      <c r="O888">
        <f>IF(Table13[[#This Row],[Goal_assist]]="",1,0)</f>
        <v>1</v>
      </c>
    </row>
    <row r="889" spans="1:15" x14ac:dyDescent="0.35">
      <c r="A889" t="s">
        <v>64</v>
      </c>
      <c r="B889" t="s">
        <v>279</v>
      </c>
      <c r="C889" t="s">
        <v>91</v>
      </c>
      <c r="D889" t="s">
        <v>143</v>
      </c>
      <c r="E889" s="2">
        <v>42375</v>
      </c>
      <c r="F889" t="s">
        <v>16</v>
      </c>
      <c r="G889" t="s">
        <v>66</v>
      </c>
      <c r="H889" t="s">
        <v>121</v>
      </c>
      <c r="I889" s="3">
        <v>0.1673611111111111</v>
      </c>
      <c r="J889" t="s">
        <v>38</v>
      </c>
      <c r="K889">
        <v>13</v>
      </c>
      <c r="L889" s="3">
        <v>4.2361111111111113E-2</v>
      </c>
      <c r="M889" t="s">
        <v>31</v>
      </c>
      <c r="N889" t="s">
        <v>99</v>
      </c>
      <c r="O889">
        <f>IF(Table13[[#This Row],[Goal_assist]]="",1,0)</f>
        <v>0</v>
      </c>
    </row>
    <row r="890" spans="1:15" x14ac:dyDescent="0.35">
      <c r="A890" t="s">
        <v>64</v>
      </c>
      <c r="B890" t="s">
        <v>279</v>
      </c>
      <c r="C890" t="s">
        <v>65</v>
      </c>
      <c r="D890">
        <v>19</v>
      </c>
      <c r="E890" s="2">
        <v>42378</v>
      </c>
      <c r="F890" t="s">
        <v>16</v>
      </c>
      <c r="G890" t="s">
        <v>66</v>
      </c>
      <c r="H890" t="s">
        <v>233</v>
      </c>
      <c r="I890" s="3">
        <v>0.16666666666666666</v>
      </c>
      <c r="J890" t="s">
        <v>275</v>
      </c>
      <c r="K890">
        <v>8</v>
      </c>
      <c r="L890" s="3">
        <v>4.1666666666666664E-2</v>
      </c>
      <c r="M890" t="s">
        <v>31</v>
      </c>
      <c r="N890" t="s">
        <v>287</v>
      </c>
      <c r="O890">
        <f>IF(Table13[[#This Row],[Goal_assist]]="",1,0)</f>
        <v>0</v>
      </c>
    </row>
    <row r="891" spans="1:15" x14ac:dyDescent="0.35">
      <c r="A891" t="s">
        <v>64</v>
      </c>
      <c r="B891" t="s">
        <v>279</v>
      </c>
      <c r="C891" t="s">
        <v>65</v>
      </c>
      <c r="D891">
        <v>19</v>
      </c>
      <c r="E891" s="2">
        <v>42378</v>
      </c>
      <c r="F891" t="s">
        <v>16</v>
      </c>
      <c r="G891" t="s">
        <v>66</v>
      </c>
      <c r="H891" t="s">
        <v>233</v>
      </c>
      <c r="I891" s="3">
        <v>0.16666666666666666</v>
      </c>
      <c r="J891" t="s">
        <v>275</v>
      </c>
      <c r="K891">
        <v>58</v>
      </c>
      <c r="L891" s="3">
        <v>0.125</v>
      </c>
      <c r="M891" t="s">
        <v>55</v>
      </c>
      <c r="O891">
        <f>IF(Table13[[#This Row],[Goal_assist]]="",1,0)</f>
        <v>1</v>
      </c>
    </row>
    <row r="892" spans="1:15" x14ac:dyDescent="0.35">
      <c r="A892" t="s">
        <v>64</v>
      </c>
      <c r="B892" t="s">
        <v>279</v>
      </c>
      <c r="C892" t="s">
        <v>65</v>
      </c>
      <c r="D892">
        <v>19</v>
      </c>
      <c r="E892" s="2">
        <v>42378</v>
      </c>
      <c r="F892" t="s">
        <v>16</v>
      </c>
      <c r="G892" t="s">
        <v>66</v>
      </c>
      <c r="H892" t="s">
        <v>233</v>
      </c>
      <c r="I892" s="3">
        <v>0.16666666666666666</v>
      </c>
      <c r="J892" t="s">
        <v>275</v>
      </c>
      <c r="K892">
        <v>14</v>
      </c>
      <c r="L892" s="3">
        <v>8.3333333333333329E-2</v>
      </c>
      <c r="M892" t="s">
        <v>31</v>
      </c>
      <c r="N892" t="s">
        <v>273</v>
      </c>
      <c r="O892">
        <f>IF(Table13[[#This Row],[Goal_assist]]="",1,0)</f>
        <v>0</v>
      </c>
    </row>
    <row r="893" spans="1:15" x14ac:dyDescent="0.35">
      <c r="A893" t="s">
        <v>14</v>
      </c>
      <c r="B893" t="s">
        <v>279</v>
      </c>
      <c r="C893" t="s">
        <v>65</v>
      </c>
      <c r="D893">
        <v>20</v>
      </c>
      <c r="E893" s="2">
        <v>42386</v>
      </c>
      <c r="F893" t="s">
        <v>16</v>
      </c>
      <c r="G893" t="s">
        <v>112</v>
      </c>
      <c r="H893" t="s">
        <v>151</v>
      </c>
      <c r="I893" s="3">
        <v>0.20902777777777778</v>
      </c>
      <c r="J893" t="s">
        <v>19</v>
      </c>
      <c r="K893">
        <v>18</v>
      </c>
      <c r="L893" s="3">
        <v>0.16666666666666666</v>
      </c>
      <c r="M893" t="s">
        <v>31</v>
      </c>
      <c r="N893" t="s">
        <v>262</v>
      </c>
      <c r="O893">
        <f>IF(Table13[[#This Row],[Goal_assist]]="",1,0)</f>
        <v>0</v>
      </c>
    </row>
    <row r="894" spans="1:15" x14ac:dyDescent="0.35">
      <c r="A894" t="s">
        <v>14</v>
      </c>
      <c r="B894" t="s">
        <v>279</v>
      </c>
      <c r="C894" t="s">
        <v>65</v>
      </c>
      <c r="D894">
        <v>20</v>
      </c>
      <c r="E894" s="2">
        <v>42386</v>
      </c>
      <c r="F894" t="s">
        <v>16</v>
      </c>
      <c r="G894" t="s">
        <v>112</v>
      </c>
      <c r="H894" t="s">
        <v>151</v>
      </c>
      <c r="I894" s="3">
        <v>0.20902777777777778</v>
      </c>
      <c r="J894" t="s">
        <v>19</v>
      </c>
      <c r="K894">
        <v>9</v>
      </c>
      <c r="L894" s="3">
        <v>8.3333333333333329E-2</v>
      </c>
      <c r="M894" t="s">
        <v>31</v>
      </c>
      <c r="N894" t="s">
        <v>183</v>
      </c>
      <c r="O894">
        <f>IF(Table13[[#This Row],[Goal_assist]]="",1,0)</f>
        <v>0</v>
      </c>
    </row>
    <row r="895" spans="1:15" x14ac:dyDescent="0.35">
      <c r="A895" t="s">
        <v>64</v>
      </c>
      <c r="B895" t="s">
        <v>279</v>
      </c>
      <c r="C895" t="s">
        <v>65</v>
      </c>
      <c r="D895">
        <v>20</v>
      </c>
      <c r="E895" s="2">
        <v>42386</v>
      </c>
      <c r="F895" t="s">
        <v>16</v>
      </c>
      <c r="G895" t="s">
        <v>66</v>
      </c>
      <c r="H895" t="s">
        <v>86</v>
      </c>
      <c r="I895" s="3">
        <v>0.25</v>
      </c>
      <c r="J895" t="s">
        <v>38</v>
      </c>
      <c r="K895">
        <v>7</v>
      </c>
      <c r="L895" s="3">
        <v>4.1666666666666664E-2</v>
      </c>
      <c r="M895" t="s">
        <v>83</v>
      </c>
      <c r="O895">
        <f>IF(Table13[[#This Row],[Goal_assist]]="",1,0)</f>
        <v>1</v>
      </c>
    </row>
    <row r="896" spans="1:15" x14ac:dyDescent="0.35">
      <c r="A896" t="s">
        <v>64</v>
      </c>
      <c r="B896" t="s">
        <v>279</v>
      </c>
      <c r="C896" t="s">
        <v>65</v>
      </c>
      <c r="D896">
        <v>21</v>
      </c>
      <c r="E896" s="2">
        <v>42392</v>
      </c>
      <c r="F896" t="s">
        <v>24</v>
      </c>
      <c r="G896" t="s">
        <v>66</v>
      </c>
      <c r="H896" t="s">
        <v>157</v>
      </c>
      <c r="I896" s="3">
        <v>4.3055555555555555E-2</v>
      </c>
      <c r="J896" t="s">
        <v>38</v>
      </c>
      <c r="K896">
        <v>51</v>
      </c>
      <c r="L896" s="3">
        <v>4.3055555555555555E-2</v>
      </c>
      <c r="M896" t="s">
        <v>31</v>
      </c>
      <c r="N896" t="s">
        <v>215</v>
      </c>
      <c r="O896">
        <f>IF(Table13[[#This Row],[Goal_assist]]="",1,0)</f>
        <v>0</v>
      </c>
    </row>
    <row r="897" spans="1:15" x14ac:dyDescent="0.35">
      <c r="A897" t="s">
        <v>64</v>
      </c>
      <c r="B897" t="s">
        <v>279</v>
      </c>
      <c r="C897" t="s">
        <v>65</v>
      </c>
      <c r="D897">
        <v>22</v>
      </c>
      <c r="E897" s="2">
        <v>42399</v>
      </c>
      <c r="F897" t="s">
        <v>16</v>
      </c>
      <c r="G897" t="s">
        <v>66</v>
      </c>
      <c r="H897" t="s">
        <v>119</v>
      </c>
      <c r="I897" s="3">
        <v>8.4027777777777785E-2</v>
      </c>
      <c r="J897" t="s">
        <v>38</v>
      </c>
      <c r="K897">
        <v>30</v>
      </c>
      <c r="L897" s="3">
        <v>4.2361111111111113E-2</v>
      </c>
      <c r="M897" t="s">
        <v>31</v>
      </c>
      <c r="N897" t="s">
        <v>243</v>
      </c>
      <c r="O897">
        <f>IF(Table13[[#This Row],[Goal_assist]]="",1,0)</f>
        <v>0</v>
      </c>
    </row>
    <row r="898" spans="1:15" x14ac:dyDescent="0.35">
      <c r="A898" t="s">
        <v>14</v>
      </c>
      <c r="B898" t="s">
        <v>279</v>
      </c>
      <c r="C898" t="s">
        <v>65</v>
      </c>
      <c r="D898">
        <v>22</v>
      </c>
      <c r="E898" s="2">
        <v>42400</v>
      </c>
      <c r="F898" t="s">
        <v>16</v>
      </c>
      <c r="G898" t="s">
        <v>112</v>
      </c>
      <c r="H898" t="s">
        <v>121</v>
      </c>
      <c r="I898" s="3">
        <v>0.25</v>
      </c>
      <c r="J898" t="s">
        <v>19</v>
      </c>
      <c r="K898">
        <v>82</v>
      </c>
      <c r="L898" s="3">
        <v>0.20833333333333334</v>
      </c>
      <c r="M898" t="s">
        <v>22</v>
      </c>
      <c r="N898" t="s">
        <v>288</v>
      </c>
      <c r="O898">
        <f>IF(Table13[[#This Row],[Goal_assist]]="",1,0)</f>
        <v>0</v>
      </c>
    </row>
    <row r="899" spans="1:15" x14ac:dyDescent="0.35">
      <c r="A899" t="s">
        <v>14</v>
      </c>
      <c r="B899" t="s">
        <v>279</v>
      </c>
      <c r="C899" t="s">
        <v>65</v>
      </c>
      <c r="D899">
        <v>22</v>
      </c>
      <c r="E899" s="2">
        <v>42400</v>
      </c>
      <c r="F899" t="s">
        <v>16</v>
      </c>
      <c r="G899" t="s">
        <v>112</v>
      </c>
      <c r="H899" t="s">
        <v>121</v>
      </c>
      <c r="I899" s="3">
        <v>0.25</v>
      </c>
      <c r="J899" t="s">
        <v>19</v>
      </c>
      <c r="K899">
        <v>12</v>
      </c>
      <c r="L899" s="3">
        <v>8.3333333333333329E-2</v>
      </c>
      <c r="M899" t="s">
        <v>83</v>
      </c>
      <c r="O899">
        <f>IF(Table13[[#This Row],[Goal_assist]]="",1,0)</f>
        <v>1</v>
      </c>
    </row>
    <row r="900" spans="1:15" x14ac:dyDescent="0.35">
      <c r="A900" t="s">
        <v>14</v>
      </c>
      <c r="B900" t="s">
        <v>279</v>
      </c>
      <c r="C900" t="s">
        <v>65</v>
      </c>
      <c r="D900">
        <v>22</v>
      </c>
      <c r="E900" s="2">
        <v>42400</v>
      </c>
      <c r="F900" t="s">
        <v>16</v>
      </c>
      <c r="G900" t="s">
        <v>112</v>
      </c>
      <c r="H900" t="s">
        <v>121</v>
      </c>
      <c r="I900" s="3">
        <v>0.25</v>
      </c>
      <c r="J900" t="s">
        <v>19</v>
      </c>
      <c r="K900">
        <v>45</v>
      </c>
      <c r="L900" s="3">
        <v>0.16666666666666666</v>
      </c>
      <c r="M900" t="s">
        <v>31</v>
      </c>
      <c r="O900">
        <f>IF(Table13[[#This Row],[Goal_assist]]="",1,0)</f>
        <v>1</v>
      </c>
    </row>
    <row r="901" spans="1:15" x14ac:dyDescent="0.35">
      <c r="A901" t="s">
        <v>64</v>
      </c>
      <c r="B901" t="s">
        <v>279</v>
      </c>
      <c r="C901" t="s">
        <v>91</v>
      </c>
      <c r="D901" t="s">
        <v>62</v>
      </c>
      <c r="E901" s="2">
        <v>42403</v>
      </c>
      <c r="F901" t="s">
        <v>16</v>
      </c>
      <c r="G901" t="s">
        <v>66</v>
      </c>
      <c r="H901" t="s">
        <v>148</v>
      </c>
      <c r="I901" s="3">
        <v>0.29166666666666669</v>
      </c>
      <c r="J901" t="s">
        <v>38</v>
      </c>
      <c r="K901">
        <v>59</v>
      </c>
      <c r="L901" s="3">
        <v>0.16666666666666666</v>
      </c>
      <c r="M901" t="s">
        <v>31</v>
      </c>
      <c r="N901" t="s">
        <v>273</v>
      </c>
      <c r="O901">
        <f>IF(Table13[[#This Row],[Goal_assist]]="",1,0)</f>
        <v>0</v>
      </c>
    </row>
    <row r="902" spans="1:15" x14ac:dyDescent="0.35">
      <c r="A902" t="s">
        <v>64</v>
      </c>
      <c r="B902" t="s">
        <v>279</v>
      </c>
      <c r="C902" t="s">
        <v>91</v>
      </c>
      <c r="D902" t="s">
        <v>62</v>
      </c>
      <c r="E902" s="2">
        <v>42403</v>
      </c>
      <c r="F902" t="s">
        <v>16</v>
      </c>
      <c r="G902" t="s">
        <v>66</v>
      </c>
      <c r="H902" t="s">
        <v>148</v>
      </c>
      <c r="I902" s="3">
        <v>0.29166666666666669</v>
      </c>
      <c r="J902" t="s">
        <v>38</v>
      </c>
      <c r="K902">
        <v>74</v>
      </c>
      <c r="L902" s="3">
        <v>0.20833333333333334</v>
      </c>
      <c r="M902" t="s">
        <v>31</v>
      </c>
      <c r="O902">
        <f>IF(Table13[[#This Row],[Goal_assist]]="",1,0)</f>
        <v>1</v>
      </c>
    </row>
    <row r="903" spans="1:15" x14ac:dyDescent="0.35">
      <c r="A903" t="s">
        <v>64</v>
      </c>
      <c r="B903" t="s">
        <v>279</v>
      </c>
      <c r="C903" t="s">
        <v>91</v>
      </c>
      <c r="D903" t="s">
        <v>62</v>
      </c>
      <c r="E903" s="2">
        <v>42403</v>
      </c>
      <c r="F903" t="s">
        <v>16</v>
      </c>
      <c r="G903" t="s">
        <v>66</v>
      </c>
      <c r="H903" t="s">
        <v>148</v>
      </c>
      <c r="I903" s="3">
        <v>0.29166666666666669</v>
      </c>
      <c r="J903" t="s">
        <v>38</v>
      </c>
      <c r="K903">
        <v>29</v>
      </c>
      <c r="L903" s="3">
        <v>0.125</v>
      </c>
      <c r="M903" t="s">
        <v>31</v>
      </c>
      <c r="N903" t="s">
        <v>256</v>
      </c>
      <c r="O903">
        <f>IF(Table13[[#This Row],[Goal_assist]]="",1,0)</f>
        <v>0</v>
      </c>
    </row>
    <row r="904" spans="1:15" x14ac:dyDescent="0.35">
      <c r="A904" t="s">
        <v>14</v>
      </c>
      <c r="B904" t="s">
        <v>279</v>
      </c>
      <c r="C904" t="s">
        <v>65</v>
      </c>
      <c r="D904">
        <v>24</v>
      </c>
      <c r="E904" s="2">
        <v>42413</v>
      </c>
      <c r="F904" t="s">
        <v>16</v>
      </c>
      <c r="G904" t="s">
        <v>112</v>
      </c>
      <c r="H904" t="s">
        <v>86</v>
      </c>
      <c r="I904" s="3">
        <v>0.16805555555555557</v>
      </c>
      <c r="J904" t="s">
        <v>19</v>
      </c>
      <c r="K904">
        <v>87</v>
      </c>
      <c r="L904" s="3">
        <v>0.1673611111111111</v>
      </c>
      <c r="M904" t="s">
        <v>26</v>
      </c>
      <c r="N904" t="s">
        <v>281</v>
      </c>
      <c r="O904">
        <f>IF(Table13[[#This Row],[Goal_assist]]="",1,0)</f>
        <v>0</v>
      </c>
    </row>
    <row r="905" spans="1:15" x14ac:dyDescent="0.35">
      <c r="A905" t="s">
        <v>14</v>
      </c>
      <c r="B905" t="s">
        <v>279</v>
      </c>
      <c r="C905" t="s">
        <v>65</v>
      </c>
      <c r="D905">
        <v>24</v>
      </c>
      <c r="E905" s="2">
        <v>42413</v>
      </c>
      <c r="F905" t="s">
        <v>16</v>
      </c>
      <c r="G905" t="s">
        <v>112</v>
      </c>
      <c r="H905" t="s">
        <v>86</v>
      </c>
      <c r="I905" s="3">
        <v>0.16805555555555557</v>
      </c>
      <c r="J905" t="s">
        <v>19</v>
      </c>
      <c r="K905">
        <v>3</v>
      </c>
      <c r="L905" s="3">
        <v>4.1666666666666664E-2</v>
      </c>
      <c r="M905" t="s">
        <v>26</v>
      </c>
      <c r="N905" t="s">
        <v>183</v>
      </c>
      <c r="O905">
        <f>IF(Table13[[#This Row],[Goal_assist]]="",1,0)</f>
        <v>0</v>
      </c>
    </row>
    <row r="906" spans="1:15" x14ac:dyDescent="0.35">
      <c r="A906" t="s">
        <v>64</v>
      </c>
      <c r="B906" t="s">
        <v>279</v>
      </c>
      <c r="C906" t="s">
        <v>65</v>
      </c>
      <c r="D906">
        <v>24</v>
      </c>
      <c r="E906" s="2">
        <v>42414</v>
      </c>
      <c r="F906" t="s">
        <v>16</v>
      </c>
      <c r="G906" t="s">
        <v>66</v>
      </c>
      <c r="H906" t="s">
        <v>98</v>
      </c>
      <c r="I906" s="3">
        <v>0.25069444444444444</v>
      </c>
      <c r="J906" t="s">
        <v>38</v>
      </c>
      <c r="K906">
        <v>28</v>
      </c>
      <c r="L906" s="3">
        <v>4.1666666666666664E-2</v>
      </c>
      <c r="M906" t="s">
        <v>39</v>
      </c>
      <c r="O906">
        <f>IF(Table13[[#This Row],[Goal_assist]]="",1,0)</f>
        <v>1</v>
      </c>
    </row>
    <row r="907" spans="1:15" x14ac:dyDescent="0.35">
      <c r="A907" t="s">
        <v>64</v>
      </c>
      <c r="B907" t="s">
        <v>279</v>
      </c>
      <c r="C907" t="s">
        <v>65</v>
      </c>
      <c r="D907">
        <v>16</v>
      </c>
      <c r="E907" s="2">
        <v>42417</v>
      </c>
      <c r="F907" t="s">
        <v>24</v>
      </c>
      <c r="G907" t="s">
        <v>66</v>
      </c>
      <c r="H907" t="s">
        <v>151</v>
      </c>
      <c r="I907" s="3">
        <v>4.3749999999999997E-2</v>
      </c>
      <c r="J907" t="s">
        <v>275</v>
      </c>
      <c r="K907">
        <v>25</v>
      </c>
      <c r="L907" s="3">
        <v>6.9444444444444447E-4</v>
      </c>
      <c r="M907" t="s">
        <v>31</v>
      </c>
      <c r="N907" t="s">
        <v>273</v>
      </c>
      <c r="O907">
        <f>IF(Table13[[#This Row],[Goal_assist]]="",1,0)</f>
        <v>0</v>
      </c>
    </row>
    <row r="908" spans="1:15" x14ac:dyDescent="0.35">
      <c r="A908" t="s">
        <v>64</v>
      </c>
      <c r="B908" t="s">
        <v>279</v>
      </c>
      <c r="C908" t="s">
        <v>65</v>
      </c>
      <c r="D908">
        <v>16</v>
      </c>
      <c r="E908" s="2">
        <v>42417</v>
      </c>
      <c r="F908" t="s">
        <v>24</v>
      </c>
      <c r="G908" t="s">
        <v>66</v>
      </c>
      <c r="H908" t="s">
        <v>151</v>
      </c>
      <c r="I908" s="3">
        <v>4.3749999999999997E-2</v>
      </c>
      <c r="J908" t="s">
        <v>275</v>
      </c>
      <c r="K908">
        <v>31</v>
      </c>
      <c r="L908" s="3">
        <v>4.3055555555555555E-2</v>
      </c>
      <c r="M908" t="s">
        <v>31</v>
      </c>
      <c r="N908" t="s">
        <v>273</v>
      </c>
      <c r="O908">
        <f>IF(Table13[[#This Row],[Goal_assist]]="",1,0)</f>
        <v>0</v>
      </c>
    </row>
    <row r="909" spans="1:15" x14ac:dyDescent="0.35">
      <c r="A909" t="s">
        <v>14</v>
      </c>
      <c r="B909" t="s">
        <v>279</v>
      </c>
      <c r="C909" t="s">
        <v>75</v>
      </c>
      <c r="D909" t="s">
        <v>143</v>
      </c>
      <c r="E909" s="2">
        <v>42417</v>
      </c>
      <c r="F909" t="s">
        <v>24</v>
      </c>
      <c r="G909" t="s">
        <v>112</v>
      </c>
      <c r="H909" t="s">
        <v>116</v>
      </c>
      <c r="I909" s="3">
        <v>1.3888888888888889E-3</v>
      </c>
      <c r="J909" t="s">
        <v>19</v>
      </c>
      <c r="K909">
        <v>57</v>
      </c>
      <c r="L909" s="3">
        <v>6.9444444444444447E-4</v>
      </c>
      <c r="M909" t="s">
        <v>26</v>
      </c>
      <c r="N909" t="s">
        <v>201</v>
      </c>
      <c r="O909">
        <f>IF(Table13[[#This Row],[Goal_assist]]="",1,0)</f>
        <v>0</v>
      </c>
    </row>
    <row r="910" spans="1:15" x14ac:dyDescent="0.35">
      <c r="A910" t="s">
        <v>14</v>
      </c>
      <c r="B910" t="s">
        <v>279</v>
      </c>
      <c r="C910" t="s">
        <v>65</v>
      </c>
      <c r="D910">
        <v>25</v>
      </c>
      <c r="E910" s="2">
        <v>42421</v>
      </c>
      <c r="F910" t="s">
        <v>24</v>
      </c>
      <c r="G910" t="s">
        <v>112</v>
      </c>
      <c r="H910" t="s">
        <v>157</v>
      </c>
      <c r="I910" s="3">
        <v>4.2361111111111113E-2</v>
      </c>
      <c r="J910" t="s">
        <v>19</v>
      </c>
      <c r="K910">
        <v>33</v>
      </c>
      <c r="L910" s="3">
        <v>6.9444444444444447E-4</v>
      </c>
      <c r="M910" t="s">
        <v>22</v>
      </c>
      <c r="N910" t="s">
        <v>277</v>
      </c>
      <c r="O910">
        <f>IF(Table13[[#This Row],[Goal_assist]]="",1,0)</f>
        <v>0</v>
      </c>
    </row>
    <row r="911" spans="1:15" x14ac:dyDescent="0.35">
      <c r="A911" t="s">
        <v>64</v>
      </c>
      <c r="B911" t="s">
        <v>279</v>
      </c>
      <c r="C911" t="s">
        <v>75</v>
      </c>
      <c r="D911" t="s">
        <v>143</v>
      </c>
      <c r="E911" s="2">
        <v>42423</v>
      </c>
      <c r="F911" t="s">
        <v>24</v>
      </c>
      <c r="G911" t="s">
        <v>66</v>
      </c>
      <c r="H911" t="s">
        <v>54</v>
      </c>
      <c r="I911" s="3">
        <v>1.3888888888888889E-3</v>
      </c>
      <c r="J911" t="s">
        <v>38</v>
      </c>
      <c r="K911">
        <v>71</v>
      </c>
      <c r="L911" s="3">
        <v>6.9444444444444447E-4</v>
      </c>
      <c r="M911" t="s">
        <v>31</v>
      </c>
      <c r="N911" t="s">
        <v>256</v>
      </c>
      <c r="O911">
        <f>IF(Table13[[#This Row],[Goal_assist]]="",1,0)</f>
        <v>0</v>
      </c>
    </row>
    <row r="912" spans="1:15" x14ac:dyDescent="0.35">
      <c r="A912" t="s">
        <v>64</v>
      </c>
      <c r="B912" t="s">
        <v>279</v>
      </c>
      <c r="C912" t="s">
        <v>75</v>
      </c>
      <c r="D912" t="s">
        <v>143</v>
      </c>
      <c r="E912" s="2">
        <v>42423</v>
      </c>
      <c r="F912" t="s">
        <v>24</v>
      </c>
      <c r="G912" t="s">
        <v>66</v>
      </c>
      <c r="H912" t="s">
        <v>54</v>
      </c>
      <c r="I912" s="3">
        <v>1.3888888888888889E-3</v>
      </c>
      <c r="J912" t="s">
        <v>38</v>
      </c>
      <c r="K912">
        <v>83</v>
      </c>
      <c r="L912" s="3">
        <v>1.3888888888888889E-3</v>
      </c>
      <c r="M912" t="s">
        <v>83</v>
      </c>
      <c r="O912">
        <f>IF(Table13[[#This Row],[Goal_assist]]="",1,0)</f>
        <v>1</v>
      </c>
    </row>
    <row r="913" spans="1:15" x14ac:dyDescent="0.35">
      <c r="A913" t="s">
        <v>64</v>
      </c>
      <c r="B913" t="s">
        <v>279</v>
      </c>
      <c r="C913" t="s">
        <v>65</v>
      </c>
      <c r="D913">
        <v>26</v>
      </c>
      <c r="E913" s="2">
        <v>42428</v>
      </c>
      <c r="F913" t="s">
        <v>16</v>
      </c>
      <c r="G913" t="s">
        <v>66</v>
      </c>
      <c r="H913" t="s">
        <v>105</v>
      </c>
      <c r="I913" s="3">
        <v>8.4027777777777785E-2</v>
      </c>
      <c r="J913" t="s">
        <v>275</v>
      </c>
      <c r="K913">
        <v>31</v>
      </c>
      <c r="L913" s="3">
        <v>4.2361111111111113E-2</v>
      </c>
      <c r="M913" t="s">
        <v>39</v>
      </c>
      <c r="O913">
        <f>IF(Table13[[#This Row],[Goal_assist]]="",1,0)</f>
        <v>1</v>
      </c>
    </row>
    <row r="914" spans="1:15" x14ac:dyDescent="0.35">
      <c r="A914" t="s">
        <v>14</v>
      </c>
      <c r="B914" t="s">
        <v>279</v>
      </c>
      <c r="C914" t="s">
        <v>65</v>
      </c>
      <c r="D914">
        <v>27</v>
      </c>
      <c r="E914" s="2">
        <v>42431</v>
      </c>
      <c r="F914" t="s">
        <v>24</v>
      </c>
      <c r="G914" t="s">
        <v>112</v>
      </c>
      <c r="H914" t="s">
        <v>127</v>
      </c>
      <c r="I914" s="3">
        <v>4.3749999999999997E-2</v>
      </c>
      <c r="J914" t="s">
        <v>19</v>
      </c>
      <c r="K914">
        <v>34</v>
      </c>
      <c r="L914" s="3">
        <v>6.9444444444444447E-4</v>
      </c>
      <c r="M914" t="s">
        <v>83</v>
      </c>
      <c r="O914">
        <f>IF(Table13[[#This Row],[Goal_assist]]="",1,0)</f>
        <v>1</v>
      </c>
    </row>
    <row r="915" spans="1:15" x14ac:dyDescent="0.35">
      <c r="A915" t="s">
        <v>64</v>
      </c>
      <c r="B915" t="s">
        <v>279</v>
      </c>
      <c r="C915" t="s">
        <v>65</v>
      </c>
      <c r="D915">
        <v>27</v>
      </c>
      <c r="E915" s="2">
        <v>42432</v>
      </c>
      <c r="F915" t="s">
        <v>24</v>
      </c>
      <c r="G915" t="s">
        <v>66</v>
      </c>
      <c r="H915" t="s">
        <v>225</v>
      </c>
      <c r="I915" s="3">
        <v>4.5138888888888888E-2</v>
      </c>
      <c r="J915" t="s">
        <v>38</v>
      </c>
      <c r="K915">
        <v>72</v>
      </c>
      <c r="L915" s="3">
        <v>4.4444444444444446E-2</v>
      </c>
      <c r="M915" t="s">
        <v>31</v>
      </c>
      <c r="N915" t="s">
        <v>222</v>
      </c>
      <c r="O915">
        <f>IF(Table13[[#This Row],[Goal_assist]]="",1,0)</f>
        <v>0</v>
      </c>
    </row>
    <row r="916" spans="1:15" x14ac:dyDescent="0.35">
      <c r="A916" t="s">
        <v>64</v>
      </c>
      <c r="B916" t="s">
        <v>279</v>
      </c>
      <c r="C916" t="s">
        <v>65</v>
      </c>
      <c r="D916">
        <v>27</v>
      </c>
      <c r="E916" s="2">
        <v>42432</v>
      </c>
      <c r="F916" t="s">
        <v>24</v>
      </c>
      <c r="G916" t="s">
        <v>66</v>
      </c>
      <c r="H916" t="s">
        <v>225</v>
      </c>
      <c r="I916" s="3">
        <v>4.5138888888888888E-2</v>
      </c>
      <c r="J916" t="s">
        <v>38</v>
      </c>
      <c r="K916">
        <v>53</v>
      </c>
      <c r="L916" s="3">
        <v>2.0833333333333333E-3</v>
      </c>
      <c r="M916" t="s">
        <v>31</v>
      </c>
      <c r="O916">
        <f>IF(Table13[[#This Row],[Goal_assist]]="",1,0)</f>
        <v>1</v>
      </c>
    </row>
    <row r="917" spans="1:15" x14ac:dyDescent="0.35">
      <c r="A917" t="s">
        <v>64</v>
      </c>
      <c r="B917" t="s">
        <v>279</v>
      </c>
      <c r="C917" t="s">
        <v>65</v>
      </c>
      <c r="D917">
        <v>27</v>
      </c>
      <c r="E917" s="2">
        <v>42432</v>
      </c>
      <c r="F917" t="s">
        <v>24</v>
      </c>
      <c r="G917" t="s">
        <v>66</v>
      </c>
      <c r="H917" t="s">
        <v>225</v>
      </c>
      <c r="I917" s="3">
        <v>4.5138888888888888E-2</v>
      </c>
      <c r="J917" t="s">
        <v>38</v>
      </c>
      <c r="K917">
        <v>23</v>
      </c>
      <c r="L917" s="3">
        <v>1.3888888888888889E-3</v>
      </c>
      <c r="M917" t="s">
        <v>31</v>
      </c>
      <c r="N917" t="s">
        <v>256</v>
      </c>
      <c r="O917">
        <f>IF(Table13[[#This Row],[Goal_assist]]="",1,0)</f>
        <v>0</v>
      </c>
    </row>
    <row r="918" spans="1:15" x14ac:dyDescent="0.35">
      <c r="A918" t="s">
        <v>14</v>
      </c>
      <c r="B918" t="s">
        <v>279</v>
      </c>
      <c r="C918" t="s">
        <v>65</v>
      </c>
      <c r="D918">
        <v>28</v>
      </c>
      <c r="E918" s="2">
        <v>42434</v>
      </c>
      <c r="F918" t="s">
        <v>16</v>
      </c>
      <c r="G918" t="s">
        <v>112</v>
      </c>
      <c r="H918" t="s">
        <v>98</v>
      </c>
      <c r="I918" s="3">
        <v>0.29236111111111113</v>
      </c>
      <c r="J918" t="s">
        <v>19</v>
      </c>
      <c r="K918">
        <v>50</v>
      </c>
      <c r="L918" s="3">
        <v>8.3333333333333329E-2</v>
      </c>
      <c r="M918" t="s">
        <v>170</v>
      </c>
      <c r="N918" t="s">
        <v>202</v>
      </c>
      <c r="O918">
        <f>IF(Table13[[#This Row],[Goal_assist]]="",1,0)</f>
        <v>0</v>
      </c>
    </row>
    <row r="919" spans="1:15" x14ac:dyDescent="0.35">
      <c r="A919" t="s">
        <v>14</v>
      </c>
      <c r="B919" t="s">
        <v>279</v>
      </c>
      <c r="C919" t="s">
        <v>65</v>
      </c>
      <c r="D919">
        <v>28</v>
      </c>
      <c r="E919" s="2">
        <v>42434</v>
      </c>
      <c r="F919" t="s">
        <v>16</v>
      </c>
      <c r="G919" t="s">
        <v>112</v>
      </c>
      <c r="H919" t="s">
        <v>98</v>
      </c>
      <c r="I919" s="3">
        <v>0.29236111111111113</v>
      </c>
      <c r="J919" t="s">
        <v>19</v>
      </c>
      <c r="K919">
        <v>58</v>
      </c>
      <c r="L919" s="3">
        <v>0.125</v>
      </c>
      <c r="M919" t="s">
        <v>39</v>
      </c>
      <c r="O919">
        <f>IF(Table13[[#This Row],[Goal_assist]]="",1,0)</f>
        <v>1</v>
      </c>
    </row>
    <row r="920" spans="1:15" x14ac:dyDescent="0.35">
      <c r="A920" t="s">
        <v>14</v>
      </c>
      <c r="B920" t="s">
        <v>279</v>
      </c>
      <c r="C920" t="s">
        <v>65</v>
      </c>
      <c r="D920">
        <v>28</v>
      </c>
      <c r="E920" s="2">
        <v>42434</v>
      </c>
      <c r="F920" t="s">
        <v>16</v>
      </c>
      <c r="G920" t="s">
        <v>112</v>
      </c>
      <c r="H920" t="s">
        <v>98</v>
      </c>
      <c r="I920" s="3">
        <v>0.29236111111111113</v>
      </c>
      <c r="J920" t="s">
        <v>19</v>
      </c>
      <c r="K920">
        <v>64</v>
      </c>
      <c r="L920" s="3">
        <v>0.1673611111111111</v>
      </c>
      <c r="M920" t="s">
        <v>26</v>
      </c>
      <c r="N920" t="s">
        <v>257</v>
      </c>
      <c r="O920">
        <f>IF(Table13[[#This Row],[Goal_assist]]="",1,0)</f>
        <v>0</v>
      </c>
    </row>
    <row r="921" spans="1:15" x14ac:dyDescent="0.35">
      <c r="A921" t="s">
        <v>14</v>
      </c>
      <c r="B921" t="s">
        <v>279</v>
      </c>
      <c r="C921" t="s">
        <v>65</v>
      </c>
      <c r="D921">
        <v>28</v>
      </c>
      <c r="E921" s="2">
        <v>42434</v>
      </c>
      <c r="F921" t="s">
        <v>16</v>
      </c>
      <c r="G921" t="s">
        <v>112</v>
      </c>
      <c r="H921" t="s">
        <v>98</v>
      </c>
      <c r="I921" s="3">
        <v>0.29236111111111113</v>
      </c>
      <c r="J921" t="s">
        <v>19</v>
      </c>
      <c r="K921">
        <v>76</v>
      </c>
      <c r="L921" s="3">
        <v>0.20902777777777778</v>
      </c>
      <c r="M921" t="s">
        <v>22</v>
      </c>
      <c r="N921" t="s">
        <v>288</v>
      </c>
      <c r="O921">
        <f>IF(Table13[[#This Row],[Goal_assist]]="",1,0)</f>
        <v>0</v>
      </c>
    </row>
    <row r="922" spans="1:15" x14ac:dyDescent="0.35">
      <c r="A922" t="s">
        <v>64</v>
      </c>
      <c r="B922" t="s">
        <v>279</v>
      </c>
      <c r="C922" t="s">
        <v>65</v>
      </c>
      <c r="D922">
        <v>28</v>
      </c>
      <c r="E922" s="2">
        <v>42435</v>
      </c>
      <c r="F922" t="s">
        <v>24</v>
      </c>
      <c r="G922" t="s">
        <v>66</v>
      </c>
      <c r="H922" t="s">
        <v>270</v>
      </c>
      <c r="I922" s="3">
        <v>2.7777777777777779E-3</v>
      </c>
      <c r="J922" t="s">
        <v>275</v>
      </c>
      <c r="K922">
        <v>42</v>
      </c>
      <c r="L922" s="3">
        <v>1.3888888888888889E-3</v>
      </c>
      <c r="M922" t="s">
        <v>31</v>
      </c>
      <c r="N922" t="s">
        <v>289</v>
      </c>
      <c r="O922">
        <f>IF(Table13[[#This Row],[Goal_assist]]="",1,0)</f>
        <v>0</v>
      </c>
    </row>
    <row r="923" spans="1:15" x14ac:dyDescent="0.35">
      <c r="A923" t="s">
        <v>64</v>
      </c>
      <c r="B923" t="s">
        <v>279</v>
      </c>
      <c r="C923" t="s">
        <v>65</v>
      </c>
      <c r="D923">
        <v>28</v>
      </c>
      <c r="E923" s="2">
        <v>42435</v>
      </c>
      <c r="F923" t="s">
        <v>24</v>
      </c>
      <c r="G923" t="s">
        <v>66</v>
      </c>
      <c r="H923" t="s">
        <v>270</v>
      </c>
      <c r="I923" s="3">
        <v>2.7777777777777779E-3</v>
      </c>
      <c r="J923" t="s">
        <v>275</v>
      </c>
      <c r="K923">
        <v>76</v>
      </c>
      <c r="L923" s="3">
        <v>2.0833333333333333E-3</v>
      </c>
      <c r="M923" t="s">
        <v>83</v>
      </c>
      <c r="O923">
        <f>IF(Table13[[#This Row],[Goal_assist]]="",1,0)</f>
        <v>1</v>
      </c>
    </row>
    <row r="924" spans="1:15" x14ac:dyDescent="0.35">
      <c r="A924" t="s">
        <v>14</v>
      </c>
      <c r="B924" t="s">
        <v>279</v>
      </c>
      <c r="C924" t="s">
        <v>75</v>
      </c>
      <c r="D924" t="s">
        <v>143</v>
      </c>
      <c r="E924" s="2">
        <v>42437</v>
      </c>
      <c r="F924" t="s">
        <v>16</v>
      </c>
      <c r="G924" t="s">
        <v>112</v>
      </c>
      <c r="H924" t="s">
        <v>116</v>
      </c>
      <c r="I924" s="3">
        <v>8.3333333333333329E-2</v>
      </c>
      <c r="J924" t="s">
        <v>68</v>
      </c>
      <c r="K924">
        <v>64</v>
      </c>
      <c r="L924" s="3">
        <v>4.1666666666666664E-2</v>
      </c>
      <c r="M924" t="s">
        <v>26</v>
      </c>
      <c r="N924" t="s">
        <v>281</v>
      </c>
      <c r="O924">
        <f>IF(Table13[[#This Row],[Goal_assist]]="",1,0)</f>
        <v>0</v>
      </c>
    </row>
    <row r="925" spans="1:15" x14ac:dyDescent="0.35">
      <c r="A925" t="s">
        <v>64</v>
      </c>
      <c r="B925" t="s">
        <v>279</v>
      </c>
      <c r="C925" t="s">
        <v>65</v>
      </c>
      <c r="D925">
        <v>29</v>
      </c>
      <c r="E925" s="2">
        <v>42441</v>
      </c>
      <c r="F925" t="s">
        <v>16</v>
      </c>
      <c r="G925" t="s">
        <v>66</v>
      </c>
      <c r="H925" t="s">
        <v>117</v>
      </c>
      <c r="I925" s="3">
        <v>0.25</v>
      </c>
      <c r="J925" t="s">
        <v>68</v>
      </c>
      <c r="K925">
        <v>41</v>
      </c>
      <c r="L925" s="3">
        <v>0.16666666666666666</v>
      </c>
      <c r="M925" t="s">
        <v>31</v>
      </c>
      <c r="N925" t="s">
        <v>287</v>
      </c>
      <c r="O925">
        <f>IF(Table13[[#This Row],[Goal_assist]]="",1,0)</f>
        <v>0</v>
      </c>
    </row>
    <row r="926" spans="1:15" x14ac:dyDescent="0.35">
      <c r="A926" t="s">
        <v>64</v>
      </c>
      <c r="B926" t="s">
        <v>279</v>
      </c>
      <c r="C926" t="s">
        <v>75</v>
      </c>
      <c r="D926" t="s">
        <v>143</v>
      </c>
      <c r="E926" s="2">
        <v>42445</v>
      </c>
      <c r="F926" t="s">
        <v>16</v>
      </c>
      <c r="G926" t="s">
        <v>66</v>
      </c>
      <c r="H926" t="s">
        <v>54</v>
      </c>
      <c r="I926" s="3">
        <v>0.12569444444444444</v>
      </c>
      <c r="J926" t="s">
        <v>38</v>
      </c>
      <c r="K926">
        <v>86</v>
      </c>
      <c r="L926" s="3">
        <v>0.12569444444444444</v>
      </c>
      <c r="M926" t="s">
        <v>31</v>
      </c>
      <c r="N926" t="s">
        <v>256</v>
      </c>
      <c r="O926">
        <f>IF(Table13[[#This Row],[Goal_assist]]="",1,0)</f>
        <v>0</v>
      </c>
    </row>
    <row r="927" spans="1:15" x14ac:dyDescent="0.35">
      <c r="A927" t="s">
        <v>14</v>
      </c>
      <c r="B927" t="s">
        <v>279</v>
      </c>
      <c r="C927" t="s">
        <v>65</v>
      </c>
      <c r="D927">
        <v>30</v>
      </c>
      <c r="E927" s="2">
        <v>42449</v>
      </c>
      <c r="F927" t="s">
        <v>16</v>
      </c>
      <c r="G927" t="s">
        <v>112</v>
      </c>
      <c r="H927" t="s">
        <v>105</v>
      </c>
      <c r="I927" s="3">
        <v>0.16666666666666666</v>
      </c>
      <c r="J927" t="s">
        <v>19</v>
      </c>
      <c r="K927">
        <v>64</v>
      </c>
      <c r="L927" s="3">
        <v>8.3333333333333329E-2</v>
      </c>
      <c r="M927" t="s">
        <v>31</v>
      </c>
      <c r="N927" t="s">
        <v>285</v>
      </c>
      <c r="O927">
        <f>IF(Table13[[#This Row],[Goal_assist]]="",1,0)</f>
        <v>0</v>
      </c>
    </row>
    <row r="928" spans="1:15" x14ac:dyDescent="0.35">
      <c r="A928" t="s">
        <v>14</v>
      </c>
      <c r="B928" t="s">
        <v>279</v>
      </c>
      <c r="C928" t="s">
        <v>65</v>
      </c>
      <c r="D928">
        <v>31</v>
      </c>
      <c r="E928" s="2">
        <v>42462</v>
      </c>
      <c r="F928" t="s">
        <v>24</v>
      </c>
      <c r="G928" t="s">
        <v>112</v>
      </c>
      <c r="H928" t="s">
        <v>66</v>
      </c>
      <c r="I928" s="3">
        <v>4.3055555555555555E-2</v>
      </c>
      <c r="J928" t="s">
        <v>19</v>
      </c>
      <c r="K928">
        <v>85</v>
      </c>
      <c r="L928" s="3">
        <v>4.3055555555555555E-2</v>
      </c>
      <c r="M928" t="s">
        <v>26</v>
      </c>
      <c r="N928" t="s">
        <v>261</v>
      </c>
      <c r="O928">
        <f>IF(Table13[[#This Row],[Goal_assist]]="",1,0)</f>
        <v>0</v>
      </c>
    </row>
    <row r="929" spans="1:15" x14ac:dyDescent="0.35">
      <c r="A929" t="s">
        <v>14</v>
      </c>
      <c r="B929" t="s">
        <v>279</v>
      </c>
      <c r="C929" t="s">
        <v>65</v>
      </c>
      <c r="D929">
        <v>32</v>
      </c>
      <c r="E929" s="2">
        <v>42469</v>
      </c>
      <c r="F929" t="s">
        <v>16</v>
      </c>
      <c r="G929" t="s">
        <v>112</v>
      </c>
      <c r="H929" t="s">
        <v>270</v>
      </c>
      <c r="I929" s="3">
        <v>0.16666666666666666</v>
      </c>
      <c r="J929" t="s">
        <v>68</v>
      </c>
      <c r="K929">
        <v>19</v>
      </c>
      <c r="L929" s="3">
        <v>0.125</v>
      </c>
      <c r="M929" t="s">
        <v>26</v>
      </c>
      <c r="N929" t="s">
        <v>288</v>
      </c>
      <c r="O929">
        <f>IF(Table13[[#This Row],[Goal_assist]]="",1,0)</f>
        <v>0</v>
      </c>
    </row>
    <row r="930" spans="1:15" x14ac:dyDescent="0.35">
      <c r="A930" t="s">
        <v>14</v>
      </c>
      <c r="B930" t="s">
        <v>279</v>
      </c>
      <c r="C930" t="s">
        <v>75</v>
      </c>
      <c r="D930" t="s">
        <v>92</v>
      </c>
      <c r="E930" s="2">
        <v>42472</v>
      </c>
      <c r="F930" t="s">
        <v>16</v>
      </c>
      <c r="G930" t="s">
        <v>112</v>
      </c>
      <c r="H930" t="s">
        <v>290</v>
      </c>
      <c r="I930" s="3">
        <v>0.125</v>
      </c>
      <c r="J930" t="s">
        <v>19</v>
      </c>
      <c r="K930">
        <v>17</v>
      </c>
      <c r="L930" s="3">
        <v>8.3333333333333329E-2</v>
      </c>
      <c r="M930" t="s">
        <v>22</v>
      </c>
      <c r="N930" t="s">
        <v>277</v>
      </c>
      <c r="O930">
        <f>IF(Table13[[#This Row],[Goal_assist]]="",1,0)</f>
        <v>0</v>
      </c>
    </row>
    <row r="931" spans="1:15" x14ac:dyDescent="0.35">
      <c r="A931" t="s">
        <v>14</v>
      </c>
      <c r="B931" t="s">
        <v>279</v>
      </c>
      <c r="C931" t="s">
        <v>75</v>
      </c>
      <c r="D931" t="s">
        <v>92</v>
      </c>
      <c r="E931" s="2">
        <v>42472</v>
      </c>
      <c r="F931" t="s">
        <v>16</v>
      </c>
      <c r="G931" t="s">
        <v>112</v>
      </c>
      <c r="H931" t="s">
        <v>290</v>
      </c>
      <c r="I931" s="3">
        <v>0.125</v>
      </c>
      <c r="J931" t="s">
        <v>19</v>
      </c>
      <c r="K931">
        <v>77</v>
      </c>
      <c r="L931" s="3">
        <v>0.125</v>
      </c>
      <c r="M931" t="s">
        <v>39</v>
      </c>
      <c r="O931">
        <f>IF(Table13[[#This Row],[Goal_assist]]="",1,0)</f>
        <v>1</v>
      </c>
    </row>
    <row r="932" spans="1:15" x14ac:dyDescent="0.35">
      <c r="A932" t="s">
        <v>14</v>
      </c>
      <c r="B932" t="s">
        <v>279</v>
      </c>
      <c r="C932" t="s">
        <v>75</v>
      </c>
      <c r="D932" t="s">
        <v>92</v>
      </c>
      <c r="E932" s="2">
        <v>42472</v>
      </c>
      <c r="F932" t="s">
        <v>16</v>
      </c>
      <c r="G932" t="s">
        <v>112</v>
      </c>
      <c r="H932" t="s">
        <v>290</v>
      </c>
      <c r="I932" s="3">
        <v>0.125</v>
      </c>
      <c r="J932" t="s">
        <v>19</v>
      </c>
      <c r="K932">
        <v>16</v>
      </c>
      <c r="L932" s="3">
        <v>4.1666666666666664E-2</v>
      </c>
      <c r="M932" t="s">
        <v>26</v>
      </c>
      <c r="N932" t="s">
        <v>262</v>
      </c>
      <c r="O932">
        <f>IF(Table13[[#This Row],[Goal_assist]]="",1,0)</f>
        <v>0</v>
      </c>
    </row>
    <row r="933" spans="1:15" x14ac:dyDescent="0.35">
      <c r="A933" t="s">
        <v>14</v>
      </c>
      <c r="B933" t="s">
        <v>279</v>
      </c>
      <c r="C933" t="s">
        <v>65</v>
      </c>
      <c r="D933">
        <v>33</v>
      </c>
      <c r="E933" s="2">
        <v>42476</v>
      </c>
      <c r="F933" t="s">
        <v>24</v>
      </c>
      <c r="G933" t="s">
        <v>112</v>
      </c>
      <c r="H933" t="s">
        <v>117</v>
      </c>
      <c r="I933" s="3">
        <v>4.5138888888888888E-2</v>
      </c>
      <c r="J933" t="s">
        <v>19</v>
      </c>
      <c r="K933" t="s">
        <v>141</v>
      </c>
      <c r="L933" s="3">
        <v>4.5138888888888888E-2</v>
      </c>
      <c r="M933" t="s">
        <v>31</v>
      </c>
      <c r="N933" t="s">
        <v>288</v>
      </c>
      <c r="O933">
        <f>IF(Table13[[#This Row],[Goal_assist]]="",1,0)</f>
        <v>0</v>
      </c>
    </row>
    <row r="934" spans="1:15" x14ac:dyDescent="0.35">
      <c r="A934" t="s">
        <v>64</v>
      </c>
      <c r="B934" t="s">
        <v>279</v>
      </c>
      <c r="C934" t="s">
        <v>65</v>
      </c>
      <c r="D934">
        <v>33</v>
      </c>
      <c r="E934" s="2">
        <v>42477</v>
      </c>
      <c r="F934" t="s">
        <v>16</v>
      </c>
      <c r="G934" t="s">
        <v>66</v>
      </c>
      <c r="H934" t="s">
        <v>148</v>
      </c>
      <c r="I934" s="3">
        <v>4.3055555555555555E-2</v>
      </c>
      <c r="J934" t="s">
        <v>38</v>
      </c>
      <c r="K934">
        <v>63</v>
      </c>
      <c r="L934" s="3">
        <v>4.3055555555555555E-2</v>
      </c>
      <c r="M934" t="s">
        <v>31</v>
      </c>
      <c r="N934" t="s">
        <v>243</v>
      </c>
      <c r="O934">
        <f>IF(Table13[[#This Row],[Goal_assist]]="",1,0)</f>
        <v>0</v>
      </c>
    </row>
    <row r="935" spans="1:15" x14ac:dyDescent="0.35">
      <c r="A935" t="s">
        <v>64</v>
      </c>
      <c r="B935" t="s">
        <v>279</v>
      </c>
      <c r="C935" t="s">
        <v>65</v>
      </c>
      <c r="D935">
        <v>34</v>
      </c>
      <c r="E935" s="2">
        <v>42480</v>
      </c>
      <c r="F935" t="s">
        <v>24</v>
      </c>
      <c r="G935" t="s">
        <v>66</v>
      </c>
      <c r="H935" t="s">
        <v>115</v>
      </c>
      <c r="I935" s="3">
        <v>5.5555555555555558E-3</v>
      </c>
      <c r="J935" t="s">
        <v>38</v>
      </c>
      <c r="K935">
        <v>73</v>
      </c>
      <c r="L935" s="3">
        <v>4.1666666666666666E-3</v>
      </c>
      <c r="M935" t="s">
        <v>31</v>
      </c>
      <c r="N935" t="s">
        <v>273</v>
      </c>
      <c r="O935">
        <f>IF(Table13[[#This Row],[Goal_assist]]="",1,0)</f>
        <v>0</v>
      </c>
    </row>
    <row r="936" spans="1:15" x14ac:dyDescent="0.35">
      <c r="A936" t="s">
        <v>64</v>
      </c>
      <c r="B936" t="s">
        <v>279</v>
      </c>
      <c r="C936" t="s">
        <v>65</v>
      </c>
      <c r="D936">
        <v>35</v>
      </c>
      <c r="E936" s="2">
        <v>42483</v>
      </c>
      <c r="F936" t="s">
        <v>16</v>
      </c>
      <c r="G936" t="s">
        <v>66</v>
      </c>
      <c r="H936" t="s">
        <v>151</v>
      </c>
      <c r="I936" s="3">
        <v>0.25</v>
      </c>
      <c r="J936" t="s">
        <v>38</v>
      </c>
      <c r="K936">
        <v>13</v>
      </c>
      <c r="L936" s="3">
        <v>4.1666666666666664E-2</v>
      </c>
      <c r="M936" t="s">
        <v>22</v>
      </c>
      <c r="O936">
        <f>IF(Table13[[#This Row],[Goal_assist]]="",1,0)</f>
        <v>1</v>
      </c>
    </row>
    <row r="937" spans="1:15" x14ac:dyDescent="0.35">
      <c r="A937" t="s">
        <v>64</v>
      </c>
      <c r="B937" t="s">
        <v>279</v>
      </c>
      <c r="C937" t="s">
        <v>65</v>
      </c>
      <c r="D937">
        <v>37</v>
      </c>
      <c r="E937" s="2">
        <v>42498</v>
      </c>
      <c r="F937" t="s">
        <v>16</v>
      </c>
      <c r="G937" t="s">
        <v>66</v>
      </c>
      <c r="H937" t="s">
        <v>121</v>
      </c>
      <c r="I937" s="3">
        <v>0.20833333333333334</v>
      </c>
      <c r="J937" t="s">
        <v>38</v>
      </c>
      <c r="K937">
        <v>8</v>
      </c>
      <c r="L937" s="3">
        <v>4.1666666666666664E-2</v>
      </c>
      <c r="M937" t="s">
        <v>39</v>
      </c>
      <c r="O937">
        <f>IF(Table13[[#This Row],[Goal_assist]]="",1,0)</f>
        <v>1</v>
      </c>
    </row>
    <row r="938" spans="1:15" x14ac:dyDescent="0.35">
      <c r="A938" t="s">
        <v>14</v>
      </c>
      <c r="B938" t="s">
        <v>279</v>
      </c>
      <c r="C938" t="s">
        <v>65</v>
      </c>
      <c r="D938">
        <v>37</v>
      </c>
      <c r="E938" s="2">
        <v>42498</v>
      </c>
      <c r="F938" t="s">
        <v>16</v>
      </c>
      <c r="G938" t="s">
        <v>112</v>
      </c>
      <c r="H938" t="s">
        <v>148</v>
      </c>
      <c r="I938" s="3">
        <v>0.12638888888888888</v>
      </c>
      <c r="J938" t="s">
        <v>19</v>
      </c>
      <c r="K938">
        <v>59</v>
      </c>
      <c r="L938" s="3">
        <v>0.12569444444444444</v>
      </c>
      <c r="M938" t="s">
        <v>31</v>
      </c>
      <c r="N938" t="s">
        <v>268</v>
      </c>
      <c r="O938">
        <f>IF(Table13[[#This Row],[Goal_assist]]="",1,0)</f>
        <v>0</v>
      </c>
    </row>
    <row r="939" spans="1:15" x14ac:dyDescent="0.35">
      <c r="A939" t="s">
        <v>14</v>
      </c>
      <c r="B939" t="s">
        <v>279</v>
      </c>
      <c r="C939" t="s">
        <v>65</v>
      </c>
      <c r="D939">
        <v>37</v>
      </c>
      <c r="E939" s="2">
        <v>42498</v>
      </c>
      <c r="F939" t="s">
        <v>16</v>
      </c>
      <c r="G939" t="s">
        <v>112</v>
      </c>
      <c r="H939" t="s">
        <v>148</v>
      </c>
      <c r="I939" s="3">
        <v>0.12638888888888888</v>
      </c>
      <c r="J939" t="s">
        <v>19</v>
      </c>
      <c r="K939">
        <v>26</v>
      </c>
      <c r="L939" s="3">
        <v>4.1666666666666664E-2</v>
      </c>
      <c r="M939" t="s">
        <v>26</v>
      </c>
      <c r="N939" t="s">
        <v>201</v>
      </c>
      <c r="O939">
        <f>IF(Table13[[#This Row],[Goal_assist]]="",1,0)</f>
        <v>0</v>
      </c>
    </row>
    <row r="940" spans="1:15" x14ac:dyDescent="0.35">
      <c r="A940" t="s">
        <v>14</v>
      </c>
      <c r="B940" t="s">
        <v>279</v>
      </c>
      <c r="C940" t="s">
        <v>65</v>
      </c>
      <c r="D940">
        <v>38</v>
      </c>
      <c r="E940" s="2">
        <v>42504</v>
      </c>
      <c r="F940" t="s">
        <v>24</v>
      </c>
      <c r="G940" t="s">
        <v>112</v>
      </c>
      <c r="H940" t="s">
        <v>175</v>
      </c>
      <c r="I940" s="3">
        <v>1.3888888888888889E-3</v>
      </c>
      <c r="J940" t="s">
        <v>19</v>
      </c>
      <c r="K940">
        <v>25</v>
      </c>
      <c r="L940" s="3">
        <v>1.3888888888888889E-3</v>
      </c>
      <c r="M940" t="s">
        <v>22</v>
      </c>
      <c r="N940" t="s">
        <v>277</v>
      </c>
      <c r="O940">
        <f>IF(Table13[[#This Row],[Goal_assist]]="",1,0)</f>
        <v>0</v>
      </c>
    </row>
    <row r="941" spans="1:15" x14ac:dyDescent="0.35">
      <c r="A941" t="s">
        <v>14</v>
      </c>
      <c r="B941" t="s">
        <v>279</v>
      </c>
      <c r="C941" t="s">
        <v>65</v>
      </c>
      <c r="D941">
        <v>38</v>
      </c>
      <c r="E941" s="2">
        <v>42504</v>
      </c>
      <c r="F941" t="s">
        <v>24</v>
      </c>
      <c r="G941" t="s">
        <v>112</v>
      </c>
      <c r="H941" t="s">
        <v>175</v>
      </c>
      <c r="I941" s="3">
        <v>1.3888888888888889E-3</v>
      </c>
      <c r="J941" t="s">
        <v>19</v>
      </c>
      <c r="K941">
        <v>8</v>
      </c>
      <c r="L941" s="3">
        <v>6.9444444444444447E-4</v>
      </c>
      <c r="M941" t="s">
        <v>31</v>
      </c>
      <c r="N941" t="s">
        <v>183</v>
      </c>
      <c r="O941">
        <f>IF(Table13[[#This Row],[Goal_assist]]="",1,0)</f>
        <v>0</v>
      </c>
    </row>
    <row r="942" spans="1:15" x14ac:dyDescent="0.35">
      <c r="A942" t="s">
        <v>64</v>
      </c>
      <c r="B942" t="s">
        <v>291</v>
      </c>
      <c r="C942" t="s">
        <v>172</v>
      </c>
      <c r="D942" t="s">
        <v>173</v>
      </c>
      <c r="E942" s="2">
        <v>42599</v>
      </c>
      <c r="F942" t="s">
        <v>16</v>
      </c>
      <c r="G942" t="s">
        <v>66</v>
      </c>
      <c r="H942" t="s">
        <v>105</v>
      </c>
      <c r="I942" s="3">
        <v>0.125</v>
      </c>
      <c r="J942" t="s">
        <v>275</v>
      </c>
      <c r="K942">
        <v>55</v>
      </c>
      <c r="L942" s="3">
        <v>0.125</v>
      </c>
      <c r="M942" t="s">
        <v>22</v>
      </c>
      <c r="N942" t="s">
        <v>292</v>
      </c>
      <c r="O942">
        <f>IF(Table13[[#This Row],[Goal_assist]]="",1,0)</f>
        <v>0</v>
      </c>
    </row>
    <row r="943" spans="1:15" x14ac:dyDescent="0.35">
      <c r="A943" t="s">
        <v>64</v>
      </c>
      <c r="B943" t="s">
        <v>291</v>
      </c>
      <c r="C943" t="s">
        <v>65</v>
      </c>
      <c r="D943">
        <v>1</v>
      </c>
      <c r="E943" s="2">
        <v>42602</v>
      </c>
      <c r="F943" t="s">
        <v>16</v>
      </c>
      <c r="G943" t="s">
        <v>66</v>
      </c>
      <c r="H943" t="s">
        <v>95</v>
      </c>
      <c r="I943" s="3">
        <v>0.25138888888888888</v>
      </c>
      <c r="J943" t="s">
        <v>275</v>
      </c>
      <c r="K943">
        <v>58</v>
      </c>
      <c r="L943" s="3">
        <v>0.20902777777777778</v>
      </c>
      <c r="M943" t="s">
        <v>31</v>
      </c>
      <c r="N943" t="s">
        <v>287</v>
      </c>
      <c r="O943">
        <f>IF(Table13[[#This Row],[Goal_assist]]="",1,0)</f>
        <v>0</v>
      </c>
    </row>
    <row r="944" spans="1:15" x14ac:dyDescent="0.35">
      <c r="A944" t="s">
        <v>64</v>
      </c>
      <c r="B944" t="s">
        <v>291</v>
      </c>
      <c r="C944" t="s">
        <v>65</v>
      </c>
      <c r="D944">
        <v>1</v>
      </c>
      <c r="E944" s="2">
        <v>42602</v>
      </c>
      <c r="F944" t="s">
        <v>16</v>
      </c>
      <c r="G944" t="s">
        <v>66</v>
      </c>
      <c r="H944" t="s">
        <v>95</v>
      </c>
      <c r="I944" s="3">
        <v>0.25138888888888888</v>
      </c>
      <c r="J944" t="s">
        <v>275</v>
      </c>
      <c r="K944">
        <v>37</v>
      </c>
      <c r="L944" s="3">
        <v>8.4027777777777785E-2</v>
      </c>
      <c r="M944" t="s">
        <v>31</v>
      </c>
      <c r="N944" t="s">
        <v>293</v>
      </c>
      <c r="O944">
        <f>IF(Table13[[#This Row],[Goal_assist]]="",1,0)</f>
        <v>0</v>
      </c>
    </row>
    <row r="945" spans="1:15" x14ac:dyDescent="0.35">
      <c r="A945" t="s">
        <v>14</v>
      </c>
      <c r="B945" t="s">
        <v>291</v>
      </c>
      <c r="C945" t="s">
        <v>65</v>
      </c>
      <c r="D945">
        <v>3</v>
      </c>
      <c r="E945" s="2">
        <v>42623</v>
      </c>
      <c r="F945" t="s">
        <v>16</v>
      </c>
      <c r="G945" t="s">
        <v>112</v>
      </c>
      <c r="H945" t="s">
        <v>100</v>
      </c>
      <c r="I945" s="3">
        <v>0.20972222222222223</v>
      </c>
      <c r="J945" t="s">
        <v>19</v>
      </c>
      <c r="K945">
        <v>6</v>
      </c>
      <c r="L945" s="3">
        <v>4.1666666666666664E-2</v>
      </c>
      <c r="M945" t="s">
        <v>26</v>
      </c>
      <c r="N945" t="s">
        <v>261</v>
      </c>
      <c r="O945">
        <f>IF(Table13[[#This Row],[Goal_assist]]="",1,0)</f>
        <v>0</v>
      </c>
    </row>
    <row r="946" spans="1:15" x14ac:dyDescent="0.35">
      <c r="A946" t="s">
        <v>64</v>
      </c>
      <c r="B946" t="s">
        <v>291</v>
      </c>
      <c r="C946" t="s">
        <v>75</v>
      </c>
      <c r="D946" t="s">
        <v>76</v>
      </c>
      <c r="E946" s="2">
        <v>42626</v>
      </c>
      <c r="F946" t="s">
        <v>16</v>
      </c>
      <c r="G946" t="s">
        <v>66</v>
      </c>
      <c r="H946" t="s">
        <v>144</v>
      </c>
      <c r="I946" s="3">
        <v>0.29166666666666669</v>
      </c>
      <c r="J946" t="s">
        <v>275</v>
      </c>
      <c r="K946">
        <v>27</v>
      </c>
      <c r="L946" s="3">
        <v>8.3333333333333329E-2</v>
      </c>
      <c r="M946" t="s">
        <v>31</v>
      </c>
      <c r="N946" t="s">
        <v>256</v>
      </c>
      <c r="O946">
        <f>IF(Table13[[#This Row],[Goal_assist]]="",1,0)</f>
        <v>0</v>
      </c>
    </row>
    <row r="947" spans="1:15" x14ac:dyDescent="0.35">
      <c r="A947" t="s">
        <v>64</v>
      </c>
      <c r="B947" t="s">
        <v>291</v>
      </c>
      <c r="C947" t="s">
        <v>75</v>
      </c>
      <c r="D947" t="s">
        <v>76</v>
      </c>
      <c r="E947" s="2">
        <v>42626</v>
      </c>
      <c r="F947" t="s">
        <v>16</v>
      </c>
      <c r="G947" t="s">
        <v>66</v>
      </c>
      <c r="H947" t="s">
        <v>144</v>
      </c>
      <c r="I947" s="3">
        <v>0.29166666666666669</v>
      </c>
      <c r="J947" t="s">
        <v>275</v>
      </c>
      <c r="K947">
        <v>3</v>
      </c>
      <c r="L947" s="3">
        <v>4.1666666666666664E-2</v>
      </c>
      <c r="M947" t="s">
        <v>31</v>
      </c>
      <c r="N947" t="s">
        <v>256</v>
      </c>
      <c r="O947">
        <f>IF(Table13[[#This Row],[Goal_assist]]="",1,0)</f>
        <v>0</v>
      </c>
    </row>
    <row r="948" spans="1:15" x14ac:dyDescent="0.35">
      <c r="A948" t="s">
        <v>64</v>
      </c>
      <c r="B948" t="s">
        <v>291</v>
      </c>
      <c r="C948" t="s">
        <v>75</v>
      </c>
      <c r="D948" t="s">
        <v>76</v>
      </c>
      <c r="E948" s="2">
        <v>42626</v>
      </c>
      <c r="F948" t="s">
        <v>16</v>
      </c>
      <c r="G948" t="s">
        <v>66</v>
      </c>
      <c r="H948" t="s">
        <v>144</v>
      </c>
      <c r="I948" s="3">
        <v>0.29166666666666669</v>
      </c>
      <c r="J948" t="s">
        <v>275</v>
      </c>
      <c r="K948">
        <v>60</v>
      </c>
      <c r="L948" s="3">
        <v>0.20833333333333334</v>
      </c>
      <c r="M948" t="s">
        <v>31</v>
      </c>
      <c r="N948" t="s">
        <v>273</v>
      </c>
      <c r="O948">
        <f>IF(Table13[[#This Row],[Goal_assist]]="",1,0)</f>
        <v>0</v>
      </c>
    </row>
    <row r="949" spans="1:15" x14ac:dyDescent="0.35">
      <c r="A949" t="s">
        <v>14</v>
      </c>
      <c r="B949" t="s">
        <v>291</v>
      </c>
      <c r="C949" t="s">
        <v>75</v>
      </c>
      <c r="D949" t="s">
        <v>76</v>
      </c>
      <c r="E949" s="2">
        <v>42627</v>
      </c>
      <c r="F949" t="s">
        <v>16</v>
      </c>
      <c r="G949" t="s">
        <v>112</v>
      </c>
      <c r="H949" t="s">
        <v>17</v>
      </c>
      <c r="I949" s="3">
        <v>8.4027777777777785E-2</v>
      </c>
      <c r="J949" t="s">
        <v>19</v>
      </c>
      <c r="K949">
        <v>89</v>
      </c>
      <c r="L949" s="3">
        <v>4.2361111111111113E-2</v>
      </c>
      <c r="M949" t="s">
        <v>39</v>
      </c>
      <c r="O949">
        <f>IF(Table13[[#This Row],[Goal_assist]]="",1,0)</f>
        <v>1</v>
      </c>
    </row>
    <row r="950" spans="1:15" x14ac:dyDescent="0.35">
      <c r="A950" t="s">
        <v>64</v>
      </c>
      <c r="B950" t="s">
        <v>291</v>
      </c>
      <c r="C950" t="s">
        <v>65</v>
      </c>
      <c r="D950">
        <v>4</v>
      </c>
      <c r="E950" s="2">
        <v>42630</v>
      </c>
      <c r="F950" t="s">
        <v>24</v>
      </c>
      <c r="G950" t="s">
        <v>66</v>
      </c>
      <c r="H950" t="s">
        <v>294</v>
      </c>
      <c r="I950" s="3">
        <v>4.5138888888888888E-2</v>
      </c>
      <c r="J950" t="s">
        <v>38</v>
      </c>
      <c r="K950">
        <v>15</v>
      </c>
      <c r="L950" s="3">
        <v>6.9444444444444447E-4</v>
      </c>
      <c r="M950" t="s">
        <v>31</v>
      </c>
      <c r="N950" t="s">
        <v>273</v>
      </c>
      <c r="O950">
        <f>IF(Table13[[#This Row],[Goal_assist]]="",1,0)</f>
        <v>0</v>
      </c>
    </row>
    <row r="951" spans="1:15" x14ac:dyDescent="0.35">
      <c r="A951" t="s">
        <v>64</v>
      </c>
      <c r="B951" t="s">
        <v>291</v>
      </c>
      <c r="C951" t="s">
        <v>65</v>
      </c>
      <c r="D951">
        <v>4</v>
      </c>
      <c r="E951" s="2">
        <v>42630</v>
      </c>
      <c r="F951" t="s">
        <v>24</v>
      </c>
      <c r="G951" t="s">
        <v>66</v>
      </c>
      <c r="H951" t="s">
        <v>294</v>
      </c>
      <c r="I951" s="3">
        <v>4.5138888888888888E-2</v>
      </c>
      <c r="J951" t="s">
        <v>38</v>
      </c>
      <c r="K951">
        <v>55</v>
      </c>
      <c r="L951" s="3">
        <v>2.7777777777777779E-3</v>
      </c>
      <c r="M951" t="s">
        <v>83</v>
      </c>
      <c r="O951">
        <f>IF(Table13[[#This Row],[Goal_assist]]="",1,0)</f>
        <v>1</v>
      </c>
    </row>
    <row r="952" spans="1:15" x14ac:dyDescent="0.35">
      <c r="A952" t="s">
        <v>14</v>
      </c>
      <c r="B952" t="s">
        <v>291</v>
      </c>
      <c r="C952" t="s">
        <v>75</v>
      </c>
      <c r="D952" t="s">
        <v>76</v>
      </c>
      <c r="E952" s="2">
        <v>42640</v>
      </c>
      <c r="F952" t="s">
        <v>24</v>
      </c>
      <c r="G952" t="s">
        <v>112</v>
      </c>
      <c r="H952" t="s">
        <v>246</v>
      </c>
      <c r="I952" s="3">
        <v>8.4722222222222227E-2</v>
      </c>
      <c r="J952" t="s">
        <v>19</v>
      </c>
      <c r="K952">
        <v>17</v>
      </c>
      <c r="L952" s="3">
        <v>6.9444444444444447E-4</v>
      </c>
      <c r="M952" t="s">
        <v>26</v>
      </c>
      <c r="N952" t="s">
        <v>261</v>
      </c>
      <c r="O952">
        <f>IF(Table13[[#This Row],[Goal_assist]]="",1,0)</f>
        <v>0</v>
      </c>
    </row>
    <row r="953" spans="1:15" x14ac:dyDescent="0.35">
      <c r="A953" t="s">
        <v>64</v>
      </c>
      <c r="B953" t="s">
        <v>291</v>
      </c>
      <c r="C953" t="s">
        <v>65</v>
      </c>
      <c r="D953">
        <v>8</v>
      </c>
      <c r="E953" s="2">
        <v>42658</v>
      </c>
      <c r="F953" t="s">
        <v>16</v>
      </c>
      <c r="G953" t="s">
        <v>66</v>
      </c>
      <c r="H953" t="s">
        <v>115</v>
      </c>
      <c r="I953" s="3">
        <v>0.16666666666666666</v>
      </c>
      <c r="J953" t="s">
        <v>38</v>
      </c>
      <c r="K953">
        <v>58</v>
      </c>
      <c r="L953" s="3">
        <v>0.16666666666666666</v>
      </c>
      <c r="M953" t="s">
        <v>31</v>
      </c>
      <c r="N953" t="s">
        <v>256</v>
      </c>
      <c r="O953">
        <f>IF(Table13[[#This Row],[Goal_assist]]="",1,0)</f>
        <v>0</v>
      </c>
    </row>
    <row r="954" spans="1:15" x14ac:dyDescent="0.35">
      <c r="A954" t="s">
        <v>14</v>
      </c>
      <c r="B954" t="s">
        <v>291</v>
      </c>
      <c r="C954" t="s">
        <v>65</v>
      </c>
      <c r="D954">
        <v>8</v>
      </c>
      <c r="E954" s="2">
        <v>42658</v>
      </c>
      <c r="F954" t="s">
        <v>24</v>
      </c>
      <c r="G954" t="s">
        <v>112</v>
      </c>
      <c r="H954" t="s">
        <v>95</v>
      </c>
      <c r="I954" s="3">
        <v>4.583333333333333E-2</v>
      </c>
      <c r="J954" t="s">
        <v>19</v>
      </c>
      <c r="K954">
        <v>78</v>
      </c>
      <c r="L954" s="3">
        <v>4.583333333333333E-2</v>
      </c>
      <c r="M954" t="s">
        <v>26</v>
      </c>
      <c r="N954" t="s">
        <v>295</v>
      </c>
      <c r="O954">
        <f>IF(Table13[[#This Row],[Goal_assist]]="",1,0)</f>
        <v>0</v>
      </c>
    </row>
    <row r="955" spans="1:15" x14ac:dyDescent="0.35">
      <c r="A955" t="s">
        <v>64</v>
      </c>
      <c r="B955" t="s">
        <v>291</v>
      </c>
      <c r="C955" t="s">
        <v>75</v>
      </c>
      <c r="D955" t="s">
        <v>76</v>
      </c>
      <c r="E955" s="2">
        <v>42662</v>
      </c>
      <c r="F955" t="s">
        <v>16</v>
      </c>
      <c r="G955" t="s">
        <v>66</v>
      </c>
      <c r="H955" t="s">
        <v>41</v>
      </c>
      <c r="I955" s="3">
        <v>0.16666666666666666</v>
      </c>
      <c r="J955" t="s">
        <v>38</v>
      </c>
      <c r="K955">
        <v>69</v>
      </c>
      <c r="L955" s="3">
        <v>0.125</v>
      </c>
      <c r="M955" t="s">
        <v>31</v>
      </c>
      <c r="N955" t="s">
        <v>273</v>
      </c>
      <c r="O955">
        <f>IF(Table13[[#This Row],[Goal_assist]]="",1,0)</f>
        <v>0</v>
      </c>
    </row>
    <row r="956" spans="1:15" x14ac:dyDescent="0.35">
      <c r="A956" t="s">
        <v>64</v>
      </c>
      <c r="B956" t="s">
        <v>291</v>
      </c>
      <c r="C956" t="s">
        <v>75</v>
      </c>
      <c r="D956" t="s">
        <v>76</v>
      </c>
      <c r="E956" s="2">
        <v>42662</v>
      </c>
      <c r="F956" t="s">
        <v>16</v>
      </c>
      <c r="G956" t="s">
        <v>66</v>
      </c>
      <c r="H956" t="s">
        <v>41</v>
      </c>
      <c r="I956" s="3">
        <v>0.16666666666666666</v>
      </c>
      <c r="J956" t="s">
        <v>38</v>
      </c>
      <c r="K956">
        <v>61</v>
      </c>
      <c r="L956" s="3">
        <v>8.3333333333333329E-2</v>
      </c>
      <c r="M956" t="s">
        <v>31</v>
      </c>
      <c r="N956" t="s">
        <v>99</v>
      </c>
      <c r="O956">
        <f>IF(Table13[[#This Row],[Goal_assist]]="",1,0)</f>
        <v>0</v>
      </c>
    </row>
    <row r="957" spans="1:15" x14ac:dyDescent="0.35">
      <c r="A957" t="s">
        <v>64</v>
      </c>
      <c r="B957" t="s">
        <v>291</v>
      </c>
      <c r="C957" t="s">
        <v>75</v>
      </c>
      <c r="D957" t="s">
        <v>76</v>
      </c>
      <c r="E957" s="2">
        <v>42662</v>
      </c>
      <c r="F957" t="s">
        <v>16</v>
      </c>
      <c r="G957" t="s">
        <v>66</v>
      </c>
      <c r="H957" t="s">
        <v>41</v>
      </c>
      <c r="I957" s="3">
        <v>0.16666666666666666</v>
      </c>
      <c r="J957" t="s">
        <v>38</v>
      </c>
      <c r="K957">
        <v>17</v>
      </c>
      <c r="L957" s="3">
        <v>4.1666666666666664E-2</v>
      </c>
      <c r="M957" t="s">
        <v>31</v>
      </c>
      <c r="N957" t="s">
        <v>99</v>
      </c>
      <c r="O957">
        <f>IF(Table13[[#This Row],[Goal_assist]]="",1,0)</f>
        <v>0</v>
      </c>
    </row>
    <row r="958" spans="1:15" x14ac:dyDescent="0.35">
      <c r="A958" t="s">
        <v>64</v>
      </c>
      <c r="B958" t="s">
        <v>291</v>
      </c>
      <c r="C958" t="s">
        <v>65</v>
      </c>
      <c r="D958">
        <v>9</v>
      </c>
      <c r="E958" s="2">
        <v>42665</v>
      </c>
      <c r="F958" t="s">
        <v>24</v>
      </c>
      <c r="G958" t="s">
        <v>66</v>
      </c>
      <c r="H958" t="s">
        <v>148</v>
      </c>
      <c r="I958" s="3">
        <v>8.5416666666666669E-2</v>
      </c>
      <c r="J958" t="s">
        <v>38</v>
      </c>
      <c r="K958" t="s">
        <v>239</v>
      </c>
      <c r="L958" s="3">
        <v>8.5416666666666669E-2</v>
      </c>
      <c r="M958" t="s">
        <v>83</v>
      </c>
      <c r="O958">
        <f>IF(Table13[[#This Row],[Goal_assist]]="",1,0)</f>
        <v>1</v>
      </c>
    </row>
    <row r="959" spans="1:15" x14ac:dyDescent="0.35">
      <c r="A959" t="s">
        <v>64</v>
      </c>
      <c r="B959" t="s">
        <v>291</v>
      </c>
      <c r="C959" t="s">
        <v>65</v>
      </c>
      <c r="D959">
        <v>9</v>
      </c>
      <c r="E959" s="2">
        <v>42665</v>
      </c>
      <c r="F959" t="s">
        <v>24</v>
      </c>
      <c r="G959" t="s">
        <v>66</v>
      </c>
      <c r="H959" t="s">
        <v>148</v>
      </c>
      <c r="I959" s="3">
        <v>8.5416666666666669E-2</v>
      </c>
      <c r="J959" t="s">
        <v>38</v>
      </c>
      <c r="K959">
        <v>22</v>
      </c>
      <c r="L959" s="3">
        <v>6.9444444444444447E-4</v>
      </c>
      <c r="M959" t="s">
        <v>31</v>
      </c>
      <c r="N959" t="s">
        <v>276</v>
      </c>
      <c r="O959">
        <f>IF(Table13[[#This Row],[Goal_assist]]="",1,0)</f>
        <v>0</v>
      </c>
    </row>
    <row r="960" spans="1:15" x14ac:dyDescent="0.35">
      <c r="A960" t="s">
        <v>14</v>
      </c>
      <c r="B960" t="s">
        <v>291</v>
      </c>
      <c r="C960" t="s">
        <v>65</v>
      </c>
      <c r="D960">
        <v>10</v>
      </c>
      <c r="E960" s="2">
        <v>42672</v>
      </c>
      <c r="F960" t="s">
        <v>24</v>
      </c>
      <c r="G960" t="s">
        <v>112</v>
      </c>
      <c r="H960" t="s">
        <v>88</v>
      </c>
      <c r="I960" s="3">
        <v>4.4444444444444446E-2</v>
      </c>
      <c r="J960" t="s">
        <v>19</v>
      </c>
      <c r="K960">
        <v>17</v>
      </c>
      <c r="L960" s="3">
        <v>4.2361111111111113E-2</v>
      </c>
      <c r="M960" t="s">
        <v>83</v>
      </c>
      <c r="O960">
        <f>IF(Table13[[#This Row],[Goal_assist]]="",1,0)</f>
        <v>1</v>
      </c>
    </row>
    <row r="961" spans="1:15" x14ac:dyDescent="0.35">
      <c r="A961" t="s">
        <v>14</v>
      </c>
      <c r="B961" t="s">
        <v>291</v>
      </c>
      <c r="C961" t="s">
        <v>65</v>
      </c>
      <c r="D961">
        <v>10</v>
      </c>
      <c r="E961" s="2">
        <v>42672</v>
      </c>
      <c r="F961" t="s">
        <v>24</v>
      </c>
      <c r="G961" t="s">
        <v>112</v>
      </c>
      <c r="H961" t="s">
        <v>88</v>
      </c>
      <c r="I961" s="3">
        <v>4.4444444444444446E-2</v>
      </c>
      <c r="J961" t="s">
        <v>19</v>
      </c>
      <c r="K961">
        <v>33</v>
      </c>
      <c r="L961" s="3">
        <v>4.3055555555555555E-2</v>
      </c>
      <c r="M961" t="s">
        <v>26</v>
      </c>
      <c r="N961" t="s">
        <v>183</v>
      </c>
      <c r="O961">
        <f>IF(Table13[[#This Row],[Goal_assist]]="",1,0)</f>
        <v>0</v>
      </c>
    </row>
    <row r="962" spans="1:15" x14ac:dyDescent="0.35">
      <c r="A962" t="s">
        <v>14</v>
      </c>
      <c r="B962" t="s">
        <v>291</v>
      </c>
      <c r="C962" t="s">
        <v>65</v>
      </c>
      <c r="D962">
        <v>10</v>
      </c>
      <c r="E962" s="2">
        <v>42672</v>
      </c>
      <c r="F962" t="s">
        <v>24</v>
      </c>
      <c r="G962" t="s">
        <v>112</v>
      </c>
      <c r="H962" t="s">
        <v>88</v>
      </c>
      <c r="I962" s="3">
        <v>4.4444444444444446E-2</v>
      </c>
      <c r="J962" t="s">
        <v>19</v>
      </c>
      <c r="K962">
        <v>88</v>
      </c>
      <c r="L962" s="3">
        <v>4.4444444444444446E-2</v>
      </c>
      <c r="M962" t="s">
        <v>26</v>
      </c>
      <c r="N962" t="s">
        <v>201</v>
      </c>
      <c r="O962">
        <f>IF(Table13[[#This Row],[Goal_assist]]="",1,0)</f>
        <v>0</v>
      </c>
    </row>
    <row r="963" spans="1:15" x14ac:dyDescent="0.35">
      <c r="A963" t="s">
        <v>64</v>
      </c>
      <c r="B963" t="s">
        <v>291</v>
      </c>
      <c r="C963" t="s">
        <v>75</v>
      </c>
      <c r="D963" t="s">
        <v>76</v>
      </c>
      <c r="E963" s="2">
        <v>42675</v>
      </c>
      <c r="F963" t="s">
        <v>24</v>
      </c>
      <c r="G963" t="s">
        <v>66</v>
      </c>
      <c r="H963" t="s">
        <v>41</v>
      </c>
      <c r="I963" s="3">
        <v>0.12569444444444444</v>
      </c>
      <c r="J963" t="s">
        <v>275</v>
      </c>
      <c r="K963">
        <v>21</v>
      </c>
      <c r="L963" s="3">
        <v>6.9444444444444447E-4</v>
      </c>
      <c r="M963" t="s">
        <v>31</v>
      </c>
      <c r="N963" t="s">
        <v>256</v>
      </c>
      <c r="O963">
        <f>IF(Table13[[#This Row],[Goal_assist]]="",1,0)</f>
        <v>0</v>
      </c>
    </row>
    <row r="964" spans="1:15" x14ac:dyDescent="0.35">
      <c r="A964" t="s">
        <v>64</v>
      </c>
      <c r="B964" t="s">
        <v>291</v>
      </c>
      <c r="C964" t="s">
        <v>65</v>
      </c>
      <c r="D964">
        <v>11</v>
      </c>
      <c r="E964" s="2">
        <v>42680</v>
      </c>
      <c r="F964" t="s">
        <v>24</v>
      </c>
      <c r="G964" t="s">
        <v>66</v>
      </c>
      <c r="H964" t="s">
        <v>105</v>
      </c>
      <c r="I964" s="3">
        <v>4.3055555555555555E-2</v>
      </c>
      <c r="J964" t="s">
        <v>275</v>
      </c>
      <c r="K964">
        <v>43</v>
      </c>
      <c r="L964" s="3">
        <v>4.2361111111111113E-2</v>
      </c>
      <c r="M964" t="s">
        <v>31</v>
      </c>
      <c r="N964" t="s">
        <v>256</v>
      </c>
      <c r="O964">
        <f>IF(Table13[[#This Row],[Goal_assist]]="",1,0)</f>
        <v>0</v>
      </c>
    </row>
    <row r="965" spans="1:15" x14ac:dyDescent="0.35">
      <c r="A965" t="s">
        <v>14</v>
      </c>
      <c r="B965" t="s">
        <v>291</v>
      </c>
      <c r="C965" t="s">
        <v>65</v>
      </c>
      <c r="D965">
        <v>12</v>
      </c>
      <c r="E965" s="2">
        <v>42693</v>
      </c>
      <c r="F965" t="s">
        <v>24</v>
      </c>
      <c r="G965" t="s">
        <v>112</v>
      </c>
      <c r="H965" t="s">
        <v>119</v>
      </c>
      <c r="I965" s="3">
        <v>2.0833333333333333E-3</v>
      </c>
      <c r="J965" t="s">
        <v>68</v>
      </c>
      <c r="K965">
        <v>77</v>
      </c>
      <c r="L965" s="3">
        <v>2.0833333333333333E-3</v>
      </c>
      <c r="M965" t="s">
        <v>26</v>
      </c>
      <c r="N965" t="s">
        <v>261</v>
      </c>
      <c r="O965">
        <f>IF(Table13[[#This Row],[Goal_assist]]="",1,0)</f>
        <v>0</v>
      </c>
    </row>
    <row r="966" spans="1:15" x14ac:dyDescent="0.35">
      <c r="A966" t="s">
        <v>14</v>
      </c>
      <c r="B966" t="s">
        <v>291</v>
      </c>
      <c r="C966" t="s">
        <v>65</v>
      </c>
      <c r="D966">
        <v>12</v>
      </c>
      <c r="E966" s="2">
        <v>42693</v>
      </c>
      <c r="F966" t="s">
        <v>24</v>
      </c>
      <c r="G966" t="s">
        <v>112</v>
      </c>
      <c r="H966" t="s">
        <v>119</v>
      </c>
      <c r="I966" s="3">
        <v>2.0833333333333333E-3</v>
      </c>
      <c r="J966" t="s">
        <v>68</v>
      </c>
      <c r="K966">
        <v>71</v>
      </c>
      <c r="L966" s="3">
        <v>1.3888888888888889E-3</v>
      </c>
      <c r="M966" t="s">
        <v>83</v>
      </c>
      <c r="O966">
        <f>IF(Table13[[#This Row],[Goal_assist]]="",1,0)</f>
        <v>1</v>
      </c>
    </row>
    <row r="967" spans="1:15" x14ac:dyDescent="0.35">
      <c r="A967" t="s">
        <v>14</v>
      </c>
      <c r="B967" t="s">
        <v>291</v>
      </c>
      <c r="C967" t="s">
        <v>65</v>
      </c>
      <c r="D967">
        <v>12</v>
      </c>
      <c r="E967" s="2">
        <v>42693</v>
      </c>
      <c r="F967" t="s">
        <v>24</v>
      </c>
      <c r="G967" t="s">
        <v>112</v>
      </c>
      <c r="H967" t="s">
        <v>119</v>
      </c>
      <c r="I967" s="3">
        <v>2.0833333333333333E-3</v>
      </c>
      <c r="J967" t="s">
        <v>68</v>
      </c>
      <c r="K967">
        <v>23</v>
      </c>
      <c r="L967" s="3">
        <v>6.9444444444444447E-4</v>
      </c>
      <c r="M967" t="s">
        <v>39</v>
      </c>
      <c r="O967">
        <f>IF(Table13[[#This Row],[Goal_assist]]="",1,0)</f>
        <v>1</v>
      </c>
    </row>
    <row r="968" spans="1:15" x14ac:dyDescent="0.35">
      <c r="A968" t="s">
        <v>64</v>
      </c>
      <c r="B968" t="s">
        <v>291</v>
      </c>
      <c r="C968" t="s">
        <v>75</v>
      </c>
      <c r="D968" t="s">
        <v>76</v>
      </c>
      <c r="E968" s="2">
        <v>42697</v>
      </c>
      <c r="F968" t="s">
        <v>24</v>
      </c>
      <c r="G968" t="s">
        <v>66</v>
      </c>
      <c r="H968" t="s">
        <v>144</v>
      </c>
      <c r="I968" s="3">
        <v>1.3888888888888889E-3</v>
      </c>
      <c r="J968" t="s">
        <v>275</v>
      </c>
      <c r="K968">
        <v>24</v>
      </c>
      <c r="L968" s="3">
        <v>6.9444444444444447E-4</v>
      </c>
      <c r="M968" t="s">
        <v>31</v>
      </c>
      <c r="N968" t="s">
        <v>256</v>
      </c>
      <c r="O968">
        <f>IF(Table13[[#This Row],[Goal_assist]]="",1,0)</f>
        <v>0</v>
      </c>
    </row>
    <row r="969" spans="1:15" x14ac:dyDescent="0.35">
      <c r="A969" t="s">
        <v>64</v>
      </c>
      <c r="B969" t="s">
        <v>291</v>
      </c>
      <c r="C969" t="s">
        <v>75</v>
      </c>
      <c r="D969" t="s">
        <v>76</v>
      </c>
      <c r="E969" s="2">
        <v>42697</v>
      </c>
      <c r="F969" t="s">
        <v>24</v>
      </c>
      <c r="G969" t="s">
        <v>66</v>
      </c>
      <c r="H969" t="s">
        <v>144</v>
      </c>
      <c r="I969" s="3">
        <v>1.3888888888888889E-3</v>
      </c>
      <c r="J969" t="s">
        <v>275</v>
      </c>
      <c r="K969">
        <v>55</v>
      </c>
      <c r="L969" s="3">
        <v>1.3888888888888889E-3</v>
      </c>
      <c r="M969" t="s">
        <v>83</v>
      </c>
      <c r="O969">
        <f>IF(Table13[[#This Row],[Goal_assist]]="",1,0)</f>
        <v>1</v>
      </c>
    </row>
    <row r="970" spans="1:15" x14ac:dyDescent="0.35">
      <c r="A970" t="s">
        <v>14</v>
      </c>
      <c r="B970" t="s">
        <v>291</v>
      </c>
      <c r="C970" t="s">
        <v>65</v>
      </c>
      <c r="D970">
        <v>13</v>
      </c>
      <c r="E970" s="2">
        <v>42700</v>
      </c>
      <c r="F970" t="s">
        <v>16</v>
      </c>
      <c r="G970" t="s">
        <v>112</v>
      </c>
      <c r="H970" t="s">
        <v>151</v>
      </c>
      <c r="I970" s="3">
        <v>8.4027777777777785E-2</v>
      </c>
      <c r="J970" t="s">
        <v>19</v>
      </c>
      <c r="K970">
        <v>5</v>
      </c>
      <c r="L970" s="3">
        <v>4.1666666666666664E-2</v>
      </c>
      <c r="M970" t="s">
        <v>83</v>
      </c>
      <c r="O970">
        <f>IF(Table13[[#This Row],[Goal_assist]]="",1,0)</f>
        <v>1</v>
      </c>
    </row>
    <row r="971" spans="1:15" x14ac:dyDescent="0.35">
      <c r="A971" t="s">
        <v>14</v>
      </c>
      <c r="B971" t="s">
        <v>291</v>
      </c>
      <c r="C971" t="s">
        <v>65</v>
      </c>
      <c r="D971">
        <v>13</v>
      </c>
      <c r="E971" s="2">
        <v>42700</v>
      </c>
      <c r="F971" t="s">
        <v>16</v>
      </c>
      <c r="G971" t="s">
        <v>112</v>
      </c>
      <c r="H971" t="s">
        <v>151</v>
      </c>
      <c r="I971" s="3">
        <v>8.4027777777777785E-2</v>
      </c>
      <c r="J971" t="s">
        <v>19</v>
      </c>
      <c r="K971">
        <v>18</v>
      </c>
      <c r="L971" s="3">
        <v>8.3333333333333329E-2</v>
      </c>
      <c r="M971" t="s">
        <v>22</v>
      </c>
      <c r="N971" t="s">
        <v>296</v>
      </c>
      <c r="O971">
        <f>IF(Table13[[#This Row],[Goal_assist]]="",1,0)</f>
        <v>0</v>
      </c>
    </row>
    <row r="972" spans="1:15" x14ac:dyDescent="0.35">
      <c r="A972" t="s">
        <v>64</v>
      </c>
      <c r="B972" t="s">
        <v>291</v>
      </c>
      <c r="C972" t="s">
        <v>65</v>
      </c>
      <c r="D972">
        <v>13</v>
      </c>
      <c r="E972" s="2">
        <v>42701</v>
      </c>
      <c r="F972" t="s">
        <v>24</v>
      </c>
      <c r="G972" t="s">
        <v>66</v>
      </c>
      <c r="H972" t="s">
        <v>217</v>
      </c>
      <c r="I972" s="3">
        <v>4.2361111111111113E-2</v>
      </c>
      <c r="J972" t="s">
        <v>275</v>
      </c>
      <c r="K972">
        <v>59</v>
      </c>
      <c r="L972" s="3">
        <v>4.2361111111111113E-2</v>
      </c>
      <c r="M972" t="s">
        <v>31</v>
      </c>
      <c r="N972" t="s">
        <v>256</v>
      </c>
      <c r="O972">
        <f>IF(Table13[[#This Row],[Goal_assist]]="",1,0)</f>
        <v>0</v>
      </c>
    </row>
    <row r="973" spans="1:15" x14ac:dyDescent="0.35">
      <c r="A973" t="s">
        <v>64</v>
      </c>
      <c r="B973" t="s">
        <v>291</v>
      </c>
      <c r="C973" t="s">
        <v>75</v>
      </c>
      <c r="D973" t="s">
        <v>76</v>
      </c>
      <c r="E973" s="2">
        <v>42710</v>
      </c>
      <c r="F973" t="s">
        <v>16</v>
      </c>
      <c r="G973" t="s">
        <v>66</v>
      </c>
      <c r="H973" t="s">
        <v>297</v>
      </c>
      <c r="I973" s="3">
        <v>0.16666666666666666</v>
      </c>
      <c r="J973" t="s">
        <v>38</v>
      </c>
      <c r="K973">
        <v>16</v>
      </c>
      <c r="L973" s="3">
        <v>4.1666666666666664E-2</v>
      </c>
      <c r="M973" t="s">
        <v>31</v>
      </c>
      <c r="N973" t="s">
        <v>287</v>
      </c>
      <c r="O973">
        <f>IF(Table13[[#This Row],[Goal_assist]]="",1,0)</f>
        <v>0</v>
      </c>
    </row>
    <row r="974" spans="1:15" x14ac:dyDescent="0.35">
      <c r="A974" t="s">
        <v>64</v>
      </c>
      <c r="B974" t="s">
        <v>291</v>
      </c>
      <c r="C974" t="s">
        <v>65</v>
      </c>
      <c r="D974">
        <v>15</v>
      </c>
      <c r="E974" s="2">
        <v>42714</v>
      </c>
      <c r="F974" t="s">
        <v>24</v>
      </c>
      <c r="G974" t="s">
        <v>66</v>
      </c>
      <c r="H974" t="s">
        <v>100</v>
      </c>
      <c r="I974" s="3">
        <v>2.0833333333333333E-3</v>
      </c>
      <c r="J974" t="s">
        <v>38</v>
      </c>
      <c r="K974">
        <v>72</v>
      </c>
      <c r="L974" s="3">
        <v>1.3888888888888889E-3</v>
      </c>
      <c r="M974" t="s">
        <v>31</v>
      </c>
      <c r="N974" t="s">
        <v>243</v>
      </c>
      <c r="O974">
        <f>IF(Table13[[#This Row],[Goal_assist]]="",1,0)</f>
        <v>0</v>
      </c>
    </row>
    <row r="975" spans="1:15" x14ac:dyDescent="0.35">
      <c r="A975" t="s">
        <v>64</v>
      </c>
      <c r="B975" t="s">
        <v>291</v>
      </c>
      <c r="C975" t="s">
        <v>65</v>
      </c>
      <c r="D975">
        <v>15</v>
      </c>
      <c r="E975" s="2">
        <v>42714</v>
      </c>
      <c r="F975" t="s">
        <v>24</v>
      </c>
      <c r="G975" t="s">
        <v>66</v>
      </c>
      <c r="H975" t="s">
        <v>100</v>
      </c>
      <c r="I975" s="3">
        <v>2.0833333333333333E-3</v>
      </c>
      <c r="J975" t="s">
        <v>38</v>
      </c>
      <c r="K975" t="s">
        <v>141</v>
      </c>
      <c r="L975" s="3">
        <v>2.0833333333333333E-3</v>
      </c>
      <c r="M975" t="s">
        <v>31</v>
      </c>
      <c r="N975" t="s">
        <v>222</v>
      </c>
      <c r="O975">
        <f>IF(Table13[[#This Row],[Goal_assist]]="",1,0)</f>
        <v>0</v>
      </c>
    </row>
    <row r="976" spans="1:15" x14ac:dyDescent="0.35">
      <c r="A976" t="s">
        <v>14</v>
      </c>
      <c r="B976" t="s">
        <v>291</v>
      </c>
      <c r="C976" t="s">
        <v>163</v>
      </c>
      <c r="D976" t="s">
        <v>62</v>
      </c>
      <c r="E976" s="2">
        <v>42719</v>
      </c>
      <c r="F976" t="s">
        <v>24</v>
      </c>
      <c r="G976" t="s">
        <v>112</v>
      </c>
      <c r="H976" t="s">
        <v>298</v>
      </c>
      <c r="I976" s="3">
        <v>1.3888888888888889E-3</v>
      </c>
      <c r="J976" t="s">
        <v>19</v>
      </c>
      <c r="K976" t="s">
        <v>136</v>
      </c>
      <c r="L976" s="3">
        <v>1.3888888888888889E-3</v>
      </c>
      <c r="M976" t="s">
        <v>26</v>
      </c>
      <c r="N976" t="s">
        <v>268</v>
      </c>
      <c r="O976">
        <f>IF(Table13[[#This Row],[Goal_assist]]="",1,0)</f>
        <v>0</v>
      </c>
    </row>
    <row r="977" spans="1:15" x14ac:dyDescent="0.35">
      <c r="A977" t="s">
        <v>14</v>
      </c>
      <c r="B977" t="s">
        <v>291</v>
      </c>
      <c r="C977" t="s">
        <v>163</v>
      </c>
      <c r="D977" t="s">
        <v>46</v>
      </c>
      <c r="E977" s="2">
        <v>42722</v>
      </c>
      <c r="F977" t="s">
        <v>16</v>
      </c>
      <c r="G977" t="s">
        <v>112</v>
      </c>
      <c r="H977" t="s">
        <v>299</v>
      </c>
      <c r="I977" t="s">
        <v>300</v>
      </c>
      <c r="J977" t="s">
        <v>19</v>
      </c>
      <c r="K977">
        <v>104</v>
      </c>
      <c r="L977" s="3">
        <v>0.16805555555555557</v>
      </c>
      <c r="M977" t="s">
        <v>31</v>
      </c>
      <c r="N977" t="s">
        <v>277</v>
      </c>
      <c r="O977">
        <f>IF(Table13[[#This Row],[Goal_assist]]="",1,0)</f>
        <v>0</v>
      </c>
    </row>
    <row r="978" spans="1:15" x14ac:dyDescent="0.35">
      <c r="A978" t="s">
        <v>14</v>
      </c>
      <c r="B978" t="s">
        <v>291</v>
      </c>
      <c r="C978" t="s">
        <v>163</v>
      </c>
      <c r="D978" t="s">
        <v>46</v>
      </c>
      <c r="E978" s="2">
        <v>42722</v>
      </c>
      <c r="F978" t="s">
        <v>16</v>
      </c>
      <c r="G978" t="s">
        <v>112</v>
      </c>
      <c r="H978" t="s">
        <v>299</v>
      </c>
      <c r="I978" t="s">
        <v>300</v>
      </c>
      <c r="J978" t="s">
        <v>19</v>
      </c>
      <c r="K978">
        <v>60</v>
      </c>
      <c r="L978" s="3">
        <v>8.4722222222222227E-2</v>
      </c>
      <c r="M978" t="s">
        <v>83</v>
      </c>
      <c r="O978">
        <f>IF(Table13[[#This Row],[Goal_assist]]="",1,0)</f>
        <v>1</v>
      </c>
    </row>
    <row r="979" spans="1:15" x14ac:dyDescent="0.35">
      <c r="A979" t="s">
        <v>14</v>
      </c>
      <c r="B979" t="s">
        <v>291</v>
      </c>
      <c r="C979" t="s">
        <v>163</v>
      </c>
      <c r="D979" t="s">
        <v>46</v>
      </c>
      <c r="E979" s="2">
        <v>42722</v>
      </c>
      <c r="F979" t="s">
        <v>16</v>
      </c>
      <c r="G979" t="s">
        <v>112</v>
      </c>
      <c r="H979" t="s">
        <v>299</v>
      </c>
      <c r="I979" t="s">
        <v>300</v>
      </c>
      <c r="J979" t="s">
        <v>19</v>
      </c>
      <c r="K979">
        <v>97</v>
      </c>
      <c r="L979" s="3">
        <v>0.12638888888888888</v>
      </c>
      <c r="M979" t="s">
        <v>31</v>
      </c>
      <c r="N979" t="s">
        <v>183</v>
      </c>
      <c r="O979">
        <f>IF(Table13[[#This Row],[Goal_assist]]="",1,0)</f>
        <v>0</v>
      </c>
    </row>
    <row r="980" spans="1:15" x14ac:dyDescent="0.35">
      <c r="A980" t="s">
        <v>64</v>
      </c>
      <c r="B980" t="s">
        <v>291</v>
      </c>
      <c r="C980" t="s">
        <v>65</v>
      </c>
      <c r="D980">
        <v>16</v>
      </c>
      <c r="E980" s="2">
        <v>42722</v>
      </c>
      <c r="F980" t="s">
        <v>16</v>
      </c>
      <c r="G980" t="s">
        <v>66</v>
      </c>
      <c r="H980" t="s">
        <v>121</v>
      </c>
      <c r="I980" s="3">
        <v>0.1673611111111111</v>
      </c>
      <c r="J980" t="s">
        <v>38</v>
      </c>
      <c r="K980">
        <v>90</v>
      </c>
      <c r="L980" s="3">
        <v>0.1673611111111111</v>
      </c>
      <c r="M980" t="s">
        <v>31</v>
      </c>
      <c r="N980" t="s">
        <v>273</v>
      </c>
      <c r="O980">
        <f>IF(Table13[[#This Row],[Goal_assist]]="",1,0)</f>
        <v>0</v>
      </c>
    </row>
    <row r="981" spans="1:15" x14ac:dyDescent="0.35">
      <c r="A981" t="s">
        <v>64</v>
      </c>
      <c r="B981" t="s">
        <v>291</v>
      </c>
      <c r="C981" t="s">
        <v>91</v>
      </c>
      <c r="D981" t="s">
        <v>143</v>
      </c>
      <c r="E981" s="2">
        <v>42740</v>
      </c>
      <c r="F981" t="s">
        <v>24</v>
      </c>
      <c r="G981" t="s">
        <v>66</v>
      </c>
      <c r="H981" t="s">
        <v>86</v>
      </c>
      <c r="I981" s="3">
        <v>8.4027777777777785E-2</v>
      </c>
      <c r="J981" t="s">
        <v>38</v>
      </c>
      <c r="K981">
        <v>52</v>
      </c>
      <c r="L981" s="3">
        <v>8.4027777777777785E-2</v>
      </c>
      <c r="M981" t="s">
        <v>39</v>
      </c>
      <c r="O981">
        <f>IF(Table13[[#This Row],[Goal_assist]]="",1,0)</f>
        <v>1</v>
      </c>
    </row>
    <row r="982" spans="1:15" x14ac:dyDescent="0.35">
      <c r="A982" t="s">
        <v>14</v>
      </c>
      <c r="B982" t="s">
        <v>291</v>
      </c>
      <c r="C982" t="s">
        <v>65</v>
      </c>
      <c r="D982">
        <v>17</v>
      </c>
      <c r="E982" s="2">
        <v>42742</v>
      </c>
      <c r="F982" t="s">
        <v>16</v>
      </c>
      <c r="G982" t="s">
        <v>112</v>
      </c>
      <c r="H982" t="s">
        <v>233</v>
      </c>
      <c r="I982" s="3">
        <v>0.20833333333333334</v>
      </c>
      <c r="J982" t="s">
        <v>19</v>
      </c>
      <c r="K982">
        <v>27</v>
      </c>
      <c r="L982" s="3">
        <v>0.125</v>
      </c>
      <c r="M982" t="s">
        <v>22</v>
      </c>
      <c r="N982" t="s">
        <v>201</v>
      </c>
      <c r="O982">
        <f>IF(Table13[[#This Row],[Goal_assist]]="",1,0)</f>
        <v>0</v>
      </c>
    </row>
    <row r="983" spans="1:15" x14ac:dyDescent="0.35">
      <c r="A983" t="s">
        <v>64</v>
      </c>
      <c r="B983" t="s">
        <v>291</v>
      </c>
      <c r="C983" t="s">
        <v>65</v>
      </c>
      <c r="D983">
        <v>17</v>
      </c>
      <c r="E983" s="2">
        <v>42743</v>
      </c>
      <c r="F983" t="s">
        <v>24</v>
      </c>
      <c r="G983" t="s">
        <v>66</v>
      </c>
      <c r="H983" t="s">
        <v>180</v>
      </c>
      <c r="I983" s="3">
        <v>4.2361111111111113E-2</v>
      </c>
      <c r="J983" t="s">
        <v>38</v>
      </c>
      <c r="K983">
        <v>90</v>
      </c>
      <c r="L983" s="3">
        <v>4.2361111111111113E-2</v>
      </c>
      <c r="M983" t="s">
        <v>39</v>
      </c>
      <c r="O983">
        <f>IF(Table13[[#This Row],[Goal_assist]]="",1,0)</f>
        <v>1</v>
      </c>
    </row>
    <row r="984" spans="1:15" x14ac:dyDescent="0.35">
      <c r="A984" t="s">
        <v>64</v>
      </c>
      <c r="B984" t="s">
        <v>291</v>
      </c>
      <c r="C984" t="s">
        <v>91</v>
      </c>
      <c r="D984" t="s">
        <v>143</v>
      </c>
      <c r="E984" s="2">
        <v>42746</v>
      </c>
      <c r="F984" t="s">
        <v>16</v>
      </c>
      <c r="G984" t="s">
        <v>66</v>
      </c>
      <c r="H984" t="s">
        <v>86</v>
      </c>
      <c r="I984" s="3">
        <v>0.12569444444444444</v>
      </c>
      <c r="J984" t="s">
        <v>38</v>
      </c>
      <c r="K984">
        <v>78</v>
      </c>
      <c r="L984" s="3">
        <v>0.12569444444444444</v>
      </c>
      <c r="M984" t="s">
        <v>39</v>
      </c>
      <c r="O984">
        <f>IF(Table13[[#This Row],[Goal_assist]]="",1,0)</f>
        <v>1</v>
      </c>
    </row>
    <row r="985" spans="1:15" x14ac:dyDescent="0.35">
      <c r="A985" t="s">
        <v>64</v>
      </c>
      <c r="B985" t="s">
        <v>291</v>
      </c>
      <c r="C985" t="s">
        <v>65</v>
      </c>
      <c r="D985">
        <v>18</v>
      </c>
      <c r="E985" s="2">
        <v>42749</v>
      </c>
      <c r="F985" t="s">
        <v>16</v>
      </c>
      <c r="G985" t="s">
        <v>66</v>
      </c>
      <c r="H985" t="s">
        <v>284</v>
      </c>
      <c r="I985" s="3">
        <v>0.20833333333333334</v>
      </c>
      <c r="J985" t="s">
        <v>275</v>
      </c>
      <c r="K985">
        <v>52</v>
      </c>
      <c r="L985" s="3">
        <v>8.3333333333333329E-2</v>
      </c>
      <c r="M985" t="s">
        <v>26</v>
      </c>
      <c r="O985">
        <f>IF(Table13[[#This Row],[Goal_assist]]="",1,0)</f>
        <v>1</v>
      </c>
    </row>
    <row r="986" spans="1:15" x14ac:dyDescent="0.35">
      <c r="A986" t="s">
        <v>14</v>
      </c>
      <c r="B986" t="s">
        <v>291</v>
      </c>
      <c r="C986" t="s">
        <v>65</v>
      </c>
      <c r="D986">
        <v>18</v>
      </c>
      <c r="E986" s="2">
        <v>42750</v>
      </c>
      <c r="F986" t="s">
        <v>24</v>
      </c>
      <c r="G986" t="s">
        <v>112</v>
      </c>
      <c r="H986" t="s">
        <v>105</v>
      </c>
      <c r="I986" s="3">
        <v>8.4027777777777785E-2</v>
      </c>
      <c r="J986" t="s">
        <v>68</v>
      </c>
      <c r="K986">
        <v>67</v>
      </c>
      <c r="L986" s="3">
        <v>6.9444444444444447E-4</v>
      </c>
      <c r="M986" t="s">
        <v>83</v>
      </c>
      <c r="O986">
        <f>IF(Table13[[#This Row],[Goal_assist]]="",1,0)</f>
        <v>1</v>
      </c>
    </row>
    <row r="987" spans="1:15" x14ac:dyDescent="0.35">
      <c r="A987" t="s">
        <v>64</v>
      </c>
      <c r="B987" t="s">
        <v>291</v>
      </c>
      <c r="C987" t="s">
        <v>65</v>
      </c>
      <c r="D987">
        <v>19</v>
      </c>
      <c r="E987" s="2">
        <v>42757</v>
      </c>
      <c r="F987" t="s">
        <v>24</v>
      </c>
      <c r="G987" t="s">
        <v>66</v>
      </c>
      <c r="H987" t="s">
        <v>270</v>
      </c>
      <c r="I987" s="3">
        <v>2.7777777777777779E-3</v>
      </c>
      <c r="J987" t="s">
        <v>275</v>
      </c>
      <c r="K987">
        <v>50</v>
      </c>
      <c r="L987" s="3">
        <v>1.3888888888888889E-3</v>
      </c>
      <c r="M987" t="s">
        <v>31</v>
      </c>
      <c r="N987" t="s">
        <v>273</v>
      </c>
      <c r="O987">
        <f>IF(Table13[[#This Row],[Goal_assist]]="",1,0)</f>
        <v>0</v>
      </c>
    </row>
    <row r="988" spans="1:15" x14ac:dyDescent="0.35">
      <c r="A988" t="s">
        <v>14</v>
      </c>
      <c r="B988" t="s">
        <v>291</v>
      </c>
      <c r="C988" t="s">
        <v>91</v>
      </c>
      <c r="D988" t="s">
        <v>92</v>
      </c>
      <c r="E988" s="2">
        <v>42760</v>
      </c>
      <c r="F988" t="s">
        <v>24</v>
      </c>
      <c r="G988" t="s">
        <v>112</v>
      </c>
      <c r="H988" t="s">
        <v>98</v>
      </c>
      <c r="I988" s="3">
        <v>8.4722222222222227E-2</v>
      </c>
      <c r="J988" t="s">
        <v>68</v>
      </c>
      <c r="K988">
        <v>62</v>
      </c>
      <c r="L988" s="3">
        <v>4.2361111111111113E-2</v>
      </c>
      <c r="M988" t="s">
        <v>39</v>
      </c>
      <c r="O988">
        <f>IF(Table13[[#This Row],[Goal_assist]]="",1,0)</f>
        <v>1</v>
      </c>
    </row>
    <row r="989" spans="1:15" x14ac:dyDescent="0.35">
      <c r="A989" t="s">
        <v>64</v>
      </c>
      <c r="B989" t="s">
        <v>291</v>
      </c>
      <c r="C989" t="s">
        <v>91</v>
      </c>
      <c r="D989" t="s">
        <v>92</v>
      </c>
      <c r="E989" s="2">
        <v>42761</v>
      </c>
      <c r="F989" t="s">
        <v>16</v>
      </c>
      <c r="G989" t="s">
        <v>66</v>
      </c>
      <c r="H989" t="s">
        <v>217</v>
      </c>
      <c r="I989" s="3">
        <v>0.20972222222222223</v>
      </c>
      <c r="J989" t="s">
        <v>275</v>
      </c>
      <c r="K989">
        <v>55</v>
      </c>
      <c r="L989" s="3">
        <v>8.3333333333333329E-2</v>
      </c>
      <c r="M989" t="s">
        <v>83</v>
      </c>
      <c r="O989">
        <f>IF(Table13[[#This Row],[Goal_assist]]="",1,0)</f>
        <v>1</v>
      </c>
    </row>
    <row r="990" spans="1:15" x14ac:dyDescent="0.35">
      <c r="A990" t="s">
        <v>14</v>
      </c>
      <c r="B990" t="s">
        <v>291</v>
      </c>
      <c r="C990" t="s">
        <v>65</v>
      </c>
      <c r="D990">
        <v>20</v>
      </c>
      <c r="E990" s="2">
        <v>42764</v>
      </c>
      <c r="F990" t="s">
        <v>16</v>
      </c>
      <c r="G990" t="s">
        <v>112</v>
      </c>
      <c r="H990" t="s">
        <v>217</v>
      </c>
      <c r="I990" s="3">
        <v>0.125</v>
      </c>
      <c r="J990" t="s">
        <v>19</v>
      </c>
      <c r="K990">
        <v>51</v>
      </c>
      <c r="L990" s="3">
        <v>8.3333333333333329E-2</v>
      </c>
      <c r="M990" t="s">
        <v>26</v>
      </c>
      <c r="N990" t="s">
        <v>301</v>
      </c>
      <c r="O990">
        <f>IF(Table13[[#This Row],[Goal_assist]]="",1,0)</f>
        <v>0</v>
      </c>
    </row>
    <row r="991" spans="1:15" x14ac:dyDescent="0.35">
      <c r="A991" t="s">
        <v>64</v>
      </c>
      <c r="B991" t="s">
        <v>291</v>
      </c>
      <c r="C991" t="s">
        <v>91</v>
      </c>
      <c r="D991" t="s">
        <v>62</v>
      </c>
      <c r="E991" s="2">
        <v>42767</v>
      </c>
      <c r="F991" t="s">
        <v>24</v>
      </c>
      <c r="G991" t="s">
        <v>66</v>
      </c>
      <c r="H991" t="s">
        <v>119</v>
      </c>
      <c r="I991" s="3">
        <v>4.3055555555555555E-2</v>
      </c>
      <c r="J991" t="s">
        <v>275</v>
      </c>
      <c r="K991">
        <v>33</v>
      </c>
      <c r="L991" s="3">
        <v>1.3888888888888889E-3</v>
      </c>
      <c r="M991" t="s">
        <v>31</v>
      </c>
      <c r="N991" t="s">
        <v>276</v>
      </c>
      <c r="O991">
        <f>IF(Table13[[#This Row],[Goal_assist]]="",1,0)</f>
        <v>0</v>
      </c>
    </row>
    <row r="992" spans="1:15" x14ac:dyDescent="0.35">
      <c r="A992" t="s">
        <v>64</v>
      </c>
      <c r="B992" t="s">
        <v>291</v>
      </c>
      <c r="C992" t="s">
        <v>65</v>
      </c>
      <c r="D992">
        <v>21</v>
      </c>
      <c r="E992" s="2">
        <v>42770</v>
      </c>
      <c r="F992" t="s">
        <v>16</v>
      </c>
      <c r="G992" t="s">
        <v>66</v>
      </c>
      <c r="H992" t="s">
        <v>86</v>
      </c>
      <c r="I992" s="3">
        <v>0.125</v>
      </c>
      <c r="J992" t="s">
        <v>275</v>
      </c>
      <c r="K992">
        <v>40</v>
      </c>
      <c r="L992" s="3">
        <v>8.3333333333333329E-2</v>
      </c>
      <c r="M992" t="s">
        <v>39</v>
      </c>
      <c r="O992">
        <f>IF(Table13[[#This Row],[Goal_assist]]="",1,0)</f>
        <v>1</v>
      </c>
    </row>
    <row r="993" spans="1:15" x14ac:dyDescent="0.35">
      <c r="A993" t="s">
        <v>64</v>
      </c>
      <c r="B993" t="s">
        <v>291</v>
      </c>
      <c r="C993" t="s">
        <v>65</v>
      </c>
      <c r="D993">
        <v>22</v>
      </c>
      <c r="E993" s="2">
        <v>42777</v>
      </c>
      <c r="F993" t="s">
        <v>24</v>
      </c>
      <c r="G993" t="s">
        <v>66</v>
      </c>
      <c r="H993" t="s">
        <v>88</v>
      </c>
      <c r="I993" s="3">
        <v>4.1666666666666666E-3</v>
      </c>
      <c r="J993" t="s">
        <v>275</v>
      </c>
      <c r="K993">
        <v>59</v>
      </c>
      <c r="L993" s="3">
        <v>2.0833333333333333E-3</v>
      </c>
      <c r="M993" t="s">
        <v>31</v>
      </c>
      <c r="N993" t="s">
        <v>256</v>
      </c>
      <c r="O993">
        <f>IF(Table13[[#This Row],[Goal_assist]]="",1,0)</f>
        <v>0</v>
      </c>
    </row>
    <row r="994" spans="1:15" x14ac:dyDescent="0.35">
      <c r="A994" t="s">
        <v>14</v>
      </c>
      <c r="B994" t="s">
        <v>291</v>
      </c>
      <c r="C994" t="s">
        <v>65</v>
      </c>
      <c r="D994">
        <v>22</v>
      </c>
      <c r="E994" s="2">
        <v>42777</v>
      </c>
      <c r="F994" t="s">
        <v>24</v>
      </c>
      <c r="G994" t="s">
        <v>112</v>
      </c>
      <c r="H994" t="s">
        <v>100</v>
      </c>
      <c r="I994" s="3">
        <v>4.3749999999999997E-2</v>
      </c>
      <c r="J994" t="s">
        <v>68</v>
      </c>
      <c r="K994">
        <v>24</v>
      </c>
      <c r="L994" s="3">
        <v>6.9444444444444447E-4</v>
      </c>
      <c r="M994" t="s">
        <v>26</v>
      </c>
      <c r="N994" t="s">
        <v>183</v>
      </c>
      <c r="O994">
        <f>IF(Table13[[#This Row],[Goal_assist]]="",1,0)</f>
        <v>0</v>
      </c>
    </row>
    <row r="995" spans="1:15" x14ac:dyDescent="0.35">
      <c r="A995" t="s">
        <v>64</v>
      </c>
      <c r="B995" t="s">
        <v>291</v>
      </c>
      <c r="C995" t="s">
        <v>65</v>
      </c>
      <c r="D995">
        <v>23</v>
      </c>
      <c r="E995" s="2">
        <v>42785</v>
      </c>
      <c r="F995" t="s">
        <v>16</v>
      </c>
      <c r="G995" t="s">
        <v>66</v>
      </c>
      <c r="H995" t="s">
        <v>294</v>
      </c>
      <c r="I995" s="3">
        <v>8.4027777777777785E-2</v>
      </c>
      <c r="J995" t="s">
        <v>38</v>
      </c>
      <c r="K995">
        <v>4</v>
      </c>
      <c r="L995" s="3">
        <v>4.1666666666666664E-2</v>
      </c>
      <c r="M995" t="s">
        <v>26</v>
      </c>
      <c r="N995" t="s">
        <v>273</v>
      </c>
      <c r="O995">
        <f>IF(Table13[[#This Row],[Goal_assist]]="",1,0)</f>
        <v>0</v>
      </c>
    </row>
    <row r="996" spans="1:15" x14ac:dyDescent="0.35">
      <c r="A996" t="s">
        <v>64</v>
      </c>
      <c r="B996" t="s">
        <v>291</v>
      </c>
      <c r="C996" t="s">
        <v>65</v>
      </c>
      <c r="D996">
        <v>23</v>
      </c>
      <c r="E996" s="2">
        <v>42785</v>
      </c>
      <c r="F996" t="s">
        <v>16</v>
      </c>
      <c r="G996" t="s">
        <v>66</v>
      </c>
      <c r="H996" t="s">
        <v>294</v>
      </c>
      <c r="I996" s="3">
        <v>8.4027777777777785E-2</v>
      </c>
      <c r="J996" t="s">
        <v>38</v>
      </c>
      <c r="K996">
        <v>90</v>
      </c>
      <c r="L996" s="3">
        <v>8.4027777777777785E-2</v>
      </c>
      <c r="M996" t="s">
        <v>83</v>
      </c>
      <c r="O996">
        <f>IF(Table13[[#This Row],[Goal_assist]]="",1,0)</f>
        <v>1</v>
      </c>
    </row>
    <row r="997" spans="1:15" x14ac:dyDescent="0.35">
      <c r="A997" t="s">
        <v>14</v>
      </c>
      <c r="B997" t="s">
        <v>291</v>
      </c>
      <c r="C997" t="s">
        <v>65</v>
      </c>
      <c r="D997">
        <v>16</v>
      </c>
      <c r="E997" s="2">
        <v>42788</v>
      </c>
      <c r="F997" t="s">
        <v>24</v>
      </c>
      <c r="G997" t="s">
        <v>112</v>
      </c>
      <c r="H997" t="s">
        <v>148</v>
      </c>
      <c r="I997" s="3">
        <v>8.4027777777777785E-2</v>
      </c>
      <c r="J997" t="s">
        <v>19</v>
      </c>
      <c r="K997">
        <v>44</v>
      </c>
      <c r="L997" s="3">
        <v>8.4027777777777785E-2</v>
      </c>
      <c r="M997" t="s">
        <v>22</v>
      </c>
      <c r="N997" t="s">
        <v>201</v>
      </c>
      <c r="O997">
        <f>IF(Table13[[#This Row],[Goal_assist]]="",1,0)</f>
        <v>0</v>
      </c>
    </row>
    <row r="998" spans="1:15" x14ac:dyDescent="0.35">
      <c r="A998" t="s">
        <v>14</v>
      </c>
      <c r="B998" t="s">
        <v>291</v>
      </c>
      <c r="C998" t="s">
        <v>65</v>
      </c>
      <c r="D998">
        <v>24</v>
      </c>
      <c r="E998" s="2">
        <v>42792</v>
      </c>
      <c r="F998" t="s">
        <v>24</v>
      </c>
      <c r="G998" t="s">
        <v>112</v>
      </c>
      <c r="H998" t="s">
        <v>180</v>
      </c>
      <c r="I998" s="3">
        <v>8.5416666666666669E-2</v>
      </c>
      <c r="J998" t="s">
        <v>19</v>
      </c>
      <c r="K998">
        <v>74</v>
      </c>
      <c r="L998" s="3">
        <v>8.4722222222222227E-2</v>
      </c>
      <c r="M998" t="s">
        <v>83</v>
      </c>
      <c r="O998">
        <f>IF(Table13[[#This Row],[Goal_assist]]="",1,0)</f>
        <v>1</v>
      </c>
    </row>
    <row r="999" spans="1:15" x14ac:dyDescent="0.35">
      <c r="A999" t="s">
        <v>64</v>
      </c>
      <c r="B999" t="s">
        <v>291</v>
      </c>
      <c r="C999" t="s">
        <v>65</v>
      </c>
      <c r="D999">
        <v>24</v>
      </c>
      <c r="E999" s="2">
        <v>42792</v>
      </c>
      <c r="F999" t="s">
        <v>24</v>
      </c>
      <c r="G999" t="s">
        <v>66</v>
      </c>
      <c r="H999" t="s">
        <v>119</v>
      </c>
      <c r="I999" s="3">
        <v>4.3055555555555555E-2</v>
      </c>
      <c r="J999" t="s">
        <v>38</v>
      </c>
      <c r="K999">
        <v>86</v>
      </c>
      <c r="L999" s="3">
        <v>4.3055555555555555E-2</v>
      </c>
      <c r="M999" t="s">
        <v>31</v>
      </c>
      <c r="O999">
        <f>IF(Table13[[#This Row],[Goal_assist]]="",1,0)</f>
        <v>1</v>
      </c>
    </row>
    <row r="1000" spans="1:15" x14ac:dyDescent="0.35">
      <c r="A1000" t="s">
        <v>14</v>
      </c>
      <c r="B1000" t="s">
        <v>291</v>
      </c>
      <c r="C1000" t="s">
        <v>65</v>
      </c>
      <c r="D1000">
        <v>25</v>
      </c>
      <c r="E1000" s="2">
        <v>42795</v>
      </c>
      <c r="F1000" t="s">
        <v>16</v>
      </c>
      <c r="G1000" t="s">
        <v>112</v>
      </c>
      <c r="H1000" t="s">
        <v>284</v>
      </c>
      <c r="I1000" s="3">
        <v>0.12708333333333333</v>
      </c>
      <c r="J1000" t="s">
        <v>19</v>
      </c>
      <c r="K1000">
        <v>86</v>
      </c>
      <c r="L1000" s="3">
        <v>8.5416666666666669E-2</v>
      </c>
      <c r="M1000" t="s">
        <v>83</v>
      </c>
      <c r="O1000">
        <f>IF(Table13[[#This Row],[Goal_assist]]="",1,0)</f>
        <v>1</v>
      </c>
    </row>
    <row r="1001" spans="1:15" x14ac:dyDescent="0.35">
      <c r="A1001" t="s">
        <v>64</v>
      </c>
      <c r="B1001" t="s">
        <v>291</v>
      </c>
      <c r="C1001" t="s">
        <v>65</v>
      </c>
      <c r="D1001">
        <v>25</v>
      </c>
      <c r="E1001" s="2">
        <v>42795</v>
      </c>
      <c r="F1001" t="s">
        <v>16</v>
      </c>
      <c r="G1001" t="s">
        <v>66</v>
      </c>
      <c r="H1001" t="s">
        <v>151</v>
      </c>
      <c r="I1001" s="3">
        <v>0.25069444444444444</v>
      </c>
      <c r="J1001" t="s">
        <v>275</v>
      </c>
      <c r="K1001">
        <v>9</v>
      </c>
      <c r="L1001" s="3">
        <v>4.1666666666666664E-2</v>
      </c>
      <c r="M1001" t="s">
        <v>22</v>
      </c>
      <c r="N1001" t="s">
        <v>302</v>
      </c>
      <c r="O1001">
        <f>IF(Table13[[#This Row],[Goal_assist]]="",1,0)</f>
        <v>0</v>
      </c>
    </row>
    <row r="1002" spans="1:15" x14ac:dyDescent="0.35">
      <c r="A1002" t="s">
        <v>14</v>
      </c>
      <c r="B1002" t="s">
        <v>291</v>
      </c>
      <c r="C1002" t="s">
        <v>65</v>
      </c>
      <c r="D1002">
        <v>25</v>
      </c>
      <c r="E1002" s="2">
        <v>42795</v>
      </c>
      <c r="F1002" t="s">
        <v>16</v>
      </c>
      <c r="G1002" t="s">
        <v>112</v>
      </c>
      <c r="H1002" t="s">
        <v>284</v>
      </c>
      <c r="I1002" s="3">
        <v>0.12708333333333333</v>
      </c>
      <c r="J1002" t="s">
        <v>19</v>
      </c>
      <c r="K1002">
        <v>89</v>
      </c>
      <c r="L1002" s="3">
        <v>0.12708333333333333</v>
      </c>
      <c r="M1002" t="s">
        <v>22</v>
      </c>
      <c r="N1002" t="s">
        <v>268</v>
      </c>
      <c r="O1002">
        <f>IF(Table13[[#This Row],[Goal_assist]]="",1,0)</f>
        <v>0</v>
      </c>
    </row>
    <row r="1003" spans="1:15" x14ac:dyDescent="0.35">
      <c r="A1003" t="s">
        <v>64</v>
      </c>
      <c r="B1003" t="s">
        <v>291</v>
      </c>
      <c r="C1003" t="s">
        <v>65</v>
      </c>
      <c r="D1003">
        <v>26</v>
      </c>
      <c r="E1003" s="2">
        <v>42798</v>
      </c>
      <c r="F1003" t="s">
        <v>16</v>
      </c>
      <c r="G1003" t="s">
        <v>66</v>
      </c>
      <c r="H1003" t="s">
        <v>98</v>
      </c>
      <c r="I1003" s="3">
        <v>0.20833333333333334</v>
      </c>
      <c r="J1003" t="s">
        <v>282</v>
      </c>
      <c r="K1003">
        <v>64</v>
      </c>
      <c r="L1003" s="3">
        <v>0.20833333333333334</v>
      </c>
      <c r="M1003" t="s">
        <v>31</v>
      </c>
      <c r="O1003">
        <f>IF(Table13[[#This Row],[Goal_assist]]="",1,0)</f>
        <v>1</v>
      </c>
    </row>
    <row r="1004" spans="1:15" x14ac:dyDescent="0.35">
      <c r="A1004" t="s">
        <v>64</v>
      </c>
      <c r="B1004" t="s">
        <v>291</v>
      </c>
      <c r="C1004" t="s">
        <v>65</v>
      </c>
      <c r="D1004">
        <v>26</v>
      </c>
      <c r="E1004" s="2">
        <v>42798</v>
      </c>
      <c r="F1004" t="s">
        <v>16</v>
      </c>
      <c r="G1004" t="s">
        <v>66</v>
      </c>
      <c r="H1004" t="s">
        <v>98</v>
      </c>
      <c r="I1004" s="3">
        <v>0.20833333333333334</v>
      </c>
      <c r="J1004" t="s">
        <v>282</v>
      </c>
      <c r="K1004">
        <v>24</v>
      </c>
      <c r="L1004" s="3">
        <v>4.1666666666666664E-2</v>
      </c>
      <c r="M1004" t="s">
        <v>31</v>
      </c>
      <c r="N1004" t="s">
        <v>222</v>
      </c>
      <c r="O1004">
        <f>IF(Table13[[#This Row],[Goal_assist]]="",1,0)</f>
        <v>0</v>
      </c>
    </row>
    <row r="1005" spans="1:15" x14ac:dyDescent="0.35">
      <c r="A1005" t="s">
        <v>64</v>
      </c>
      <c r="B1005" t="s">
        <v>291</v>
      </c>
      <c r="C1005" t="s">
        <v>75</v>
      </c>
      <c r="D1005" t="s">
        <v>143</v>
      </c>
      <c r="E1005" s="2">
        <v>42802</v>
      </c>
      <c r="F1005" t="s">
        <v>16</v>
      </c>
      <c r="G1005" t="s">
        <v>66</v>
      </c>
      <c r="H1005" t="s">
        <v>252</v>
      </c>
      <c r="I1005" s="3">
        <v>0.25069444444444444</v>
      </c>
      <c r="J1005" t="s">
        <v>274</v>
      </c>
      <c r="K1005">
        <v>50</v>
      </c>
      <c r="L1005" s="3">
        <v>0.125</v>
      </c>
      <c r="M1005" t="s">
        <v>83</v>
      </c>
      <c r="O1005">
        <f>IF(Table13[[#This Row],[Goal_assist]]="",1,0)</f>
        <v>1</v>
      </c>
    </row>
    <row r="1006" spans="1:15" x14ac:dyDescent="0.35">
      <c r="A1006" t="s">
        <v>14</v>
      </c>
      <c r="B1006" t="s">
        <v>291</v>
      </c>
      <c r="C1006" t="s">
        <v>65</v>
      </c>
      <c r="D1006">
        <v>27</v>
      </c>
      <c r="E1006" s="2">
        <v>42806</v>
      </c>
      <c r="F1006" t="s">
        <v>16</v>
      </c>
      <c r="G1006" t="s">
        <v>112</v>
      </c>
      <c r="H1006" t="s">
        <v>95</v>
      </c>
      <c r="I1006" s="3">
        <v>8.4027777777777785E-2</v>
      </c>
      <c r="J1006" t="s">
        <v>19</v>
      </c>
      <c r="K1006">
        <v>41</v>
      </c>
      <c r="L1006" s="3">
        <v>4.2361111111111113E-2</v>
      </c>
      <c r="M1006" t="s">
        <v>22</v>
      </c>
      <c r="N1006" t="s">
        <v>201</v>
      </c>
      <c r="O1006">
        <f>IF(Table13[[#This Row],[Goal_assist]]="",1,0)</f>
        <v>0</v>
      </c>
    </row>
    <row r="1007" spans="1:15" x14ac:dyDescent="0.35">
      <c r="A1007" t="s">
        <v>64</v>
      </c>
      <c r="B1007" t="s">
        <v>291</v>
      </c>
      <c r="C1007" t="s">
        <v>65</v>
      </c>
      <c r="D1007">
        <v>28</v>
      </c>
      <c r="E1007" s="2">
        <v>42813</v>
      </c>
      <c r="F1007" t="s">
        <v>16</v>
      </c>
      <c r="G1007" t="s">
        <v>66</v>
      </c>
      <c r="H1007" t="s">
        <v>148</v>
      </c>
      <c r="I1007" s="3">
        <v>0.16805555555555557</v>
      </c>
      <c r="J1007" t="s">
        <v>274</v>
      </c>
      <c r="K1007">
        <v>45</v>
      </c>
      <c r="L1007" s="3">
        <v>8.4027777777777785E-2</v>
      </c>
      <c r="M1007" t="s">
        <v>83</v>
      </c>
      <c r="O1007">
        <f>IF(Table13[[#This Row],[Goal_assist]]="",1,0)</f>
        <v>1</v>
      </c>
    </row>
    <row r="1008" spans="1:15" x14ac:dyDescent="0.35">
      <c r="A1008" t="s">
        <v>64</v>
      </c>
      <c r="B1008" t="s">
        <v>291</v>
      </c>
      <c r="C1008" t="s">
        <v>65</v>
      </c>
      <c r="D1008">
        <v>28</v>
      </c>
      <c r="E1008" s="2">
        <v>42813</v>
      </c>
      <c r="F1008" t="s">
        <v>16</v>
      </c>
      <c r="G1008" t="s">
        <v>66</v>
      </c>
      <c r="H1008" t="s">
        <v>148</v>
      </c>
      <c r="I1008" s="3">
        <v>0.16805555555555557</v>
      </c>
      <c r="J1008" t="s">
        <v>274</v>
      </c>
      <c r="K1008">
        <v>53</v>
      </c>
      <c r="L1008" s="3">
        <v>0.12638888888888888</v>
      </c>
      <c r="M1008" t="s">
        <v>26</v>
      </c>
      <c r="N1008" t="s">
        <v>302</v>
      </c>
      <c r="O1008">
        <f>IF(Table13[[#This Row],[Goal_assist]]="",1,0)</f>
        <v>0</v>
      </c>
    </row>
    <row r="1009" spans="1:15" x14ac:dyDescent="0.35">
      <c r="A1009" t="s">
        <v>64</v>
      </c>
      <c r="B1009" t="s">
        <v>291</v>
      </c>
      <c r="C1009" t="s">
        <v>65</v>
      </c>
      <c r="D1009">
        <v>30</v>
      </c>
      <c r="E1009" s="2">
        <v>42830</v>
      </c>
      <c r="F1009" t="s">
        <v>16</v>
      </c>
      <c r="G1009" t="s">
        <v>66</v>
      </c>
      <c r="H1009" t="s">
        <v>105</v>
      </c>
      <c r="I1009" s="3">
        <v>0.125</v>
      </c>
      <c r="J1009" t="s">
        <v>38</v>
      </c>
      <c r="K1009">
        <v>33</v>
      </c>
      <c r="L1009" s="3">
        <v>0.125</v>
      </c>
      <c r="M1009" t="s">
        <v>31</v>
      </c>
      <c r="O1009">
        <f>IF(Table13[[#This Row],[Goal_assist]]="",1,0)</f>
        <v>1</v>
      </c>
    </row>
    <row r="1010" spans="1:15" x14ac:dyDescent="0.35">
      <c r="A1010" t="s">
        <v>64</v>
      </c>
      <c r="B1010" t="s">
        <v>291</v>
      </c>
      <c r="C1010" t="s">
        <v>65</v>
      </c>
      <c r="D1010">
        <v>30</v>
      </c>
      <c r="E1010" s="2">
        <v>42830</v>
      </c>
      <c r="F1010" t="s">
        <v>16</v>
      </c>
      <c r="G1010" t="s">
        <v>66</v>
      </c>
      <c r="H1010" t="s">
        <v>105</v>
      </c>
      <c r="I1010" s="3">
        <v>0.125</v>
      </c>
      <c r="J1010" t="s">
        <v>38</v>
      </c>
      <c r="K1010">
        <v>28</v>
      </c>
      <c r="L1010" s="3">
        <v>8.3333333333333329E-2</v>
      </c>
      <c r="M1010" t="s">
        <v>26</v>
      </c>
      <c r="N1010" t="s">
        <v>273</v>
      </c>
      <c r="O1010">
        <f>IF(Table13[[#This Row],[Goal_assist]]="",1,0)</f>
        <v>0</v>
      </c>
    </row>
    <row r="1011" spans="1:15" x14ac:dyDescent="0.35">
      <c r="A1011" t="s">
        <v>14</v>
      </c>
      <c r="B1011" t="s">
        <v>291</v>
      </c>
      <c r="C1011" t="s">
        <v>75</v>
      </c>
      <c r="D1011" t="s">
        <v>92</v>
      </c>
      <c r="E1011" s="2">
        <v>42837</v>
      </c>
      <c r="F1011" t="s">
        <v>24</v>
      </c>
      <c r="G1011" t="s">
        <v>112</v>
      </c>
      <c r="H1011" t="s">
        <v>168</v>
      </c>
      <c r="I1011" s="3">
        <v>4.3055555555555555E-2</v>
      </c>
      <c r="J1011" t="s">
        <v>19</v>
      </c>
      <c r="K1011">
        <v>47</v>
      </c>
      <c r="L1011" s="3">
        <v>4.2361111111111113E-2</v>
      </c>
      <c r="M1011" t="s">
        <v>26</v>
      </c>
      <c r="N1011" t="s">
        <v>262</v>
      </c>
      <c r="O1011">
        <f>IF(Table13[[#This Row],[Goal_assist]]="",1,0)</f>
        <v>0</v>
      </c>
    </row>
    <row r="1012" spans="1:15" x14ac:dyDescent="0.35">
      <c r="A1012" t="s">
        <v>14</v>
      </c>
      <c r="B1012" t="s">
        <v>291</v>
      </c>
      <c r="C1012" t="s">
        <v>75</v>
      </c>
      <c r="D1012" t="s">
        <v>92</v>
      </c>
      <c r="E1012" s="2">
        <v>42837</v>
      </c>
      <c r="F1012" t="s">
        <v>24</v>
      </c>
      <c r="G1012" t="s">
        <v>112</v>
      </c>
      <c r="H1012" t="s">
        <v>168</v>
      </c>
      <c r="I1012" s="3">
        <v>4.3055555555555555E-2</v>
      </c>
      <c r="J1012" t="s">
        <v>19</v>
      </c>
      <c r="K1012">
        <v>77</v>
      </c>
      <c r="L1012" s="3">
        <v>4.3055555555555555E-2</v>
      </c>
      <c r="M1012" t="s">
        <v>26</v>
      </c>
      <c r="N1012" t="s">
        <v>303</v>
      </c>
      <c r="O1012">
        <f>IF(Table13[[#This Row],[Goal_assist]]="",1,0)</f>
        <v>0</v>
      </c>
    </row>
    <row r="1013" spans="1:15" x14ac:dyDescent="0.35">
      <c r="A1013" t="s">
        <v>64</v>
      </c>
      <c r="B1013" t="s">
        <v>291</v>
      </c>
      <c r="C1013" t="s">
        <v>65</v>
      </c>
      <c r="D1013">
        <v>32</v>
      </c>
      <c r="E1013" s="2">
        <v>42840</v>
      </c>
      <c r="F1013" t="s">
        <v>16</v>
      </c>
      <c r="G1013" t="s">
        <v>66</v>
      </c>
      <c r="H1013" t="s">
        <v>217</v>
      </c>
      <c r="I1013" s="3">
        <v>0.12638888888888888</v>
      </c>
      <c r="J1013" t="s">
        <v>275</v>
      </c>
      <c r="K1013">
        <v>17</v>
      </c>
      <c r="L1013" s="3">
        <v>4.1666666666666664E-2</v>
      </c>
      <c r="M1013" t="s">
        <v>31</v>
      </c>
      <c r="N1013" t="s">
        <v>273</v>
      </c>
      <c r="O1013">
        <f>IF(Table13[[#This Row],[Goal_assist]]="",1,0)</f>
        <v>0</v>
      </c>
    </row>
    <row r="1014" spans="1:15" x14ac:dyDescent="0.35">
      <c r="A1014" t="s">
        <v>64</v>
      </c>
      <c r="B1014" t="s">
        <v>291</v>
      </c>
      <c r="C1014" t="s">
        <v>65</v>
      </c>
      <c r="D1014">
        <v>32</v>
      </c>
      <c r="E1014" s="2">
        <v>42840</v>
      </c>
      <c r="F1014" t="s">
        <v>16</v>
      </c>
      <c r="G1014" t="s">
        <v>66</v>
      </c>
      <c r="H1014" t="s">
        <v>217</v>
      </c>
      <c r="I1014" s="3">
        <v>0.12638888888888888</v>
      </c>
      <c r="J1014" t="s">
        <v>275</v>
      </c>
      <c r="K1014">
        <v>37</v>
      </c>
      <c r="L1014" s="3">
        <v>8.3333333333333329E-2</v>
      </c>
      <c r="M1014" t="s">
        <v>55</v>
      </c>
      <c r="O1014">
        <f>IF(Table13[[#This Row],[Goal_assist]]="",1,0)</f>
        <v>1</v>
      </c>
    </row>
    <row r="1015" spans="1:15" x14ac:dyDescent="0.35">
      <c r="A1015" t="s">
        <v>14</v>
      </c>
      <c r="B1015" t="s">
        <v>291</v>
      </c>
      <c r="C1015" t="s">
        <v>75</v>
      </c>
      <c r="D1015" t="s">
        <v>92</v>
      </c>
      <c r="E1015" s="2">
        <v>42843</v>
      </c>
      <c r="F1015" t="s">
        <v>16</v>
      </c>
      <c r="G1015" t="s">
        <v>112</v>
      </c>
      <c r="H1015" t="s">
        <v>168</v>
      </c>
      <c r="I1015" t="s">
        <v>300</v>
      </c>
      <c r="J1015" t="s">
        <v>68</v>
      </c>
      <c r="K1015">
        <v>76</v>
      </c>
      <c r="L1015" s="3">
        <v>4.2361111111111113E-2</v>
      </c>
      <c r="M1015" t="s">
        <v>22</v>
      </c>
      <c r="N1015" t="s">
        <v>304</v>
      </c>
      <c r="O1015">
        <f>IF(Table13[[#This Row],[Goal_assist]]="",1,0)</f>
        <v>0</v>
      </c>
    </row>
    <row r="1016" spans="1:15" x14ac:dyDescent="0.35">
      <c r="A1016" t="s">
        <v>14</v>
      </c>
      <c r="B1016" t="s">
        <v>291</v>
      </c>
      <c r="C1016" t="s">
        <v>75</v>
      </c>
      <c r="D1016" t="s">
        <v>92</v>
      </c>
      <c r="E1016" s="2">
        <v>42843</v>
      </c>
      <c r="F1016" t="s">
        <v>16</v>
      </c>
      <c r="G1016" t="s">
        <v>112</v>
      </c>
      <c r="H1016" t="s">
        <v>168</v>
      </c>
      <c r="I1016" t="s">
        <v>300</v>
      </c>
      <c r="J1016" t="s">
        <v>68</v>
      </c>
      <c r="K1016">
        <v>105</v>
      </c>
      <c r="L1016" s="3">
        <v>8.4722222222222227E-2</v>
      </c>
      <c r="M1016" t="s">
        <v>31</v>
      </c>
      <c r="N1016" t="s">
        <v>202</v>
      </c>
      <c r="O1016">
        <f>IF(Table13[[#This Row],[Goal_assist]]="",1,0)</f>
        <v>0</v>
      </c>
    </row>
    <row r="1017" spans="1:15" x14ac:dyDescent="0.35">
      <c r="A1017" t="s">
        <v>14</v>
      </c>
      <c r="B1017" t="s">
        <v>291</v>
      </c>
      <c r="C1017" t="s">
        <v>75</v>
      </c>
      <c r="D1017" t="s">
        <v>92</v>
      </c>
      <c r="E1017" s="2">
        <v>42843</v>
      </c>
      <c r="F1017" t="s">
        <v>16</v>
      </c>
      <c r="G1017" t="s">
        <v>112</v>
      </c>
      <c r="H1017" t="s">
        <v>168</v>
      </c>
      <c r="I1017" t="s">
        <v>300</v>
      </c>
      <c r="J1017" t="s">
        <v>68</v>
      </c>
      <c r="K1017">
        <v>109</v>
      </c>
      <c r="L1017" s="3">
        <v>0.12638888888888888</v>
      </c>
      <c r="M1017" t="s">
        <v>26</v>
      </c>
      <c r="N1017" t="s">
        <v>201</v>
      </c>
      <c r="O1017">
        <f>IF(Table13[[#This Row],[Goal_assist]]="",1,0)</f>
        <v>0</v>
      </c>
    </row>
    <row r="1018" spans="1:15" x14ac:dyDescent="0.35">
      <c r="A1018" t="s">
        <v>64</v>
      </c>
      <c r="B1018" t="s">
        <v>291</v>
      </c>
      <c r="C1018" t="s">
        <v>65</v>
      </c>
      <c r="D1018">
        <v>33</v>
      </c>
      <c r="E1018" s="2">
        <v>42848</v>
      </c>
      <c r="F1018" t="s">
        <v>24</v>
      </c>
      <c r="G1018" t="s">
        <v>66</v>
      </c>
      <c r="H1018" t="s">
        <v>112</v>
      </c>
      <c r="I1018" s="3">
        <v>8.5416666666666669E-2</v>
      </c>
      <c r="J1018" t="s">
        <v>38</v>
      </c>
      <c r="K1018">
        <v>33</v>
      </c>
      <c r="L1018" s="3">
        <v>4.2361111111111113E-2</v>
      </c>
      <c r="M1018" t="s">
        <v>31</v>
      </c>
      <c r="N1018" t="s">
        <v>276</v>
      </c>
      <c r="O1018">
        <f>IF(Table13[[#This Row],[Goal_assist]]="",1,0)</f>
        <v>0</v>
      </c>
    </row>
    <row r="1019" spans="1:15" x14ac:dyDescent="0.35">
      <c r="A1019" t="s">
        <v>64</v>
      </c>
      <c r="B1019" t="s">
        <v>291</v>
      </c>
      <c r="C1019" t="s">
        <v>65</v>
      </c>
      <c r="D1019">
        <v>33</v>
      </c>
      <c r="E1019" s="2">
        <v>42848</v>
      </c>
      <c r="F1019" t="s">
        <v>24</v>
      </c>
      <c r="G1019" t="s">
        <v>66</v>
      </c>
      <c r="H1019" t="s">
        <v>112</v>
      </c>
      <c r="I1019" s="3">
        <v>8.5416666666666669E-2</v>
      </c>
      <c r="J1019" t="s">
        <v>38</v>
      </c>
      <c r="K1019" t="s">
        <v>141</v>
      </c>
      <c r="L1019" s="3">
        <v>8.5416666666666669E-2</v>
      </c>
      <c r="M1019" t="s">
        <v>31</v>
      </c>
      <c r="N1019" t="s">
        <v>243</v>
      </c>
      <c r="O1019">
        <f>IF(Table13[[#This Row],[Goal_assist]]="",1,0)</f>
        <v>0</v>
      </c>
    </row>
    <row r="1020" spans="1:15" x14ac:dyDescent="0.35">
      <c r="A1020" t="s">
        <v>64</v>
      </c>
      <c r="B1020" t="s">
        <v>291</v>
      </c>
      <c r="C1020" t="s">
        <v>65</v>
      </c>
      <c r="D1020">
        <v>34</v>
      </c>
      <c r="E1020" s="2">
        <v>42851</v>
      </c>
      <c r="F1020" t="s">
        <v>16</v>
      </c>
      <c r="G1020" t="s">
        <v>66</v>
      </c>
      <c r="H1020" t="s">
        <v>100</v>
      </c>
      <c r="I1020" s="3">
        <v>0.29236111111111113</v>
      </c>
      <c r="J1020" t="s">
        <v>282</v>
      </c>
      <c r="K1020">
        <v>12</v>
      </c>
      <c r="L1020" s="3">
        <v>4.1666666666666664E-2</v>
      </c>
      <c r="M1020" t="s">
        <v>31</v>
      </c>
      <c r="O1020">
        <f>IF(Table13[[#This Row],[Goal_assist]]="",1,0)</f>
        <v>1</v>
      </c>
    </row>
    <row r="1021" spans="1:15" x14ac:dyDescent="0.35">
      <c r="A1021" t="s">
        <v>64</v>
      </c>
      <c r="B1021" t="s">
        <v>291</v>
      </c>
      <c r="C1021" t="s">
        <v>65</v>
      </c>
      <c r="D1021">
        <v>34</v>
      </c>
      <c r="E1021" s="2">
        <v>42851</v>
      </c>
      <c r="F1021" t="s">
        <v>16</v>
      </c>
      <c r="G1021" t="s">
        <v>66</v>
      </c>
      <c r="H1021" t="s">
        <v>100</v>
      </c>
      <c r="I1021" s="3">
        <v>0.29236111111111113</v>
      </c>
      <c r="J1021" t="s">
        <v>282</v>
      </c>
      <c r="K1021">
        <v>61</v>
      </c>
      <c r="L1021" s="3">
        <v>0.1673611111111111</v>
      </c>
      <c r="M1021" t="s">
        <v>31</v>
      </c>
      <c r="N1021" t="s">
        <v>276</v>
      </c>
      <c r="O1021">
        <f>IF(Table13[[#This Row],[Goal_assist]]="",1,0)</f>
        <v>0</v>
      </c>
    </row>
    <row r="1022" spans="1:15" x14ac:dyDescent="0.35">
      <c r="A1022" t="s">
        <v>14</v>
      </c>
      <c r="B1022" t="s">
        <v>291</v>
      </c>
      <c r="C1022" t="s">
        <v>65</v>
      </c>
      <c r="D1022">
        <v>35</v>
      </c>
      <c r="E1022" s="2">
        <v>42854</v>
      </c>
      <c r="F1022" t="s">
        <v>16</v>
      </c>
      <c r="G1022" t="s">
        <v>112</v>
      </c>
      <c r="H1022" t="s">
        <v>148</v>
      </c>
      <c r="I1022" s="3">
        <v>8.4027777777777785E-2</v>
      </c>
      <c r="J1022" t="s">
        <v>19</v>
      </c>
      <c r="K1022">
        <v>27</v>
      </c>
      <c r="L1022" s="3">
        <v>4.1666666666666664E-2</v>
      </c>
      <c r="M1022" t="s">
        <v>22</v>
      </c>
      <c r="N1022" t="s">
        <v>262</v>
      </c>
      <c r="O1022">
        <f>IF(Table13[[#This Row],[Goal_assist]]="",1,0)</f>
        <v>0</v>
      </c>
    </row>
    <row r="1023" spans="1:15" x14ac:dyDescent="0.35">
      <c r="A1023" t="s">
        <v>14</v>
      </c>
      <c r="B1023" t="s">
        <v>291</v>
      </c>
      <c r="C1023" t="s">
        <v>75</v>
      </c>
      <c r="D1023" t="s">
        <v>62</v>
      </c>
      <c r="E1023" s="2">
        <v>42857</v>
      </c>
      <c r="F1023" t="s">
        <v>16</v>
      </c>
      <c r="G1023" t="s">
        <v>112</v>
      </c>
      <c r="H1023" t="s">
        <v>119</v>
      </c>
      <c r="I1023" s="3">
        <v>0.125</v>
      </c>
      <c r="J1023" t="s">
        <v>68</v>
      </c>
      <c r="K1023">
        <v>86</v>
      </c>
      <c r="L1023" s="3">
        <v>0.125</v>
      </c>
      <c r="M1023" t="s">
        <v>26</v>
      </c>
      <c r="N1023" t="s">
        <v>281</v>
      </c>
      <c r="O1023">
        <f>IF(Table13[[#This Row],[Goal_assist]]="",1,0)</f>
        <v>0</v>
      </c>
    </row>
    <row r="1024" spans="1:15" x14ac:dyDescent="0.35">
      <c r="A1024" t="s">
        <v>14</v>
      </c>
      <c r="B1024" t="s">
        <v>291</v>
      </c>
      <c r="C1024" t="s">
        <v>75</v>
      </c>
      <c r="D1024" t="s">
        <v>62</v>
      </c>
      <c r="E1024" s="2">
        <v>42857</v>
      </c>
      <c r="F1024" t="s">
        <v>16</v>
      </c>
      <c r="G1024" t="s">
        <v>112</v>
      </c>
      <c r="H1024" t="s">
        <v>119</v>
      </c>
      <c r="I1024" s="3">
        <v>0.125</v>
      </c>
      <c r="J1024" t="s">
        <v>68</v>
      </c>
      <c r="K1024">
        <v>73</v>
      </c>
      <c r="L1024" s="3">
        <v>8.3333333333333329E-2</v>
      </c>
      <c r="M1024" t="s">
        <v>26</v>
      </c>
      <c r="N1024" t="s">
        <v>183</v>
      </c>
      <c r="O1024">
        <f>IF(Table13[[#This Row],[Goal_assist]]="",1,0)</f>
        <v>0</v>
      </c>
    </row>
    <row r="1025" spans="1:15" x14ac:dyDescent="0.35">
      <c r="A1025" t="s">
        <v>14</v>
      </c>
      <c r="B1025" t="s">
        <v>291</v>
      </c>
      <c r="C1025" t="s">
        <v>75</v>
      </c>
      <c r="D1025" t="s">
        <v>62</v>
      </c>
      <c r="E1025" s="2">
        <v>42857</v>
      </c>
      <c r="F1025" t="s">
        <v>16</v>
      </c>
      <c r="G1025" t="s">
        <v>112</v>
      </c>
      <c r="H1025" t="s">
        <v>119</v>
      </c>
      <c r="I1025" s="3">
        <v>0.125</v>
      </c>
      <c r="J1025" t="s">
        <v>68</v>
      </c>
      <c r="K1025">
        <v>10</v>
      </c>
      <c r="L1025" s="3">
        <v>4.1666666666666664E-2</v>
      </c>
      <c r="M1025" t="s">
        <v>22</v>
      </c>
      <c r="N1025" t="s">
        <v>304</v>
      </c>
      <c r="O1025">
        <f>IF(Table13[[#This Row],[Goal_assist]]="",1,0)</f>
        <v>0</v>
      </c>
    </row>
    <row r="1026" spans="1:15" x14ac:dyDescent="0.35">
      <c r="A1026" t="s">
        <v>64</v>
      </c>
      <c r="B1026" t="s">
        <v>291</v>
      </c>
      <c r="C1026" t="s">
        <v>65</v>
      </c>
      <c r="D1026">
        <v>36</v>
      </c>
      <c r="E1026" s="2">
        <v>42861</v>
      </c>
      <c r="F1026" t="s">
        <v>16</v>
      </c>
      <c r="G1026" t="s">
        <v>66</v>
      </c>
      <c r="H1026" t="s">
        <v>180</v>
      </c>
      <c r="I1026" s="3">
        <v>0.1673611111111111</v>
      </c>
      <c r="J1026" t="s">
        <v>38</v>
      </c>
      <c r="K1026">
        <v>45</v>
      </c>
      <c r="L1026" s="3">
        <v>8.4027777777777785E-2</v>
      </c>
      <c r="M1026" t="s">
        <v>31</v>
      </c>
      <c r="N1026" t="s">
        <v>222</v>
      </c>
      <c r="O1026">
        <f>IF(Table13[[#This Row],[Goal_assist]]="",1,0)</f>
        <v>0</v>
      </c>
    </row>
    <row r="1027" spans="1:15" x14ac:dyDescent="0.35">
      <c r="A1027" t="s">
        <v>64</v>
      </c>
      <c r="B1027" t="s">
        <v>291</v>
      </c>
      <c r="C1027" t="s">
        <v>65</v>
      </c>
      <c r="D1027">
        <v>36</v>
      </c>
      <c r="E1027" s="2">
        <v>42861</v>
      </c>
      <c r="F1027" t="s">
        <v>16</v>
      </c>
      <c r="G1027" t="s">
        <v>66</v>
      </c>
      <c r="H1027" t="s">
        <v>180</v>
      </c>
      <c r="I1027" s="3">
        <v>0.1673611111111111</v>
      </c>
      <c r="J1027" t="s">
        <v>38</v>
      </c>
      <c r="K1027">
        <v>82</v>
      </c>
      <c r="L1027" s="3">
        <v>0.1673611111111111</v>
      </c>
      <c r="M1027" t="s">
        <v>83</v>
      </c>
      <c r="O1027">
        <f>IF(Table13[[#This Row],[Goal_assist]]="",1,0)</f>
        <v>1</v>
      </c>
    </row>
    <row r="1028" spans="1:15" x14ac:dyDescent="0.35">
      <c r="A1028" t="s">
        <v>14</v>
      </c>
      <c r="B1028" t="s">
        <v>291</v>
      </c>
      <c r="C1028" t="s">
        <v>65</v>
      </c>
      <c r="D1028">
        <v>37</v>
      </c>
      <c r="E1028" s="2">
        <v>42869</v>
      </c>
      <c r="F1028" t="s">
        <v>16</v>
      </c>
      <c r="G1028" t="s">
        <v>112</v>
      </c>
      <c r="H1028" t="s">
        <v>105</v>
      </c>
      <c r="I1028" s="3">
        <v>0.1673611111111111</v>
      </c>
      <c r="J1028" t="s">
        <v>19</v>
      </c>
      <c r="K1028">
        <v>78</v>
      </c>
      <c r="L1028" s="3">
        <v>0.12569444444444444</v>
      </c>
      <c r="M1028" t="s">
        <v>31</v>
      </c>
      <c r="N1028" t="s">
        <v>277</v>
      </c>
      <c r="O1028">
        <f>IF(Table13[[#This Row],[Goal_assist]]="",1,0)</f>
        <v>0</v>
      </c>
    </row>
    <row r="1029" spans="1:15" x14ac:dyDescent="0.35">
      <c r="A1029" t="s">
        <v>14</v>
      </c>
      <c r="B1029" t="s">
        <v>291</v>
      </c>
      <c r="C1029" t="s">
        <v>65</v>
      </c>
      <c r="D1029">
        <v>37</v>
      </c>
      <c r="E1029" s="2">
        <v>42869</v>
      </c>
      <c r="F1029" t="s">
        <v>16</v>
      </c>
      <c r="G1029" t="s">
        <v>112</v>
      </c>
      <c r="H1029" t="s">
        <v>105</v>
      </c>
      <c r="I1029" s="3">
        <v>0.1673611111111111</v>
      </c>
      <c r="J1029" t="s">
        <v>19</v>
      </c>
      <c r="K1029">
        <v>23</v>
      </c>
      <c r="L1029" s="3">
        <v>8.3333333333333329E-2</v>
      </c>
      <c r="M1029" t="s">
        <v>26</v>
      </c>
      <c r="O1029">
        <f>IF(Table13[[#This Row],[Goal_assist]]="",1,0)</f>
        <v>1</v>
      </c>
    </row>
    <row r="1030" spans="1:15" x14ac:dyDescent="0.35">
      <c r="A1030" t="s">
        <v>14</v>
      </c>
      <c r="B1030" t="s">
        <v>291</v>
      </c>
      <c r="C1030" t="s">
        <v>65</v>
      </c>
      <c r="D1030">
        <v>21</v>
      </c>
      <c r="E1030" s="2">
        <v>42872</v>
      </c>
      <c r="F1030" t="s">
        <v>24</v>
      </c>
      <c r="G1030" t="s">
        <v>112</v>
      </c>
      <c r="H1030" t="s">
        <v>98</v>
      </c>
      <c r="I1030" s="3">
        <v>4.4444444444444446E-2</v>
      </c>
      <c r="J1030" t="s">
        <v>68</v>
      </c>
      <c r="K1030">
        <v>10</v>
      </c>
      <c r="L1030" s="3">
        <v>6.9444444444444447E-4</v>
      </c>
      <c r="M1030" t="s">
        <v>31</v>
      </c>
      <c r="O1030">
        <f>IF(Table13[[#This Row],[Goal_assist]]="",1,0)</f>
        <v>1</v>
      </c>
    </row>
    <row r="1031" spans="1:15" x14ac:dyDescent="0.35">
      <c r="A1031" t="s">
        <v>14</v>
      </c>
      <c r="B1031" t="s">
        <v>291</v>
      </c>
      <c r="C1031" t="s">
        <v>65</v>
      </c>
      <c r="D1031">
        <v>21</v>
      </c>
      <c r="E1031" s="2">
        <v>42872</v>
      </c>
      <c r="F1031" t="s">
        <v>24</v>
      </c>
      <c r="G1031" t="s">
        <v>112</v>
      </c>
      <c r="H1031" t="s">
        <v>98</v>
      </c>
      <c r="I1031" s="3">
        <v>4.4444444444444446E-2</v>
      </c>
      <c r="J1031" t="s">
        <v>68</v>
      </c>
      <c r="K1031">
        <v>48</v>
      </c>
      <c r="L1031" s="3">
        <v>1.3888888888888889E-3</v>
      </c>
      <c r="M1031" t="s">
        <v>31</v>
      </c>
      <c r="N1031" t="s">
        <v>257</v>
      </c>
      <c r="O1031">
        <f>IF(Table13[[#This Row],[Goal_assist]]="",1,0)</f>
        <v>0</v>
      </c>
    </row>
    <row r="1032" spans="1:15" x14ac:dyDescent="0.35">
      <c r="A1032" t="s">
        <v>14</v>
      </c>
      <c r="B1032" t="s">
        <v>291</v>
      </c>
      <c r="C1032" t="s">
        <v>65</v>
      </c>
      <c r="D1032">
        <v>38</v>
      </c>
      <c r="E1032" s="2">
        <v>42876</v>
      </c>
      <c r="F1032" t="s">
        <v>24</v>
      </c>
      <c r="G1032" t="s">
        <v>112</v>
      </c>
      <c r="H1032" t="s">
        <v>157</v>
      </c>
      <c r="I1032" s="3">
        <v>1.3888888888888889E-3</v>
      </c>
      <c r="J1032" t="s">
        <v>68</v>
      </c>
      <c r="K1032">
        <v>2</v>
      </c>
      <c r="L1032" s="3">
        <v>6.9444444444444447E-4</v>
      </c>
      <c r="M1032" t="s">
        <v>26</v>
      </c>
      <c r="N1032" t="s">
        <v>257</v>
      </c>
      <c r="O1032">
        <f>IF(Table13[[#This Row],[Goal_assist]]="",1,0)</f>
        <v>0</v>
      </c>
    </row>
    <row r="1033" spans="1:15" x14ac:dyDescent="0.35">
      <c r="A1033" t="s">
        <v>64</v>
      </c>
      <c r="B1033" t="s">
        <v>291</v>
      </c>
      <c r="C1033" t="s">
        <v>65</v>
      </c>
      <c r="D1033">
        <v>38</v>
      </c>
      <c r="E1033" s="2">
        <v>42876</v>
      </c>
      <c r="F1033" t="s">
        <v>16</v>
      </c>
      <c r="G1033" t="s">
        <v>66</v>
      </c>
      <c r="H1033" t="s">
        <v>270</v>
      </c>
      <c r="I1033" s="3">
        <v>0.16805555555555557</v>
      </c>
      <c r="J1033" t="s">
        <v>38</v>
      </c>
      <c r="K1033">
        <v>75</v>
      </c>
      <c r="L1033" s="3">
        <v>0.12638888888888888</v>
      </c>
      <c r="M1033" t="s">
        <v>83</v>
      </c>
      <c r="O1033">
        <f>IF(Table13[[#This Row],[Goal_assist]]="",1,0)</f>
        <v>1</v>
      </c>
    </row>
    <row r="1034" spans="1:15" x14ac:dyDescent="0.35">
      <c r="A1034" t="s">
        <v>64</v>
      </c>
      <c r="B1034" t="s">
        <v>291</v>
      </c>
      <c r="C1034" t="s">
        <v>65</v>
      </c>
      <c r="D1034">
        <v>38</v>
      </c>
      <c r="E1034" s="2">
        <v>42876</v>
      </c>
      <c r="F1034" t="s">
        <v>16</v>
      </c>
      <c r="G1034" t="s">
        <v>66</v>
      </c>
      <c r="H1034" t="s">
        <v>270</v>
      </c>
      <c r="I1034" s="3">
        <v>0.16805555555555557</v>
      </c>
      <c r="J1034" t="s">
        <v>38</v>
      </c>
      <c r="K1034" t="s">
        <v>141</v>
      </c>
      <c r="L1034" s="3">
        <v>0.16805555555555557</v>
      </c>
      <c r="M1034" t="s">
        <v>26</v>
      </c>
      <c r="O1034">
        <f>IF(Table13[[#This Row],[Goal_assist]]="",1,0)</f>
        <v>1</v>
      </c>
    </row>
    <row r="1035" spans="1:15" x14ac:dyDescent="0.35">
      <c r="A1035" t="s">
        <v>64</v>
      </c>
      <c r="B1035" t="s">
        <v>291</v>
      </c>
      <c r="C1035" t="s">
        <v>91</v>
      </c>
      <c r="D1035" t="s">
        <v>46</v>
      </c>
      <c r="E1035" s="2">
        <v>42882</v>
      </c>
      <c r="F1035" t="s">
        <v>16</v>
      </c>
      <c r="G1035" t="s">
        <v>66</v>
      </c>
      <c r="H1035" t="s">
        <v>88</v>
      </c>
      <c r="I1035" s="3">
        <v>0.12569444444444444</v>
      </c>
      <c r="J1035" t="s">
        <v>38</v>
      </c>
      <c r="K1035">
        <v>30</v>
      </c>
      <c r="L1035" s="3">
        <v>4.1666666666666664E-2</v>
      </c>
      <c r="M1035" t="s">
        <v>31</v>
      </c>
      <c r="N1035" t="s">
        <v>256</v>
      </c>
      <c r="O1035">
        <f>IF(Table13[[#This Row],[Goal_assist]]="",1,0)</f>
        <v>0</v>
      </c>
    </row>
    <row r="1036" spans="1:15" x14ac:dyDescent="0.35">
      <c r="A1036" t="s">
        <v>14</v>
      </c>
      <c r="B1036" t="s">
        <v>291</v>
      </c>
      <c r="C1036" t="s">
        <v>75</v>
      </c>
      <c r="D1036" t="s">
        <v>46</v>
      </c>
      <c r="E1036" s="2">
        <v>42889</v>
      </c>
      <c r="F1036" t="s">
        <v>24</v>
      </c>
      <c r="G1036" t="s">
        <v>112</v>
      </c>
      <c r="H1036" t="s">
        <v>260</v>
      </c>
      <c r="I1036" s="3">
        <v>4.4444444444444446E-2</v>
      </c>
      <c r="J1036" t="s">
        <v>68</v>
      </c>
      <c r="K1036">
        <v>20</v>
      </c>
      <c r="L1036" s="3">
        <v>6.9444444444444447E-4</v>
      </c>
      <c r="M1036" t="s">
        <v>26</v>
      </c>
      <c r="N1036" t="s">
        <v>262</v>
      </c>
      <c r="O1036">
        <f>IF(Table13[[#This Row],[Goal_assist]]="",1,0)</f>
        <v>0</v>
      </c>
    </row>
    <row r="1037" spans="1:15" x14ac:dyDescent="0.35">
      <c r="A1037" t="s">
        <v>14</v>
      </c>
      <c r="B1037" t="s">
        <v>291</v>
      </c>
      <c r="C1037" t="s">
        <v>75</v>
      </c>
      <c r="D1037" t="s">
        <v>46</v>
      </c>
      <c r="E1037" s="2">
        <v>42889</v>
      </c>
      <c r="F1037" t="s">
        <v>24</v>
      </c>
      <c r="G1037" t="s">
        <v>112</v>
      </c>
      <c r="H1037" t="s">
        <v>260</v>
      </c>
      <c r="I1037" s="3">
        <v>4.4444444444444446E-2</v>
      </c>
      <c r="J1037" t="s">
        <v>68</v>
      </c>
      <c r="K1037">
        <v>64</v>
      </c>
      <c r="L1037" s="3">
        <v>4.3749999999999997E-2</v>
      </c>
      <c r="M1037" t="s">
        <v>26</v>
      </c>
      <c r="N1037" t="s">
        <v>250</v>
      </c>
      <c r="O1037">
        <f>IF(Table13[[#This Row],[Goal_assist]]="",1,0)</f>
        <v>0</v>
      </c>
    </row>
    <row r="1038" spans="1:15" x14ac:dyDescent="0.35">
      <c r="A1038" t="s">
        <v>14</v>
      </c>
      <c r="B1038" t="s">
        <v>305</v>
      </c>
      <c r="C1038" t="s">
        <v>172</v>
      </c>
      <c r="D1038" t="s">
        <v>173</v>
      </c>
      <c r="E1038" s="2">
        <v>42960</v>
      </c>
      <c r="F1038" t="s">
        <v>24</v>
      </c>
      <c r="G1038" t="s">
        <v>112</v>
      </c>
      <c r="H1038" t="s">
        <v>66</v>
      </c>
      <c r="I1038" s="3">
        <v>4.3749999999999997E-2</v>
      </c>
      <c r="J1038" t="s">
        <v>68</v>
      </c>
      <c r="K1038">
        <v>80</v>
      </c>
      <c r="L1038" s="3">
        <v>4.3055555555555555E-2</v>
      </c>
      <c r="M1038" t="s">
        <v>26</v>
      </c>
      <c r="N1038" t="s">
        <v>257</v>
      </c>
      <c r="O1038">
        <f>IF(Table13[[#This Row],[Goal_assist]]="",1,0)</f>
        <v>0</v>
      </c>
    </row>
    <row r="1039" spans="1:15" x14ac:dyDescent="0.35">
      <c r="A1039" t="s">
        <v>64</v>
      </c>
      <c r="B1039" t="s">
        <v>305</v>
      </c>
      <c r="C1039" t="s">
        <v>172</v>
      </c>
      <c r="D1039" t="s">
        <v>173</v>
      </c>
      <c r="E1039" s="2">
        <v>42960</v>
      </c>
      <c r="F1039" t="s">
        <v>16</v>
      </c>
      <c r="G1039" t="s">
        <v>66</v>
      </c>
      <c r="H1039" t="s">
        <v>112</v>
      </c>
      <c r="I1039" s="3">
        <v>4.3749999999999997E-2</v>
      </c>
      <c r="J1039" t="s">
        <v>38</v>
      </c>
      <c r="K1039">
        <v>77</v>
      </c>
      <c r="L1039" s="3">
        <v>4.2361111111111113E-2</v>
      </c>
      <c r="M1039" t="s">
        <v>83</v>
      </c>
      <c r="O1039">
        <f>IF(Table13[[#This Row],[Goal_assist]]="",1,0)</f>
        <v>1</v>
      </c>
    </row>
    <row r="1040" spans="1:15" x14ac:dyDescent="0.35">
      <c r="A1040" t="s">
        <v>64</v>
      </c>
      <c r="B1040" t="s">
        <v>305</v>
      </c>
      <c r="C1040" t="s">
        <v>65</v>
      </c>
      <c r="D1040">
        <v>2</v>
      </c>
      <c r="E1040" s="2">
        <v>42973</v>
      </c>
      <c r="F1040" t="s">
        <v>24</v>
      </c>
      <c r="G1040" t="s">
        <v>66</v>
      </c>
      <c r="H1040" t="s">
        <v>88</v>
      </c>
      <c r="I1040" s="3">
        <v>1.3888888888888889E-3</v>
      </c>
      <c r="J1040" t="s">
        <v>68</v>
      </c>
      <c r="K1040">
        <v>66</v>
      </c>
      <c r="L1040" s="3">
        <v>1.3888888888888889E-3</v>
      </c>
      <c r="M1040" t="s">
        <v>31</v>
      </c>
      <c r="N1040" t="s">
        <v>306</v>
      </c>
      <c r="O1040">
        <f>IF(Table13[[#This Row],[Goal_assist]]="",1,0)</f>
        <v>0</v>
      </c>
    </row>
    <row r="1041" spans="1:15" x14ac:dyDescent="0.35">
      <c r="A1041" t="s">
        <v>64</v>
      </c>
      <c r="B1041" t="s">
        <v>305</v>
      </c>
      <c r="C1041" t="s">
        <v>65</v>
      </c>
      <c r="D1041">
        <v>2</v>
      </c>
      <c r="E1041" s="2">
        <v>42973</v>
      </c>
      <c r="F1041" t="s">
        <v>24</v>
      </c>
      <c r="G1041" t="s">
        <v>66</v>
      </c>
      <c r="H1041" t="s">
        <v>88</v>
      </c>
      <c r="I1041" s="3">
        <v>1.3888888888888889E-3</v>
      </c>
      <c r="J1041" t="s">
        <v>68</v>
      </c>
      <c r="K1041">
        <v>55</v>
      </c>
      <c r="L1041" s="3">
        <v>6.9444444444444447E-4</v>
      </c>
      <c r="M1041" t="s">
        <v>31</v>
      </c>
      <c r="N1041" t="s">
        <v>243</v>
      </c>
      <c r="O1041">
        <f>IF(Table13[[#This Row],[Goal_assist]]="",1,0)</f>
        <v>0</v>
      </c>
    </row>
    <row r="1042" spans="1:15" x14ac:dyDescent="0.35">
      <c r="A1042" t="s">
        <v>64</v>
      </c>
      <c r="B1042" t="s">
        <v>305</v>
      </c>
      <c r="C1042" t="s">
        <v>65</v>
      </c>
      <c r="D1042">
        <v>3</v>
      </c>
      <c r="E1042" s="2">
        <v>42987</v>
      </c>
      <c r="F1042" t="s">
        <v>16</v>
      </c>
      <c r="G1042" t="s">
        <v>66</v>
      </c>
      <c r="H1042" t="s">
        <v>121</v>
      </c>
      <c r="I1042" s="3">
        <v>0.20833333333333334</v>
      </c>
      <c r="J1042" t="s">
        <v>68</v>
      </c>
      <c r="K1042">
        <v>26</v>
      </c>
      <c r="L1042" s="3">
        <v>4.1666666666666664E-2</v>
      </c>
      <c r="M1042" t="s">
        <v>31</v>
      </c>
      <c r="N1042" t="s">
        <v>276</v>
      </c>
      <c r="O1042">
        <f>IF(Table13[[#This Row],[Goal_assist]]="",1,0)</f>
        <v>0</v>
      </c>
    </row>
    <row r="1043" spans="1:15" x14ac:dyDescent="0.35">
      <c r="A1043" t="s">
        <v>64</v>
      </c>
      <c r="B1043" t="s">
        <v>305</v>
      </c>
      <c r="C1043" t="s">
        <v>65</v>
      </c>
      <c r="D1043">
        <v>3</v>
      </c>
      <c r="E1043" s="2">
        <v>42987</v>
      </c>
      <c r="F1043" t="s">
        <v>16</v>
      </c>
      <c r="G1043" t="s">
        <v>66</v>
      </c>
      <c r="H1043" t="s">
        <v>121</v>
      </c>
      <c r="I1043" s="3">
        <v>0.20833333333333334</v>
      </c>
      <c r="J1043" t="s">
        <v>68</v>
      </c>
      <c r="K1043">
        <v>67</v>
      </c>
      <c r="L1043" s="3">
        <v>0.125</v>
      </c>
      <c r="M1043" t="s">
        <v>31</v>
      </c>
      <c r="N1043" t="s">
        <v>243</v>
      </c>
      <c r="O1043">
        <f>IF(Table13[[#This Row],[Goal_assist]]="",1,0)</f>
        <v>0</v>
      </c>
    </row>
    <row r="1044" spans="1:15" x14ac:dyDescent="0.35">
      <c r="A1044" t="s">
        <v>64</v>
      </c>
      <c r="B1044" t="s">
        <v>305</v>
      </c>
      <c r="C1044" t="s">
        <v>65</v>
      </c>
      <c r="D1044">
        <v>3</v>
      </c>
      <c r="E1044" s="2">
        <v>42987</v>
      </c>
      <c r="F1044" t="s">
        <v>16</v>
      </c>
      <c r="G1044" t="s">
        <v>66</v>
      </c>
      <c r="H1044" t="s">
        <v>121</v>
      </c>
      <c r="I1044" s="3">
        <v>0.20833333333333334</v>
      </c>
      <c r="J1044" t="s">
        <v>68</v>
      </c>
      <c r="K1044">
        <v>35</v>
      </c>
      <c r="L1044" s="3">
        <v>8.3333333333333329E-2</v>
      </c>
      <c r="M1044" t="s">
        <v>26</v>
      </c>
      <c r="N1044" t="s">
        <v>243</v>
      </c>
      <c r="O1044">
        <f>IF(Table13[[#This Row],[Goal_assist]]="",1,0)</f>
        <v>0</v>
      </c>
    </row>
    <row r="1045" spans="1:15" x14ac:dyDescent="0.35">
      <c r="A1045" t="s">
        <v>64</v>
      </c>
      <c r="B1045" t="s">
        <v>305</v>
      </c>
      <c r="C1045" t="s">
        <v>75</v>
      </c>
      <c r="D1045" t="s">
        <v>76</v>
      </c>
      <c r="E1045" s="2">
        <v>42990</v>
      </c>
      <c r="F1045" t="s">
        <v>16</v>
      </c>
      <c r="G1045" t="s">
        <v>66</v>
      </c>
      <c r="H1045" t="s">
        <v>260</v>
      </c>
      <c r="I1045" s="3">
        <v>0.125</v>
      </c>
      <c r="J1045" t="s">
        <v>68</v>
      </c>
      <c r="K1045">
        <v>69</v>
      </c>
      <c r="L1045" s="3">
        <v>0.125</v>
      </c>
      <c r="M1045" t="s">
        <v>31</v>
      </c>
      <c r="O1045">
        <f>IF(Table13[[#This Row],[Goal_assist]]="",1,0)</f>
        <v>1</v>
      </c>
    </row>
    <row r="1046" spans="1:15" x14ac:dyDescent="0.35">
      <c r="A1046" t="s">
        <v>64</v>
      </c>
      <c r="B1046" t="s">
        <v>305</v>
      </c>
      <c r="C1046" t="s">
        <v>75</v>
      </c>
      <c r="D1046" t="s">
        <v>76</v>
      </c>
      <c r="E1046" s="2">
        <v>42990</v>
      </c>
      <c r="F1046" t="s">
        <v>16</v>
      </c>
      <c r="G1046" t="s">
        <v>66</v>
      </c>
      <c r="H1046" t="s">
        <v>260</v>
      </c>
      <c r="I1046" s="3">
        <v>0.125</v>
      </c>
      <c r="J1046" t="s">
        <v>68</v>
      </c>
      <c r="K1046">
        <v>45</v>
      </c>
      <c r="L1046" s="3">
        <v>4.1666666666666664E-2</v>
      </c>
      <c r="M1046" t="s">
        <v>31</v>
      </c>
      <c r="N1046" t="s">
        <v>273</v>
      </c>
      <c r="O1046">
        <f>IF(Table13[[#This Row],[Goal_assist]]="",1,0)</f>
        <v>0</v>
      </c>
    </row>
    <row r="1047" spans="1:15" x14ac:dyDescent="0.35">
      <c r="A1047" t="s">
        <v>14</v>
      </c>
      <c r="B1047" t="s">
        <v>305</v>
      </c>
      <c r="C1047" t="s">
        <v>75</v>
      </c>
      <c r="D1047" t="s">
        <v>76</v>
      </c>
      <c r="E1047" s="2">
        <v>42991</v>
      </c>
      <c r="F1047" t="s">
        <v>16</v>
      </c>
      <c r="G1047" t="s">
        <v>112</v>
      </c>
      <c r="H1047" t="s">
        <v>241</v>
      </c>
      <c r="I1047" s="3">
        <v>0.125</v>
      </c>
      <c r="J1047" t="s">
        <v>68</v>
      </c>
      <c r="K1047">
        <v>12</v>
      </c>
      <c r="L1047" s="3">
        <v>4.1666666666666664E-2</v>
      </c>
      <c r="M1047" t="s">
        <v>162</v>
      </c>
      <c r="N1047" t="s">
        <v>261</v>
      </c>
      <c r="O1047">
        <f>IF(Table13[[#This Row],[Goal_assist]]="",1,0)</f>
        <v>0</v>
      </c>
    </row>
    <row r="1048" spans="1:15" x14ac:dyDescent="0.35">
      <c r="A1048" t="s">
        <v>14</v>
      </c>
      <c r="B1048" t="s">
        <v>305</v>
      </c>
      <c r="C1048" t="s">
        <v>75</v>
      </c>
      <c r="D1048" t="s">
        <v>76</v>
      </c>
      <c r="E1048" s="2">
        <v>42991</v>
      </c>
      <c r="F1048" t="s">
        <v>16</v>
      </c>
      <c r="G1048" t="s">
        <v>112</v>
      </c>
      <c r="H1048" t="s">
        <v>241</v>
      </c>
      <c r="I1048" s="3">
        <v>0.125</v>
      </c>
      <c r="J1048" t="s">
        <v>68</v>
      </c>
      <c r="K1048">
        <v>51</v>
      </c>
      <c r="L1048" s="3">
        <v>8.3333333333333329E-2</v>
      </c>
      <c r="M1048" t="s">
        <v>83</v>
      </c>
      <c r="O1048">
        <f>IF(Table13[[#This Row],[Goal_assist]]="",1,0)</f>
        <v>1</v>
      </c>
    </row>
    <row r="1049" spans="1:15" x14ac:dyDescent="0.35">
      <c r="A1049" t="s">
        <v>64</v>
      </c>
      <c r="B1049" t="s">
        <v>305</v>
      </c>
      <c r="C1049" t="s">
        <v>65</v>
      </c>
      <c r="D1049">
        <v>5</v>
      </c>
      <c r="E1049" s="2">
        <v>42997</v>
      </c>
      <c r="F1049" t="s">
        <v>16</v>
      </c>
      <c r="G1049" t="s">
        <v>66</v>
      </c>
      <c r="H1049" t="s">
        <v>270</v>
      </c>
      <c r="I1049" s="3">
        <v>0.25069444444444444</v>
      </c>
      <c r="J1049" t="s">
        <v>68</v>
      </c>
      <c r="K1049">
        <v>59</v>
      </c>
      <c r="L1049" s="3">
        <v>0.1673611111111111</v>
      </c>
      <c r="M1049" t="s">
        <v>31</v>
      </c>
      <c r="N1049" t="s">
        <v>222</v>
      </c>
      <c r="O1049">
        <f>IF(Table13[[#This Row],[Goal_assist]]="",1,0)</f>
        <v>0</v>
      </c>
    </row>
    <row r="1050" spans="1:15" x14ac:dyDescent="0.35">
      <c r="A1050" t="s">
        <v>64</v>
      </c>
      <c r="B1050" t="s">
        <v>305</v>
      </c>
      <c r="C1050" t="s">
        <v>65</v>
      </c>
      <c r="D1050">
        <v>5</v>
      </c>
      <c r="E1050" s="2">
        <v>42997</v>
      </c>
      <c r="F1050" t="s">
        <v>16</v>
      </c>
      <c r="G1050" t="s">
        <v>66</v>
      </c>
      <c r="H1050" t="s">
        <v>270</v>
      </c>
      <c r="I1050" s="3">
        <v>0.25069444444444444</v>
      </c>
      <c r="J1050" t="s">
        <v>68</v>
      </c>
      <c r="K1050">
        <v>87</v>
      </c>
      <c r="L1050" s="3">
        <v>0.25069444444444444</v>
      </c>
      <c r="M1050" t="s">
        <v>31</v>
      </c>
      <c r="N1050" t="s">
        <v>307</v>
      </c>
      <c r="O1050">
        <f>IF(Table13[[#This Row],[Goal_assist]]="",1,0)</f>
        <v>0</v>
      </c>
    </row>
    <row r="1051" spans="1:15" x14ac:dyDescent="0.35">
      <c r="A1051" t="s">
        <v>64</v>
      </c>
      <c r="B1051" t="s">
        <v>305</v>
      </c>
      <c r="C1051" t="s">
        <v>65</v>
      </c>
      <c r="D1051">
        <v>5</v>
      </c>
      <c r="E1051" s="2">
        <v>42997</v>
      </c>
      <c r="F1051" t="s">
        <v>16</v>
      </c>
      <c r="G1051" t="s">
        <v>66</v>
      </c>
      <c r="H1051" t="s">
        <v>270</v>
      </c>
      <c r="I1051" s="3">
        <v>0.25069444444444444</v>
      </c>
      <c r="J1051" t="s">
        <v>68</v>
      </c>
      <c r="K1051">
        <v>21</v>
      </c>
      <c r="L1051" s="3">
        <v>4.1666666666666664E-2</v>
      </c>
      <c r="M1051" t="s">
        <v>83</v>
      </c>
      <c r="O1051">
        <f>IF(Table13[[#This Row],[Goal_assist]]="",1,0)</f>
        <v>1</v>
      </c>
    </row>
    <row r="1052" spans="1:15" x14ac:dyDescent="0.35">
      <c r="A1052" t="s">
        <v>64</v>
      </c>
      <c r="B1052" t="s">
        <v>305</v>
      </c>
      <c r="C1052" t="s">
        <v>65</v>
      </c>
      <c r="D1052">
        <v>5</v>
      </c>
      <c r="E1052" s="2">
        <v>42997</v>
      </c>
      <c r="F1052" t="s">
        <v>16</v>
      </c>
      <c r="G1052" t="s">
        <v>66</v>
      </c>
      <c r="H1052" t="s">
        <v>270</v>
      </c>
      <c r="I1052" s="3">
        <v>0.25069444444444444</v>
      </c>
      <c r="J1052" t="s">
        <v>68</v>
      </c>
      <c r="K1052">
        <v>62</v>
      </c>
      <c r="L1052" s="3">
        <v>0.20902777777777778</v>
      </c>
      <c r="M1052" t="s">
        <v>31</v>
      </c>
      <c r="N1052" t="s">
        <v>308</v>
      </c>
      <c r="O1052">
        <f>IF(Table13[[#This Row],[Goal_assist]]="",1,0)</f>
        <v>0</v>
      </c>
    </row>
    <row r="1053" spans="1:15" x14ac:dyDescent="0.35">
      <c r="A1053" t="s">
        <v>14</v>
      </c>
      <c r="B1053" t="s">
        <v>305</v>
      </c>
      <c r="C1053" t="s">
        <v>75</v>
      </c>
      <c r="D1053" t="s">
        <v>76</v>
      </c>
      <c r="E1053" s="2">
        <v>43004</v>
      </c>
      <c r="F1053" t="s">
        <v>24</v>
      </c>
      <c r="G1053" t="s">
        <v>112</v>
      </c>
      <c r="H1053" t="s">
        <v>246</v>
      </c>
      <c r="I1053" s="3">
        <v>4.3749999999999997E-2</v>
      </c>
      <c r="J1053" t="s">
        <v>68</v>
      </c>
      <c r="K1053">
        <v>79</v>
      </c>
      <c r="L1053" s="3">
        <v>4.3749999999999997E-2</v>
      </c>
      <c r="M1053" t="s">
        <v>26</v>
      </c>
      <c r="N1053" t="s">
        <v>250</v>
      </c>
      <c r="O1053">
        <f>IF(Table13[[#This Row],[Goal_assist]]="",1,0)</f>
        <v>0</v>
      </c>
    </row>
    <row r="1054" spans="1:15" x14ac:dyDescent="0.35">
      <c r="A1054" t="s">
        <v>14</v>
      </c>
      <c r="B1054" t="s">
        <v>305</v>
      </c>
      <c r="C1054" t="s">
        <v>75</v>
      </c>
      <c r="D1054" t="s">
        <v>76</v>
      </c>
      <c r="E1054" s="2">
        <v>43004</v>
      </c>
      <c r="F1054" t="s">
        <v>24</v>
      </c>
      <c r="G1054" t="s">
        <v>112</v>
      </c>
      <c r="H1054" t="s">
        <v>246</v>
      </c>
      <c r="I1054" s="3">
        <v>4.3749999999999997E-2</v>
      </c>
      <c r="J1054" t="s">
        <v>68</v>
      </c>
      <c r="K1054">
        <v>49</v>
      </c>
      <c r="L1054" s="3">
        <v>1.3888888888888889E-3</v>
      </c>
      <c r="M1054" t="s">
        <v>31</v>
      </c>
      <c r="N1054" t="s">
        <v>261</v>
      </c>
      <c r="O1054">
        <f>IF(Table13[[#This Row],[Goal_assist]]="",1,0)</f>
        <v>0</v>
      </c>
    </row>
    <row r="1055" spans="1:15" x14ac:dyDescent="0.35">
      <c r="A1055" t="s">
        <v>64</v>
      </c>
      <c r="B1055" t="s">
        <v>305</v>
      </c>
      <c r="C1055" t="s">
        <v>65</v>
      </c>
      <c r="D1055">
        <v>7</v>
      </c>
      <c r="E1055" s="2">
        <v>43009</v>
      </c>
      <c r="F1055" t="s">
        <v>16</v>
      </c>
      <c r="G1055" t="s">
        <v>66</v>
      </c>
      <c r="H1055" t="s">
        <v>284</v>
      </c>
      <c r="I1055" s="3">
        <v>0.125</v>
      </c>
      <c r="J1055" t="s">
        <v>230</v>
      </c>
      <c r="K1055">
        <v>70</v>
      </c>
      <c r="L1055" s="3">
        <v>8.3333333333333329E-2</v>
      </c>
      <c r="M1055" t="s">
        <v>31</v>
      </c>
      <c r="N1055" t="s">
        <v>309</v>
      </c>
      <c r="O1055">
        <f>IF(Table13[[#This Row],[Goal_assist]]="",1,0)</f>
        <v>0</v>
      </c>
    </row>
    <row r="1056" spans="1:15" x14ac:dyDescent="0.35">
      <c r="A1056" t="s">
        <v>64</v>
      </c>
      <c r="B1056" t="s">
        <v>305</v>
      </c>
      <c r="C1056" t="s">
        <v>65</v>
      </c>
      <c r="D1056">
        <v>7</v>
      </c>
      <c r="E1056" s="2">
        <v>43009</v>
      </c>
      <c r="F1056" t="s">
        <v>16</v>
      </c>
      <c r="G1056" t="s">
        <v>66</v>
      </c>
      <c r="H1056" t="s">
        <v>284</v>
      </c>
      <c r="I1056" s="3">
        <v>0.125</v>
      </c>
      <c r="J1056" t="s">
        <v>230</v>
      </c>
      <c r="K1056">
        <v>77</v>
      </c>
      <c r="L1056" s="3">
        <v>0.125</v>
      </c>
      <c r="M1056" t="s">
        <v>31</v>
      </c>
      <c r="N1056" t="s">
        <v>273</v>
      </c>
      <c r="O1056">
        <f>IF(Table13[[#This Row],[Goal_assist]]="",1,0)</f>
        <v>0</v>
      </c>
    </row>
    <row r="1057" spans="1:15" x14ac:dyDescent="0.35">
      <c r="A1057" t="s">
        <v>14</v>
      </c>
      <c r="B1057" t="s">
        <v>305</v>
      </c>
      <c r="C1057" t="s">
        <v>65</v>
      </c>
      <c r="D1057">
        <v>8</v>
      </c>
      <c r="E1057" s="2">
        <v>43022</v>
      </c>
      <c r="F1057" t="s">
        <v>24</v>
      </c>
      <c r="G1057" t="s">
        <v>112</v>
      </c>
      <c r="H1057" t="s">
        <v>117</v>
      </c>
      <c r="I1057" s="3">
        <v>4.3055555555555555E-2</v>
      </c>
      <c r="J1057" t="s">
        <v>68</v>
      </c>
      <c r="K1057">
        <v>85</v>
      </c>
      <c r="L1057" s="3">
        <v>4.3055555555555555E-2</v>
      </c>
      <c r="M1057" t="s">
        <v>26</v>
      </c>
      <c r="N1057" t="s">
        <v>257</v>
      </c>
      <c r="O1057">
        <f>IF(Table13[[#This Row],[Goal_assist]]="",1,0)</f>
        <v>0</v>
      </c>
    </row>
    <row r="1058" spans="1:15" x14ac:dyDescent="0.35">
      <c r="A1058" t="s">
        <v>14</v>
      </c>
      <c r="B1058" t="s">
        <v>305</v>
      </c>
      <c r="C1058" t="s">
        <v>75</v>
      </c>
      <c r="D1058" t="s">
        <v>76</v>
      </c>
      <c r="E1058" s="2">
        <v>43025</v>
      </c>
      <c r="F1058" t="s">
        <v>16</v>
      </c>
      <c r="G1058" t="s">
        <v>112</v>
      </c>
      <c r="H1058" t="s">
        <v>42</v>
      </c>
      <c r="I1058" s="3">
        <v>4.2361111111111113E-2</v>
      </c>
      <c r="J1058" t="s">
        <v>19</v>
      </c>
      <c r="K1058">
        <v>43</v>
      </c>
      <c r="L1058" s="3">
        <v>4.2361111111111113E-2</v>
      </c>
      <c r="M1058" t="s">
        <v>83</v>
      </c>
      <c r="O1058">
        <f>IF(Table13[[#This Row],[Goal_assist]]="",1,0)</f>
        <v>1</v>
      </c>
    </row>
    <row r="1059" spans="1:15" x14ac:dyDescent="0.35">
      <c r="A1059" t="s">
        <v>64</v>
      </c>
      <c r="B1059" t="s">
        <v>305</v>
      </c>
      <c r="C1059" t="s">
        <v>75</v>
      </c>
      <c r="D1059" t="s">
        <v>76</v>
      </c>
      <c r="E1059" s="2">
        <v>43026</v>
      </c>
      <c r="F1059" t="s">
        <v>16</v>
      </c>
      <c r="G1059" t="s">
        <v>66</v>
      </c>
      <c r="H1059" t="s">
        <v>310</v>
      </c>
      <c r="I1059" s="3">
        <v>0.12569444444444444</v>
      </c>
      <c r="J1059" t="s">
        <v>68</v>
      </c>
      <c r="K1059">
        <v>61</v>
      </c>
      <c r="L1059" s="3">
        <v>8.3333333333333329E-2</v>
      </c>
      <c r="M1059" t="s">
        <v>39</v>
      </c>
      <c r="O1059">
        <f>IF(Table13[[#This Row],[Goal_assist]]="",1,0)</f>
        <v>1</v>
      </c>
    </row>
    <row r="1060" spans="1:15" x14ac:dyDescent="0.35">
      <c r="A1060" t="s">
        <v>64</v>
      </c>
      <c r="B1060" t="s">
        <v>305</v>
      </c>
      <c r="C1060" t="s">
        <v>65</v>
      </c>
      <c r="D1060">
        <v>10</v>
      </c>
      <c r="E1060" s="2">
        <v>43036</v>
      </c>
      <c r="F1060" t="s">
        <v>24</v>
      </c>
      <c r="G1060" t="s">
        <v>66</v>
      </c>
      <c r="H1060" t="s">
        <v>86</v>
      </c>
      <c r="I1060" s="3">
        <v>1.3888888888888889E-3</v>
      </c>
      <c r="J1060" t="s">
        <v>311</v>
      </c>
      <c r="K1060">
        <v>37</v>
      </c>
      <c r="L1060" s="3">
        <v>6.9444444444444447E-4</v>
      </c>
      <c r="M1060" t="s">
        <v>31</v>
      </c>
      <c r="N1060" t="s">
        <v>243</v>
      </c>
      <c r="O1060">
        <f>IF(Table13[[#This Row],[Goal_assist]]="",1,0)</f>
        <v>0</v>
      </c>
    </row>
    <row r="1061" spans="1:15" x14ac:dyDescent="0.35">
      <c r="A1061" t="s">
        <v>14</v>
      </c>
      <c r="B1061" t="s">
        <v>305</v>
      </c>
      <c r="C1061" t="s">
        <v>75</v>
      </c>
      <c r="D1061" t="s">
        <v>76</v>
      </c>
      <c r="E1061" s="2">
        <v>43040</v>
      </c>
      <c r="F1061" t="s">
        <v>24</v>
      </c>
      <c r="G1061" t="s">
        <v>112</v>
      </c>
      <c r="H1061" t="s">
        <v>42</v>
      </c>
      <c r="I1061" s="3">
        <v>0.12569444444444444</v>
      </c>
      <c r="J1061" t="s">
        <v>19</v>
      </c>
      <c r="K1061">
        <v>80</v>
      </c>
      <c r="L1061" s="3">
        <v>0.12569444444444444</v>
      </c>
      <c r="M1061" t="s">
        <v>26</v>
      </c>
      <c r="N1061" t="s">
        <v>312</v>
      </c>
      <c r="O1061">
        <f>IF(Table13[[#This Row],[Goal_assist]]="",1,0)</f>
        <v>0</v>
      </c>
    </row>
    <row r="1062" spans="1:15" x14ac:dyDescent="0.35">
      <c r="A1062" t="s">
        <v>14</v>
      </c>
      <c r="B1062" t="s">
        <v>305</v>
      </c>
      <c r="C1062" t="s">
        <v>75</v>
      </c>
      <c r="D1062" t="s">
        <v>76</v>
      </c>
      <c r="E1062" s="2">
        <v>43060</v>
      </c>
      <c r="F1062" t="s">
        <v>24</v>
      </c>
      <c r="G1062" t="s">
        <v>112</v>
      </c>
      <c r="H1062" t="s">
        <v>241</v>
      </c>
      <c r="I1062" s="3">
        <v>4.1666666666666666E-3</v>
      </c>
      <c r="J1062" t="s">
        <v>19</v>
      </c>
      <c r="K1062">
        <v>49</v>
      </c>
      <c r="L1062" s="3">
        <v>3.472222222222222E-3</v>
      </c>
      <c r="M1062" t="s">
        <v>22</v>
      </c>
      <c r="N1062" t="s">
        <v>201</v>
      </c>
      <c r="O1062">
        <f>IF(Table13[[#This Row],[Goal_assist]]="",1,0)</f>
        <v>0</v>
      </c>
    </row>
    <row r="1063" spans="1:15" x14ac:dyDescent="0.35">
      <c r="A1063" t="s">
        <v>14</v>
      </c>
      <c r="B1063" t="s">
        <v>305</v>
      </c>
      <c r="C1063" t="s">
        <v>75</v>
      </c>
      <c r="D1063" t="s">
        <v>76</v>
      </c>
      <c r="E1063" s="2">
        <v>43060</v>
      </c>
      <c r="F1063" t="s">
        <v>24</v>
      </c>
      <c r="G1063" t="s">
        <v>112</v>
      </c>
      <c r="H1063" t="s">
        <v>241</v>
      </c>
      <c r="I1063" s="3">
        <v>4.1666666666666666E-3</v>
      </c>
      <c r="J1063" t="s">
        <v>19</v>
      </c>
      <c r="K1063">
        <v>54</v>
      </c>
      <c r="L1063" s="3">
        <v>4.1666666666666666E-3</v>
      </c>
      <c r="M1063" t="s">
        <v>31</v>
      </c>
      <c r="O1063">
        <f>IF(Table13[[#This Row],[Goal_assist]]="",1,0)</f>
        <v>1</v>
      </c>
    </row>
    <row r="1064" spans="1:15" x14ac:dyDescent="0.35">
      <c r="A1064" t="s">
        <v>14</v>
      </c>
      <c r="B1064" t="s">
        <v>305</v>
      </c>
      <c r="C1064" t="s">
        <v>65</v>
      </c>
      <c r="D1064">
        <v>13</v>
      </c>
      <c r="E1064" s="2">
        <v>43064</v>
      </c>
      <c r="F1064" t="s">
        <v>16</v>
      </c>
      <c r="G1064" t="s">
        <v>112</v>
      </c>
      <c r="H1064" t="s">
        <v>157</v>
      </c>
      <c r="I1064" s="3">
        <v>0.12638888888888888</v>
      </c>
      <c r="J1064" t="s">
        <v>68</v>
      </c>
      <c r="K1064">
        <v>76</v>
      </c>
      <c r="L1064" s="3">
        <v>0.12638888888888888</v>
      </c>
      <c r="M1064" t="s">
        <v>107</v>
      </c>
      <c r="O1064">
        <f>IF(Table13[[#This Row],[Goal_assist]]="",1,0)</f>
        <v>1</v>
      </c>
    </row>
    <row r="1065" spans="1:15" x14ac:dyDescent="0.35">
      <c r="A1065" t="s">
        <v>64</v>
      </c>
      <c r="B1065" t="s">
        <v>305</v>
      </c>
      <c r="C1065" t="s">
        <v>65</v>
      </c>
      <c r="D1065">
        <v>14</v>
      </c>
      <c r="E1065" s="2">
        <v>43071</v>
      </c>
      <c r="F1065" t="s">
        <v>16</v>
      </c>
      <c r="G1065" t="s">
        <v>66</v>
      </c>
      <c r="H1065" t="s">
        <v>98</v>
      </c>
      <c r="I1065" s="3">
        <v>8.4722222222222227E-2</v>
      </c>
      <c r="J1065" t="s">
        <v>230</v>
      </c>
      <c r="K1065">
        <v>22</v>
      </c>
      <c r="L1065" s="3">
        <v>4.2361111111111113E-2</v>
      </c>
      <c r="M1065" t="s">
        <v>31</v>
      </c>
      <c r="N1065" t="s">
        <v>308</v>
      </c>
      <c r="O1065">
        <f>IF(Table13[[#This Row],[Goal_assist]]="",1,0)</f>
        <v>0</v>
      </c>
    </row>
    <row r="1066" spans="1:15" x14ac:dyDescent="0.35">
      <c r="A1066" t="s">
        <v>14</v>
      </c>
      <c r="B1066" t="s">
        <v>305</v>
      </c>
      <c r="C1066" t="s">
        <v>75</v>
      </c>
      <c r="D1066" t="s">
        <v>76</v>
      </c>
      <c r="E1066" s="2">
        <v>43075</v>
      </c>
      <c r="F1066" t="s">
        <v>16</v>
      </c>
      <c r="G1066" t="s">
        <v>112</v>
      </c>
      <c r="H1066" t="s">
        <v>246</v>
      </c>
      <c r="I1066" s="3">
        <v>0.12638888888888888</v>
      </c>
      <c r="J1066" t="s">
        <v>19</v>
      </c>
      <c r="K1066">
        <v>12</v>
      </c>
      <c r="L1066" s="3">
        <v>8.3333333333333329E-2</v>
      </c>
      <c r="M1066" t="s">
        <v>26</v>
      </c>
      <c r="N1066" t="s">
        <v>301</v>
      </c>
      <c r="O1066">
        <f>IF(Table13[[#This Row],[Goal_assist]]="",1,0)</f>
        <v>0</v>
      </c>
    </row>
    <row r="1067" spans="1:15" x14ac:dyDescent="0.35">
      <c r="A1067" t="s">
        <v>14</v>
      </c>
      <c r="B1067" t="s">
        <v>305</v>
      </c>
      <c r="C1067" t="s">
        <v>65</v>
      </c>
      <c r="D1067">
        <v>15</v>
      </c>
      <c r="E1067" s="2">
        <v>43078</v>
      </c>
      <c r="F1067" t="s">
        <v>16</v>
      </c>
      <c r="G1067" t="s">
        <v>112</v>
      </c>
      <c r="H1067" t="s">
        <v>105</v>
      </c>
      <c r="I1067" s="3">
        <v>0.20833333333333334</v>
      </c>
      <c r="J1067" t="s">
        <v>68</v>
      </c>
      <c r="K1067">
        <v>31</v>
      </c>
      <c r="L1067" s="3">
        <v>0.125</v>
      </c>
      <c r="M1067" t="s">
        <v>83</v>
      </c>
      <c r="O1067">
        <f>IF(Table13[[#This Row],[Goal_assist]]="",1,0)</f>
        <v>1</v>
      </c>
    </row>
    <row r="1068" spans="1:15" x14ac:dyDescent="0.35">
      <c r="A1068" t="s">
        <v>14</v>
      </c>
      <c r="B1068" t="s">
        <v>305</v>
      </c>
      <c r="C1068" t="s">
        <v>65</v>
      </c>
      <c r="D1068">
        <v>15</v>
      </c>
      <c r="E1068" s="2">
        <v>43078</v>
      </c>
      <c r="F1068" t="s">
        <v>16</v>
      </c>
      <c r="G1068" t="s">
        <v>112</v>
      </c>
      <c r="H1068" t="s">
        <v>105</v>
      </c>
      <c r="I1068" s="3">
        <v>0.20833333333333334</v>
      </c>
      <c r="J1068" t="s">
        <v>68</v>
      </c>
      <c r="K1068">
        <v>23</v>
      </c>
      <c r="L1068" s="3">
        <v>8.3333333333333329E-2</v>
      </c>
      <c r="M1068" t="s">
        <v>26</v>
      </c>
      <c r="N1068" t="s">
        <v>303</v>
      </c>
      <c r="O1068">
        <f>IF(Table13[[#This Row],[Goal_assist]]="",1,0)</f>
        <v>0</v>
      </c>
    </row>
    <row r="1069" spans="1:15" x14ac:dyDescent="0.35">
      <c r="A1069" t="s">
        <v>64</v>
      </c>
      <c r="B1069" t="s">
        <v>305</v>
      </c>
      <c r="C1069" t="s">
        <v>65</v>
      </c>
      <c r="D1069">
        <v>15</v>
      </c>
      <c r="E1069" s="2">
        <v>43079</v>
      </c>
      <c r="F1069" t="s">
        <v>24</v>
      </c>
      <c r="G1069" t="s">
        <v>66</v>
      </c>
      <c r="H1069" t="s">
        <v>180</v>
      </c>
      <c r="I1069" s="3">
        <v>1.3888888888888889E-3</v>
      </c>
      <c r="J1069" t="s">
        <v>275</v>
      </c>
      <c r="K1069">
        <v>83</v>
      </c>
      <c r="L1069" s="3">
        <v>1.3888888888888889E-3</v>
      </c>
      <c r="M1069" t="s">
        <v>31</v>
      </c>
      <c r="N1069" t="s">
        <v>222</v>
      </c>
      <c r="O1069">
        <f>IF(Table13[[#This Row],[Goal_assist]]="",1,0)</f>
        <v>0</v>
      </c>
    </row>
    <row r="1070" spans="1:15" x14ac:dyDescent="0.35">
      <c r="A1070" t="s">
        <v>14</v>
      </c>
      <c r="B1070" t="s">
        <v>305</v>
      </c>
      <c r="C1070" t="s">
        <v>163</v>
      </c>
      <c r="D1070" t="s">
        <v>62</v>
      </c>
      <c r="E1070" s="2">
        <v>43082</v>
      </c>
      <c r="F1070" t="s">
        <v>24</v>
      </c>
      <c r="G1070" t="s">
        <v>112</v>
      </c>
      <c r="H1070" t="s">
        <v>313</v>
      </c>
      <c r="I1070" s="3">
        <v>4.3055555555555555E-2</v>
      </c>
      <c r="J1070" t="s">
        <v>19</v>
      </c>
      <c r="K1070">
        <v>53</v>
      </c>
      <c r="L1070" s="3">
        <v>4.2361111111111113E-2</v>
      </c>
      <c r="M1070" t="s">
        <v>26</v>
      </c>
      <c r="N1070" t="s">
        <v>250</v>
      </c>
      <c r="O1070">
        <f>IF(Table13[[#This Row],[Goal_assist]]="",1,0)</f>
        <v>0</v>
      </c>
    </row>
    <row r="1071" spans="1:15" x14ac:dyDescent="0.35">
      <c r="A1071" t="s">
        <v>14</v>
      </c>
      <c r="B1071" t="s">
        <v>305</v>
      </c>
      <c r="C1071" t="s">
        <v>163</v>
      </c>
      <c r="D1071" t="s">
        <v>46</v>
      </c>
      <c r="E1071" s="2">
        <v>43085</v>
      </c>
      <c r="F1071" t="s">
        <v>16</v>
      </c>
      <c r="G1071" t="s">
        <v>112</v>
      </c>
      <c r="H1071" t="s">
        <v>314</v>
      </c>
      <c r="I1071" s="3">
        <v>4.1666666666666664E-2</v>
      </c>
      <c r="J1071" t="s">
        <v>19</v>
      </c>
      <c r="K1071">
        <v>53</v>
      </c>
      <c r="L1071" s="3">
        <v>4.1666666666666664E-2</v>
      </c>
      <c r="M1071" t="s">
        <v>39</v>
      </c>
      <c r="O1071">
        <f>IF(Table13[[#This Row],[Goal_assist]]="",1,0)</f>
        <v>1</v>
      </c>
    </row>
    <row r="1072" spans="1:15" x14ac:dyDescent="0.35">
      <c r="A1072" t="s">
        <v>64</v>
      </c>
      <c r="B1072" t="s">
        <v>305</v>
      </c>
      <c r="C1072" t="s">
        <v>65</v>
      </c>
      <c r="D1072">
        <v>17</v>
      </c>
      <c r="E1072" s="2">
        <v>43092</v>
      </c>
      <c r="F1072" t="s">
        <v>24</v>
      </c>
      <c r="G1072" t="s">
        <v>66</v>
      </c>
      <c r="H1072" t="s">
        <v>112</v>
      </c>
      <c r="I1072" s="3">
        <v>2.0833333333333333E-3</v>
      </c>
      <c r="J1072" t="s">
        <v>230</v>
      </c>
      <c r="K1072">
        <v>64</v>
      </c>
      <c r="L1072" s="3">
        <v>1.3888888888888889E-3</v>
      </c>
      <c r="M1072" t="s">
        <v>83</v>
      </c>
      <c r="O1072">
        <f>IF(Table13[[#This Row],[Goal_assist]]="",1,0)</f>
        <v>1</v>
      </c>
    </row>
    <row r="1073" spans="1:15" x14ac:dyDescent="0.35">
      <c r="A1073" t="s">
        <v>64</v>
      </c>
      <c r="B1073" t="s">
        <v>305</v>
      </c>
      <c r="C1073" t="s">
        <v>65</v>
      </c>
      <c r="D1073">
        <v>18</v>
      </c>
      <c r="E1073" s="2">
        <v>43107</v>
      </c>
      <c r="F1073" t="s">
        <v>16</v>
      </c>
      <c r="G1073" t="s">
        <v>66</v>
      </c>
      <c r="H1073" t="s">
        <v>127</v>
      </c>
      <c r="I1073" s="3">
        <v>0.125</v>
      </c>
      <c r="J1073" t="s">
        <v>230</v>
      </c>
      <c r="K1073">
        <v>12</v>
      </c>
      <c r="L1073" s="3">
        <v>4.1666666666666664E-2</v>
      </c>
      <c r="M1073" t="s">
        <v>31</v>
      </c>
      <c r="N1073" t="s">
        <v>243</v>
      </c>
      <c r="O1073">
        <f>IF(Table13[[#This Row],[Goal_assist]]="",1,0)</f>
        <v>0</v>
      </c>
    </row>
    <row r="1074" spans="1:15" x14ac:dyDescent="0.35">
      <c r="A1074" t="s">
        <v>64</v>
      </c>
      <c r="B1074" t="s">
        <v>305</v>
      </c>
      <c r="C1074" t="s">
        <v>91</v>
      </c>
      <c r="D1074" t="s">
        <v>143</v>
      </c>
      <c r="E1074" s="2">
        <v>43111</v>
      </c>
      <c r="F1074" t="s">
        <v>16</v>
      </c>
      <c r="G1074" t="s">
        <v>66</v>
      </c>
      <c r="H1074" t="s">
        <v>98</v>
      </c>
      <c r="I1074" s="3">
        <v>0.20833333333333334</v>
      </c>
      <c r="J1074" t="s">
        <v>230</v>
      </c>
      <c r="K1074">
        <v>15</v>
      </c>
      <c r="L1074" s="3">
        <v>8.3333333333333329E-2</v>
      </c>
      <c r="M1074" t="s">
        <v>31</v>
      </c>
      <c r="N1074" t="s">
        <v>243</v>
      </c>
      <c r="O1074">
        <f>IF(Table13[[#This Row],[Goal_assist]]="",1,0)</f>
        <v>0</v>
      </c>
    </row>
    <row r="1075" spans="1:15" x14ac:dyDescent="0.35">
      <c r="A1075" t="s">
        <v>64</v>
      </c>
      <c r="B1075" t="s">
        <v>305</v>
      </c>
      <c r="C1075" t="s">
        <v>91</v>
      </c>
      <c r="D1075" t="s">
        <v>143</v>
      </c>
      <c r="E1075" s="2">
        <v>43111</v>
      </c>
      <c r="F1075" t="s">
        <v>16</v>
      </c>
      <c r="G1075" t="s">
        <v>66</v>
      </c>
      <c r="H1075" t="s">
        <v>98</v>
      </c>
      <c r="I1075" s="3">
        <v>0.20833333333333334</v>
      </c>
      <c r="J1075" t="s">
        <v>230</v>
      </c>
      <c r="K1075">
        <v>13</v>
      </c>
      <c r="L1075" s="3">
        <v>4.1666666666666664E-2</v>
      </c>
      <c r="M1075" t="s">
        <v>31</v>
      </c>
      <c r="N1075" t="s">
        <v>243</v>
      </c>
      <c r="O1075">
        <f>IF(Table13[[#This Row],[Goal_assist]]="",1,0)</f>
        <v>0</v>
      </c>
    </row>
    <row r="1076" spans="1:15" x14ac:dyDescent="0.35">
      <c r="A1076" t="s">
        <v>64</v>
      </c>
      <c r="B1076" t="s">
        <v>305</v>
      </c>
      <c r="C1076" t="s">
        <v>65</v>
      </c>
      <c r="D1076">
        <v>19</v>
      </c>
      <c r="E1076" s="2">
        <v>43114</v>
      </c>
      <c r="F1076" t="s">
        <v>24</v>
      </c>
      <c r="G1076" t="s">
        <v>66</v>
      </c>
      <c r="H1076" t="s">
        <v>217</v>
      </c>
      <c r="I1076" s="3">
        <v>8.611111111111111E-2</v>
      </c>
      <c r="J1076" t="s">
        <v>311</v>
      </c>
      <c r="K1076">
        <v>85</v>
      </c>
      <c r="L1076" s="3">
        <v>8.611111111111111E-2</v>
      </c>
      <c r="M1076" t="s">
        <v>39</v>
      </c>
      <c r="O1076">
        <f>IF(Table13[[#This Row],[Goal_assist]]="",1,0)</f>
        <v>1</v>
      </c>
    </row>
    <row r="1077" spans="1:15" x14ac:dyDescent="0.35">
      <c r="A1077" t="s">
        <v>64</v>
      </c>
      <c r="B1077" t="s">
        <v>305</v>
      </c>
      <c r="C1077" t="s">
        <v>65</v>
      </c>
      <c r="D1077">
        <v>20</v>
      </c>
      <c r="E1077" s="2">
        <v>43121</v>
      </c>
      <c r="F1077" t="s">
        <v>24</v>
      </c>
      <c r="G1077" t="s">
        <v>66</v>
      </c>
      <c r="H1077" t="s">
        <v>95</v>
      </c>
      <c r="I1077" s="3">
        <v>3.472222222222222E-3</v>
      </c>
      <c r="J1077" t="s">
        <v>311</v>
      </c>
      <c r="K1077">
        <v>80</v>
      </c>
      <c r="L1077" s="3">
        <v>2.7777777777777779E-3</v>
      </c>
      <c r="M1077" t="s">
        <v>31</v>
      </c>
      <c r="N1077" t="s">
        <v>273</v>
      </c>
      <c r="O1077">
        <f>IF(Table13[[#This Row],[Goal_assist]]="",1,0)</f>
        <v>0</v>
      </c>
    </row>
    <row r="1078" spans="1:15" x14ac:dyDescent="0.35">
      <c r="A1078" t="s">
        <v>14</v>
      </c>
      <c r="B1078" t="s">
        <v>305</v>
      </c>
      <c r="C1078" t="s">
        <v>65</v>
      </c>
      <c r="D1078">
        <v>20</v>
      </c>
      <c r="E1078" s="2">
        <v>43121</v>
      </c>
      <c r="F1078" t="s">
        <v>16</v>
      </c>
      <c r="G1078" t="s">
        <v>112</v>
      </c>
      <c r="H1078" t="s">
        <v>175</v>
      </c>
      <c r="I1078" s="3">
        <v>0.29236111111111113</v>
      </c>
      <c r="J1078" t="s">
        <v>19</v>
      </c>
      <c r="K1078">
        <v>84</v>
      </c>
      <c r="L1078" s="3">
        <v>0.25069444444444444</v>
      </c>
      <c r="M1078" t="s">
        <v>22</v>
      </c>
      <c r="N1078" t="s">
        <v>281</v>
      </c>
      <c r="O1078">
        <f>IF(Table13[[#This Row],[Goal_assist]]="",1,0)</f>
        <v>0</v>
      </c>
    </row>
    <row r="1079" spans="1:15" x14ac:dyDescent="0.35">
      <c r="A1079" t="s">
        <v>14</v>
      </c>
      <c r="B1079" t="s">
        <v>305</v>
      </c>
      <c r="C1079" t="s">
        <v>65</v>
      </c>
      <c r="D1079">
        <v>20</v>
      </c>
      <c r="E1079" s="2">
        <v>43121</v>
      </c>
      <c r="F1079" t="s">
        <v>16</v>
      </c>
      <c r="G1079" t="s">
        <v>112</v>
      </c>
      <c r="H1079" t="s">
        <v>175</v>
      </c>
      <c r="I1079" s="3">
        <v>0.29236111111111113</v>
      </c>
      <c r="J1079" t="s">
        <v>19</v>
      </c>
      <c r="K1079">
        <v>78</v>
      </c>
      <c r="L1079" s="3">
        <v>0.20902777777777778</v>
      </c>
      <c r="M1079" t="s">
        <v>31</v>
      </c>
      <c r="N1079" t="s">
        <v>304</v>
      </c>
      <c r="O1079">
        <f>IF(Table13[[#This Row],[Goal_assist]]="",1,0)</f>
        <v>0</v>
      </c>
    </row>
    <row r="1080" spans="1:15" x14ac:dyDescent="0.35">
      <c r="A1080" t="s">
        <v>64</v>
      </c>
      <c r="B1080" t="s">
        <v>305</v>
      </c>
      <c r="C1080" t="s">
        <v>65</v>
      </c>
      <c r="D1080">
        <v>20</v>
      </c>
      <c r="E1080" s="2">
        <v>43121</v>
      </c>
      <c r="F1080" t="s">
        <v>24</v>
      </c>
      <c r="G1080" t="s">
        <v>66</v>
      </c>
      <c r="H1080" t="s">
        <v>95</v>
      </c>
      <c r="I1080" s="3">
        <v>3.472222222222222E-3</v>
      </c>
      <c r="J1080" t="s">
        <v>311</v>
      </c>
      <c r="K1080">
        <v>64</v>
      </c>
      <c r="L1080" s="3">
        <v>1.3888888888888889E-3</v>
      </c>
      <c r="M1080" t="s">
        <v>31</v>
      </c>
      <c r="N1080" t="s">
        <v>222</v>
      </c>
      <c r="O1080">
        <f>IF(Table13[[#This Row],[Goal_assist]]="",1,0)</f>
        <v>0</v>
      </c>
    </row>
    <row r="1081" spans="1:15" x14ac:dyDescent="0.35">
      <c r="A1081" t="s">
        <v>64</v>
      </c>
      <c r="B1081" t="s">
        <v>305</v>
      </c>
      <c r="C1081" t="s">
        <v>91</v>
      </c>
      <c r="D1081" t="s">
        <v>92</v>
      </c>
      <c r="E1081" s="2">
        <v>43125</v>
      </c>
      <c r="F1081" t="s">
        <v>16</v>
      </c>
      <c r="G1081" t="s">
        <v>66</v>
      </c>
      <c r="H1081" t="s">
        <v>121</v>
      </c>
      <c r="I1081" s="3">
        <v>8.3333333333333329E-2</v>
      </c>
      <c r="J1081" t="s">
        <v>230</v>
      </c>
      <c r="K1081">
        <v>25</v>
      </c>
      <c r="L1081" s="3">
        <v>8.3333333333333329E-2</v>
      </c>
      <c r="M1081" t="s">
        <v>129</v>
      </c>
      <c r="O1081">
        <f>IF(Table13[[#This Row],[Goal_assist]]="",1,0)</f>
        <v>1</v>
      </c>
    </row>
    <row r="1082" spans="1:15" x14ac:dyDescent="0.35">
      <c r="A1082" t="s">
        <v>14</v>
      </c>
      <c r="B1082" t="s">
        <v>305</v>
      </c>
      <c r="C1082" t="s">
        <v>65</v>
      </c>
      <c r="D1082">
        <v>21</v>
      </c>
      <c r="E1082" s="2">
        <v>43127</v>
      </c>
      <c r="F1082" t="s">
        <v>24</v>
      </c>
      <c r="G1082" t="s">
        <v>112</v>
      </c>
      <c r="H1082" t="s">
        <v>148</v>
      </c>
      <c r="I1082" s="3">
        <v>4.4444444444444446E-2</v>
      </c>
      <c r="J1082" t="s">
        <v>19</v>
      </c>
      <c r="K1082">
        <v>38</v>
      </c>
      <c r="L1082" s="3">
        <v>1.3888888888888889E-3</v>
      </c>
      <c r="M1082" t="s">
        <v>83</v>
      </c>
      <c r="O1082">
        <f>IF(Table13[[#This Row],[Goal_assist]]="",1,0)</f>
        <v>1</v>
      </c>
    </row>
    <row r="1083" spans="1:15" x14ac:dyDescent="0.35">
      <c r="A1083" t="s">
        <v>14</v>
      </c>
      <c r="B1083" t="s">
        <v>305</v>
      </c>
      <c r="C1083" t="s">
        <v>65</v>
      </c>
      <c r="D1083">
        <v>21</v>
      </c>
      <c r="E1083" s="2">
        <v>43127</v>
      </c>
      <c r="F1083" t="s">
        <v>24</v>
      </c>
      <c r="G1083" t="s">
        <v>112</v>
      </c>
      <c r="H1083" t="s">
        <v>148</v>
      </c>
      <c r="I1083" s="3">
        <v>4.4444444444444446E-2</v>
      </c>
      <c r="J1083" t="s">
        <v>19</v>
      </c>
      <c r="K1083">
        <v>16</v>
      </c>
      <c r="L1083" s="3">
        <v>6.9444444444444447E-4</v>
      </c>
      <c r="M1083" t="s">
        <v>83</v>
      </c>
      <c r="O1083">
        <f>IF(Table13[[#This Row],[Goal_assist]]="",1,0)</f>
        <v>1</v>
      </c>
    </row>
    <row r="1084" spans="1:15" x14ac:dyDescent="0.35">
      <c r="A1084" t="s">
        <v>64</v>
      </c>
      <c r="B1084" t="s">
        <v>305</v>
      </c>
      <c r="C1084" t="s">
        <v>65</v>
      </c>
      <c r="D1084">
        <v>21</v>
      </c>
      <c r="E1084" s="2">
        <v>43128</v>
      </c>
      <c r="F1084" t="s">
        <v>16</v>
      </c>
      <c r="G1084" t="s">
        <v>66</v>
      </c>
      <c r="H1084" t="s">
        <v>88</v>
      </c>
      <c r="I1084" s="3">
        <v>8.4027777777777785E-2</v>
      </c>
      <c r="J1084" t="s">
        <v>230</v>
      </c>
      <c r="K1084">
        <v>84</v>
      </c>
      <c r="L1084" s="3">
        <v>8.4027777777777785E-2</v>
      </c>
      <c r="M1084" t="s">
        <v>39</v>
      </c>
      <c r="O1084">
        <f>IF(Table13[[#This Row],[Goal_assist]]="",1,0)</f>
        <v>1</v>
      </c>
    </row>
    <row r="1085" spans="1:15" x14ac:dyDescent="0.35">
      <c r="A1085" t="s">
        <v>14</v>
      </c>
      <c r="B1085" t="s">
        <v>305</v>
      </c>
      <c r="C1085" t="s">
        <v>65</v>
      </c>
      <c r="D1085">
        <v>23</v>
      </c>
      <c r="E1085" s="2">
        <v>43141</v>
      </c>
      <c r="F1085" t="s">
        <v>16</v>
      </c>
      <c r="G1085" t="s">
        <v>112</v>
      </c>
      <c r="H1085" t="s">
        <v>217</v>
      </c>
      <c r="I1085" s="3">
        <v>0.20972222222222223</v>
      </c>
      <c r="J1085" t="s">
        <v>68</v>
      </c>
      <c r="K1085">
        <v>80</v>
      </c>
      <c r="L1085" s="3">
        <v>0.20902777777777778</v>
      </c>
      <c r="M1085" t="s">
        <v>55</v>
      </c>
      <c r="O1085">
        <f>IF(Table13[[#This Row],[Goal_assist]]="",1,0)</f>
        <v>1</v>
      </c>
    </row>
    <row r="1086" spans="1:15" x14ac:dyDescent="0.35">
      <c r="A1086" t="s">
        <v>14</v>
      </c>
      <c r="B1086" t="s">
        <v>305</v>
      </c>
      <c r="C1086" t="s">
        <v>65</v>
      </c>
      <c r="D1086">
        <v>23</v>
      </c>
      <c r="E1086" s="2">
        <v>43141</v>
      </c>
      <c r="F1086" t="s">
        <v>16</v>
      </c>
      <c r="G1086" t="s">
        <v>112</v>
      </c>
      <c r="H1086" t="s">
        <v>217</v>
      </c>
      <c r="I1086" s="3">
        <v>0.20972222222222223</v>
      </c>
      <c r="J1086" t="s">
        <v>68</v>
      </c>
      <c r="K1086">
        <v>37</v>
      </c>
      <c r="L1086" s="3">
        <v>0.16666666666666666</v>
      </c>
      <c r="M1086" t="s">
        <v>22</v>
      </c>
      <c r="N1086" t="s">
        <v>250</v>
      </c>
      <c r="O1086">
        <f>IF(Table13[[#This Row],[Goal_assist]]="",1,0)</f>
        <v>0</v>
      </c>
    </row>
    <row r="1087" spans="1:15" x14ac:dyDescent="0.35">
      <c r="A1087" t="s">
        <v>14</v>
      </c>
      <c r="B1087" t="s">
        <v>305</v>
      </c>
      <c r="C1087" t="s">
        <v>65</v>
      </c>
      <c r="D1087">
        <v>23</v>
      </c>
      <c r="E1087" s="2">
        <v>43141</v>
      </c>
      <c r="F1087" t="s">
        <v>16</v>
      </c>
      <c r="G1087" t="s">
        <v>112</v>
      </c>
      <c r="H1087" t="s">
        <v>217</v>
      </c>
      <c r="I1087" s="3">
        <v>0.20972222222222223</v>
      </c>
      <c r="J1087" t="s">
        <v>68</v>
      </c>
      <c r="K1087">
        <v>27</v>
      </c>
      <c r="L1087" s="3">
        <v>8.3333333333333329E-2</v>
      </c>
      <c r="M1087" t="s">
        <v>26</v>
      </c>
      <c r="N1087" t="s">
        <v>201</v>
      </c>
      <c r="O1087">
        <f>IF(Table13[[#This Row],[Goal_assist]]="",1,0)</f>
        <v>0</v>
      </c>
    </row>
    <row r="1088" spans="1:15" x14ac:dyDescent="0.35">
      <c r="A1088" t="s">
        <v>14</v>
      </c>
      <c r="B1088" t="s">
        <v>305</v>
      </c>
      <c r="C1088" t="s">
        <v>75</v>
      </c>
      <c r="D1088" t="s">
        <v>143</v>
      </c>
      <c r="E1088" s="2">
        <v>43145</v>
      </c>
      <c r="F1088" t="s">
        <v>16</v>
      </c>
      <c r="G1088" t="s">
        <v>112</v>
      </c>
      <c r="H1088" t="s">
        <v>252</v>
      </c>
      <c r="I1088" s="3">
        <v>0.12569444444444444</v>
      </c>
      <c r="J1088" t="s">
        <v>19</v>
      </c>
      <c r="K1088">
        <v>45</v>
      </c>
      <c r="L1088" s="3">
        <v>4.2361111111111113E-2</v>
      </c>
      <c r="M1088" t="s">
        <v>83</v>
      </c>
      <c r="O1088">
        <f>IF(Table13[[#This Row],[Goal_assist]]="",1,0)</f>
        <v>1</v>
      </c>
    </row>
    <row r="1089" spans="1:15" x14ac:dyDescent="0.35">
      <c r="A1089" t="s">
        <v>14</v>
      </c>
      <c r="B1089" t="s">
        <v>305</v>
      </c>
      <c r="C1089" t="s">
        <v>75</v>
      </c>
      <c r="D1089" t="s">
        <v>143</v>
      </c>
      <c r="E1089" s="2">
        <v>43145</v>
      </c>
      <c r="F1089" t="s">
        <v>16</v>
      </c>
      <c r="G1089" t="s">
        <v>112</v>
      </c>
      <c r="H1089" t="s">
        <v>252</v>
      </c>
      <c r="I1089" s="3">
        <v>0.12569444444444444</v>
      </c>
      <c r="J1089" t="s">
        <v>19</v>
      </c>
      <c r="K1089">
        <v>83</v>
      </c>
      <c r="L1089" s="3">
        <v>8.4027777777777785E-2</v>
      </c>
      <c r="M1089" t="s">
        <v>55</v>
      </c>
      <c r="O1089">
        <f>IF(Table13[[#This Row],[Goal_assist]]="",1,0)</f>
        <v>1</v>
      </c>
    </row>
    <row r="1090" spans="1:15" x14ac:dyDescent="0.35">
      <c r="A1090" t="s">
        <v>14</v>
      </c>
      <c r="B1090" t="s">
        <v>305</v>
      </c>
      <c r="C1090" t="s">
        <v>65</v>
      </c>
      <c r="D1090">
        <v>24</v>
      </c>
      <c r="E1090" s="2">
        <v>43149</v>
      </c>
      <c r="F1090" t="s">
        <v>24</v>
      </c>
      <c r="G1090" t="s">
        <v>112</v>
      </c>
      <c r="H1090" t="s">
        <v>95</v>
      </c>
      <c r="I1090" s="3">
        <v>0.12847222222222221</v>
      </c>
      <c r="J1090" t="s">
        <v>68</v>
      </c>
      <c r="K1090">
        <v>65</v>
      </c>
      <c r="L1090" s="3">
        <v>8.611111111111111E-2</v>
      </c>
      <c r="M1090" t="s">
        <v>26</v>
      </c>
      <c r="N1090" t="s">
        <v>304</v>
      </c>
      <c r="O1090">
        <f>IF(Table13[[#This Row],[Goal_assist]]="",1,0)</f>
        <v>0</v>
      </c>
    </row>
    <row r="1091" spans="1:15" x14ac:dyDescent="0.35">
      <c r="A1091" t="s">
        <v>64</v>
      </c>
      <c r="B1091" t="s">
        <v>305</v>
      </c>
      <c r="C1091" t="s">
        <v>75</v>
      </c>
      <c r="D1091" t="s">
        <v>143</v>
      </c>
      <c r="E1091" s="2">
        <v>43151</v>
      </c>
      <c r="F1091" t="s">
        <v>24</v>
      </c>
      <c r="G1091" t="s">
        <v>66</v>
      </c>
      <c r="H1091" t="s">
        <v>149</v>
      </c>
      <c r="I1091" s="3">
        <v>4.2361111111111113E-2</v>
      </c>
      <c r="J1091" t="s">
        <v>230</v>
      </c>
      <c r="K1091">
        <v>75</v>
      </c>
      <c r="L1091" s="3">
        <v>4.2361111111111113E-2</v>
      </c>
      <c r="M1091" t="s">
        <v>31</v>
      </c>
      <c r="N1091" t="s">
        <v>99</v>
      </c>
      <c r="O1091">
        <f>IF(Table13[[#This Row],[Goal_assist]]="",1,0)</f>
        <v>0</v>
      </c>
    </row>
    <row r="1092" spans="1:15" x14ac:dyDescent="0.35">
      <c r="A1092" t="s">
        <v>14</v>
      </c>
      <c r="B1092" t="s">
        <v>305</v>
      </c>
      <c r="C1092" t="s">
        <v>65</v>
      </c>
      <c r="D1092">
        <v>25</v>
      </c>
      <c r="E1092" s="2">
        <v>43155</v>
      </c>
      <c r="F1092" t="s">
        <v>16</v>
      </c>
      <c r="G1092" t="s">
        <v>112</v>
      </c>
      <c r="H1092" t="s">
        <v>88</v>
      </c>
      <c r="I1092" s="3">
        <v>0.16666666666666666</v>
      </c>
      <c r="J1092" t="s">
        <v>251</v>
      </c>
      <c r="K1092">
        <v>44</v>
      </c>
      <c r="L1092" s="3">
        <v>4.1666666666666664E-2</v>
      </c>
      <c r="M1092" t="s">
        <v>31</v>
      </c>
      <c r="N1092" t="s">
        <v>183</v>
      </c>
      <c r="O1092">
        <f>IF(Table13[[#This Row],[Goal_assist]]="",1,0)</f>
        <v>0</v>
      </c>
    </row>
    <row r="1093" spans="1:15" x14ac:dyDescent="0.35">
      <c r="A1093" t="s">
        <v>14</v>
      </c>
      <c r="B1093" t="s">
        <v>305</v>
      </c>
      <c r="C1093" t="s">
        <v>65</v>
      </c>
      <c r="D1093">
        <v>25</v>
      </c>
      <c r="E1093" s="2">
        <v>43155</v>
      </c>
      <c r="F1093" t="s">
        <v>16</v>
      </c>
      <c r="G1093" t="s">
        <v>112</v>
      </c>
      <c r="H1093" t="s">
        <v>88</v>
      </c>
      <c r="I1093" s="3">
        <v>0.16666666666666666</v>
      </c>
      <c r="J1093" t="s">
        <v>251</v>
      </c>
      <c r="K1093">
        <v>61</v>
      </c>
      <c r="L1093" s="3">
        <v>0.125</v>
      </c>
      <c r="M1093" t="s">
        <v>26</v>
      </c>
      <c r="N1093" t="s">
        <v>281</v>
      </c>
      <c r="O1093">
        <f>IF(Table13[[#This Row],[Goal_assist]]="",1,0)</f>
        <v>0</v>
      </c>
    </row>
    <row r="1094" spans="1:15" x14ac:dyDescent="0.35">
      <c r="A1094" t="s">
        <v>64</v>
      </c>
      <c r="B1094" t="s">
        <v>305</v>
      </c>
      <c r="C1094" t="s">
        <v>65</v>
      </c>
      <c r="D1094">
        <v>25</v>
      </c>
      <c r="E1094" s="2">
        <v>43155</v>
      </c>
      <c r="F1094" t="s">
        <v>16</v>
      </c>
      <c r="G1094" t="s">
        <v>66</v>
      </c>
      <c r="H1094" t="s">
        <v>315</v>
      </c>
      <c r="I1094" s="3">
        <v>0.25069444444444444</v>
      </c>
      <c r="J1094" t="s">
        <v>311</v>
      </c>
      <c r="K1094">
        <v>36</v>
      </c>
      <c r="L1094" s="3">
        <v>0.12569444444444444</v>
      </c>
      <c r="M1094" t="s">
        <v>39</v>
      </c>
      <c r="O1094">
        <f>IF(Table13[[#This Row],[Goal_assist]]="",1,0)</f>
        <v>1</v>
      </c>
    </row>
    <row r="1095" spans="1:15" x14ac:dyDescent="0.35">
      <c r="A1095" t="s">
        <v>64</v>
      </c>
      <c r="B1095" t="s">
        <v>305</v>
      </c>
      <c r="C1095" t="s">
        <v>65</v>
      </c>
      <c r="D1095">
        <v>25</v>
      </c>
      <c r="E1095" s="2">
        <v>43155</v>
      </c>
      <c r="F1095" t="s">
        <v>16</v>
      </c>
      <c r="G1095" t="s">
        <v>66</v>
      </c>
      <c r="H1095" t="s">
        <v>315</v>
      </c>
      <c r="I1095" s="3">
        <v>0.25069444444444444</v>
      </c>
      <c r="J1095" t="s">
        <v>311</v>
      </c>
      <c r="K1095">
        <v>30</v>
      </c>
      <c r="L1095" s="3">
        <v>8.4027777777777785E-2</v>
      </c>
      <c r="M1095" t="s">
        <v>31</v>
      </c>
      <c r="N1095" t="s">
        <v>273</v>
      </c>
      <c r="O1095">
        <f>IF(Table13[[#This Row],[Goal_assist]]="",1,0)</f>
        <v>0</v>
      </c>
    </row>
    <row r="1096" spans="1:15" x14ac:dyDescent="0.35">
      <c r="A1096" t="s">
        <v>64</v>
      </c>
      <c r="B1096" t="s">
        <v>305</v>
      </c>
      <c r="C1096" t="s">
        <v>65</v>
      </c>
      <c r="D1096">
        <v>26</v>
      </c>
      <c r="E1096" s="2">
        <v>43160</v>
      </c>
      <c r="F1096" t="s">
        <v>24</v>
      </c>
      <c r="G1096" t="s">
        <v>66</v>
      </c>
      <c r="H1096" t="s">
        <v>284</v>
      </c>
      <c r="I1096" s="3">
        <v>4.2361111111111113E-2</v>
      </c>
      <c r="J1096" t="s">
        <v>230</v>
      </c>
      <c r="K1096">
        <v>21</v>
      </c>
      <c r="L1096" s="3">
        <v>6.9444444444444447E-4</v>
      </c>
      <c r="M1096" t="s">
        <v>39</v>
      </c>
      <c r="O1096">
        <f>IF(Table13[[#This Row],[Goal_assist]]="",1,0)</f>
        <v>1</v>
      </c>
    </row>
    <row r="1097" spans="1:15" x14ac:dyDescent="0.35">
      <c r="A1097" t="s">
        <v>14</v>
      </c>
      <c r="B1097" t="s">
        <v>305</v>
      </c>
      <c r="C1097" t="s">
        <v>65</v>
      </c>
      <c r="D1097">
        <v>27</v>
      </c>
      <c r="E1097" s="2">
        <v>43162</v>
      </c>
      <c r="F1097" t="s">
        <v>16</v>
      </c>
      <c r="G1097" t="s">
        <v>112</v>
      </c>
      <c r="H1097" t="s">
        <v>117</v>
      </c>
      <c r="I1097" s="3">
        <v>0.12569444444444444</v>
      </c>
      <c r="J1097" t="s">
        <v>68</v>
      </c>
      <c r="K1097" t="s">
        <v>58</v>
      </c>
      <c r="L1097" s="3">
        <v>8.3333333333333329E-2</v>
      </c>
      <c r="M1097" t="s">
        <v>31</v>
      </c>
      <c r="N1097" t="s">
        <v>183</v>
      </c>
      <c r="O1097">
        <f>IF(Table13[[#This Row],[Goal_assist]]="",1,0)</f>
        <v>0</v>
      </c>
    </row>
    <row r="1098" spans="1:15" x14ac:dyDescent="0.35">
      <c r="A1098" t="s">
        <v>14</v>
      </c>
      <c r="B1098" t="s">
        <v>305</v>
      </c>
      <c r="C1098" t="s">
        <v>65</v>
      </c>
      <c r="D1098">
        <v>27</v>
      </c>
      <c r="E1098" s="2">
        <v>43162</v>
      </c>
      <c r="F1098" t="s">
        <v>16</v>
      </c>
      <c r="G1098" t="s">
        <v>112</v>
      </c>
      <c r="H1098" t="s">
        <v>117</v>
      </c>
      <c r="I1098" s="3">
        <v>0.12569444444444444</v>
      </c>
      <c r="J1098" t="s">
        <v>68</v>
      </c>
      <c r="K1098">
        <v>78</v>
      </c>
      <c r="L1098" s="3">
        <v>0.12569444444444444</v>
      </c>
      <c r="M1098" t="s">
        <v>22</v>
      </c>
      <c r="N1098" t="s">
        <v>201</v>
      </c>
      <c r="O1098">
        <f>IF(Table13[[#This Row],[Goal_assist]]="",1,0)</f>
        <v>0</v>
      </c>
    </row>
    <row r="1099" spans="1:15" x14ac:dyDescent="0.35">
      <c r="A1099" t="s">
        <v>64</v>
      </c>
      <c r="B1099" t="s">
        <v>305</v>
      </c>
      <c r="C1099" t="s">
        <v>65</v>
      </c>
      <c r="D1099">
        <v>27</v>
      </c>
      <c r="E1099" s="2">
        <v>43163</v>
      </c>
      <c r="F1099" t="s">
        <v>16</v>
      </c>
      <c r="G1099" t="s">
        <v>66</v>
      </c>
      <c r="H1099" t="s">
        <v>119</v>
      </c>
      <c r="I1099" s="3">
        <v>4.1666666666666664E-2</v>
      </c>
      <c r="J1099" t="s">
        <v>230</v>
      </c>
      <c r="K1099">
        <v>26</v>
      </c>
      <c r="L1099" s="3">
        <v>4.1666666666666664E-2</v>
      </c>
      <c r="M1099" t="s">
        <v>39</v>
      </c>
      <c r="O1099">
        <f>IF(Table13[[#This Row],[Goal_assist]]="",1,0)</f>
        <v>1</v>
      </c>
    </row>
    <row r="1100" spans="1:15" x14ac:dyDescent="0.35">
      <c r="A1100" t="s">
        <v>14</v>
      </c>
      <c r="B1100" t="s">
        <v>305</v>
      </c>
      <c r="C1100" t="s">
        <v>75</v>
      </c>
      <c r="D1100" t="s">
        <v>143</v>
      </c>
      <c r="E1100" s="2">
        <v>43165</v>
      </c>
      <c r="F1100" t="s">
        <v>24</v>
      </c>
      <c r="G1100" t="s">
        <v>112</v>
      </c>
      <c r="H1100" t="s">
        <v>252</v>
      </c>
      <c r="I1100" s="3">
        <v>4.3055555555555555E-2</v>
      </c>
      <c r="J1100" t="s">
        <v>68</v>
      </c>
      <c r="K1100">
        <v>51</v>
      </c>
      <c r="L1100" s="3">
        <v>6.9444444444444447E-4</v>
      </c>
      <c r="M1100" t="s">
        <v>22</v>
      </c>
      <c r="N1100" t="s">
        <v>281</v>
      </c>
      <c r="O1100">
        <f>IF(Table13[[#This Row],[Goal_assist]]="",1,0)</f>
        <v>0</v>
      </c>
    </row>
    <row r="1101" spans="1:15" x14ac:dyDescent="0.35">
      <c r="A1101" t="s">
        <v>14</v>
      </c>
      <c r="B1101" t="s">
        <v>305</v>
      </c>
      <c r="C1101" t="s">
        <v>65</v>
      </c>
      <c r="D1101">
        <v>28</v>
      </c>
      <c r="E1101" s="2">
        <v>43169</v>
      </c>
      <c r="F1101" t="s">
        <v>24</v>
      </c>
      <c r="G1101" t="s">
        <v>112</v>
      </c>
      <c r="H1101" t="s">
        <v>270</v>
      </c>
      <c r="I1101" s="3">
        <v>4.3055555555555555E-2</v>
      </c>
      <c r="J1101" t="s">
        <v>68</v>
      </c>
      <c r="K1101">
        <v>33</v>
      </c>
      <c r="L1101" s="3">
        <v>6.9444444444444447E-4</v>
      </c>
      <c r="M1101" t="s">
        <v>26</v>
      </c>
      <c r="N1101" t="s">
        <v>250</v>
      </c>
      <c r="O1101">
        <f>IF(Table13[[#This Row],[Goal_assist]]="",1,0)</f>
        <v>0</v>
      </c>
    </row>
    <row r="1102" spans="1:15" x14ac:dyDescent="0.35">
      <c r="A1102" t="s">
        <v>14</v>
      </c>
      <c r="B1102" t="s">
        <v>305</v>
      </c>
      <c r="C1102" t="s">
        <v>65</v>
      </c>
      <c r="D1102">
        <v>28</v>
      </c>
      <c r="E1102" s="2">
        <v>43169</v>
      </c>
      <c r="F1102" t="s">
        <v>24</v>
      </c>
      <c r="G1102" t="s">
        <v>112</v>
      </c>
      <c r="H1102" t="s">
        <v>270</v>
      </c>
      <c r="I1102" s="3">
        <v>4.3055555555555555E-2</v>
      </c>
      <c r="J1102" t="s">
        <v>68</v>
      </c>
      <c r="K1102">
        <v>84</v>
      </c>
      <c r="L1102" s="3">
        <v>4.3055555555555555E-2</v>
      </c>
      <c r="M1102" t="s">
        <v>22</v>
      </c>
      <c r="N1102" t="s">
        <v>262</v>
      </c>
      <c r="O1102">
        <f>IF(Table13[[#This Row],[Goal_assist]]="",1,0)</f>
        <v>0</v>
      </c>
    </row>
    <row r="1103" spans="1:15" x14ac:dyDescent="0.35">
      <c r="A1103" t="s">
        <v>64</v>
      </c>
      <c r="B1103" t="s">
        <v>305</v>
      </c>
      <c r="C1103" t="s">
        <v>75</v>
      </c>
      <c r="D1103" t="s">
        <v>143</v>
      </c>
      <c r="E1103" s="2">
        <v>43173</v>
      </c>
      <c r="F1103" t="s">
        <v>16</v>
      </c>
      <c r="G1103" t="s">
        <v>66</v>
      </c>
      <c r="H1103" t="s">
        <v>149</v>
      </c>
      <c r="I1103" s="3">
        <v>0.125</v>
      </c>
      <c r="J1103" t="s">
        <v>230</v>
      </c>
      <c r="K1103">
        <v>63</v>
      </c>
      <c r="L1103" s="3">
        <v>0.125</v>
      </c>
      <c r="M1103" t="s">
        <v>31</v>
      </c>
      <c r="N1103" t="s">
        <v>273</v>
      </c>
      <c r="O1103">
        <f>IF(Table13[[#This Row],[Goal_assist]]="",1,0)</f>
        <v>0</v>
      </c>
    </row>
    <row r="1104" spans="1:15" x14ac:dyDescent="0.35">
      <c r="A1104" t="s">
        <v>64</v>
      </c>
      <c r="B1104" t="s">
        <v>305</v>
      </c>
      <c r="C1104" t="s">
        <v>75</v>
      </c>
      <c r="D1104" t="s">
        <v>143</v>
      </c>
      <c r="E1104" s="2">
        <v>43173</v>
      </c>
      <c r="F1104" t="s">
        <v>16</v>
      </c>
      <c r="G1104" t="s">
        <v>66</v>
      </c>
      <c r="H1104" t="s">
        <v>149</v>
      </c>
      <c r="I1104" s="3">
        <v>0.125</v>
      </c>
      <c r="J1104" t="s">
        <v>230</v>
      </c>
      <c r="K1104">
        <v>3</v>
      </c>
      <c r="L1104" s="3">
        <v>4.1666666666666664E-2</v>
      </c>
      <c r="M1104" t="s">
        <v>26</v>
      </c>
      <c r="N1104" t="s">
        <v>273</v>
      </c>
      <c r="O1104">
        <f>IF(Table13[[#This Row],[Goal_assist]]="",1,0)</f>
        <v>0</v>
      </c>
    </row>
    <row r="1105" spans="1:15" x14ac:dyDescent="0.35">
      <c r="A1105" t="s">
        <v>64</v>
      </c>
      <c r="B1105" t="s">
        <v>305</v>
      </c>
      <c r="C1105" t="s">
        <v>65</v>
      </c>
      <c r="D1105">
        <v>29</v>
      </c>
      <c r="E1105" s="2">
        <v>43177</v>
      </c>
      <c r="F1105" t="s">
        <v>16</v>
      </c>
      <c r="G1105" t="s">
        <v>66</v>
      </c>
      <c r="H1105" t="s">
        <v>86</v>
      </c>
      <c r="I1105" s="3">
        <v>8.3333333333333329E-2</v>
      </c>
      <c r="J1105" t="s">
        <v>311</v>
      </c>
      <c r="K1105">
        <v>30</v>
      </c>
      <c r="L1105" s="3">
        <v>8.3333333333333329E-2</v>
      </c>
      <c r="M1105" t="s">
        <v>31</v>
      </c>
      <c r="N1105" t="s">
        <v>316</v>
      </c>
      <c r="O1105">
        <f>IF(Table13[[#This Row],[Goal_assist]]="",1,0)</f>
        <v>0</v>
      </c>
    </row>
    <row r="1106" spans="1:15" x14ac:dyDescent="0.35">
      <c r="A1106" t="s">
        <v>14</v>
      </c>
      <c r="B1106" t="s">
        <v>305</v>
      </c>
      <c r="C1106" t="s">
        <v>65</v>
      </c>
      <c r="D1106">
        <v>29</v>
      </c>
      <c r="E1106" s="2">
        <v>43177</v>
      </c>
      <c r="F1106" t="s">
        <v>16</v>
      </c>
      <c r="G1106" t="s">
        <v>112</v>
      </c>
      <c r="H1106" t="s">
        <v>315</v>
      </c>
      <c r="I1106" s="3">
        <v>0.25208333333333333</v>
      </c>
      <c r="J1106" t="s">
        <v>68</v>
      </c>
      <c r="K1106">
        <v>47</v>
      </c>
      <c r="L1106" s="3">
        <v>8.4027777777777785E-2</v>
      </c>
      <c r="M1106" t="s">
        <v>31</v>
      </c>
      <c r="N1106" t="s">
        <v>183</v>
      </c>
      <c r="O1106">
        <f>IF(Table13[[#This Row],[Goal_assist]]="",1,0)</f>
        <v>0</v>
      </c>
    </row>
    <row r="1107" spans="1:15" x14ac:dyDescent="0.35">
      <c r="A1107" t="s">
        <v>14</v>
      </c>
      <c r="B1107" t="s">
        <v>305</v>
      </c>
      <c r="C1107" t="s">
        <v>65</v>
      </c>
      <c r="D1107">
        <v>29</v>
      </c>
      <c r="E1107" s="2">
        <v>43177</v>
      </c>
      <c r="F1107" t="s">
        <v>16</v>
      </c>
      <c r="G1107" t="s">
        <v>112</v>
      </c>
      <c r="H1107" t="s">
        <v>315</v>
      </c>
      <c r="I1107" s="3">
        <v>0.25208333333333333</v>
      </c>
      <c r="J1107" t="s">
        <v>68</v>
      </c>
      <c r="K1107">
        <v>64</v>
      </c>
      <c r="L1107" s="3">
        <v>0.1673611111111111</v>
      </c>
      <c r="M1107" t="s">
        <v>55</v>
      </c>
      <c r="O1107">
        <f>IF(Table13[[#This Row],[Goal_assist]]="",1,0)</f>
        <v>1</v>
      </c>
    </row>
    <row r="1108" spans="1:15" x14ac:dyDescent="0.35">
      <c r="A1108" t="s">
        <v>14</v>
      </c>
      <c r="B1108" t="s">
        <v>305</v>
      </c>
      <c r="C1108" t="s">
        <v>65</v>
      </c>
      <c r="D1108">
        <v>29</v>
      </c>
      <c r="E1108" s="2">
        <v>43177</v>
      </c>
      <c r="F1108" t="s">
        <v>16</v>
      </c>
      <c r="G1108" t="s">
        <v>112</v>
      </c>
      <c r="H1108" t="s">
        <v>315</v>
      </c>
      <c r="I1108" s="3">
        <v>0.25208333333333333</v>
      </c>
      <c r="J1108" t="s">
        <v>68</v>
      </c>
      <c r="K1108" t="s">
        <v>69</v>
      </c>
      <c r="L1108" s="3">
        <v>0.25208333333333333</v>
      </c>
      <c r="M1108" t="s">
        <v>26</v>
      </c>
      <c r="N1108" t="s">
        <v>277</v>
      </c>
      <c r="O1108">
        <f>IF(Table13[[#This Row],[Goal_assist]]="",1,0)</f>
        <v>0</v>
      </c>
    </row>
    <row r="1109" spans="1:15" x14ac:dyDescent="0.35">
      <c r="A1109" t="s">
        <v>14</v>
      </c>
      <c r="B1109" t="s">
        <v>305</v>
      </c>
      <c r="C1109" t="s">
        <v>65</v>
      </c>
      <c r="D1109">
        <v>29</v>
      </c>
      <c r="E1109" s="2">
        <v>43177</v>
      </c>
      <c r="F1109" t="s">
        <v>16</v>
      </c>
      <c r="G1109" t="s">
        <v>112</v>
      </c>
      <c r="H1109" t="s">
        <v>315</v>
      </c>
      <c r="I1109" s="3">
        <v>0.25208333333333333</v>
      </c>
      <c r="J1109" t="s">
        <v>68</v>
      </c>
      <c r="K1109">
        <v>11</v>
      </c>
      <c r="L1109" s="3">
        <v>4.1666666666666664E-2</v>
      </c>
      <c r="M1109" t="s">
        <v>31</v>
      </c>
      <c r="N1109" t="s">
        <v>277</v>
      </c>
      <c r="O1109">
        <f>IF(Table13[[#This Row],[Goal_assist]]="",1,0)</f>
        <v>0</v>
      </c>
    </row>
    <row r="1110" spans="1:15" x14ac:dyDescent="0.35">
      <c r="A1110" t="s">
        <v>64</v>
      </c>
      <c r="B1110" t="s">
        <v>305</v>
      </c>
      <c r="C1110" t="s">
        <v>65</v>
      </c>
      <c r="D1110">
        <v>30</v>
      </c>
      <c r="E1110" s="2">
        <v>43190</v>
      </c>
      <c r="F1110" t="s">
        <v>24</v>
      </c>
      <c r="G1110" t="s">
        <v>66</v>
      </c>
      <c r="H1110" t="s">
        <v>105</v>
      </c>
      <c r="I1110" s="3">
        <v>8.4722222222222227E-2</v>
      </c>
      <c r="J1110" t="s">
        <v>38</v>
      </c>
      <c r="K1110">
        <v>89</v>
      </c>
      <c r="L1110" s="3">
        <v>8.4722222222222227E-2</v>
      </c>
      <c r="M1110" t="s">
        <v>31</v>
      </c>
      <c r="N1110" t="s">
        <v>317</v>
      </c>
      <c r="O1110">
        <f>IF(Table13[[#This Row],[Goal_assist]]="",1,0)</f>
        <v>0</v>
      </c>
    </row>
    <row r="1111" spans="1:15" x14ac:dyDescent="0.35">
      <c r="A1111" t="s">
        <v>14</v>
      </c>
      <c r="B1111" t="s">
        <v>305</v>
      </c>
      <c r="C1111" t="s">
        <v>75</v>
      </c>
      <c r="D1111" t="s">
        <v>92</v>
      </c>
      <c r="E1111" s="2">
        <v>43193</v>
      </c>
      <c r="F1111" t="s">
        <v>24</v>
      </c>
      <c r="G1111" t="s">
        <v>112</v>
      </c>
      <c r="H1111" t="s">
        <v>260</v>
      </c>
      <c r="I1111" s="3">
        <v>2.0833333333333333E-3</v>
      </c>
      <c r="J1111" t="s">
        <v>68</v>
      </c>
      <c r="K1111">
        <v>3</v>
      </c>
      <c r="L1111" s="3">
        <v>6.9444444444444447E-4</v>
      </c>
      <c r="M1111" t="s">
        <v>26</v>
      </c>
      <c r="N1111" t="s">
        <v>257</v>
      </c>
      <c r="O1111">
        <f>IF(Table13[[#This Row],[Goal_assist]]="",1,0)</f>
        <v>0</v>
      </c>
    </row>
    <row r="1112" spans="1:15" x14ac:dyDescent="0.35">
      <c r="A1112" t="s">
        <v>14</v>
      </c>
      <c r="B1112" t="s">
        <v>305</v>
      </c>
      <c r="C1112" t="s">
        <v>75</v>
      </c>
      <c r="D1112" t="s">
        <v>92</v>
      </c>
      <c r="E1112" s="2">
        <v>43193</v>
      </c>
      <c r="F1112" t="s">
        <v>24</v>
      </c>
      <c r="G1112" t="s">
        <v>112</v>
      </c>
      <c r="H1112" t="s">
        <v>260</v>
      </c>
      <c r="I1112" s="3">
        <v>2.0833333333333333E-3</v>
      </c>
      <c r="J1112" t="s">
        <v>68</v>
      </c>
      <c r="K1112">
        <v>64</v>
      </c>
      <c r="L1112" s="3">
        <v>1.3888888888888889E-3</v>
      </c>
      <c r="M1112" t="s">
        <v>26</v>
      </c>
      <c r="N1112" t="s">
        <v>262</v>
      </c>
      <c r="O1112">
        <f>IF(Table13[[#This Row],[Goal_assist]]="",1,0)</f>
        <v>0</v>
      </c>
    </row>
    <row r="1113" spans="1:15" x14ac:dyDescent="0.35">
      <c r="A1113" t="s">
        <v>64</v>
      </c>
      <c r="B1113" t="s">
        <v>305</v>
      </c>
      <c r="C1113" t="s">
        <v>65</v>
      </c>
      <c r="D1113">
        <v>31</v>
      </c>
      <c r="E1113" s="2">
        <v>43197</v>
      </c>
      <c r="F1113" t="s">
        <v>16</v>
      </c>
      <c r="G1113" t="s">
        <v>66</v>
      </c>
      <c r="H1113" t="s">
        <v>294</v>
      </c>
      <c r="I1113" s="3">
        <v>0.12569444444444444</v>
      </c>
      <c r="J1113" t="s">
        <v>311</v>
      </c>
      <c r="K1113">
        <v>27</v>
      </c>
      <c r="L1113" s="3">
        <v>4.1666666666666664E-2</v>
      </c>
      <c r="M1113" t="s">
        <v>39</v>
      </c>
      <c r="O1113">
        <f>IF(Table13[[#This Row],[Goal_assist]]="",1,0)</f>
        <v>1</v>
      </c>
    </row>
    <row r="1114" spans="1:15" x14ac:dyDescent="0.35">
      <c r="A1114" t="s">
        <v>64</v>
      </c>
      <c r="B1114" t="s">
        <v>305</v>
      </c>
      <c r="C1114" t="s">
        <v>65</v>
      </c>
      <c r="D1114">
        <v>31</v>
      </c>
      <c r="E1114" s="2">
        <v>43197</v>
      </c>
      <c r="F1114" t="s">
        <v>16</v>
      </c>
      <c r="G1114" t="s">
        <v>66</v>
      </c>
      <c r="H1114" t="s">
        <v>294</v>
      </c>
      <c r="I1114" s="3">
        <v>0.12569444444444444</v>
      </c>
      <c r="J1114" t="s">
        <v>311</v>
      </c>
      <c r="K1114">
        <v>32</v>
      </c>
      <c r="L1114" s="3">
        <v>8.3333333333333329E-2</v>
      </c>
      <c r="M1114" t="s">
        <v>31</v>
      </c>
      <c r="N1114" t="s">
        <v>317</v>
      </c>
      <c r="O1114">
        <f>IF(Table13[[#This Row],[Goal_assist]]="",1,0)</f>
        <v>0</v>
      </c>
    </row>
    <row r="1115" spans="1:15" x14ac:dyDescent="0.35">
      <c r="A1115" t="s">
        <v>64</v>
      </c>
      <c r="B1115" t="s">
        <v>305</v>
      </c>
      <c r="C1115" t="s">
        <v>65</v>
      </c>
      <c r="D1115">
        <v>31</v>
      </c>
      <c r="E1115" s="2">
        <v>43197</v>
      </c>
      <c r="F1115" t="s">
        <v>16</v>
      </c>
      <c r="G1115" t="s">
        <v>66</v>
      </c>
      <c r="H1115" t="s">
        <v>294</v>
      </c>
      <c r="I1115" s="3">
        <v>0.12569444444444444</v>
      </c>
      <c r="J1115" t="s">
        <v>311</v>
      </c>
      <c r="K1115">
        <v>87</v>
      </c>
      <c r="L1115" s="3">
        <v>0.12569444444444444</v>
      </c>
      <c r="M1115" t="s">
        <v>31</v>
      </c>
      <c r="N1115" t="s">
        <v>316</v>
      </c>
      <c r="O1115">
        <f>IF(Table13[[#This Row],[Goal_assist]]="",1,0)</f>
        <v>0</v>
      </c>
    </row>
    <row r="1116" spans="1:15" x14ac:dyDescent="0.35">
      <c r="A1116" t="s">
        <v>14</v>
      </c>
      <c r="B1116" t="s">
        <v>305</v>
      </c>
      <c r="C1116" t="s">
        <v>65</v>
      </c>
      <c r="D1116">
        <v>31</v>
      </c>
      <c r="E1116" s="2">
        <v>43198</v>
      </c>
      <c r="F1116" t="s">
        <v>16</v>
      </c>
      <c r="G1116" t="s">
        <v>112</v>
      </c>
      <c r="H1116" t="s">
        <v>119</v>
      </c>
      <c r="I1116" s="3">
        <v>4.2361111111111113E-2</v>
      </c>
      <c r="J1116" t="s">
        <v>68</v>
      </c>
      <c r="K1116">
        <v>53</v>
      </c>
      <c r="L1116" s="3">
        <v>4.1666666666666664E-2</v>
      </c>
      <c r="M1116" t="s">
        <v>26</v>
      </c>
      <c r="N1116" t="s">
        <v>261</v>
      </c>
      <c r="O1116">
        <f>IF(Table13[[#This Row],[Goal_assist]]="",1,0)</f>
        <v>0</v>
      </c>
    </row>
    <row r="1117" spans="1:15" x14ac:dyDescent="0.35">
      <c r="A1117" t="s">
        <v>14</v>
      </c>
      <c r="B1117" t="s">
        <v>305</v>
      </c>
      <c r="C1117" t="s">
        <v>75</v>
      </c>
      <c r="D1117" t="s">
        <v>92</v>
      </c>
      <c r="E1117" s="2">
        <v>43201</v>
      </c>
      <c r="F1117" t="s">
        <v>16</v>
      </c>
      <c r="G1117" t="s">
        <v>112</v>
      </c>
      <c r="H1117" t="s">
        <v>260</v>
      </c>
      <c r="I1117" s="3">
        <v>4.3749999999999997E-2</v>
      </c>
      <c r="J1117" t="s">
        <v>68</v>
      </c>
      <c r="K1117" t="s">
        <v>318</v>
      </c>
      <c r="L1117" s="3">
        <v>4.3749999999999997E-2</v>
      </c>
      <c r="M1117" t="s">
        <v>83</v>
      </c>
      <c r="O1117">
        <f>IF(Table13[[#This Row],[Goal_assist]]="",1,0)</f>
        <v>1</v>
      </c>
    </row>
    <row r="1118" spans="1:15" x14ac:dyDescent="0.35">
      <c r="A1118" t="s">
        <v>14</v>
      </c>
      <c r="B1118" t="s">
        <v>305</v>
      </c>
      <c r="C1118" t="s">
        <v>65</v>
      </c>
      <c r="D1118">
        <v>33</v>
      </c>
      <c r="E1118" s="2">
        <v>43208</v>
      </c>
      <c r="F1118" t="s">
        <v>16</v>
      </c>
      <c r="G1118" t="s">
        <v>112</v>
      </c>
      <c r="H1118" t="s">
        <v>86</v>
      </c>
      <c r="I1118" s="3">
        <v>4.2361111111111113E-2</v>
      </c>
      <c r="J1118" t="s">
        <v>68</v>
      </c>
      <c r="K1118">
        <v>87</v>
      </c>
      <c r="L1118" s="3">
        <v>4.2361111111111113E-2</v>
      </c>
      <c r="M1118" t="s">
        <v>26</v>
      </c>
      <c r="N1118" t="s">
        <v>250</v>
      </c>
      <c r="O1118">
        <f>IF(Table13[[#This Row],[Goal_assist]]="",1,0)</f>
        <v>0</v>
      </c>
    </row>
    <row r="1119" spans="1:15" x14ac:dyDescent="0.35">
      <c r="A1119" t="s">
        <v>64</v>
      </c>
      <c r="B1119" t="s">
        <v>305</v>
      </c>
      <c r="C1119" t="s">
        <v>91</v>
      </c>
      <c r="D1119" t="s">
        <v>46</v>
      </c>
      <c r="E1119" s="2">
        <v>43211</v>
      </c>
      <c r="F1119" t="s">
        <v>24</v>
      </c>
      <c r="G1119" t="s">
        <v>66</v>
      </c>
      <c r="H1119" t="s">
        <v>105</v>
      </c>
      <c r="I1119" s="3">
        <v>3.472222222222222E-3</v>
      </c>
      <c r="J1119" t="s">
        <v>230</v>
      </c>
      <c r="K1119">
        <v>31</v>
      </c>
      <c r="L1119" s="3">
        <v>1.3888888888888889E-3</v>
      </c>
      <c r="M1119" t="s">
        <v>31</v>
      </c>
      <c r="N1119" t="s">
        <v>243</v>
      </c>
      <c r="O1119">
        <f>IF(Table13[[#This Row],[Goal_assist]]="",1,0)</f>
        <v>0</v>
      </c>
    </row>
    <row r="1120" spans="1:15" x14ac:dyDescent="0.35">
      <c r="A1120" t="s">
        <v>64</v>
      </c>
      <c r="B1120" t="s">
        <v>305</v>
      </c>
      <c r="C1120" t="s">
        <v>65</v>
      </c>
      <c r="D1120">
        <v>35</v>
      </c>
      <c r="E1120" s="2">
        <v>43219</v>
      </c>
      <c r="F1120" t="s">
        <v>24</v>
      </c>
      <c r="G1120" t="s">
        <v>66</v>
      </c>
      <c r="H1120" t="s">
        <v>115</v>
      </c>
      <c r="I1120" s="3">
        <v>8.611111111111111E-2</v>
      </c>
      <c r="J1120" t="s">
        <v>251</v>
      </c>
      <c r="K1120">
        <v>82</v>
      </c>
      <c r="L1120" s="3">
        <v>8.5416666666666669E-2</v>
      </c>
      <c r="M1120" t="s">
        <v>26</v>
      </c>
      <c r="N1120" t="s">
        <v>273</v>
      </c>
      <c r="O1120">
        <f>IF(Table13[[#This Row],[Goal_assist]]="",1,0)</f>
        <v>0</v>
      </c>
    </row>
    <row r="1121" spans="1:15" x14ac:dyDescent="0.35">
      <c r="A1121" t="s">
        <v>64</v>
      </c>
      <c r="B1121" t="s">
        <v>305</v>
      </c>
      <c r="C1121" t="s">
        <v>65</v>
      </c>
      <c r="D1121">
        <v>35</v>
      </c>
      <c r="E1121" s="2">
        <v>43219</v>
      </c>
      <c r="F1121" t="s">
        <v>24</v>
      </c>
      <c r="G1121" t="s">
        <v>66</v>
      </c>
      <c r="H1121" t="s">
        <v>115</v>
      </c>
      <c r="I1121" s="3">
        <v>8.611111111111111E-2</v>
      </c>
      <c r="J1121" t="s">
        <v>251</v>
      </c>
      <c r="K1121">
        <v>85</v>
      </c>
      <c r="L1121" s="3">
        <v>8.611111111111111E-2</v>
      </c>
      <c r="M1121" t="s">
        <v>31</v>
      </c>
      <c r="N1121" t="s">
        <v>273</v>
      </c>
      <c r="O1121">
        <f>IF(Table13[[#This Row],[Goal_assist]]="",1,0)</f>
        <v>0</v>
      </c>
    </row>
    <row r="1122" spans="1:15" x14ac:dyDescent="0.35">
      <c r="A1122" t="s">
        <v>64</v>
      </c>
      <c r="B1122" t="s">
        <v>305</v>
      </c>
      <c r="C1122" t="s">
        <v>65</v>
      </c>
      <c r="D1122">
        <v>35</v>
      </c>
      <c r="E1122" s="2">
        <v>43219</v>
      </c>
      <c r="F1122" t="s">
        <v>24</v>
      </c>
      <c r="G1122" t="s">
        <v>66</v>
      </c>
      <c r="H1122" t="s">
        <v>115</v>
      </c>
      <c r="I1122" s="3">
        <v>8.611111111111111E-2</v>
      </c>
      <c r="J1122" t="s">
        <v>251</v>
      </c>
      <c r="K1122">
        <v>38</v>
      </c>
      <c r="L1122" s="3">
        <v>1.3888888888888889E-3</v>
      </c>
      <c r="M1122" t="s">
        <v>31</v>
      </c>
      <c r="N1122" t="s">
        <v>273</v>
      </c>
      <c r="O1122">
        <f>IF(Table13[[#This Row],[Goal_assist]]="",1,0)</f>
        <v>0</v>
      </c>
    </row>
    <row r="1123" spans="1:15" x14ac:dyDescent="0.35">
      <c r="A1123" t="s">
        <v>14</v>
      </c>
      <c r="B1123" t="s">
        <v>305</v>
      </c>
      <c r="C1123" t="s">
        <v>65</v>
      </c>
      <c r="D1123">
        <v>36</v>
      </c>
      <c r="E1123" s="2">
        <v>43226</v>
      </c>
      <c r="F1123" t="s">
        <v>24</v>
      </c>
      <c r="G1123" t="s">
        <v>112</v>
      </c>
      <c r="H1123" t="s">
        <v>66</v>
      </c>
      <c r="I1123" s="3">
        <v>8.4722222222222227E-2</v>
      </c>
      <c r="J1123" t="s">
        <v>19</v>
      </c>
      <c r="K1123">
        <v>14</v>
      </c>
      <c r="L1123" s="3">
        <v>4.2361111111111113E-2</v>
      </c>
      <c r="M1123" t="s">
        <v>26</v>
      </c>
      <c r="N1123" t="s">
        <v>183</v>
      </c>
      <c r="O1123">
        <f>IF(Table13[[#This Row],[Goal_assist]]="",1,0)</f>
        <v>0</v>
      </c>
    </row>
    <row r="1124" spans="1:15" x14ac:dyDescent="0.35">
      <c r="A1124" t="s">
        <v>64</v>
      </c>
      <c r="B1124" t="s">
        <v>305</v>
      </c>
      <c r="C1124" t="s">
        <v>65</v>
      </c>
      <c r="D1124">
        <v>36</v>
      </c>
      <c r="E1124" s="2">
        <v>43226</v>
      </c>
      <c r="F1124" t="s">
        <v>16</v>
      </c>
      <c r="G1124" t="s">
        <v>66</v>
      </c>
      <c r="H1124" t="s">
        <v>112</v>
      </c>
      <c r="I1124" s="3">
        <v>8.4722222222222227E-2</v>
      </c>
      <c r="J1124" t="s">
        <v>230</v>
      </c>
      <c r="K1124">
        <v>52</v>
      </c>
      <c r="L1124" s="3">
        <v>8.4027777777777785E-2</v>
      </c>
      <c r="M1124" t="s">
        <v>31</v>
      </c>
      <c r="N1124" t="s">
        <v>273</v>
      </c>
      <c r="O1124">
        <f>IF(Table13[[#This Row],[Goal_assist]]="",1,0)</f>
        <v>0</v>
      </c>
    </row>
    <row r="1125" spans="1:15" x14ac:dyDescent="0.35">
      <c r="A1125" t="s">
        <v>64</v>
      </c>
      <c r="B1125" t="s">
        <v>305</v>
      </c>
      <c r="C1125" t="s">
        <v>65</v>
      </c>
      <c r="D1125">
        <v>34</v>
      </c>
      <c r="E1125" s="2">
        <v>43229</v>
      </c>
      <c r="F1125" t="s">
        <v>16</v>
      </c>
      <c r="G1125" t="s">
        <v>66</v>
      </c>
      <c r="H1125" t="s">
        <v>180</v>
      </c>
      <c r="I1125" s="3">
        <v>0.20902777777777778</v>
      </c>
      <c r="J1125" t="s">
        <v>68</v>
      </c>
      <c r="K1125">
        <v>45</v>
      </c>
      <c r="L1125" s="3">
        <v>0.125</v>
      </c>
      <c r="M1125" t="s">
        <v>31</v>
      </c>
      <c r="N1125" t="s">
        <v>99</v>
      </c>
      <c r="O1125">
        <f>IF(Table13[[#This Row],[Goal_assist]]="",1,0)</f>
        <v>0</v>
      </c>
    </row>
    <row r="1126" spans="1:15" x14ac:dyDescent="0.35">
      <c r="A1126" t="s">
        <v>14</v>
      </c>
      <c r="B1126" t="s">
        <v>305</v>
      </c>
      <c r="C1126" t="s">
        <v>65</v>
      </c>
      <c r="D1126">
        <v>38</v>
      </c>
      <c r="E1126" s="2">
        <v>43239</v>
      </c>
      <c r="F1126" t="s">
        <v>24</v>
      </c>
      <c r="G1126" t="s">
        <v>112</v>
      </c>
      <c r="H1126" t="s">
        <v>180</v>
      </c>
      <c r="I1126" s="3">
        <v>8.4722222222222227E-2</v>
      </c>
      <c r="J1126" t="s">
        <v>68</v>
      </c>
      <c r="K1126">
        <v>32</v>
      </c>
      <c r="L1126" s="3">
        <v>1.3888888888888889E-3</v>
      </c>
      <c r="M1126" t="s">
        <v>22</v>
      </c>
      <c r="N1126" t="s">
        <v>201</v>
      </c>
      <c r="O1126">
        <f>IF(Table13[[#This Row],[Goal_assist]]="",1,0)</f>
        <v>0</v>
      </c>
    </row>
    <row r="1127" spans="1:15" x14ac:dyDescent="0.35">
      <c r="A1127" t="s">
        <v>64</v>
      </c>
      <c r="B1127" t="s">
        <v>319</v>
      </c>
      <c r="C1127" t="s">
        <v>65</v>
      </c>
      <c r="D1127">
        <v>1</v>
      </c>
      <c r="E1127" s="2">
        <v>43330</v>
      </c>
      <c r="F1127" t="s">
        <v>16</v>
      </c>
      <c r="G1127" t="s">
        <v>66</v>
      </c>
      <c r="H1127" t="s">
        <v>88</v>
      </c>
      <c r="I1127" s="3">
        <v>0.125</v>
      </c>
      <c r="J1127" t="s">
        <v>275</v>
      </c>
      <c r="K1127">
        <v>64</v>
      </c>
      <c r="L1127" s="3">
        <v>4.1666666666666664E-2</v>
      </c>
      <c r="M1127" t="s">
        <v>39</v>
      </c>
      <c r="O1127">
        <f>IF(Table13[[#This Row],[Goal_assist]]="",1,0)</f>
        <v>1</v>
      </c>
    </row>
    <row r="1128" spans="1:15" x14ac:dyDescent="0.35">
      <c r="A1128" t="s">
        <v>64</v>
      </c>
      <c r="B1128" t="s">
        <v>319</v>
      </c>
      <c r="C1128" t="s">
        <v>65</v>
      </c>
      <c r="D1128">
        <v>1</v>
      </c>
      <c r="E1128" s="2">
        <v>43330</v>
      </c>
      <c r="F1128" t="s">
        <v>16</v>
      </c>
      <c r="G1128" t="s">
        <v>66</v>
      </c>
      <c r="H1128" t="s">
        <v>88</v>
      </c>
      <c r="I1128" s="3">
        <v>0.125</v>
      </c>
      <c r="J1128" t="s">
        <v>275</v>
      </c>
      <c r="K1128" t="s">
        <v>141</v>
      </c>
      <c r="L1128" s="3">
        <v>0.125</v>
      </c>
      <c r="M1128" t="s">
        <v>31</v>
      </c>
      <c r="N1128" t="s">
        <v>273</v>
      </c>
      <c r="O1128">
        <f>IF(Table13[[#This Row],[Goal_assist]]="",1,0)</f>
        <v>0</v>
      </c>
    </row>
    <row r="1129" spans="1:15" x14ac:dyDescent="0.35">
      <c r="A1129" t="s">
        <v>64</v>
      </c>
      <c r="B1129" t="s">
        <v>319</v>
      </c>
      <c r="C1129" t="s">
        <v>65</v>
      </c>
      <c r="D1129">
        <v>3</v>
      </c>
      <c r="E1129" s="2">
        <v>43345</v>
      </c>
      <c r="F1129" t="s">
        <v>16</v>
      </c>
      <c r="G1129" t="s">
        <v>66</v>
      </c>
      <c r="H1129" t="s">
        <v>320</v>
      </c>
      <c r="I1129" s="3">
        <v>0.3347222222222222</v>
      </c>
      <c r="J1129" t="s">
        <v>275</v>
      </c>
      <c r="K1129">
        <v>16</v>
      </c>
      <c r="L1129" s="3">
        <v>4.2361111111111113E-2</v>
      </c>
      <c r="M1129" t="s">
        <v>26</v>
      </c>
      <c r="N1129" t="s">
        <v>276</v>
      </c>
      <c r="O1129">
        <f>IF(Table13[[#This Row],[Goal_assist]]="",1,0)</f>
        <v>0</v>
      </c>
    </row>
    <row r="1130" spans="1:15" x14ac:dyDescent="0.35">
      <c r="A1130" t="s">
        <v>64</v>
      </c>
      <c r="B1130" t="s">
        <v>319</v>
      </c>
      <c r="C1130" t="s">
        <v>65</v>
      </c>
      <c r="D1130">
        <v>3</v>
      </c>
      <c r="E1130" s="2">
        <v>43345</v>
      </c>
      <c r="F1130" t="s">
        <v>16</v>
      </c>
      <c r="G1130" t="s">
        <v>66</v>
      </c>
      <c r="H1130" t="s">
        <v>320</v>
      </c>
      <c r="I1130" s="3">
        <v>0.3347222222222222</v>
      </c>
      <c r="J1130" t="s">
        <v>275</v>
      </c>
      <c r="K1130">
        <v>61</v>
      </c>
      <c r="L1130" s="3">
        <v>0.25138888888888888</v>
      </c>
      <c r="M1130" t="s">
        <v>31</v>
      </c>
      <c r="N1130" t="s">
        <v>317</v>
      </c>
      <c r="O1130">
        <f>IF(Table13[[#This Row],[Goal_assist]]="",1,0)</f>
        <v>0</v>
      </c>
    </row>
    <row r="1131" spans="1:15" x14ac:dyDescent="0.35">
      <c r="A1131" t="s">
        <v>14</v>
      </c>
      <c r="B1131" t="s">
        <v>319</v>
      </c>
      <c r="C1131" t="s">
        <v>321</v>
      </c>
      <c r="D1131">
        <v>4</v>
      </c>
      <c r="E1131" s="2">
        <v>43359</v>
      </c>
      <c r="F1131" t="s">
        <v>16</v>
      </c>
      <c r="G1131" t="s">
        <v>260</v>
      </c>
      <c r="H1131" t="s">
        <v>322</v>
      </c>
      <c r="I1131" s="3">
        <v>8.4027777777777785E-2</v>
      </c>
      <c r="J1131" t="s">
        <v>68</v>
      </c>
      <c r="K1131">
        <v>50</v>
      </c>
      <c r="L1131" s="3">
        <v>4.1666666666666664E-2</v>
      </c>
      <c r="M1131" t="s">
        <v>55</v>
      </c>
      <c r="O1131">
        <f>IF(Table13[[#This Row],[Goal_assist]]="",1,0)</f>
        <v>1</v>
      </c>
    </row>
    <row r="1132" spans="1:15" x14ac:dyDescent="0.35">
      <c r="A1132" t="s">
        <v>14</v>
      </c>
      <c r="B1132" t="s">
        <v>319</v>
      </c>
      <c r="C1132" t="s">
        <v>321</v>
      </c>
      <c r="D1132">
        <v>4</v>
      </c>
      <c r="E1132" s="2">
        <v>43359</v>
      </c>
      <c r="F1132" t="s">
        <v>16</v>
      </c>
      <c r="G1132" t="s">
        <v>260</v>
      </c>
      <c r="H1132" t="s">
        <v>322</v>
      </c>
      <c r="I1132" s="3">
        <v>8.4027777777777785E-2</v>
      </c>
      <c r="J1132" t="s">
        <v>68</v>
      </c>
      <c r="K1132">
        <v>65</v>
      </c>
      <c r="L1132" s="3">
        <v>8.3333333333333329E-2</v>
      </c>
      <c r="M1132" t="s">
        <v>31</v>
      </c>
      <c r="N1132" t="s">
        <v>323</v>
      </c>
      <c r="O1132">
        <f>IF(Table13[[#This Row],[Goal_assist]]="",1,0)</f>
        <v>0</v>
      </c>
    </row>
    <row r="1133" spans="1:15" x14ac:dyDescent="0.35">
      <c r="A1133" t="s">
        <v>64</v>
      </c>
      <c r="B1133" t="s">
        <v>319</v>
      </c>
      <c r="C1133" t="s">
        <v>75</v>
      </c>
      <c r="D1133" t="s">
        <v>76</v>
      </c>
      <c r="E1133" s="2">
        <v>43361</v>
      </c>
      <c r="F1133" t="s">
        <v>16</v>
      </c>
      <c r="G1133" t="s">
        <v>66</v>
      </c>
      <c r="H1133" t="s">
        <v>324</v>
      </c>
      <c r="I1133" s="3">
        <v>0.16666666666666666</v>
      </c>
      <c r="J1133" t="s">
        <v>275</v>
      </c>
      <c r="K1133">
        <v>31</v>
      </c>
      <c r="L1133" s="3">
        <v>4.1666666666666664E-2</v>
      </c>
      <c r="M1133" t="s">
        <v>39</v>
      </c>
      <c r="O1133">
        <f>IF(Table13[[#This Row],[Goal_assist]]="",1,0)</f>
        <v>1</v>
      </c>
    </row>
    <row r="1134" spans="1:15" x14ac:dyDescent="0.35">
      <c r="A1134" t="s">
        <v>64</v>
      </c>
      <c r="B1134" t="s">
        <v>319</v>
      </c>
      <c r="C1134" t="s">
        <v>75</v>
      </c>
      <c r="D1134" t="s">
        <v>76</v>
      </c>
      <c r="E1134" s="2">
        <v>43361</v>
      </c>
      <c r="F1134" t="s">
        <v>16</v>
      </c>
      <c r="G1134" t="s">
        <v>66</v>
      </c>
      <c r="H1134" t="s">
        <v>324</v>
      </c>
      <c r="I1134" s="3">
        <v>0.16666666666666666</v>
      </c>
      <c r="J1134" t="s">
        <v>275</v>
      </c>
      <c r="K1134">
        <v>77</v>
      </c>
      <c r="L1134" s="3">
        <v>0.125</v>
      </c>
      <c r="M1134" t="s">
        <v>31</v>
      </c>
      <c r="N1134" t="s">
        <v>276</v>
      </c>
      <c r="O1134">
        <f>IF(Table13[[#This Row],[Goal_assist]]="",1,0)</f>
        <v>0</v>
      </c>
    </row>
    <row r="1135" spans="1:15" x14ac:dyDescent="0.35">
      <c r="A1135" t="s">
        <v>64</v>
      </c>
      <c r="B1135" t="s">
        <v>319</v>
      </c>
      <c r="C1135" t="s">
        <v>75</v>
      </c>
      <c r="D1135" t="s">
        <v>76</v>
      </c>
      <c r="E1135" s="2">
        <v>43361</v>
      </c>
      <c r="F1135" t="s">
        <v>16</v>
      </c>
      <c r="G1135" t="s">
        <v>66</v>
      </c>
      <c r="H1135" t="s">
        <v>324</v>
      </c>
      <c r="I1135" s="3">
        <v>0.16666666666666666</v>
      </c>
      <c r="J1135" t="s">
        <v>275</v>
      </c>
      <c r="K1135">
        <v>87</v>
      </c>
      <c r="L1135" s="3">
        <v>0.16666666666666666</v>
      </c>
      <c r="M1135" t="s">
        <v>26</v>
      </c>
      <c r="N1135" t="s">
        <v>273</v>
      </c>
      <c r="O1135">
        <f>IF(Table13[[#This Row],[Goal_assist]]="",1,0)</f>
        <v>0</v>
      </c>
    </row>
    <row r="1136" spans="1:15" x14ac:dyDescent="0.35">
      <c r="A1136" t="s">
        <v>14</v>
      </c>
      <c r="B1136" t="s">
        <v>319</v>
      </c>
      <c r="C1136" t="s">
        <v>321</v>
      </c>
      <c r="D1136">
        <v>5</v>
      </c>
      <c r="E1136" s="2">
        <v>43366</v>
      </c>
      <c r="F1136" t="s">
        <v>24</v>
      </c>
      <c r="G1136" t="s">
        <v>260</v>
      </c>
      <c r="H1136" t="s">
        <v>325</v>
      </c>
      <c r="I1136" s="3">
        <v>1.3888888888888889E-3</v>
      </c>
      <c r="J1136" t="s">
        <v>19</v>
      </c>
      <c r="K1136">
        <v>81</v>
      </c>
      <c r="L1136" s="3">
        <v>6.9444444444444447E-4</v>
      </c>
      <c r="M1136" t="s">
        <v>31</v>
      </c>
      <c r="O1136">
        <f>IF(Table13[[#This Row],[Goal_assist]]="",1,0)</f>
        <v>1</v>
      </c>
    </row>
    <row r="1137" spans="1:15" x14ac:dyDescent="0.35">
      <c r="A1137" t="s">
        <v>64</v>
      </c>
      <c r="B1137" t="s">
        <v>319</v>
      </c>
      <c r="C1137" t="s">
        <v>65</v>
      </c>
      <c r="D1137">
        <v>5</v>
      </c>
      <c r="E1137" s="2">
        <v>43366</v>
      </c>
      <c r="F1137" t="s">
        <v>16</v>
      </c>
      <c r="G1137" t="s">
        <v>66</v>
      </c>
      <c r="H1137" t="s">
        <v>315</v>
      </c>
      <c r="I1137" s="3">
        <v>8.4722222222222227E-2</v>
      </c>
      <c r="J1137" t="s">
        <v>275</v>
      </c>
      <c r="K1137">
        <v>19</v>
      </c>
      <c r="L1137" s="3">
        <v>4.1666666666666664E-2</v>
      </c>
      <c r="M1137" t="s">
        <v>31</v>
      </c>
      <c r="N1137" t="s">
        <v>326</v>
      </c>
      <c r="O1137">
        <f>IF(Table13[[#This Row],[Goal_assist]]="",1,0)</f>
        <v>0</v>
      </c>
    </row>
    <row r="1138" spans="1:15" x14ac:dyDescent="0.35">
      <c r="A1138" t="s">
        <v>64</v>
      </c>
      <c r="B1138" t="s">
        <v>319</v>
      </c>
      <c r="C1138" t="s">
        <v>75</v>
      </c>
      <c r="D1138" t="s">
        <v>76</v>
      </c>
      <c r="E1138" s="2">
        <v>43376</v>
      </c>
      <c r="F1138" t="s">
        <v>24</v>
      </c>
      <c r="G1138" t="s">
        <v>66</v>
      </c>
      <c r="H1138" t="s">
        <v>42</v>
      </c>
      <c r="I1138" s="3">
        <v>8.611111111111111E-2</v>
      </c>
      <c r="J1138" t="s">
        <v>275</v>
      </c>
      <c r="K1138">
        <v>56</v>
      </c>
      <c r="L1138" s="3">
        <v>4.3749999999999997E-2</v>
      </c>
      <c r="M1138" t="s">
        <v>31</v>
      </c>
      <c r="N1138" t="s">
        <v>243</v>
      </c>
      <c r="O1138">
        <f>IF(Table13[[#This Row],[Goal_assist]]="",1,0)</f>
        <v>0</v>
      </c>
    </row>
    <row r="1139" spans="1:15" x14ac:dyDescent="0.35">
      <c r="A1139" t="s">
        <v>64</v>
      </c>
      <c r="B1139" t="s">
        <v>319</v>
      </c>
      <c r="C1139" t="s">
        <v>75</v>
      </c>
      <c r="D1139" t="s">
        <v>76</v>
      </c>
      <c r="E1139" s="2">
        <v>43376</v>
      </c>
      <c r="F1139" t="s">
        <v>24</v>
      </c>
      <c r="G1139" t="s">
        <v>66</v>
      </c>
      <c r="H1139" t="s">
        <v>42</v>
      </c>
      <c r="I1139" s="3">
        <v>8.611111111111111E-2</v>
      </c>
      <c r="J1139" t="s">
        <v>275</v>
      </c>
      <c r="K1139">
        <v>90</v>
      </c>
      <c r="L1139" s="3">
        <v>8.611111111111111E-2</v>
      </c>
      <c r="M1139" t="s">
        <v>31</v>
      </c>
      <c r="N1139" t="s">
        <v>243</v>
      </c>
      <c r="O1139">
        <f>IF(Table13[[#This Row],[Goal_assist]]="",1,0)</f>
        <v>0</v>
      </c>
    </row>
    <row r="1140" spans="1:15" x14ac:dyDescent="0.35">
      <c r="A1140" t="s">
        <v>14</v>
      </c>
      <c r="B1140" t="s">
        <v>319</v>
      </c>
      <c r="C1140" t="s">
        <v>321</v>
      </c>
      <c r="D1140">
        <v>8</v>
      </c>
      <c r="E1140" s="2">
        <v>43379</v>
      </c>
      <c r="F1140" t="s">
        <v>24</v>
      </c>
      <c r="G1140" t="s">
        <v>260</v>
      </c>
      <c r="H1140" t="s">
        <v>327</v>
      </c>
      <c r="I1140" s="3">
        <v>1.3888888888888889E-3</v>
      </c>
      <c r="J1140" t="s">
        <v>19</v>
      </c>
      <c r="K1140">
        <v>37</v>
      </c>
      <c r="L1140" s="3">
        <v>1.3888888888888889E-3</v>
      </c>
      <c r="M1140" t="s">
        <v>31</v>
      </c>
      <c r="N1140" t="s">
        <v>328</v>
      </c>
      <c r="O1140">
        <f>IF(Table13[[#This Row],[Goal_assist]]="",1,0)</f>
        <v>0</v>
      </c>
    </row>
    <row r="1141" spans="1:15" x14ac:dyDescent="0.35">
      <c r="A1141" t="s">
        <v>64</v>
      </c>
      <c r="B1141" t="s">
        <v>319</v>
      </c>
      <c r="C1141" t="s">
        <v>65</v>
      </c>
      <c r="D1141">
        <v>8</v>
      </c>
      <c r="E1141" s="2">
        <v>43380</v>
      </c>
      <c r="F1141" t="s">
        <v>24</v>
      </c>
      <c r="G1141" t="s">
        <v>66</v>
      </c>
      <c r="H1141" t="s">
        <v>148</v>
      </c>
      <c r="I1141" s="3">
        <v>4.2361111111111113E-2</v>
      </c>
      <c r="J1141" t="s">
        <v>275</v>
      </c>
      <c r="K1141">
        <v>23</v>
      </c>
      <c r="L1141" s="3">
        <v>4.2361111111111113E-2</v>
      </c>
      <c r="M1141" t="s">
        <v>31</v>
      </c>
      <c r="N1141" t="s">
        <v>273</v>
      </c>
      <c r="O1141">
        <f>IF(Table13[[#This Row],[Goal_assist]]="",1,0)</f>
        <v>0</v>
      </c>
    </row>
    <row r="1142" spans="1:15" x14ac:dyDescent="0.35">
      <c r="A1142" t="s">
        <v>14</v>
      </c>
      <c r="B1142" t="s">
        <v>319</v>
      </c>
      <c r="C1142" t="s">
        <v>321</v>
      </c>
      <c r="D1142">
        <v>9</v>
      </c>
      <c r="E1142" s="2">
        <v>43393</v>
      </c>
      <c r="F1142" t="s">
        <v>16</v>
      </c>
      <c r="G1142" t="s">
        <v>260</v>
      </c>
      <c r="H1142" t="s">
        <v>329</v>
      </c>
      <c r="I1142" s="3">
        <v>4.2361111111111113E-2</v>
      </c>
      <c r="J1142" t="s">
        <v>19</v>
      </c>
      <c r="K1142">
        <v>18</v>
      </c>
      <c r="L1142" s="3">
        <v>4.1666666666666664E-2</v>
      </c>
      <c r="M1142" t="s">
        <v>55</v>
      </c>
      <c r="O1142">
        <f>IF(Table13[[#This Row],[Goal_assist]]="",1,0)</f>
        <v>1</v>
      </c>
    </row>
    <row r="1143" spans="1:15" x14ac:dyDescent="0.35">
      <c r="A1143" t="s">
        <v>64</v>
      </c>
      <c r="B1143" t="s">
        <v>319</v>
      </c>
      <c r="C1143" t="s">
        <v>65</v>
      </c>
      <c r="D1143">
        <v>9</v>
      </c>
      <c r="E1143" s="2">
        <v>43393</v>
      </c>
      <c r="F1143" t="s">
        <v>16</v>
      </c>
      <c r="G1143" t="s">
        <v>66</v>
      </c>
      <c r="H1143" t="s">
        <v>105</v>
      </c>
      <c r="I1143" s="3">
        <v>0.16805555555555557</v>
      </c>
      <c r="J1143" t="s">
        <v>275</v>
      </c>
      <c r="K1143">
        <v>12</v>
      </c>
      <c r="L1143" s="3">
        <v>8.3333333333333329E-2</v>
      </c>
      <c r="M1143" t="s">
        <v>31</v>
      </c>
      <c r="N1143" t="s">
        <v>273</v>
      </c>
      <c r="O1143">
        <f>IF(Table13[[#This Row],[Goal_assist]]="",1,0)</f>
        <v>0</v>
      </c>
    </row>
    <row r="1144" spans="1:15" x14ac:dyDescent="0.35">
      <c r="A1144" t="s">
        <v>14</v>
      </c>
      <c r="B1144" t="s">
        <v>319</v>
      </c>
      <c r="C1144" t="s">
        <v>321</v>
      </c>
      <c r="D1144">
        <v>10</v>
      </c>
      <c r="E1144" s="2">
        <v>43400</v>
      </c>
      <c r="F1144" t="s">
        <v>24</v>
      </c>
      <c r="G1144" t="s">
        <v>260</v>
      </c>
      <c r="H1144" t="s">
        <v>330</v>
      </c>
      <c r="I1144" s="3">
        <v>4.3055555555555555E-2</v>
      </c>
      <c r="J1144" t="s">
        <v>68</v>
      </c>
      <c r="K1144">
        <v>54</v>
      </c>
      <c r="L1144" s="3">
        <v>4.2361111111111113E-2</v>
      </c>
      <c r="M1144" t="s">
        <v>83</v>
      </c>
      <c r="O1144">
        <f>IF(Table13[[#This Row],[Goal_assist]]="",1,0)</f>
        <v>1</v>
      </c>
    </row>
    <row r="1145" spans="1:15" x14ac:dyDescent="0.35">
      <c r="A1145" t="s">
        <v>14</v>
      </c>
      <c r="B1145" t="s">
        <v>319</v>
      </c>
      <c r="C1145" t="s">
        <v>321</v>
      </c>
      <c r="D1145">
        <v>10</v>
      </c>
      <c r="E1145" s="2">
        <v>43400</v>
      </c>
      <c r="F1145" t="s">
        <v>24</v>
      </c>
      <c r="G1145" t="s">
        <v>260</v>
      </c>
      <c r="H1145" t="s">
        <v>330</v>
      </c>
      <c r="I1145" s="3">
        <v>4.3055555555555555E-2</v>
      </c>
      <c r="J1145" t="s">
        <v>68</v>
      </c>
      <c r="K1145">
        <v>70</v>
      </c>
      <c r="L1145" s="3">
        <v>4.3055555555555555E-2</v>
      </c>
      <c r="M1145" t="s">
        <v>26</v>
      </c>
      <c r="N1145" t="s">
        <v>331</v>
      </c>
      <c r="O1145">
        <f>IF(Table13[[#This Row],[Goal_assist]]="",1,0)</f>
        <v>0</v>
      </c>
    </row>
    <row r="1146" spans="1:15" x14ac:dyDescent="0.35">
      <c r="A1146" t="s">
        <v>14</v>
      </c>
      <c r="B1146" t="s">
        <v>319</v>
      </c>
      <c r="C1146" t="s">
        <v>75</v>
      </c>
      <c r="D1146" t="s">
        <v>76</v>
      </c>
      <c r="E1146" s="2">
        <v>43411</v>
      </c>
      <c r="F1146" t="s">
        <v>16</v>
      </c>
      <c r="G1146" t="s">
        <v>260</v>
      </c>
      <c r="H1146" t="s">
        <v>36</v>
      </c>
      <c r="I1146" s="3">
        <v>4.3055555555555555E-2</v>
      </c>
      <c r="J1146" t="s">
        <v>68</v>
      </c>
      <c r="K1146">
        <v>65</v>
      </c>
      <c r="L1146" s="3">
        <v>4.1666666666666664E-2</v>
      </c>
      <c r="M1146" t="s">
        <v>26</v>
      </c>
      <c r="N1146" t="s">
        <v>332</v>
      </c>
      <c r="O1146">
        <f>IF(Table13[[#This Row],[Goal_assist]]="",1,0)</f>
        <v>0</v>
      </c>
    </row>
    <row r="1147" spans="1:15" x14ac:dyDescent="0.35">
      <c r="A1147" t="s">
        <v>14</v>
      </c>
      <c r="B1147" t="s">
        <v>319</v>
      </c>
      <c r="C1147" t="s">
        <v>321</v>
      </c>
      <c r="D1147">
        <v>12</v>
      </c>
      <c r="E1147" s="2">
        <v>43415</v>
      </c>
      <c r="F1147" t="s">
        <v>24</v>
      </c>
      <c r="G1147" t="s">
        <v>260</v>
      </c>
      <c r="H1147" t="s">
        <v>118</v>
      </c>
      <c r="I1147" s="3">
        <v>1.3888888888888889E-3</v>
      </c>
      <c r="J1147" t="s">
        <v>19</v>
      </c>
      <c r="K1147">
        <v>81</v>
      </c>
      <c r="L1147" s="3">
        <v>1.3888888888888889E-3</v>
      </c>
      <c r="M1147" t="s">
        <v>55</v>
      </c>
      <c r="O1147">
        <f>IF(Table13[[#This Row],[Goal_assist]]="",1,0)</f>
        <v>1</v>
      </c>
    </row>
    <row r="1148" spans="1:15" x14ac:dyDescent="0.35">
      <c r="A1148" t="s">
        <v>64</v>
      </c>
      <c r="B1148" t="s">
        <v>319</v>
      </c>
      <c r="C1148" t="s">
        <v>65</v>
      </c>
      <c r="D1148">
        <v>12</v>
      </c>
      <c r="E1148" s="2">
        <v>43415</v>
      </c>
      <c r="F1148" t="s">
        <v>16</v>
      </c>
      <c r="G1148" t="s">
        <v>66</v>
      </c>
      <c r="H1148" t="s">
        <v>95</v>
      </c>
      <c r="I1148" s="3">
        <v>0.12777777777777777</v>
      </c>
      <c r="J1148" t="s">
        <v>311</v>
      </c>
      <c r="K1148" t="s">
        <v>239</v>
      </c>
      <c r="L1148" s="3">
        <v>0.12777777777777777</v>
      </c>
      <c r="M1148" t="s">
        <v>31</v>
      </c>
      <c r="N1148" t="s">
        <v>326</v>
      </c>
      <c r="O1148">
        <f>IF(Table13[[#This Row],[Goal_assist]]="",1,0)</f>
        <v>0</v>
      </c>
    </row>
    <row r="1149" spans="1:15" x14ac:dyDescent="0.35">
      <c r="A1149" t="s">
        <v>64</v>
      </c>
      <c r="B1149" t="s">
        <v>319</v>
      </c>
      <c r="C1149" t="s">
        <v>65</v>
      </c>
      <c r="D1149">
        <v>12</v>
      </c>
      <c r="E1149" s="2">
        <v>43415</v>
      </c>
      <c r="F1149" t="s">
        <v>16</v>
      </c>
      <c r="G1149" t="s">
        <v>66</v>
      </c>
      <c r="H1149" t="s">
        <v>95</v>
      </c>
      <c r="I1149" s="3">
        <v>0.12777777777777777</v>
      </c>
      <c r="J1149" t="s">
        <v>311</v>
      </c>
      <c r="K1149">
        <v>68</v>
      </c>
      <c r="L1149" s="3">
        <v>4.3055555555555555E-2</v>
      </c>
      <c r="M1149" t="s">
        <v>83</v>
      </c>
      <c r="O1149">
        <f>IF(Table13[[#This Row],[Goal_assist]]="",1,0)</f>
        <v>1</v>
      </c>
    </row>
    <row r="1150" spans="1:15" x14ac:dyDescent="0.35">
      <c r="A1150" t="s">
        <v>14</v>
      </c>
      <c r="B1150" t="s">
        <v>319</v>
      </c>
      <c r="C1150" t="s">
        <v>321</v>
      </c>
      <c r="D1150">
        <v>13</v>
      </c>
      <c r="E1150" s="2">
        <v>43428</v>
      </c>
      <c r="F1150" t="s">
        <v>16</v>
      </c>
      <c r="G1150" t="s">
        <v>260</v>
      </c>
      <c r="H1150" t="s">
        <v>333</v>
      </c>
      <c r="I1150" s="3">
        <v>8.3333333333333329E-2</v>
      </c>
      <c r="J1150" t="s">
        <v>68</v>
      </c>
      <c r="K1150">
        <v>29</v>
      </c>
      <c r="L1150" s="3">
        <v>4.1666666666666664E-2</v>
      </c>
      <c r="M1150" t="s">
        <v>31</v>
      </c>
      <c r="N1150" t="s">
        <v>334</v>
      </c>
      <c r="O1150">
        <f>IF(Table13[[#This Row],[Goal_assist]]="",1,0)</f>
        <v>0</v>
      </c>
    </row>
    <row r="1151" spans="1:15" x14ac:dyDescent="0.35">
      <c r="A1151" t="s">
        <v>64</v>
      </c>
      <c r="B1151" t="s">
        <v>319</v>
      </c>
      <c r="C1151" t="s">
        <v>75</v>
      </c>
      <c r="D1151" t="s">
        <v>76</v>
      </c>
      <c r="E1151" s="2">
        <v>43432</v>
      </c>
      <c r="F1151" t="s">
        <v>24</v>
      </c>
      <c r="G1151" t="s">
        <v>66</v>
      </c>
      <c r="H1151" t="s">
        <v>324</v>
      </c>
      <c r="I1151" s="3">
        <v>4.3055555555555555E-2</v>
      </c>
      <c r="J1151" t="s">
        <v>251</v>
      </c>
      <c r="K1151">
        <v>61</v>
      </c>
      <c r="L1151" s="3">
        <v>6.9444444444444447E-4</v>
      </c>
      <c r="M1151" t="s">
        <v>31</v>
      </c>
      <c r="N1151" t="s">
        <v>316</v>
      </c>
      <c r="O1151">
        <f>IF(Table13[[#This Row],[Goal_assist]]="",1,0)</f>
        <v>0</v>
      </c>
    </row>
    <row r="1152" spans="1:15" x14ac:dyDescent="0.35">
      <c r="A1152" t="s">
        <v>14</v>
      </c>
      <c r="B1152" t="s">
        <v>319</v>
      </c>
      <c r="C1152" t="s">
        <v>321</v>
      </c>
      <c r="D1152">
        <v>14</v>
      </c>
      <c r="E1152" s="2">
        <v>43435</v>
      </c>
      <c r="F1152" t="s">
        <v>24</v>
      </c>
      <c r="G1152" t="s">
        <v>260</v>
      </c>
      <c r="H1152" t="s">
        <v>335</v>
      </c>
      <c r="I1152" s="3">
        <v>2.0833333333333333E-3</v>
      </c>
      <c r="J1152" t="s">
        <v>19</v>
      </c>
      <c r="K1152">
        <v>79</v>
      </c>
      <c r="L1152" s="3">
        <v>2.0833333333333333E-3</v>
      </c>
      <c r="M1152" t="s">
        <v>83</v>
      </c>
      <c r="O1152">
        <f>IF(Table13[[#This Row],[Goal_assist]]="",1,0)</f>
        <v>1</v>
      </c>
    </row>
    <row r="1153" spans="1:15" x14ac:dyDescent="0.35">
      <c r="A1153" t="s">
        <v>64</v>
      </c>
      <c r="B1153" t="s">
        <v>319</v>
      </c>
      <c r="C1153" t="s">
        <v>65</v>
      </c>
      <c r="D1153">
        <v>15</v>
      </c>
      <c r="E1153" s="2">
        <v>43442</v>
      </c>
      <c r="F1153" t="s">
        <v>24</v>
      </c>
      <c r="G1153" t="s">
        <v>66</v>
      </c>
      <c r="H1153" t="s">
        <v>121</v>
      </c>
      <c r="I1153" s="3">
        <v>2.7777777777777779E-3</v>
      </c>
      <c r="J1153" t="s">
        <v>275</v>
      </c>
      <c r="K1153">
        <v>65</v>
      </c>
      <c r="L1153" s="3">
        <v>2.7777777777777779E-3</v>
      </c>
      <c r="M1153" t="s">
        <v>39</v>
      </c>
      <c r="O1153">
        <f>IF(Table13[[#This Row],[Goal_assist]]="",1,0)</f>
        <v>1</v>
      </c>
    </row>
    <row r="1154" spans="1:15" x14ac:dyDescent="0.35">
      <c r="A1154" t="s">
        <v>64</v>
      </c>
      <c r="B1154" t="s">
        <v>319</v>
      </c>
      <c r="C1154" t="s">
        <v>65</v>
      </c>
      <c r="D1154">
        <v>15</v>
      </c>
      <c r="E1154" s="2">
        <v>43442</v>
      </c>
      <c r="F1154" t="s">
        <v>24</v>
      </c>
      <c r="G1154" t="s">
        <v>66</v>
      </c>
      <c r="H1154" t="s">
        <v>121</v>
      </c>
      <c r="I1154" s="3">
        <v>2.7777777777777779E-3</v>
      </c>
      <c r="J1154" t="s">
        <v>275</v>
      </c>
      <c r="K1154">
        <v>17</v>
      </c>
      <c r="L1154" s="3">
        <v>6.9444444444444447E-4</v>
      </c>
      <c r="M1154" t="s">
        <v>39</v>
      </c>
      <c r="O1154">
        <f>IF(Table13[[#This Row],[Goal_assist]]="",1,0)</f>
        <v>1</v>
      </c>
    </row>
    <row r="1155" spans="1:15" x14ac:dyDescent="0.35">
      <c r="A1155" t="s">
        <v>14</v>
      </c>
      <c r="B1155" t="s">
        <v>319</v>
      </c>
      <c r="C1155" t="s">
        <v>321</v>
      </c>
      <c r="D1155">
        <v>16</v>
      </c>
      <c r="E1155" s="2">
        <v>43449</v>
      </c>
      <c r="F1155" t="s">
        <v>24</v>
      </c>
      <c r="G1155" t="s">
        <v>260</v>
      </c>
      <c r="H1155" t="s">
        <v>336</v>
      </c>
      <c r="I1155" s="3">
        <v>6.9444444444444447E-4</v>
      </c>
      <c r="J1155" t="s">
        <v>19</v>
      </c>
      <c r="K1155">
        <v>70</v>
      </c>
      <c r="L1155" s="3">
        <v>6.9444444444444447E-4</v>
      </c>
      <c r="M1155" t="s">
        <v>83</v>
      </c>
      <c r="O1155">
        <f>IF(Table13[[#This Row],[Goal_assist]]="",1,0)</f>
        <v>1</v>
      </c>
    </row>
    <row r="1156" spans="1:15" x14ac:dyDescent="0.35">
      <c r="A1156" t="s">
        <v>64</v>
      </c>
      <c r="B1156" t="s">
        <v>319</v>
      </c>
      <c r="C1156" t="s">
        <v>65</v>
      </c>
      <c r="D1156">
        <v>16</v>
      </c>
      <c r="E1156" s="2">
        <v>43450</v>
      </c>
      <c r="F1156" t="s">
        <v>24</v>
      </c>
      <c r="G1156" t="s">
        <v>66</v>
      </c>
      <c r="H1156" t="s">
        <v>127</v>
      </c>
      <c r="I1156" s="3">
        <v>3.472222222222222E-3</v>
      </c>
      <c r="J1156" t="s">
        <v>311</v>
      </c>
      <c r="K1156">
        <v>43</v>
      </c>
      <c r="L1156" s="3">
        <v>1.3888888888888889E-3</v>
      </c>
      <c r="M1156" t="s">
        <v>26</v>
      </c>
      <c r="N1156" t="s">
        <v>222</v>
      </c>
      <c r="O1156">
        <f>IF(Table13[[#This Row],[Goal_assist]]="",1,0)</f>
        <v>0</v>
      </c>
    </row>
    <row r="1157" spans="1:15" x14ac:dyDescent="0.35">
      <c r="A1157" t="s">
        <v>64</v>
      </c>
      <c r="B1157" t="s">
        <v>319</v>
      </c>
      <c r="C1157" t="s">
        <v>65</v>
      </c>
      <c r="D1157">
        <v>16</v>
      </c>
      <c r="E1157" s="2">
        <v>43450</v>
      </c>
      <c r="F1157" t="s">
        <v>24</v>
      </c>
      <c r="G1157" t="s">
        <v>66</v>
      </c>
      <c r="H1157" t="s">
        <v>127</v>
      </c>
      <c r="I1157" s="3">
        <v>3.472222222222222E-3</v>
      </c>
      <c r="J1157" t="s">
        <v>311</v>
      </c>
      <c r="K1157">
        <v>47</v>
      </c>
      <c r="L1157" s="3">
        <v>2.0833333333333333E-3</v>
      </c>
      <c r="M1157" t="s">
        <v>31</v>
      </c>
      <c r="O1157">
        <f>IF(Table13[[#This Row],[Goal_assist]]="",1,0)</f>
        <v>1</v>
      </c>
    </row>
    <row r="1158" spans="1:15" x14ac:dyDescent="0.35">
      <c r="A1158" t="s">
        <v>64</v>
      </c>
      <c r="B1158" t="s">
        <v>319</v>
      </c>
      <c r="C1158" t="s">
        <v>65</v>
      </c>
      <c r="D1158">
        <v>16</v>
      </c>
      <c r="E1158" s="2">
        <v>43450</v>
      </c>
      <c r="F1158" t="s">
        <v>24</v>
      </c>
      <c r="G1158" t="s">
        <v>66</v>
      </c>
      <c r="H1158" t="s">
        <v>127</v>
      </c>
      <c r="I1158" s="3">
        <v>3.472222222222222E-3</v>
      </c>
      <c r="J1158" t="s">
        <v>311</v>
      </c>
      <c r="K1158">
        <v>60</v>
      </c>
      <c r="L1158" s="3">
        <v>2.7777777777777779E-3</v>
      </c>
      <c r="M1158" t="s">
        <v>31</v>
      </c>
      <c r="N1158" t="s">
        <v>326</v>
      </c>
      <c r="O1158">
        <f>IF(Table13[[#This Row],[Goal_assist]]="",1,0)</f>
        <v>0</v>
      </c>
    </row>
    <row r="1159" spans="1:15" x14ac:dyDescent="0.35">
      <c r="A1159" t="s">
        <v>64</v>
      </c>
      <c r="B1159" t="s">
        <v>319</v>
      </c>
      <c r="C1159" t="s">
        <v>65</v>
      </c>
      <c r="D1159">
        <v>17</v>
      </c>
      <c r="E1159" s="2">
        <v>43456</v>
      </c>
      <c r="F1159" t="s">
        <v>16</v>
      </c>
      <c r="G1159" t="s">
        <v>66</v>
      </c>
      <c r="H1159" t="s">
        <v>98</v>
      </c>
      <c r="I1159" s="3">
        <v>8.3333333333333329E-2</v>
      </c>
      <c r="J1159" t="s">
        <v>275</v>
      </c>
      <c r="K1159">
        <v>45</v>
      </c>
      <c r="L1159" s="3">
        <v>8.3333333333333329E-2</v>
      </c>
      <c r="M1159" t="s">
        <v>31</v>
      </c>
      <c r="N1159" t="s">
        <v>243</v>
      </c>
      <c r="O1159">
        <f>IF(Table13[[#This Row],[Goal_assist]]="",1,0)</f>
        <v>0</v>
      </c>
    </row>
    <row r="1160" spans="1:15" x14ac:dyDescent="0.35">
      <c r="A1160" t="s">
        <v>14</v>
      </c>
      <c r="B1160" t="s">
        <v>319</v>
      </c>
      <c r="C1160" t="s">
        <v>321</v>
      </c>
      <c r="D1160">
        <v>18</v>
      </c>
      <c r="E1160" s="2">
        <v>43460</v>
      </c>
      <c r="F1160" t="s">
        <v>24</v>
      </c>
      <c r="G1160" t="s">
        <v>260</v>
      </c>
      <c r="H1160" t="s">
        <v>337</v>
      </c>
      <c r="I1160" s="3">
        <v>8.4722222222222227E-2</v>
      </c>
      <c r="J1160" t="s">
        <v>68</v>
      </c>
      <c r="K1160">
        <v>78</v>
      </c>
      <c r="L1160" s="3">
        <v>8.4722222222222227E-2</v>
      </c>
      <c r="M1160" t="s">
        <v>22</v>
      </c>
      <c r="N1160" t="s">
        <v>338</v>
      </c>
      <c r="O1160">
        <f>IF(Table13[[#This Row],[Goal_assist]]="",1,0)</f>
        <v>0</v>
      </c>
    </row>
    <row r="1161" spans="1:15" x14ac:dyDescent="0.35">
      <c r="A1161" t="s">
        <v>14</v>
      </c>
      <c r="B1161" t="s">
        <v>319</v>
      </c>
      <c r="C1161" t="s">
        <v>321</v>
      </c>
      <c r="D1161">
        <v>19</v>
      </c>
      <c r="E1161" s="2">
        <v>43463</v>
      </c>
      <c r="F1161" t="s">
        <v>16</v>
      </c>
      <c r="G1161" t="s">
        <v>260</v>
      </c>
      <c r="H1161" t="s">
        <v>339</v>
      </c>
      <c r="I1161" s="3">
        <v>8.4027777777777785E-2</v>
      </c>
      <c r="J1161" t="s">
        <v>19</v>
      </c>
      <c r="K1161">
        <v>65</v>
      </c>
      <c r="L1161" s="3">
        <v>8.4027777777777785E-2</v>
      </c>
      <c r="M1161" t="s">
        <v>83</v>
      </c>
      <c r="O1161">
        <f>IF(Table13[[#This Row],[Goal_assist]]="",1,0)</f>
        <v>1</v>
      </c>
    </row>
    <row r="1162" spans="1:15" x14ac:dyDescent="0.35">
      <c r="A1162" t="s">
        <v>14</v>
      </c>
      <c r="B1162" t="s">
        <v>319</v>
      </c>
      <c r="C1162" t="s">
        <v>321</v>
      </c>
      <c r="D1162">
        <v>19</v>
      </c>
      <c r="E1162" s="2">
        <v>43463</v>
      </c>
      <c r="F1162" t="s">
        <v>16</v>
      </c>
      <c r="G1162" t="s">
        <v>260</v>
      </c>
      <c r="H1162" t="s">
        <v>339</v>
      </c>
      <c r="I1162" s="3">
        <v>8.4027777777777785E-2</v>
      </c>
      <c r="J1162" t="s">
        <v>19</v>
      </c>
      <c r="K1162">
        <v>2</v>
      </c>
      <c r="L1162" s="3">
        <v>4.1666666666666664E-2</v>
      </c>
      <c r="M1162" t="s">
        <v>26</v>
      </c>
      <c r="N1162" t="s">
        <v>340</v>
      </c>
      <c r="O1162">
        <f>IF(Table13[[#This Row],[Goal_assist]]="",1,0)</f>
        <v>0</v>
      </c>
    </row>
    <row r="1163" spans="1:15" x14ac:dyDescent="0.35">
      <c r="A1163" t="s">
        <v>64</v>
      </c>
      <c r="B1163" t="s">
        <v>319</v>
      </c>
      <c r="C1163" t="s">
        <v>65</v>
      </c>
      <c r="D1163">
        <v>18</v>
      </c>
      <c r="E1163" s="2">
        <v>43471</v>
      </c>
      <c r="F1163" t="s">
        <v>24</v>
      </c>
      <c r="G1163" t="s">
        <v>66</v>
      </c>
      <c r="H1163" t="s">
        <v>117</v>
      </c>
      <c r="I1163" s="3">
        <v>4.3055555555555555E-2</v>
      </c>
      <c r="J1163" t="s">
        <v>275</v>
      </c>
      <c r="K1163">
        <v>20</v>
      </c>
      <c r="L1163" s="3">
        <v>6.9444444444444447E-4</v>
      </c>
      <c r="M1163" t="s">
        <v>31</v>
      </c>
      <c r="O1163">
        <f>IF(Table13[[#This Row],[Goal_assist]]="",1,0)</f>
        <v>1</v>
      </c>
    </row>
    <row r="1164" spans="1:15" x14ac:dyDescent="0.35">
      <c r="A1164" t="s">
        <v>64</v>
      </c>
      <c r="B1164" t="s">
        <v>319</v>
      </c>
      <c r="C1164" t="s">
        <v>65</v>
      </c>
      <c r="D1164">
        <v>19</v>
      </c>
      <c r="E1164" s="2">
        <v>43478</v>
      </c>
      <c r="F1164" t="s">
        <v>16</v>
      </c>
      <c r="G1164" t="s">
        <v>66</v>
      </c>
      <c r="H1164" t="s">
        <v>270</v>
      </c>
      <c r="I1164" s="3">
        <v>0.125</v>
      </c>
      <c r="J1164" t="s">
        <v>275</v>
      </c>
      <c r="K1164">
        <v>53</v>
      </c>
      <c r="L1164" s="3">
        <v>8.3333333333333329E-2</v>
      </c>
      <c r="M1164" t="s">
        <v>31</v>
      </c>
      <c r="N1164" t="s">
        <v>273</v>
      </c>
      <c r="O1164">
        <f>IF(Table13[[#This Row],[Goal_assist]]="",1,0)</f>
        <v>0</v>
      </c>
    </row>
    <row r="1165" spans="1:15" x14ac:dyDescent="0.35">
      <c r="A1165" t="s">
        <v>14</v>
      </c>
      <c r="B1165" t="s">
        <v>319</v>
      </c>
      <c r="C1165" t="s">
        <v>341</v>
      </c>
      <c r="D1165" t="s">
        <v>46</v>
      </c>
      <c r="E1165" s="2">
        <v>43481</v>
      </c>
      <c r="F1165" t="s">
        <v>16</v>
      </c>
      <c r="G1165" t="s">
        <v>260</v>
      </c>
      <c r="H1165" t="s">
        <v>118</v>
      </c>
      <c r="I1165" s="3">
        <v>4.1666666666666664E-2</v>
      </c>
      <c r="J1165" t="s">
        <v>19</v>
      </c>
      <c r="K1165">
        <v>61</v>
      </c>
      <c r="L1165" s="3">
        <v>4.1666666666666664E-2</v>
      </c>
      <c r="M1165" t="s">
        <v>22</v>
      </c>
      <c r="N1165" t="s">
        <v>334</v>
      </c>
      <c r="O1165">
        <f>IF(Table13[[#This Row],[Goal_assist]]="",1,0)</f>
        <v>0</v>
      </c>
    </row>
    <row r="1166" spans="1:15" x14ac:dyDescent="0.35">
      <c r="A1166" t="s">
        <v>64</v>
      </c>
      <c r="B1166" t="s">
        <v>319</v>
      </c>
      <c r="C1166" t="s">
        <v>91</v>
      </c>
      <c r="D1166" t="s">
        <v>143</v>
      </c>
      <c r="E1166" s="2">
        <v>43482</v>
      </c>
      <c r="F1166" t="s">
        <v>16</v>
      </c>
      <c r="G1166" t="s">
        <v>66</v>
      </c>
      <c r="H1166" t="s">
        <v>127</v>
      </c>
      <c r="I1166" s="3">
        <v>0.125</v>
      </c>
      <c r="J1166" t="s">
        <v>251</v>
      </c>
      <c r="K1166">
        <v>54</v>
      </c>
      <c r="L1166" s="3">
        <v>0.125</v>
      </c>
      <c r="M1166" t="s">
        <v>31</v>
      </c>
      <c r="N1166" t="s">
        <v>342</v>
      </c>
      <c r="O1166">
        <f>IF(Table13[[#This Row],[Goal_assist]]="",1,0)</f>
        <v>0</v>
      </c>
    </row>
    <row r="1167" spans="1:15" x14ac:dyDescent="0.35">
      <c r="A1167" t="s">
        <v>64</v>
      </c>
      <c r="B1167" t="s">
        <v>319</v>
      </c>
      <c r="C1167" t="s">
        <v>65</v>
      </c>
      <c r="D1167">
        <v>20</v>
      </c>
      <c r="E1167" s="2">
        <v>43485</v>
      </c>
      <c r="F1167" t="s">
        <v>16</v>
      </c>
      <c r="G1167" t="s">
        <v>66</v>
      </c>
      <c r="H1167" t="s">
        <v>294</v>
      </c>
      <c r="I1167" s="3">
        <v>0.12569444444444444</v>
      </c>
      <c r="J1167" t="s">
        <v>230</v>
      </c>
      <c r="K1167" t="s">
        <v>141</v>
      </c>
      <c r="L1167" s="3">
        <v>0.12569444444444444</v>
      </c>
      <c r="M1167" t="s">
        <v>26</v>
      </c>
      <c r="N1167" t="s">
        <v>243</v>
      </c>
      <c r="O1167">
        <f>IF(Table13[[#This Row],[Goal_assist]]="",1,0)</f>
        <v>0</v>
      </c>
    </row>
    <row r="1168" spans="1:15" x14ac:dyDescent="0.35">
      <c r="A1168" t="s">
        <v>64</v>
      </c>
      <c r="B1168" t="s">
        <v>319</v>
      </c>
      <c r="C1168" t="s">
        <v>65</v>
      </c>
      <c r="D1168">
        <v>21</v>
      </c>
      <c r="E1168" s="2">
        <v>43492</v>
      </c>
      <c r="F1168" t="s">
        <v>24</v>
      </c>
      <c r="G1168" t="s">
        <v>66</v>
      </c>
      <c r="H1168" t="s">
        <v>315</v>
      </c>
      <c r="I1168" s="3">
        <v>1.3888888888888889E-3</v>
      </c>
      <c r="J1168" t="s">
        <v>275</v>
      </c>
      <c r="K1168">
        <v>69</v>
      </c>
      <c r="L1168" s="3">
        <v>1.3888888888888889E-3</v>
      </c>
      <c r="M1168" t="s">
        <v>31</v>
      </c>
      <c r="N1168" t="s">
        <v>243</v>
      </c>
      <c r="O1168">
        <f>IF(Table13[[#This Row],[Goal_assist]]="",1,0)</f>
        <v>0</v>
      </c>
    </row>
    <row r="1169" spans="1:15" x14ac:dyDescent="0.35">
      <c r="A1169" t="s">
        <v>14</v>
      </c>
      <c r="B1169" t="s">
        <v>319</v>
      </c>
      <c r="C1169" t="s">
        <v>321</v>
      </c>
      <c r="D1169">
        <v>21</v>
      </c>
      <c r="E1169" s="2">
        <v>43492</v>
      </c>
      <c r="F1169" t="s">
        <v>24</v>
      </c>
      <c r="G1169" t="s">
        <v>260</v>
      </c>
      <c r="H1169" t="s">
        <v>343</v>
      </c>
      <c r="I1169" s="3">
        <v>4.3055555555555555E-2</v>
      </c>
      <c r="J1169" t="s">
        <v>19</v>
      </c>
      <c r="K1169">
        <v>88</v>
      </c>
      <c r="L1169" s="3">
        <v>4.3055555555555555E-2</v>
      </c>
      <c r="M1169" t="s">
        <v>83</v>
      </c>
      <c r="O1169">
        <f>IF(Table13[[#This Row],[Goal_assist]]="",1,0)</f>
        <v>1</v>
      </c>
    </row>
    <row r="1170" spans="1:15" x14ac:dyDescent="0.35">
      <c r="A1170" t="s">
        <v>64</v>
      </c>
      <c r="B1170" t="s">
        <v>319</v>
      </c>
      <c r="C1170" t="s">
        <v>91</v>
      </c>
      <c r="D1170" t="s">
        <v>92</v>
      </c>
      <c r="E1170" s="2">
        <v>43495</v>
      </c>
      <c r="F1170" t="s">
        <v>16</v>
      </c>
      <c r="G1170" t="s">
        <v>66</v>
      </c>
      <c r="H1170" t="s">
        <v>105</v>
      </c>
      <c r="I1170" s="3">
        <v>0.25069444444444444</v>
      </c>
      <c r="J1170" t="s">
        <v>275</v>
      </c>
      <c r="K1170" t="s">
        <v>141</v>
      </c>
      <c r="L1170" s="3">
        <v>0.25069444444444444</v>
      </c>
      <c r="M1170" t="s">
        <v>31</v>
      </c>
      <c r="N1170" t="s">
        <v>243</v>
      </c>
      <c r="O1170">
        <f>IF(Table13[[#This Row],[Goal_assist]]="",1,0)</f>
        <v>0</v>
      </c>
    </row>
    <row r="1171" spans="1:15" x14ac:dyDescent="0.35">
      <c r="A1171" t="s">
        <v>14</v>
      </c>
      <c r="B1171" t="s">
        <v>319</v>
      </c>
      <c r="C1171" t="s">
        <v>321</v>
      </c>
      <c r="D1171">
        <v>22</v>
      </c>
      <c r="E1171" s="2">
        <v>43498</v>
      </c>
      <c r="F1171" t="s">
        <v>16</v>
      </c>
      <c r="G1171" t="s">
        <v>260</v>
      </c>
      <c r="H1171" t="s">
        <v>344</v>
      </c>
      <c r="I1171" s="3">
        <v>0.12708333333333333</v>
      </c>
      <c r="J1171" t="s">
        <v>19</v>
      </c>
      <c r="K1171">
        <v>36</v>
      </c>
      <c r="L1171" s="3">
        <v>4.1666666666666664E-2</v>
      </c>
      <c r="M1171" t="s">
        <v>26</v>
      </c>
      <c r="N1171" t="s">
        <v>331</v>
      </c>
      <c r="O1171">
        <f>IF(Table13[[#This Row],[Goal_assist]]="",1,0)</f>
        <v>0</v>
      </c>
    </row>
    <row r="1172" spans="1:15" x14ac:dyDescent="0.35">
      <c r="A1172" t="s">
        <v>64</v>
      </c>
      <c r="B1172" t="s">
        <v>319</v>
      </c>
      <c r="C1172" t="s">
        <v>65</v>
      </c>
      <c r="D1172">
        <v>22</v>
      </c>
      <c r="E1172" s="2">
        <v>43498</v>
      </c>
      <c r="F1172" t="s">
        <v>16</v>
      </c>
      <c r="G1172" t="s">
        <v>66</v>
      </c>
      <c r="H1172" t="s">
        <v>148</v>
      </c>
      <c r="I1172" s="3">
        <v>8.4722222222222227E-2</v>
      </c>
      <c r="J1172" t="s">
        <v>275</v>
      </c>
      <c r="K1172">
        <v>39</v>
      </c>
      <c r="L1172" s="3">
        <v>4.3055555555555555E-2</v>
      </c>
      <c r="M1172" t="s">
        <v>83</v>
      </c>
      <c r="O1172">
        <f>IF(Table13[[#This Row],[Goal_assist]]="",1,0)</f>
        <v>1</v>
      </c>
    </row>
    <row r="1173" spans="1:15" x14ac:dyDescent="0.35">
      <c r="A1173" t="s">
        <v>64</v>
      </c>
      <c r="B1173" t="s">
        <v>319</v>
      </c>
      <c r="C1173" t="s">
        <v>65</v>
      </c>
      <c r="D1173">
        <v>22</v>
      </c>
      <c r="E1173" s="2">
        <v>43498</v>
      </c>
      <c r="F1173" t="s">
        <v>16</v>
      </c>
      <c r="G1173" t="s">
        <v>66</v>
      </c>
      <c r="H1173" t="s">
        <v>148</v>
      </c>
      <c r="I1173" s="3">
        <v>8.4722222222222227E-2</v>
      </c>
      <c r="J1173" t="s">
        <v>275</v>
      </c>
      <c r="K1173">
        <v>64</v>
      </c>
      <c r="L1173" s="3">
        <v>8.4722222222222227E-2</v>
      </c>
      <c r="M1173" t="s">
        <v>31</v>
      </c>
      <c r="N1173" t="s">
        <v>326</v>
      </c>
      <c r="O1173">
        <f>IF(Table13[[#This Row],[Goal_assist]]="",1,0)</f>
        <v>0</v>
      </c>
    </row>
    <row r="1174" spans="1:15" x14ac:dyDescent="0.35">
      <c r="A1174" t="s">
        <v>14</v>
      </c>
      <c r="B1174" t="s">
        <v>319</v>
      </c>
      <c r="C1174" t="s">
        <v>321</v>
      </c>
      <c r="D1174">
        <v>22</v>
      </c>
      <c r="E1174" s="2">
        <v>43498</v>
      </c>
      <c r="F1174" t="s">
        <v>16</v>
      </c>
      <c r="G1174" t="s">
        <v>260</v>
      </c>
      <c r="H1174" t="s">
        <v>344</v>
      </c>
      <c r="I1174" s="3">
        <v>0.12708333333333333</v>
      </c>
      <c r="J1174" t="s">
        <v>19</v>
      </c>
      <c r="K1174">
        <v>66</v>
      </c>
      <c r="L1174" s="3">
        <v>0.12569444444444444</v>
      </c>
      <c r="M1174" t="s">
        <v>22</v>
      </c>
      <c r="N1174" t="s">
        <v>328</v>
      </c>
      <c r="O1174">
        <f>IF(Table13[[#This Row],[Goal_assist]]="",1,0)</f>
        <v>0</v>
      </c>
    </row>
    <row r="1175" spans="1:15" x14ac:dyDescent="0.35">
      <c r="A1175" t="s">
        <v>14</v>
      </c>
      <c r="B1175" t="s">
        <v>319</v>
      </c>
      <c r="C1175" t="s">
        <v>321</v>
      </c>
      <c r="D1175">
        <v>23</v>
      </c>
      <c r="E1175" s="2">
        <v>43506</v>
      </c>
      <c r="F1175" t="s">
        <v>24</v>
      </c>
      <c r="G1175" t="s">
        <v>260</v>
      </c>
      <c r="H1175" t="s">
        <v>322</v>
      </c>
      <c r="I1175" s="3">
        <v>2.0833333333333333E-3</v>
      </c>
      <c r="J1175" t="s">
        <v>19</v>
      </c>
      <c r="K1175">
        <v>70</v>
      </c>
      <c r="L1175" s="3">
        <v>1.3888888888888889E-3</v>
      </c>
      <c r="M1175" t="s">
        <v>22</v>
      </c>
      <c r="N1175" t="s">
        <v>334</v>
      </c>
      <c r="O1175">
        <f>IF(Table13[[#This Row],[Goal_assist]]="",1,0)</f>
        <v>0</v>
      </c>
    </row>
    <row r="1176" spans="1:15" x14ac:dyDescent="0.35">
      <c r="A1176" t="s">
        <v>14</v>
      </c>
      <c r="B1176" t="s">
        <v>319</v>
      </c>
      <c r="C1176" t="s">
        <v>321</v>
      </c>
      <c r="D1176">
        <v>24</v>
      </c>
      <c r="E1176" s="2">
        <v>43511</v>
      </c>
      <c r="F1176" t="s">
        <v>16</v>
      </c>
      <c r="G1176" t="s">
        <v>260</v>
      </c>
      <c r="H1176" t="s">
        <v>325</v>
      </c>
      <c r="I1176" s="3">
        <v>0.125</v>
      </c>
      <c r="J1176" t="s">
        <v>19</v>
      </c>
      <c r="K1176">
        <v>63</v>
      </c>
      <c r="L1176" s="3">
        <v>0.125</v>
      </c>
      <c r="M1176" t="s">
        <v>26</v>
      </c>
      <c r="N1176" t="s">
        <v>328</v>
      </c>
      <c r="O1176">
        <f>IF(Table13[[#This Row],[Goal_assist]]="",1,0)</f>
        <v>0</v>
      </c>
    </row>
    <row r="1177" spans="1:15" x14ac:dyDescent="0.35">
      <c r="A1177" t="s">
        <v>64</v>
      </c>
      <c r="B1177" t="s">
        <v>319</v>
      </c>
      <c r="C1177" t="s">
        <v>65</v>
      </c>
      <c r="D1177">
        <v>24</v>
      </c>
      <c r="E1177" s="2">
        <v>43512</v>
      </c>
      <c r="F1177" t="s">
        <v>16</v>
      </c>
      <c r="G1177" t="s">
        <v>66</v>
      </c>
      <c r="H1177" t="s">
        <v>197</v>
      </c>
      <c r="I1177" s="3">
        <v>4.1666666666666664E-2</v>
      </c>
      <c r="J1177" t="s">
        <v>275</v>
      </c>
      <c r="K1177">
        <v>43</v>
      </c>
      <c r="L1177" s="3">
        <v>4.1666666666666664E-2</v>
      </c>
      <c r="M1177" t="s">
        <v>83</v>
      </c>
      <c r="O1177">
        <f>IF(Table13[[#This Row],[Goal_assist]]="",1,0)</f>
        <v>1</v>
      </c>
    </row>
    <row r="1178" spans="1:15" x14ac:dyDescent="0.35">
      <c r="A1178" t="s">
        <v>64</v>
      </c>
      <c r="B1178" t="s">
        <v>319</v>
      </c>
      <c r="C1178" t="s">
        <v>65</v>
      </c>
      <c r="D1178">
        <v>25</v>
      </c>
      <c r="E1178" s="2">
        <v>43519</v>
      </c>
      <c r="F1178" t="s">
        <v>24</v>
      </c>
      <c r="G1178" t="s">
        <v>66</v>
      </c>
      <c r="H1178" t="s">
        <v>105</v>
      </c>
      <c r="I1178" s="3">
        <v>8.611111111111111E-2</v>
      </c>
      <c r="J1178" t="s">
        <v>275</v>
      </c>
      <c r="K1178">
        <v>26</v>
      </c>
      <c r="L1178" s="3">
        <v>4.2361111111111113E-2</v>
      </c>
      <c r="M1178" t="s">
        <v>31</v>
      </c>
      <c r="N1178" t="s">
        <v>276</v>
      </c>
      <c r="O1178">
        <f>IF(Table13[[#This Row],[Goal_assist]]="",1,0)</f>
        <v>0</v>
      </c>
    </row>
    <row r="1179" spans="1:15" x14ac:dyDescent="0.35">
      <c r="A1179" t="s">
        <v>64</v>
      </c>
      <c r="B1179" t="s">
        <v>319</v>
      </c>
      <c r="C1179" t="s">
        <v>65</v>
      </c>
      <c r="D1179">
        <v>25</v>
      </c>
      <c r="E1179" s="2">
        <v>43519</v>
      </c>
      <c r="F1179" t="s">
        <v>24</v>
      </c>
      <c r="G1179" t="s">
        <v>66</v>
      </c>
      <c r="H1179" t="s">
        <v>105</v>
      </c>
      <c r="I1179" s="3">
        <v>8.611111111111111E-2</v>
      </c>
      <c r="J1179" t="s">
        <v>275</v>
      </c>
      <c r="K1179">
        <v>85</v>
      </c>
      <c r="L1179" s="3">
        <v>8.5416666666666669E-2</v>
      </c>
      <c r="M1179" t="s">
        <v>31</v>
      </c>
      <c r="O1179">
        <f>IF(Table13[[#This Row],[Goal_assist]]="",1,0)</f>
        <v>1</v>
      </c>
    </row>
    <row r="1180" spans="1:15" x14ac:dyDescent="0.35">
      <c r="A1180" t="s">
        <v>64</v>
      </c>
      <c r="B1180" t="s">
        <v>319</v>
      </c>
      <c r="C1180" t="s">
        <v>65</v>
      </c>
      <c r="D1180">
        <v>25</v>
      </c>
      <c r="E1180" s="2">
        <v>43519</v>
      </c>
      <c r="F1180" t="s">
        <v>24</v>
      </c>
      <c r="G1180" t="s">
        <v>66</v>
      </c>
      <c r="H1180" t="s">
        <v>105</v>
      </c>
      <c r="I1180" s="3">
        <v>8.611111111111111E-2</v>
      </c>
      <c r="J1180" t="s">
        <v>275</v>
      </c>
      <c r="K1180">
        <v>67</v>
      </c>
      <c r="L1180" s="3">
        <v>8.4722222222222227E-2</v>
      </c>
      <c r="M1180" t="s">
        <v>26</v>
      </c>
      <c r="N1180" t="s">
        <v>316</v>
      </c>
      <c r="O1180">
        <f>IF(Table13[[#This Row],[Goal_assist]]="",1,0)</f>
        <v>0</v>
      </c>
    </row>
    <row r="1181" spans="1:15" x14ac:dyDescent="0.35">
      <c r="A1181" t="s">
        <v>64</v>
      </c>
      <c r="B1181" t="s">
        <v>319</v>
      </c>
      <c r="C1181" t="s">
        <v>65</v>
      </c>
      <c r="D1181">
        <v>27</v>
      </c>
      <c r="E1181" s="2">
        <v>43533</v>
      </c>
      <c r="F1181" t="s">
        <v>16</v>
      </c>
      <c r="G1181" t="s">
        <v>66</v>
      </c>
      <c r="H1181" t="s">
        <v>225</v>
      </c>
      <c r="I1181" s="3">
        <v>0.12569444444444444</v>
      </c>
      <c r="J1181" t="s">
        <v>275</v>
      </c>
      <c r="K1181">
        <v>51</v>
      </c>
      <c r="L1181" s="3">
        <v>8.4027777777777785E-2</v>
      </c>
      <c r="M1181" t="s">
        <v>83</v>
      </c>
      <c r="O1181">
        <f>IF(Table13[[#This Row],[Goal_assist]]="",1,0)</f>
        <v>1</v>
      </c>
    </row>
    <row r="1182" spans="1:15" x14ac:dyDescent="0.35">
      <c r="A1182" t="s">
        <v>14</v>
      </c>
      <c r="B1182" t="s">
        <v>319</v>
      </c>
      <c r="C1182" t="s">
        <v>75</v>
      </c>
      <c r="D1182" t="s">
        <v>143</v>
      </c>
      <c r="E1182" s="2">
        <v>43536</v>
      </c>
      <c r="F1182" t="s">
        <v>16</v>
      </c>
      <c r="G1182" t="s">
        <v>260</v>
      </c>
      <c r="H1182" t="s">
        <v>119</v>
      </c>
      <c r="I1182" s="3">
        <v>0.125</v>
      </c>
      <c r="J1182" t="s">
        <v>68</v>
      </c>
      <c r="K1182">
        <v>27</v>
      </c>
      <c r="L1182" s="3">
        <v>4.1666666666666664E-2</v>
      </c>
      <c r="M1182" t="s">
        <v>22</v>
      </c>
      <c r="N1182" t="s">
        <v>345</v>
      </c>
      <c r="O1182">
        <f>IF(Table13[[#This Row],[Goal_assist]]="",1,0)</f>
        <v>0</v>
      </c>
    </row>
    <row r="1183" spans="1:15" x14ac:dyDescent="0.35">
      <c r="A1183" t="s">
        <v>14</v>
      </c>
      <c r="B1183" t="s">
        <v>319</v>
      </c>
      <c r="C1183" t="s">
        <v>75</v>
      </c>
      <c r="D1183" t="s">
        <v>143</v>
      </c>
      <c r="E1183" s="2">
        <v>43536</v>
      </c>
      <c r="F1183" t="s">
        <v>16</v>
      </c>
      <c r="G1183" t="s">
        <v>260</v>
      </c>
      <c r="H1183" t="s">
        <v>119</v>
      </c>
      <c r="I1183" s="3">
        <v>0.125</v>
      </c>
      <c r="J1183" t="s">
        <v>68</v>
      </c>
      <c r="K1183">
        <v>49</v>
      </c>
      <c r="L1183" s="3">
        <v>8.3333333333333329E-2</v>
      </c>
      <c r="M1183" t="s">
        <v>22</v>
      </c>
      <c r="N1183" t="s">
        <v>346</v>
      </c>
      <c r="O1183">
        <f>IF(Table13[[#This Row],[Goal_assist]]="",1,0)</f>
        <v>0</v>
      </c>
    </row>
    <row r="1184" spans="1:15" x14ac:dyDescent="0.35">
      <c r="A1184" t="s">
        <v>14</v>
      </c>
      <c r="B1184" t="s">
        <v>319</v>
      </c>
      <c r="C1184" t="s">
        <v>75</v>
      </c>
      <c r="D1184" t="s">
        <v>143</v>
      </c>
      <c r="E1184" s="2">
        <v>43536</v>
      </c>
      <c r="F1184" t="s">
        <v>16</v>
      </c>
      <c r="G1184" t="s">
        <v>260</v>
      </c>
      <c r="H1184" t="s">
        <v>119</v>
      </c>
      <c r="I1184" s="3">
        <v>0.125</v>
      </c>
      <c r="J1184" t="s">
        <v>68</v>
      </c>
      <c r="K1184">
        <v>86</v>
      </c>
      <c r="L1184" s="3">
        <v>0.125</v>
      </c>
      <c r="M1184" t="s">
        <v>83</v>
      </c>
      <c r="O1184">
        <f>IF(Table13[[#This Row],[Goal_assist]]="",1,0)</f>
        <v>1</v>
      </c>
    </row>
    <row r="1185" spans="1:15" x14ac:dyDescent="0.35">
      <c r="A1185" t="s">
        <v>64</v>
      </c>
      <c r="B1185" t="s">
        <v>319</v>
      </c>
      <c r="C1185" t="s">
        <v>75</v>
      </c>
      <c r="D1185" t="s">
        <v>143</v>
      </c>
      <c r="E1185" s="2">
        <v>43537</v>
      </c>
      <c r="F1185" t="s">
        <v>16</v>
      </c>
      <c r="G1185" t="s">
        <v>66</v>
      </c>
      <c r="H1185" t="s">
        <v>125</v>
      </c>
      <c r="I1185" s="3">
        <v>0.20902777777777778</v>
      </c>
      <c r="J1185" t="s">
        <v>275</v>
      </c>
      <c r="K1185">
        <v>18</v>
      </c>
      <c r="L1185" s="3">
        <v>4.1666666666666664E-2</v>
      </c>
      <c r="M1185" t="s">
        <v>83</v>
      </c>
      <c r="O1185">
        <f>IF(Table13[[#This Row],[Goal_assist]]="",1,0)</f>
        <v>1</v>
      </c>
    </row>
    <row r="1186" spans="1:15" x14ac:dyDescent="0.35">
      <c r="A1186" t="s">
        <v>64</v>
      </c>
      <c r="B1186" t="s">
        <v>319</v>
      </c>
      <c r="C1186" t="s">
        <v>75</v>
      </c>
      <c r="D1186" t="s">
        <v>143</v>
      </c>
      <c r="E1186" s="2">
        <v>43537</v>
      </c>
      <c r="F1186" t="s">
        <v>16</v>
      </c>
      <c r="G1186" t="s">
        <v>66</v>
      </c>
      <c r="H1186" t="s">
        <v>125</v>
      </c>
      <c r="I1186" s="3">
        <v>0.20902777777777778</v>
      </c>
      <c r="J1186" t="s">
        <v>275</v>
      </c>
      <c r="K1186">
        <v>78</v>
      </c>
      <c r="L1186" s="3">
        <v>0.12569444444444444</v>
      </c>
      <c r="M1186" t="s">
        <v>26</v>
      </c>
      <c r="N1186" t="s">
        <v>222</v>
      </c>
      <c r="O1186">
        <f>IF(Table13[[#This Row],[Goal_assist]]="",1,0)</f>
        <v>0</v>
      </c>
    </row>
    <row r="1187" spans="1:15" x14ac:dyDescent="0.35">
      <c r="A1187" t="s">
        <v>64</v>
      </c>
      <c r="B1187" t="s">
        <v>319</v>
      </c>
      <c r="C1187" t="s">
        <v>65</v>
      </c>
      <c r="D1187">
        <v>28</v>
      </c>
      <c r="E1187" s="2">
        <v>43541</v>
      </c>
      <c r="F1187" t="s">
        <v>24</v>
      </c>
      <c r="G1187" t="s">
        <v>66</v>
      </c>
      <c r="H1187" t="s">
        <v>95</v>
      </c>
      <c r="I1187" s="3">
        <v>4.4444444444444446E-2</v>
      </c>
      <c r="J1187" t="s">
        <v>311</v>
      </c>
      <c r="K1187">
        <v>85</v>
      </c>
      <c r="L1187" s="3">
        <v>4.4444444444444446E-2</v>
      </c>
      <c r="M1187" t="s">
        <v>31</v>
      </c>
      <c r="N1187" t="s">
        <v>276</v>
      </c>
      <c r="O1187">
        <f>IF(Table13[[#This Row],[Goal_assist]]="",1,0)</f>
        <v>0</v>
      </c>
    </row>
    <row r="1188" spans="1:15" x14ac:dyDescent="0.35">
      <c r="A1188" t="s">
        <v>64</v>
      </c>
      <c r="B1188" t="s">
        <v>319</v>
      </c>
      <c r="C1188" t="s">
        <v>65</v>
      </c>
      <c r="D1188">
        <v>28</v>
      </c>
      <c r="E1188" s="2">
        <v>43541</v>
      </c>
      <c r="F1188" t="s">
        <v>24</v>
      </c>
      <c r="G1188" t="s">
        <v>66</v>
      </c>
      <c r="H1188" t="s">
        <v>95</v>
      </c>
      <c r="I1188" s="3">
        <v>4.4444444444444446E-2</v>
      </c>
      <c r="J1188" t="s">
        <v>311</v>
      </c>
      <c r="K1188" t="s">
        <v>228</v>
      </c>
      <c r="L1188" s="3">
        <v>1.3888888888888889E-3</v>
      </c>
      <c r="M1188" t="s">
        <v>31</v>
      </c>
      <c r="N1188" t="s">
        <v>273</v>
      </c>
      <c r="O1188">
        <f>IF(Table13[[#This Row],[Goal_assist]]="",1,0)</f>
        <v>0</v>
      </c>
    </row>
    <row r="1189" spans="1:15" x14ac:dyDescent="0.35">
      <c r="A1189" t="s">
        <v>64</v>
      </c>
      <c r="B1189" t="s">
        <v>319</v>
      </c>
      <c r="C1189" t="s">
        <v>65</v>
      </c>
      <c r="D1189">
        <v>28</v>
      </c>
      <c r="E1189" s="2">
        <v>43541</v>
      </c>
      <c r="F1189" t="s">
        <v>24</v>
      </c>
      <c r="G1189" t="s">
        <v>66</v>
      </c>
      <c r="H1189" t="s">
        <v>95</v>
      </c>
      <c r="I1189" s="3">
        <v>4.4444444444444446E-2</v>
      </c>
      <c r="J1189" t="s">
        <v>311</v>
      </c>
      <c r="K1189">
        <v>18</v>
      </c>
      <c r="L1189" s="3">
        <v>6.9444444444444447E-4</v>
      </c>
      <c r="M1189" t="s">
        <v>39</v>
      </c>
      <c r="O1189">
        <f>IF(Table13[[#This Row],[Goal_assist]]="",1,0)</f>
        <v>1</v>
      </c>
    </row>
    <row r="1190" spans="1:15" x14ac:dyDescent="0.35">
      <c r="A1190" t="s">
        <v>64</v>
      </c>
      <c r="B1190" t="s">
        <v>319</v>
      </c>
      <c r="C1190" t="s">
        <v>65</v>
      </c>
      <c r="D1190">
        <v>29</v>
      </c>
      <c r="E1190" s="2">
        <v>43554</v>
      </c>
      <c r="F1190" t="s">
        <v>16</v>
      </c>
      <c r="G1190" t="s">
        <v>66</v>
      </c>
      <c r="H1190" t="s">
        <v>121</v>
      </c>
      <c r="I1190" s="3">
        <v>8.3333333333333329E-2</v>
      </c>
      <c r="J1190" t="s">
        <v>275</v>
      </c>
      <c r="K1190">
        <v>89</v>
      </c>
      <c r="L1190" s="3">
        <v>8.3333333333333329E-2</v>
      </c>
      <c r="M1190" t="s">
        <v>31</v>
      </c>
      <c r="N1190" t="s">
        <v>347</v>
      </c>
      <c r="O1190">
        <f>IF(Table13[[#This Row],[Goal_assist]]="",1,0)</f>
        <v>0</v>
      </c>
    </row>
    <row r="1191" spans="1:15" x14ac:dyDescent="0.35">
      <c r="A1191" t="s">
        <v>64</v>
      </c>
      <c r="B1191" t="s">
        <v>319</v>
      </c>
      <c r="C1191" t="s">
        <v>65</v>
      </c>
      <c r="D1191">
        <v>29</v>
      </c>
      <c r="E1191" s="2">
        <v>43554</v>
      </c>
      <c r="F1191" t="s">
        <v>16</v>
      </c>
      <c r="G1191" t="s">
        <v>66</v>
      </c>
      <c r="H1191" t="s">
        <v>121</v>
      </c>
      <c r="I1191" s="3">
        <v>8.3333333333333329E-2</v>
      </c>
      <c r="J1191" t="s">
        <v>275</v>
      </c>
      <c r="K1191">
        <v>71</v>
      </c>
      <c r="L1191" s="3">
        <v>4.1666666666666664E-2</v>
      </c>
      <c r="M1191" t="s">
        <v>39</v>
      </c>
      <c r="O1191">
        <f>IF(Table13[[#This Row],[Goal_assist]]="",1,0)</f>
        <v>1</v>
      </c>
    </row>
    <row r="1192" spans="1:15" x14ac:dyDescent="0.35">
      <c r="A1192" t="s">
        <v>64</v>
      </c>
      <c r="B1192" t="s">
        <v>319</v>
      </c>
      <c r="C1192" t="s">
        <v>65</v>
      </c>
      <c r="D1192">
        <v>30</v>
      </c>
      <c r="E1192" s="2">
        <v>43557</v>
      </c>
      <c r="F1192" t="s">
        <v>24</v>
      </c>
      <c r="G1192" t="s">
        <v>66</v>
      </c>
      <c r="H1192" t="s">
        <v>180</v>
      </c>
      <c r="I1192" s="3">
        <v>0.16944444444444445</v>
      </c>
      <c r="J1192" t="s">
        <v>38</v>
      </c>
      <c r="K1192">
        <v>90</v>
      </c>
      <c r="L1192" s="3">
        <v>0.16875000000000001</v>
      </c>
      <c r="M1192" t="s">
        <v>39</v>
      </c>
      <c r="O1192">
        <f>IF(Table13[[#This Row],[Goal_assist]]="",1,0)</f>
        <v>1</v>
      </c>
    </row>
    <row r="1193" spans="1:15" x14ac:dyDescent="0.35">
      <c r="A1193" t="s">
        <v>64</v>
      </c>
      <c r="B1193" t="s">
        <v>319</v>
      </c>
      <c r="C1193" t="s">
        <v>65</v>
      </c>
      <c r="D1193">
        <v>31</v>
      </c>
      <c r="E1193" s="2">
        <v>43561</v>
      </c>
      <c r="F1193" t="s">
        <v>16</v>
      </c>
      <c r="G1193" t="s">
        <v>66</v>
      </c>
      <c r="H1193" t="s">
        <v>119</v>
      </c>
      <c r="I1193" s="3">
        <v>8.3333333333333329E-2</v>
      </c>
      <c r="J1193" t="s">
        <v>311</v>
      </c>
      <c r="K1193">
        <v>87</v>
      </c>
      <c r="L1193" s="3">
        <v>8.3333333333333329E-2</v>
      </c>
      <c r="M1193" t="s">
        <v>31</v>
      </c>
      <c r="O1193">
        <f>IF(Table13[[#This Row],[Goal_assist]]="",1,0)</f>
        <v>1</v>
      </c>
    </row>
    <row r="1194" spans="1:15" x14ac:dyDescent="0.35">
      <c r="A1194" t="s">
        <v>14</v>
      </c>
      <c r="B1194" t="s">
        <v>319</v>
      </c>
      <c r="C1194" t="s">
        <v>75</v>
      </c>
      <c r="D1194" t="s">
        <v>92</v>
      </c>
      <c r="E1194" s="2">
        <v>43565</v>
      </c>
      <c r="F1194" t="s">
        <v>24</v>
      </c>
      <c r="G1194" t="s">
        <v>260</v>
      </c>
      <c r="H1194" t="s">
        <v>214</v>
      </c>
      <c r="I1194" s="3">
        <v>4.2361111111111113E-2</v>
      </c>
      <c r="J1194" t="s">
        <v>19</v>
      </c>
      <c r="K1194">
        <v>45</v>
      </c>
      <c r="L1194" s="3">
        <v>6.9444444444444447E-4</v>
      </c>
      <c r="M1194" t="s">
        <v>22</v>
      </c>
      <c r="N1194" t="s">
        <v>346</v>
      </c>
      <c r="O1194">
        <f>IF(Table13[[#This Row],[Goal_assist]]="",1,0)</f>
        <v>0</v>
      </c>
    </row>
    <row r="1195" spans="1:15" x14ac:dyDescent="0.35">
      <c r="A1195" t="s">
        <v>64</v>
      </c>
      <c r="B1195" t="s">
        <v>319</v>
      </c>
      <c r="C1195" t="s">
        <v>75</v>
      </c>
      <c r="D1195" t="s">
        <v>92</v>
      </c>
      <c r="E1195" s="2">
        <v>43571</v>
      </c>
      <c r="F1195" t="s">
        <v>16</v>
      </c>
      <c r="G1195" t="s">
        <v>66</v>
      </c>
      <c r="H1195" t="s">
        <v>36</v>
      </c>
      <c r="I1195" s="3">
        <v>0.125</v>
      </c>
      <c r="J1195" t="s">
        <v>275</v>
      </c>
      <c r="K1195">
        <v>20</v>
      </c>
      <c r="L1195" s="3">
        <v>8.3333333333333329E-2</v>
      </c>
      <c r="M1195" t="s">
        <v>26</v>
      </c>
      <c r="O1195">
        <f>IF(Table13[[#This Row],[Goal_assist]]="",1,0)</f>
        <v>1</v>
      </c>
    </row>
    <row r="1196" spans="1:15" x14ac:dyDescent="0.35">
      <c r="A1196" t="s">
        <v>64</v>
      </c>
      <c r="B1196" t="s">
        <v>319</v>
      </c>
      <c r="C1196" t="s">
        <v>75</v>
      </c>
      <c r="D1196" t="s">
        <v>92</v>
      </c>
      <c r="E1196" s="2">
        <v>43571</v>
      </c>
      <c r="F1196" t="s">
        <v>16</v>
      </c>
      <c r="G1196" t="s">
        <v>66</v>
      </c>
      <c r="H1196" t="s">
        <v>36</v>
      </c>
      <c r="I1196" s="3">
        <v>0.125</v>
      </c>
      <c r="J1196" t="s">
        <v>275</v>
      </c>
      <c r="K1196">
        <v>16</v>
      </c>
      <c r="L1196" s="3">
        <v>4.1666666666666664E-2</v>
      </c>
      <c r="M1196" t="s">
        <v>31</v>
      </c>
      <c r="O1196">
        <f>IF(Table13[[#This Row],[Goal_assist]]="",1,0)</f>
        <v>1</v>
      </c>
    </row>
    <row r="1197" spans="1:15" x14ac:dyDescent="0.35">
      <c r="A1197" t="s">
        <v>14</v>
      </c>
      <c r="B1197" t="s">
        <v>319</v>
      </c>
      <c r="C1197" t="s">
        <v>75</v>
      </c>
      <c r="D1197" t="s">
        <v>92</v>
      </c>
      <c r="E1197" s="2">
        <v>43571</v>
      </c>
      <c r="F1197" t="s">
        <v>16</v>
      </c>
      <c r="G1197" t="s">
        <v>260</v>
      </c>
      <c r="H1197" t="s">
        <v>214</v>
      </c>
      <c r="I1197" s="3">
        <v>4.3055555555555555E-2</v>
      </c>
      <c r="J1197" t="s">
        <v>19</v>
      </c>
      <c r="K1197">
        <v>28</v>
      </c>
      <c r="L1197" s="3">
        <v>4.1666666666666664E-2</v>
      </c>
      <c r="M1197" t="s">
        <v>22</v>
      </c>
      <c r="N1197" t="s">
        <v>334</v>
      </c>
      <c r="O1197">
        <f>IF(Table13[[#This Row],[Goal_assist]]="",1,0)</f>
        <v>0</v>
      </c>
    </row>
    <row r="1198" spans="1:15" x14ac:dyDescent="0.35">
      <c r="A1198" t="s">
        <v>14</v>
      </c>
      <c r="B1198" t="s">
        <v>319</v>
      </c>
      <c r="C1198" t="s">
        <v>321</v>
      </c>
      <c r="D1198">
        <v>34</v>
      </c>
      <c r="E1198" s="2">
        <v>43582</v>
      </c>
      <c r="F1198" t="s">
        <v>24</v>
      </c>
      <c r="G1198" t="s">
        <v>260</v>
      </c>
      <c r="H1198" t="s">
        <v>348</v>
      </c>
      <c r="I1198" s="3">
        <v>4.2361111111111113E-2</v>
      </c>
      <c r="J1198" t="s">
        <v>68</v>
      </c>
      <c r="K1198">
        <v>62</v>
      </c>
      <c r="L1198" s="3">
        <v>4.2361111111111113E-2</v>
      </c>
      <c r="M1198" t="s">
        <v>31</v>
      </c>
      <c r="N1198" t="s">
        <v>334</v>
      </c>
      <c r="O1198">
        <f>IF(Table13[[#This Row],[Goal_assist]]="",1,0)</f>
        <v>0</v>
      </c>
    </row>
    <row r="1199" spans="1:15" x14ac:dyDescent="0.35">
      <c r="A1199" t="s">
        <v>64</v>
      </c>
      <c r="B1199" t="s">
        <v>319</v>
      </c>
      <c r="C1199" t="s">
        <v>65</v>
      </c>
      <c r="D1199">
        <v>35</v>
      </c>
      <c r="E1199" s="2">
        <v>43582</v>
      </c>
      <c r="F1199" t="s">
        <v>16</v>
      </c>
      <c r="G1199" t="s">
        <v>66</v>
      </c>
      <c r="H1199" t="s">
        <v>127</v>
      </c>
      <c r="I1199" s="3">
        <v>4.1666666666666664E-2</v>
      </c>
      <c r="J1199" t="s">
        <v>38</v>
      </c>
      <c r="K1199">
        <v>62</v>
      </c>
      <c r="L1199" s="3">
        <v>4.1666666666666664E-2</v>
      </c>
      <c r="M1199" t="s">
        <v>31</v>
      </c>
      <c r="N1199" t="s">
        <v>326</v>
      </c>
      <c r="O1199">
        <f>IF(Table13[[#This Row],[Goal_assist]]="",1,0)</f>
        <v>0</v>
      </c>
    </row>
    <row r="1200" spans="1:15" x14ac:dyDescent="0.35">
      <c r="A1200" t="s">
        <v>64</v>
      </c>
      <c r="B1200" t="s">
        <v>319</v>
      </c>
      <c r="C1200" t="s">
        <v>75</v>
      </c>
      <c r="D1200" t="s">
        <v>62</v>
      </c>
      <c r="E1200" s="2">
        <v>43586</v>
      </c>
      <c r="F1200" t="s">
        <v>16</v>
      </c>
      <c r="G1200" t="s">
        <v>66</v>
      </c>
      <c r="H1200" t="s">
        <v>145</v>
      </c>
      <c r="I1200" s="3">
        <v>0.125</v>
      </c>
      <c r="J1200" t="s">
        <v>275</v>
      </c>
      <c r="K1200">
        <v>82</v>
      </c>
      <c r="L1200" s="3">
        <v>0.125</v>
      </c>
      <c r="M1200" t="s">
        <v>39</v>
      </c>
      <c r="O1200">
        <f>IF(Table13[[#This Row],[Goal_assist]]="",1,0)</f>
        <v>1</v>
      </c>
    </row>
    <row r="1201" spans="1:15" x14ac:dyDescent="0.35">
      <c r="A1201" t="s">
        <v>64</v>
      </c>
      <c r="B1201" t="s">
        <v>319</v>
      </c>
      <c r="C1201" t="s">
        <v>75</v>
      </c>
      <c r="D1201" t="s">
        <v>62</v>
      </c>
      <c r="E1201" s="2">
        <v>43586</v>
      </c>
      <c r="F1201" t="s">
        <v>16</v>
      </c>
      <c r="G1201" t="s">
        <v>66</v>
      </c>
      <c r="H1201" t="s">
        <v>145</v>
      </c>
      <c r="I1201" s="3">
        <v>0.125</v>
      </c>
      <c r="J1201" t="s">
        <v>275</v>
      </c>
      <c r="K1201">
        <v>75</v>
      </c>
      <c r="L1201" s="3">
        <v>8.3333333333333329E-2</v>
      </c>
      <c r="M1201" t="s">
        <v>31</v>
      </c>
      <c r="N1201" t="s">
        <v>273</v>
      </c>
      <c r="O1201">
        <f>IF(Table13[[#This Row],[Goal_assist]]="",1,0)</f>
        <v>0</v>
      </c>
    </row>
    <row r="1202" spans="1:15" x14ac:dyDescent="0.35">
      <c r="A1202" t="s">
        <v>14</v>
      </c>
      <c r="B1202" t="s">
        <v>319</v>
      </c>
      <c r="C1202" t="s">
        <v>321</v>
      </c>
      <c r="D1202">
        <v>35</v>
      </c>
      <c r="E1202" s="2">
        <v>43588</v>
      </c>
      <c r="F1202" t="s">
        <v>16</v>
      </c>
      <c r="G1202" t="s">
        <v>260</v>
      </c>
      <c r="H1202" t="s">
        <v>336</v>
      </c>
      <c r="I1202" s="3">
        <v>4.2361111111111113E-2</v>
      </c>
      <c r="J1202" t="s">
        <v>68</v>
      </c>
      <c r="K1202">
        <v>84</v>
      </c>
      <c r="L1202" s="3">
        <v>4.2361111111111113E-2</v>
      </c>
      <c r="M1202" t="s">
        <v>22</v>
      </c>
      <c r="N1202" t="s">
        <v>349</v>
      </c>
      <c r="O1202">
        <f>IF(Table13[[#This Row],[Goal_assist]]="",1,0)</f>
        <v>0</v>
      </c>
    </row>
    <row r="1203" spans="1:15" x14ac:dyDescent="0.35">
      <c r="A1203" t="s">
        <v>64</v>
      </c>
      <c r="B1203" t="s">
        <v>319</v>
      </c>
      <c r="C1203" t="s">
        <v>65</v>
      </c>
      <c r="D1203">
        <v>38</v>
      </c>
      <c r="E1203" s="2">
        <v>43604</v>
      </c>
      <c r="F1203" t="s">
        <v>24</v>
      </c>
      <c r="G1203" t="s">
        <v>66</v>
      </c>
      <c r="H1203" t="s">
        <v>270</v>
      </c>
      <c r="I1203" s="3">
        <v>8.4722222222222227E-2</v>
      </c>
      <c r="J1203" t="s">
        <v>251</v>
      </c>
      <c r="K1203">
        <v>31</v>
      </c>
      <c r="L1203" s="3">
        <v>4.2361111111111113E-2</v>
      </c>
      <c r="M1203" t="s">
        <v>31</v>
      </c>
      <c r="N1203" t="s">
        <v>326</v>
      </c>
      <c r="O1203">
        <f>IF(Table13[[#This Row],[Goal_assist]]="",1,0)</f>
        <v>0</v>
      </c>
    </row>
    <row r="1204" spans="1:15" x14ac:dyDescent="0.35">
      <c r="A1204" t="s">
        <v>64</v>
      </c>
      <c r="B1204" t="s">
        <v>319</v>
      </c>
      <c r="C1204" t="s">
        <v>65</v>
      </c>
      <c r="D1204">
        <v>38</v>
      </c>
      <c r="E1204" s="2">
        <v>43604</v>
      </c>
      <c r="F1204" t="s">
        <v>24</v>
      </c>
      <c r="G1204" t="s">
        <v>66</v>
      </c>
      <c r="H1204" t="s">
        <v>270</v>
      </c>
      <c r="I1204" s="3">
        <v>8.4722222222222227E-2</v>
      </c>
      <c r="J1204" t="s">
        <v>251</v>
      </c>
      <c r="K1204">
        <v>32</v>
      </c>
      <c r="L1204" s="3">
        <v>4.3055555555555555E-2</v>
      </c>
      <c r="M1204" t="s">
        <v>31</v>
      </c>
      <c r="N1204" t="s">
        <v>276</v>
      </c>
      <c r="O1204">
        <f>IF(Table13[[#This Row],[Goal_assist]]="",1,0)</f>
        <v>0</v>
      </c>
    </row>
    <row r="1205" spans="1:15" x14ac:dyDescent="0.35">
      <c r="A1205" t="s">
        <v>64</v>
      </c>
      <c r="B1205" t="s">
        <v>319</v>
      </c>
      <c r="C1205" t="s">
        <v>91</v>
      </c>
      <c r="D1205" t="s">
        <v>46</v>
      </c>
      <c r="E1205" s="2">
        <v>43610</v>
      </c>
      <c r="F1205" t="s">
        <v>16</v>
      </c>
      <c r="G1205" t="s">
        <v>66</v>
      </c>
      <c r="H1205" t="s">
        <v>148</v>
      </c>
      <c r="I1205" s="3">
        <v>4.3055555555555555E-2</v>
      </c>
      <c r="J1205" t="s">
        <v>251</v>
      </c>
      <c r="K1205">
        <v>73</v>
      </c>
      <c r="L1205" s="3">
        <v>4.3055555555555555E-2</v>
      </c>
      <c r="M1205" t="s">
        <v>31</v>
      </c>
      <c r="N1205" t="s">
        <v>350</v>
      </c>
      <c r="O1205">
        <f>IF(Table13[[#This Row],[Goal_assist]]="",1,0)</f>
        <v>0</v>
      </c>
    </row>
    <row r="1206" spans="1:15" x14ac:dyDescent="0.35">
      <c r="A1206" t="s">
        <v>14</v>
      </c>
      <c r="B1206" t="s">
        <v>351</v>
      </c>
      <c r="C1206" t="s">
        <v>321</v>
      </c>
      <c r="D1206">
        <v>2</v>
      </c>
      <c r="E1206" s="2">
        <v>43708</v>
      </c>
      <c r="F1206" t="s">
        <v>16</v>
      </c>
      <c r="G1206" t="s">
        <v>260</v>
      </c>
      <c r="H1206" t="s">
        <v>352</v>
      </c>
      <c r="I1206" s="3">
        <v>0.16875000000000001</v>
      </c>
      <c r="J1206" t="s">
        <v>19</v>
      </c>
      <c r="K1206">
        <v>62</v>
      </c>
      <c r="L1206" s="3">
        <v>0.125</v>
      </c>
      <c r="M1206" t="s">
        <v>31</v>
      </c>
      <c r="N1206" t="s">
        <v>353</v>
      </c>
      <c r="O1206">
        <f>IF(Table13[[#This Row],[Goal_assist]]="",1,0)</f>
        <v>0</v>
      </c>
    </row>
    <row r="1207" spans="1:15" x14ac:dyDescent="0.35">
      <c r="A1207" t="s">
        <v>14</v>
      </c>
      <c r="B1207" t="s">
        <v>351</v>
      </c>
      <c r="C1207" t="s">
        <v>321</v>
      </c>
      <c r="D1207">
        <v>4</v>
      </c>
      <c r="E1207" s="2">
        <v>43729</v>
      </c>
      <c r="F1207" t="s">
        <v>16</v>
      </c>
      <c r="G1207" t="s">
        <v>260</v>
      </c>
      <c r="H1207" t="s">
        <v>354</v>
      </c>
      <c r="I1207" s="3">
        <v>8.4027777777777785E-2</v>
      </c>
      <c r="J1207" t="s">
        <v>19</v>
      </c>
      <c r="K1207">
        <v>49</v>
      </c>
      <c r="L1207" s="3">
        <v>8.4027777777777785E-2</v>
      </c>
      <c r="M1207" t="s">
        <v>83</v>
      </c>
      <c r="O1207">
        <f>IF(Table13[[#This Row],[Goal_assist]]="",1,0)</f>
        <v>1</v>
      </c>
    </row>
    <row r="1208" spans="1:15" x14ac:dyDescent="0.35">
      <c r="A1208" t="s">
        <v>14</v>
      </c>
      <c r="B1208" t="s">
        <v>351</v>
      </c>
      <c r="C1208" t="s">
        <v>321</v>
      </c>
      <c r="D1208">
        <v>6</v>
      </c>
      <c r="E1208" s="2">
        <v>43736</v>
      </c>
      <c r="F1208" t="s">
        <v>16</v>
      </c>
      <c r="G1208" t="s">
        <v>260</v>
      </c>
      <c r="H1208" t="s">
        <v>333</v>
      </c>
      <c r="I1208" s="3">
        <v>8.3333333333333329E-2</v>
      </c>
      <c r="J1208" t="s">
        <v>68</v>
      </c>
      <c r="K1208">
        <v>78</v>
      </c>
      <c r="L1208" s="3">
        <v>8.3333333333333329E-2</v>
      </c>
      <c r="M1208" t="s">
        <v>22</v>
      </c>
      <c r="N1208" t="s">
        <v>340</v>
      </c>
      <c r="O1208">
        <f>IF(Table13[[#This Row],[Goal_assist]]="",1,0)</f>
        <v>0</v>
      </c>
    </row>
    <row r="1209" spans="1:15" x14ac:dyDescent="0.35">
      <c r="A1209" t="s">
        <v>14</v>
      </c>
      <c r="B1209" t="s">
        <v>351</v>
      </c>
      <c r="C1209" t="s">
        <v>75</v>
      </c>
      <c r="D1209" t="s">
        <v>76</v>
      </c>
      <c r="E1209" s="2">
        <v>43739</v>
      </c>
      <c r="F1209" t="s">
        <v>16</v>
      </c>
      <c r="G1209" t="s">
        <v>260</v>
      </c>
      <c r="H1209" t="s">
        <v>236</v>
      </c>
      <c r="I1209" s="3">
        <v>0.125</v>
      </c>
      <c r="J1209" t="s">
        <v>68</v>
      </c>
      <c r="K1209">
        <v>89</v>
      </c>
      <c r="L1209" s="3">
        <v>0.125</v>
      </c>
      <c r="M1209" t="s">
        <v>26</v>
      </c>
      <c r="N1209" t="s">
        <v>340</v>
      </c>
      <c r="O1209">
        <f>IF(Table13[[#This Row],[Goal_assist]]="",1,0)</f>
        <v>0</v>
      </c>
    </row>
    <row r="1210" spans="1:15" x14ac:dyDescent="0.35">
      <c r="A1210" t="s">
        <v>64</v>
      </c>
      <c r="B1210" t="s">
        <v>351</v>
      </c>
      <c r="C1210" t="s">
        <v>65</v>
      </c>
      <c r="D1210">
        <v>8</v>
      </c>
      <c r="E1210" s="2">
        <v>43744</v>
      </c>
      <c r="F1210" t="s">
        <v>16</v>
      </c>
      <c r="G1210" t="s">
        <v>66</v>
      </c>
      <c r="H1210" t="s">
        <v>105</v>
      </c>
      <c r="I1210" s="3">
        <v>0.16666666666666666</v>
      </c>
      <c r="J1210" t="s">
        <v>275</v>
      </c>
      <c r="K1210">
        <v>78</v>
      </c>
      <c r="L1210" s="3">
        <v>0.16666666666666666</v>
      </c>
      <c r="M1210" t="s">
        <v>39</v>
      </c>
      <c r="O1210">
        <f>IF(Table13[[#This Row],[Goal_assist]]="",1,0)</f>
        <v>1</v>
      </c>
    </row>
    <row r="1211" spans="1:15" x14ac:dyDescent="0.35">
      <c r="A1211" t="s">
        <v>64</v>
      </c>
      <c r="B1211" t="s">
        <v>351</v>
      </c>
      <c r="C1211" t="s">
        <v>65</v>
      </c>
      <c r="D1211">
        <v>9</v>
      </c>
      <c r="E1211" s="2">
        <v>43757</v>
      </c>
      <c r="F1211" t="s">
        <v>24</v>
      </c>
      <c r="G1211" t="s">
        <v>66</v>
      </c>
      <c r="H1211" t="s">
        <v>270</v>
      </c>
      <c r="I1211" s="3">
        <v>2.0833333333333333E-3</v>
      </c>
      <c r="J1211" t="s">
        <v>275</v>
      </c>
      <c r="K1211">
        <v>58</v>
      </c>
      <c r="L1211" s="3">
        <v>1.3888888888888889E-3</v>
      </c>
      <c r="M1211" t="s">
        <v>31</v>
      </c>
      <c r="N1211" t="s">
        <v>355</v>
      </c>
      <c r="O1211">
        <f>IF(Table13[[#This Row],[Goal_assist]]="",1,0)</f>
        <v>0</v>
      </c>
    </row>
    <row r="1212" spans="1:15" x14ac:dyDescent="0.35">
      <c r="A1212" t="s">
        <v>14</v>
      </c>
      <c r="B1212" t="s">
        <v>351</v>
      </c>
      <c r="C1212" t="s">
        <v>321</v>
      </c>
      <c r="D1212">
        <v>8</v>
      </c>
      <c r="E1212" s="2">
        <v>43757</v>
      </c>
      <c r="F1212" t="s">
        <v>16</v>
      </c>
      <c r="G1212" t="s">
        <v>260</v>
      </c>
      <c r="H1212" t="s">
        <v>356</v>
      </c>
      <c r="I1212" s="3">
        <v>8.4027777777777785E-2</v>
      </c>
      <c r="J1212" t="s">
        <v>68</v>
      </c>
      <c r="K1212">
        <v>19</v>
      </c>
      <c r="L1212" s="3">
        <v>4.1666666666666664E-2</v>
      </c>
      <c r="M1212" t="s">
        <v>26</v>
      </c>
      <c r="O1212">
        <f>IF(Table13[[#This Row],[Goal_assist]]="",1,0)</f>
        <v>1</v>
      </c>
    </row>
    <row r="1213" spans="1:15" x14ac:dyDescent="0.35">
      <c r="A1213" t="s">
        <v>64</v>
      </c>
      <c r="B1213" t="s">
        <v>351</v>
      </c>
      <c r="C1213" t="s">
        <v>75</v>
      </c>
      <c r="D1213" t="s">
        <v>76</v>
      </c>
      <c r="E1213" s="2">
        <v>43761</v>
      </c>
      <c r="F1213" t="s">
        <v>24</v>
      </c>
      <c r="G1213" t="s">
        <v>66</v>
      </c>
      <c r="H1213" t="s">
        <v>357</v>
      </c>
      <c r="I1213" s="3">
        <v>4.3055555555555555E-2</v>
      </c>
      <c r="J1213" t="s">
        <v>275</v>
      </c>
      <c r="K1213">
        <v>3</v>
      </c>
      <c r="L1213" s="3">
        <v>6.9444444444444447E-4</v>
      </c>
      <c r="M1213" t="s">
        <v>31</v>
      </c>
      <c r="N1213" t="s">
        <v>358</v>
      </c>
      <c r="O1213">
        <f>IF(Table13[[#This Row],[Goal_assist]]="",1,0)</f>
        <v>0</v>
      </c>
    </row>
    <row r="1214" spans="1:15" x14ac:dyDescent="0.35">
      <c r="A1214" t="s">
        <v>64</v>
      </c>
      <c r="B1214" t="s">
        <v>351</v>
      </c>
      <c r="C1214" t="s">
        <v>65</v>
      </c>
      <c r="D1214">
        <v>11</v>
      </c>
      <c r="E1214" s="2">
        <v>43767</v>
      </c>
      <c r="F1214" t="s">
        <v>16</v>
      </c>
      <c r="G1214" t="s">
        <v>66</v>
      </c>
      <c r="H1214" t="s">
        <v>197</v>
      </c>
      <c r="I1214" s="3">
        <v>0.20902777777777778</v>
      </c>
      <c r="J1214" t="s">
        <v>275</v>
      </c>
      <c r="K1214">
        <v>75</v>
      </c>
      <c r="L1214" s="3">
        <v>0.1673611111111111</v>
      </c>
      <c r="M1214" t="s">
        <v>31</v>
      </c>
      <c r="N1214" t="s">
        <v>276</v>
      </c>
      <c r="O1214">
        <f>IF(Table13[[#This Row],[Goal_assist]]="",1,0)</f>
        <v>0</v>
      </c>
    </row>
    <row r="1215" spans="1:15" x14ac:dyDescent="0.35">
      <c r="A1215" t="s">
        <v>64</v>
      </c>
      <c r="B1215" t="s">
        <v>351</v>
      </c>
      <c r="C1215" t="s">
        <v>65</v>
      </c>
      <c r="D1215">
        <v>11</v>
      </c>
      <c r="E1215" s="2">
        <v>43767</v>
      </c>
      <c r="F1215" t="s">
        <v>16</v>
      </c>
      <c r="G1215" t="s">
        <v>66</v>
      </c>
      <c r="H1215" t="s">
        <v>197</v>
      </c>
      <c r="I1215" s="3">
        <v>0.20902777777777778</v>
      </c>
      <c r="J1215" t="s">
        <v>275</v>
      </c>
      <c r="K1215">
        <v>34</v>
      </c>
      <c r="L1215" s="3">
        <v>0.12569444444444444</v>
      </c>
      <c r="M1215" t="s">
        <v>39</v>
      </c>
      <c r="O1215">
        <f>IF(Table13[[#This Row],[Goal_assist]]="",1,0)</f>
        <v>1</v>
      </c>
    </row>
    <row r="1216" spans="1:15" x14ac:dyDescent="0.35">
      <c r="A1216" t="s">
        <v>14</v>
      </c>
      <c r="B1216" t="s">
        <v>351</v>
      </c>
      <c r="C1216" t="s">
        <v>321</v>
      </c>
      <c r="D1216">
        <v>10</v>
      </c>
      <c r="E1216" s="2">
        <v>43768</v>
      </c>
      <c r="F1216" t="s">
        <v>16</v>
      </c>
      <c r="G1216" t="s">
        <v>260</v>
      </c>
      <c r="H1216" t="s">
        <v>329</v>
      </c>
      <c r="I1216" s="3">
        <v>8.4027777777777785E-2</v>
      </c>
      <c r="J1216" t="s">
        <v>68</v>
      </c>
      <c r="K1216" t="s">
        <v>259</v>
      </c>
      <c r="L1216" s="3">
        <v>8.4027777777777785E-2</v>
      </c>
      <c r="M1216" t="s">
        <v>83</v>
      </c>
      <c r="O1216">
        <f>IF(Table13[[#This Row],[Goal_assist]]="",1,0)</f>
        <v>1</v>
      </c>
    </row>
    <row r="1217" spans="1:15" x14ac:dyDescent="0.35">
      <c r="A1217" t="s">
        <v>64</v>
      </c>
      <c r="B1217" t="s">
        <v>351</v>
      </c>
      <c r="C1217" t="s">
        <v>65</v>
      </c>
      <c r="D1217">
        <v>12</v>
      </c>
      <c r="E1217" s="2">
        <v>43771</v>
      </c>
      <c r="F1217" t="s">
        <v>24</v>
      </c>
      <c r="G1217" t="s">
        <v>66</v>
      </c>
      <c r="H1217" t="s">
        <v>127</v>
      </c>
      <c r="I1217" s="3">
        <v>0.12569444444444444</v>
      </c>
      <c r="J1217" t="s">
        <v>275</v>
      </c>
      <c r="K1217">
        <v>38</v>
      </c>
      <c r="L1217" s="3">
        <v>6.9444444444444447E-4</v>
      </c>
      <c r="M1217" t="s">
        <v>83</v>
      </c>
      <c r="O1217">
        <f>IF(Table13[[#This Row],[Goal_assist]]="",1,0)</f>
        <v>1</v>
      </c>
    </row>
    <row r="1218" spans="1:15" x14ac:dyDescent="0.35">
      <c r="A1218" t="s">
        <v>64</v>
      </c>
      <c r="B1218" t="s">
        <v>351</v>
      </c>
      <c r="C1218" t="s">
        <v>65</v>
      </c>
      <c r="D1218">
        <v>13</v>
      </c>
      <c r="E1218" s="2">
        <v>43778</v>
      </c>
      <c r="F1218" t="s">
        <v>16</v>
      </c>
      <c r="G1218" t="s">
        <v>66</v>
      </c>
      <c r="H1218" t="s">
        <v>98</v>
      </c>
      <c r="I1218" s="3">
        <v>0.1673611111111111</v>
      </c>
      <c r="J1218" t="s">
        <v>275</v>
      </c>
      <c r="K1218">
        <v>48</v>
      </c>
      <c r="L1218" s="3">
        <v>0.12569444444444444</v>
      </c>
      <c r="M1218" t="s">
        <v>39</v>
      </c>
      <c r="O1218">
        <f>IF(Table13[[#This Row],[Goal_assist]]="",1,0)</f>
        <v>1</v>
      </c>
    </row>
    <row r="1219" spans="1:15" x14ac:dyDescent="0.35">
      <c r="A1219" t="s">
        <v>64</v>
      </c>
      <c r="B1219" t="s">
        <v>351</v>
      </c>
      <c r="C1219" t="s">
        <v>65</v>
      </c>
      <c r="D1219">
        <v>13</v>
      </c>
      <c r="E1219" s="2">
        <v>43778</v>
      </c>
      <c r="F1219" t="s">
        <v>16</v>
      </c>
      <c r="G1219" t="s">
        <v>66</v>
      </c>
      <c r="H1219" t="s">
        <v>98</v>
      </c>
      <c r="I1219" s="3">
        <v>0.1673611111111111</v>
      </c>
      <c r="J1219" t="s">
        <v>275</v>
      </c>
      <c r="K1219" t="s">
        <v>58</v>
      </c>
      <c r="L1219" s="3">
        <v>8.4027777777777785E-2</v>
      </c>
      <c r="M1219" t="s">
        <v>39</v>
      </c>
      <c r="O1219">
        <f>IF(Table13[[#This Row],[Goal_assist]]="",1,0)</f>
        <v>1</v>
      </c>
    </row>
    <row r="1220" spans="1:15" x14ac:dyDescent="0.35">
      <c r="A1220" t="s">
        <v>64</v>
      </c>
      <c r="B1220" t="s">
        <v>351</v>
      </c>
      <c r="C1220" t="s">
        <v>65</v>
      </c>
      <c r="D1220">
        <v>13</v>
      </c>
      <c r="E1220" s="2">
        <v>43778</v>
      </c>
      <c r="F1220" t="s">
        <v>16</v>
      </c>
      <c r="G1220" t="s">
        <v>66</v>
      </c>
      <c r="H1220" t="s">
        <v>98</v>
      </c>
      <c r="I1220" s="3">
        <v>0.1673611111111111</v>
      </c>
      <c r="J1220" t="s">
        <v>275</v>
      </c>
      <c r="K1220">
        <v>23</v>
      </c>
      <c r="L1220" s="3">
        <v>4.1666666666666664E-2</v>
      </c>
      <c r="M1220" t="s">
        <v>83</v>
      </c>
      <c r="O1220">
        <f>IF(Table13[[#This Row],[Goal_assist]]="",1,0)</f>
        <v>1</v>
      </c>
    </row>
    <row r="1221" spans="1:15" x14ac:dyDescent="0.35">
      <c r="A1221" t="s">
        <v>64</v>
      </c>
      <c r="B1221" t="s">
        <v>351</v>
      </c>
      <c r="C1221" t="s">
        <v>75</v>
      </c>
      <c r="D1221" t="s">
        <v>76</v>
      </c>
      <c r="E1221" s="2">
        <v>43796</v>
      </c>
      <c r="F1221" t="s">
        <v>16</v>
      </c>
      <c r="G1221" t="s">
        <v>66</v>
      </c>
      <c r="H1221" t="s">
        <v>246</v>
      </c>
      <c r="I1221" s="3">
        <v>0.12569444444444444</v>
      </c>
      <c r="J1221" t="s">
        <v>275</v>
      </c>
      <c r="K1221">
        <v>33</v>
      </c>
      <c r="L1221" s="3">
        <v>8.3333333333333329E-2</v>
      </c>
      <c r="M1221" t="s">
        <v>31</v>
      </c>
      <c r="N1221" t="s">
        <v>273</v>
      </c>
      <c r="O1221">
        <f>IF(Table13[[#This Row],[Goal_assist]]="",1,0)</f>
        <v>0</v>
      </c>
    </row>
    <row r="1222" spans="1:15" x14ac:dyDescent="0.35">
      <c r="A1222" t="s">
        <v>14</v>
      </c>
      <c r="B1222" t="s">
        <v>351</v>
      </c>
      <c r="C1222" t="s">
        <v>321</v>
      </c>
      <c r="D1222">
        <v>14</v>
      </c>
      <c r="E1222" s="2">
        <v>43800</v>
      </c>
      <c r="F1222" t="s">
        <v>16</v>
      </c>
      <c r="G1222" t="s">
        <v>260</v>
      </c>
      <c r="H1222" t="s">
        <v>322</v>
      </c>
      <c r="I1222" s="3">
        <v>8.4722222222222227E-2</v>
      </c>
      <c r="J1222" t="s">
        <v>68</v>
      </c>
      <c r="K1222">
        <v>68</v>
      </c>
      <c r="L1222" s="3">
        <v>8.4722222222222227E-2</v>
      </c>
      <c r="M1222" t="s">
        <v>83</v>
      </c>
      <c r="O1222">
        <f>IF(Table13[[#This Row],[Goal_assist]]="",1,0)</f>
        <v>1</v>
      </c>
    </row>
    <row r="1223" spans="1:15" x14ac:dyDescent="0.35">
      <c r="A1223" t="s">
        <v>64</v>
      </c>
      <c r="B1223" t="s">
        <v>351</v>
      </c>
      <c r="C1223" t="s">
        <v>65</v>
      </c>
      <c r="D1223">
        <v>15</v>
      </c>
      <c r="E1223" s="2">
        <v>43800</v>
      </c>
      <c r="F1223" t="s">
        <v>24</v>
      </c>
      <c r="G1223" t="s">
        <v>66</v>
      </c>
      <c r="H1223" t="s">
        <v>119</v>
      </c>
      <c r="I1223" s="3">
        <v>6.9444444444444447E-4</v>
      </c>
      <c r="J1223" t="s">
        <v>275</v>
      </c>
      <c r="K1223">
        <v>86</v>
      </c>
      <c r="L1223" s="3">
        <v>6.9444444444444447E-4</v>
      </c>
      <c r="M1223" t="s">
        <v>31</v>
      </c>
      <c r="N1223" t="s">
        <v>273</v>
      </c>
      <c r="O1223">
        <f>IF(Table13[[#This Row],[Goal_assist]]="",1,0)</f>
        <v>0</v>
      </c>
    </row>
    <row r="1224" spans="1:15" x14ac:dyDescent="0.35">
      <c r="A1224" t="s">
        <v>64</v>
      </c>
      <c r="B1224" t="s">
        <v>351</v>
      </c>
      <c r="C1224" t="s">
        <v>65</v>
      </c>
      <c r="D1224">
        <v>16</v>
      </c>
      <c r="E1224" s="2">
        <v>43806</v>
      </c>
      <c r="F1224" t="s">
        <v>16</v>
      </c>
      <c r="G1224" t="s">
        <v>66</v>
      </c>
      <c r="H1224" t="s">
        <v>89</v>
      </c>
      <c r="I1224" s="3">
        <v>0.20972222222222223</v>
      </c>
      <c r="J1224" t="s">
        <v>275</v>
      </c>
      <c r="K1224">
        <v>41</v>
      </c>
      <c r="L1224" s="3">
        <v>0.12569444444444444</v>
      </c>
      <c r="M1224" t="s">
        <v>31</v>
      </c>
      <c r="N1224" t="s">
        <v>276</v>
      </c>
      <c r="O1224">
        <f>IF(Table13[[#This Row],[Goal_assist]]="",1,0)</f>
        <v>0</v>
      </c>
    </row>
    <row r="1225" spans="1:15" x14ac:dyDescent="0.35">
      <c r="A1225" t="s">
        <v>64</v>
      </c>
      <c r="B1225" t="s">
        <v>351</v>
      </c>
      <c r="C1225" t="s">
        <v>65</v>
      </c>
      <c r="D1225">
        <v>16</v>
      </c>
      <c r="E1225" s="2">
        <v>43806</v>
      </c>
      <c r="F1225" t="s">
        <v>16</v>
      </c>
      <c r="G1225" t="s">
        <v>66</v>
      </c>
      <c r="H1225" t="s">
        <v>89</v>
      </c>
      <c r="I1225" s="3">
        <v>0.20972222222222223</v>
      </c>
      <c r="J1225" t="s">
        <v>275</v>
      </c>
      <c r="K1225">
        <v>83</v>
      </c>
      <c r="L1225" s="3">
        <v>0.20972222222222223</v>
      </c>
      <c r="M1225" t="s">
        <v>31</v>
      </c>
      <c r="N1225" t="s">
        <v>273</v>
      </c>
      <c r="O1225">
        <f>IF(Table13[[#This Row],[Goal_assist]]="",1,0)</f>
        <v>0</v>
      </c>
    </row>
    <row r="1226" spans="1:15" x14ac:dyDescent="0.35">
      <c r="A1226" t="s">
        <v>64</v>
      </c>
      <c r="B1226" t="s">
        <v>351</v>
      </c>
      <c r="C1226" t="s">
        <v>65</v>
      </c>
      <c r="D1226">
        <v>16</v>
      </c>
      <c r="E1226" s="2">
        <v>43806</v>
      </c>
      <c r="F1226" t="s">
        <v>16</v>
      </c>
      <c r="G1226" t="s">
        <v>66</v>
      </c>
      <c r="H1226" t="s">
        <v>89</v>
      </c>
      <c r="I1226" s="3">
        <v>0.20972222222222223</v>
      </c>
      <c r="J1226" t="s">
        <v>275</v>
      </c>
      <c r="K1226">
        <v>17</v>
      </c>
      <c r="L1226" s="3">
        <v>8.3333333333333329E-2</v>
      </c>
      <c r="M1226" t="s">
        <v>31</v>
      </c>
      <c r="N1226" t="s">
        <v>355</v>
      </c>
      <c r="O1226">
        <f>IF(Table13[[#This Row],[Goal_assist]]="",1,0)</f>
        <v>0</v>
      </c>
    </row>
    <row r="1227" spans="1:15" x14ac:dyDescent="0.35">
      <c r="A1227" t="s">
        <v>14</v>
      </c>
      <c r="B1227" t="s">
        <v>351</v>
      </c>
      <c r="C1227" t="s">
        <v>321</v>
      </c>
      <c r="D1227">
        <v>15</v>
      </c>
      <c r="E1227" s="2">
        <v>43806</v>
      </c>
      <c r="F1227" t="s">
        <v>24</v>
      </c>
      <c r="G1227" t="s">
        <v>260</v>
      </c>
      <c r="H1227" t="s">
        <v>343</v>
      </c>
      <c r="I1227" s="3">
        <v>0.12569444444444444</v>
      </c>
      <c r="J1227" t="s">
        <v>68</v>
      </c>
      <c r="K1227">
        <v>25</v>
      </c>
      <c r="L1227" s="3">
        <v>6.9444444444444447E-4</v>
      </c>
      <c r="M1227" t="s">
        <v>55</v>
      </c>
      <c r="N1227" t="s">
        <v>359</v>
      </c>
      <c r="O1227">
        <f>IF(Table13[[#This Row],[Goal_assist]]="",1,0)</f>
        <v>0</v>
      </c>
    </row>
    <row r="1228" spans="1:15" x14ac:dyDescent="0.35">
      <c r="A1228" t="s">
        <v>14</v>
      </c>
      <c r="B1228" t="s">
        <v>351</v>
      </c>
      <c r="C1228" t="s">
        <v>75</v>
      </c>
      <c r="D1228" t="s">
        <v>76</v>
      </c>
      <c r="E1228" s="2">
        <v>43810</v>
      </c>
      <c r="F1228" t="s">
        <v>24</v>
      </c>
      <c r="G1228" t="s">
        <v>260</v>
      </c>
      <c r="H1228" t="s">
        <v>236</v>
      </c>
      <c r="I1228" s="3">
        <v>1.3888888888888889E-3</v>
      </c>
      <c r="J1228" t="s">
        <v>68</v>
      </c>
      <c r="K1228">
        <v>75</v>
      </c>
      <c r="L1228" s="3">
        <v>6.9444444444444447E-4</v>
      </c>
      <c r="M1228" t="s">
        <v>26</v>
      </c>
      <c r="N1228" t="s">
        <v>340</v>
      </c>
      <c r="O1228">
        <f>IF(Table13[[#This Row],[Goal_assist]]="",1,0)</f>
        <v>0</v>
      </c>
    </row>
    <row r="1229" spans="1:15" x14ac:dyDescent="0.35">
      <c r="A1229" t="s">
        <v>14</v>
      </c>
      <c r="B1229" t="s">
        <v>351</v>
      </c>
      <c r="C1229" t="s">
        <v>321</v>
      </c>
      <c r="D1229">
        <v>16</v>
      </c>
      <c r="E1229" s="2">
        <v>43814</v>
      </c>
      <c r="F1229" t="s">
        <v>16</v>
      </c>
      <c r="G1229" t="s">
        <v>260</v>
      </c>
      <c r="H1229" t="s">
        <v>327</v>
      </c>
      <c r="I1229" s="3">
        <v>0.12569444444444444</v>
      </c>
      <c r="J1229" t="s">
        <v>68</v>
      </c>
      <c r="K1229">
        <v>9</v>
      </c>
      <c r="L1229" s="3">
        <v>4.1666666666666664E-2</v>
      </c>
      <c r="M1229" t="s">
        <v>26</v>
      </c>
      <c r="O1229">
        <f>IF(Table13[[#This Row],[Goal_assist]]="",1,0)</f>
        <v>1</v>
      </c>
    </row>
    <row r="1230" spans="1:15" x14ac:dyDescent="0.35">
      <c r="A1230" t="s">
        <v>14</v>
      </c>
      <c r="B1230" t="s">
        <v>351</v>
      </c>
      <c r="C1230" t="s">
        <v>321</v>
      </c>
      <c r="D1230">
        <v>16</v>
      </c>
      <c r="E1230" s="2">
        <v>43814</v>
      </c>
      <c r="F1230" t="s">
        <v>16</v>
      </c>
      <c r="G1230" t="s">
        <v>260</v>
      </c>
      <c r="H1230" t="s">
        <v>327</v>
      </c>
      <c r="I1230" s="3">
        <v>0.12569444444444444</v>
      </c>
      <c r="J1230" t="s">
        <v>68</v>
      </c>
      <c r="K1230">
        <v>37</v>
      </c>
      <c r="L1230" s="3">
        <v>8.3333333333333329E-2</v>
      </c>
      <c r="M1230" t="s">
        <v>31</v>
      </c>
      <c r="N1230" t="s">
        <v>188</v>
      </c>
      <c r="O1230">
        <f>IF(Table13[[#This Row],[Goal_assist]]="",1,0)</f>
        <v>0</v>
      </c>
    </row>
    <row r="1231" spans="1:15" x14ac:dyDescent="0.35">
      <c r="A1231" t="s">
        <v>14</v>
      </c>
      <c r="B1231" t="s">
        <v>351</v>
      </c>
      <c r="C1231" t="s">
        <v>321</v>
      </c>
      <c r="D1231">
        <v>17</v>
      </c>
      <c r="E1231" s="2">
        <v>43817</v>
      </c>
      <c r="F1231" t="s">
        <v>24</v>
      </c>
      <c r="G1231" t="s">
        <v>260</v>
      </c>
      <c r="H1231" t="s">
        <v>339</v>
      </c>
      <c r="I1231" s="3">
        <v>4.3055555555555555E-2</v>
      </c>
      <c r="J1231" t="s">
        <v>19</v>
      </c>
      <c r="K1231">
        <v>45</v>
      </c>
      <c r="L1231" s="3">
        <v>4.3055555555555555E-2</v>
      </c>
      <c r="M1231" t="s">
        <v>22</v>
      </c>
      <c r="N1231" t="s">
        <v>360</v>
      </c>
      <c r="O1231">
        <f>IF(Table13[[#This Row],[Goal_assist]]="",1,0)</f>
        <v>0</v>
      </c>
    </row>
    <row r="1232" spans="1:15" x14ac:dyDescent="0.35">
      <c r="A1232" t="s">
        <v>64</v>
      </c>
      <c r="B1232" t="s">
        <v>351</v>
      </c>
      <c r="C1232" t="s">
        <v>65</v>
      </c>
      <c r="D1232">
        <v>18</v>
      </c>
      <c r="E1232" s="2">
        <v>43820</v>
      </c>
      <c r="F1232" t="s">
        <v>16</v>
      </c>
      <c r="G1232" t="s">
        <v>66</v>
      </c>
      <c r="H1232" t="s">
        <v>88</v>
      </c>
      <c r="I1232" s="3">
        <v>0.1673611111111111</v>
      </c>
      <c r="J1232" t="s">
        <v>275</v>
      </c>
      <c r="K1232">
        <v>69</v>
      </c>
      <c r="L1232" s="3">
        <v>0.12569444444444444</v>
      </c>
      <c r="M1232" t="s">
        <v>31</v>
      </c>
      <c r="N1232" t="s">
        <v>273</v>
      </c>
      <c r="O1232">
        <f>IF(Table13[[#This Row],[Goal_assist]]="",1,0)</f>
        <v>0</v>
      </c>
    </row>
    <row r="1233" spans="1:15" x14ac:dyDescent="0.35">
      <c r="A1233" t="s">
        <v>14</v>
      </c>
      <c r="B1233" t="s">
        <v>351</v>
      </c>
      <c r="C1233" t="s">
        <v>321</v>
      </c>
      <c r="D1233">
        <v>18</v>
      </c>
      <c r="E1233" s="2">
        <v>43836</v>
      </c>
      <c r="F1233" t="s">
        <v>16</v>
      </c>
      <c r="G1233" t="s">
        <v>260</v>
      </c>
      <c r="H1233" t="s">
        <v>361</v>
      </c>
      <c r="I1233" s="3">
        <v>0.16666666666666666</v>
      </c>
      <c r="J1233" t="s">
        <v>68</v>
      </c>
      <c r="K1233">
        <v>49</v>
      </c>
      <c r="L1233" s="3">
        <v>4.1666666666666664E-2</v>
      </c>
      <c r="M1233" t="s">
        <v>26</v>
      </c>
      <c r="O1233">
        <f>IF(Table13[[#This Row],[Goal_assist]]="",1,0)</f>
        <v>1</v>
      </c>
    </row>
    <row r="1234" spans="1:15" x14ac:dyDescent="0.35">
      <c r="A1234" t="s">
        <v>14</v>
      </c>
      <c r="B1234" t="s">
        <v>351</v>
      </c>
      <c r="C1234" t="s">
        <v>321</v>
      </c>
      <c r="D1234">
        <v>18</v>
      </c>
      <c r="E1234" s="2">
        <v>43836</v>
      </c>
      <c r="F1234" t="s">
        <v>16</v>
      </c>
      <c r="G1234" t="s">
        <v>260</v>
      </c>
      <c r="H1234" t="s">
        <v>361</v>
      </c>
      <c r="I1234" s="3">
        <v>0.16666666666666666</v>
      </c>
      <c r="J1234" t="s">
        <v>68</v>
      </c>
      <c r="K1234">
        <v>67</v>
      </c>
      <c r="L1234" s="3">
        <v>8.3333333333333329E-2</v>
      </c>
      <c r="M1234" t="s">
        <v>83</v>
      </c>
      <c r="O1234">
        <f>IF(Table13[[#This Row],[Goal_assist]]="",1,0)</f>
        <v>1</v>
      </c>
    </row>
    <row r="1235" spans="1:15" x14ac:dyDescent="0.35">
      <c r="A1235" t="s">
        <v>14</v>
      </c>
      <c r="B1235" t="s">
        <v>351</v>
      </c>
      <c r="C1235" t="s">
        <v>321</v>
      </c>
      <c r="D1235">
        <v>18</v>
      </c>
      <c r="E1235" s="2">
        <v>43836</v>
      </c>
      <c r="F1235" t="s">
        <v>16</v>
      </c>
      <c r="G1235" t="s">
        <v>260</v>
      </c>
      <c r="H1235" t="s">
        <v>361</v>
      </c>
      <c r="I1235" s="3">
        <v>0.16666666666666666</v>
      </c>
      <c r="J1235" t="s">
        <v>68</v>
      </c>
      <c r="K1235">
        <v>82</v>
      </c>
      <c r="L1235" s="3">
        <v>0.16666666666666666</v>
      </c>
      <c r="M1235" t="s">
        <v>31</v>
      </c>
      <c r="N1235" t="s">
        <v>353</v>
      </c>
      <c r="O1235">
        <f>IF(Table13[[#This Row],[Goal_assist]]="",1,0)</f>
        <v>0</v>
      </c>
    </row>
    <row r="1236" spans="1:15" x14ac:dyDescent="0.35">
      <c r="A1236" t="s">
        <v>64</v>
      </c>
      <c r="B1236" t="s">
        <v>351</v>
      </c>
      <c r="C1236" t="s">
        <v>172</v>
      </c>
      <c r="D1236" t="s">
        <v>62</v>
      </c>
      <c r="E1236" s="2">
        <v>43839</v>
      </c>
      <c r="F1236" t="s">
        <v>16</v>
      </c>
      <c r="G1236" t="s">
        <v>66</v>
      </c>
      <c r="H1236" t="s">
        <v>119</v>
      </c>
      <c r="I1236" s="3">
        <v>8.5416666666666669E-2</v>
      </c>
      <c r="J1236" t="s">
        <v>275</v>
      </c>
      <c r="K1236">
        <v>51</v>
      </c>
      <c r="L1236" s="3">
        <v>4.2361111111111113E-2</v>
      </c>
      <c r="M1236" t="s">
        <v>26</v>
      </c>
      <c r="N1236" t="s">
        <v>273</v>
      </c>
      <c r="O1236">
        <f>IF(Table13[[#This Row],[Goal_assist]]="",1,0)</f>
        <v>0</v>
      </c>
    </row>
    <row r="1237" spans="1:15" x14ac:dyDescent="0.35">
      <c r="A1237" t="s">
        <v>14</v>
      </c>
      <c r="B1237" t="s">
        <v>351</v>
      </c>
      <c r="C1237" t="s">
        <v>321</v>
      </c>
      <c r="D1237">
        <v>19</v>
      </c>
      <c r="E1237" s="2">
        <v>43842</v>
      </c>
      <c r="F1237" t="s">
        <v>24</v>
      </c>
      <c r="G1237" t="s">
        <v>260</v>
      </c>
      <c r="H1237" t="s">
        <v>116</v>
      </c>
      <c r="I1237" s="3">
        <v>4.3055555555555555E-2</v>
      </c>
      <c r="J1237" t="s">
        <v>68</v>
      </c>
      <c r="K1237">
        <v>10</v>
      </c>
      <c r="L1237" s="3">
        <v>1.3888888888888889E-3</v>
      </c>
      <c r="M1237" t="s">
        <v>83</v>
      </c>
      <c r="O1237">
        <f>IF(Table13[[#This Row],[Goal_assist]]="",1,0)</f>
        <v>1</v>
      </c>
    </row>
    <row r="1238" spans="1:15" x14ac:dyDescent="0.35">
      <c r="A1238" t="s">
        <v>64</v>
      </c>
      <c r="B1238" t="s">
        <v>351</v>
      </c>
      <c r="C1238" t="s">
        <v>65</v>
      </c>
      <c r="D1238">
        <v>20</v>
      </c>
      <c r="E1238" s="2">
        <v>43849</v>
      </c>
      <c r="F1238" t="s">
        <v>16</v>
      </c>
      <c r="G1238" t="s">
        <v>66</v>
      </c>
      <c r="H1238" t="s">
        <v>233</v>
      </c>
      <c r="I1238" s="3">
        <v>4.1666666666666664E-2</v>
      </c>
      <c r="J1238" t="s">
        <v>251</v>
      </c>
      <c r="K1238">
        <v>76</v>
      </c>
      <c r="L1238" s="3">
        <v>4.1666666666666664E-2</v>
      </c>
      <c r="M1238" t="s">
        <v>26</v>
      </c>
      <c r="N1238" t="s">
        <v>326</v>
      </c>
      <c r="O1238">
        <f>IF(Table13[[#This Row],[Goal_assist]]="",1,0)</f>
        <v>0</v>
      </c>
    </row>
    <row r="1239" spans="1:15" x14ac:dyDescent="0.35">
      <c r="A1239" t="s">
        <v>14</v>
      </c>
      <c r="B1239" t="s">
        <v>351</v>
      </c>
      <c r="C1239" t="s">
        <v>321</v>
      </c>
      <c r="D1239">
        <v>20</v>
      </c>
      <c r="E1239" s="2">
        <v>43849</v>
      </c>
      <c r="F1239" t="s">
        <v>16</v>
      </c>
      <c r="G1239" t="s">
        <v>260</v>
      </c>
      <c r="H1239" t="s">
        <v>344</v>
      </c>
      <c r="I1239" s="3">
        <v>8.4027777777777785E-2</v>
      </c>
      <c r="J1239" t="s">
        <v>68</v>
      </c>
      <c r="K1239">
        <v>58</v>
      </c>
      <c r="L1239" s="3">
        <v>8.4027777777777785E-2</v>
      </c>
      <c r="M1239" t="s">
        <v>26</v>
      </c>
      <c r="N1239" t="s">
        <v>340</v>
      </c>
      <c r="O1239">
        <f>IF(Table13[[#This Row],[Goal_assist]]="",1,0)</f>
        <v>0</v>
      </c>
    </row>
    <row r="1240" spans="1:15" x14ac:dyDescent="0.35">
      <c r="A1240" t="s">
        <v>14</v>
      </c>
      <c r="B1240" t="s">
        <v>351</v>
      </c>
      <c r="C1240" t="s">
        <v>321</v>
      </c>
      <c r="D1240">
        <v>20</v>
      </c>
      <c r="E1240" s="2">
        <v>43849</v>
      </c>
      <c r="F1240" t="s">
        <v>16</v>
      </c>
      <c r="G1240" t="s">
        <v>260</v>
      </c>
      <c r="H1240" t="s">
        <v>344</v>
      </c>
      <c r="I1240" s="3">
        <v>8.4027777777777785E-2</v>
      </c>
      <c r="J1240" t="s">
        <v>68</v>
      </c>
      <c r="K1240">
        <v>43</v>
      </c>
      <c r="L1240" s="3">
        <v>4.1666666666666664E-2</v>
      </c>
      <c r="M1240" t="s">
        <v>129</v>
      </c>
      <c r="N1240" t="s">
        <v>331</v>
      </c>
      <c r="O1240">
        <f>IF(Table13[[#This Row],[Goal_assist]]="",1,0)</f>
        <v>0</v>
      </c>
    </row>
    <row r="1241" spans="1:15" x14ac:dyDescent="0.35">
      <c r="A1241" t="s">
        <v>14</v>
      </c>
      <c r="B1241" t="s">
        <v>351</v>
      </c>
      <c r="C1241" t="s">
        <v>362</v>
      </c>
      <c r="D1241" t="s">
        <v>92</v>
      </c>
      <c r="E1241" s="2">
        <v>43852</v>
      </c>
      <c r="F1241" t="s">
        <v>16</v>
      </c>
      <c r="G1241" t="s">
        <v>260</v>
      </c>
      <c r="H1241" t="s">
        <v>116</v>
      </c>
      <c r="I1241" s="3">
        <v>0.12569444444444444</v>
      </c>
      <c r="J1241" t="s">
        <v>19</v>
      </c>
      <c r="K1241">
        <v>26</v>
      </c>
      <c r="L1241" s="3">
        <v>4.1666666666666664E-2</v>
      </c>
      <c r="M1241" t="s">
        <v>31</v>
      </c>
      <c r="N1241" t="s">
        <v>188</v>
      </c>
      <c r="O1241">
        <f>IF(Table13[[#This Row],[Goal_assist]]="",1,0)</f>
        <v>0</v>
      </c>
    </row>
    <row r="1242" spans="1:15" x14ac:dyDescent="0.35">
      <c r="A1242" t="s">
        <v>14</v>
      </c>
      <c r="B1242" t="s">
        <v>351</v>
      </c>
      <c r="C1242" t="s">
        <v>321</v>
      </c>
      <c r="D1242">
        <v>21</v>
      </c>
      <c r="E1242" s="2">
        <v>43856</v>
      </c>
      <c r="F1242" t="s">
        <v>24</v>
      </c>
      <c r="G1242" t="s">
        <v>260</v>
      </c>
      <c r="H1242" t="s">
        <v>352</v>
      </c>
      <c r="I1242" s="3">
        <v>8.4027777777777785E-2</v>
      </c>
      <c r="J1242" t="s">
        <v>19</v>
      </c>
      <c r="K1242">
        <v>90</v>
      </c>
      <c r="L1242" s="3">
        <v>8.4027777777777785E-2</v>
      </c>
      <c r="M1242" t="s">
        <v>26</v>
      </c>
      <c r="N1242" t="s">
        <v>359</v>
      </c>
      <c r="O1242">
        <f>IF(Table13[[#This Row],[Goal_assist]]="",1,0)</f>
        <v>0</v>
      </c>
    </row>
    <row r="1243" spans="1:15" x14ac:dyDescent="0.35">
      <c r="A1243" t="s">
        <v>64</v>
      </c>
      <c r="B1243" t="s">
        <v>351</v>
      </c>
      <c r="C1243" t="s">
        <v>91</v>
      </c>
      <c r="D1243" t="s">
        <v>81</v>
      </c>
      <c r="E1243" s="2">
        <v>43860</v>
      </c>
      <c r="F1243" t="s">
        <v>16</v>
      </c>
      <c r="G1243" t="s">
        <v>66</v>
      </c>
      <c r="H1243" t="s">
        <v>294</v>
      </c>
      <c r="I1243" s="3">
        <v>0.20833333333333334</v>
      </c>
      <c r="J1243" t="s">
        <v>275</v>
      </c>
      <c r="K1243">
        <v>59</v>
      </c>
      <c r="L1243" s="3">
        <v>0.125</v>
      </c>
      <c r="M1243" t="s">
        <v>31</v>
      </c>
      <c r="N1243" t="s">
        <v>363</v>
      </c>
      <c r="O1243">
        <f>IF(Table13[[#This Row],[Goal_assist]]="",1,0)</f>
        <v>0</v>
      </c>
    </row>
    <row r="1244" spans="1:15" x14ac:dyDescent="0.35">
      <c r="A1244" t="s">
        <v>64</v>
      </c>
      <c r="B1244" t="s">
        <v>351</v>
      </c>
      <c r="C1244" t="s">
        <v>91</v>
      </c>
      <c r="D1244" t="s">
        <v>81</v>
      </c>
      <c r="E1244" s="2">
        <v>43860</v>
      </c>
      <c r="F1244" t="s">
        <v>16</v>
      </c>
      <c r="G1244" t="s">
        <v>66</v>
      </c>
      <c r="H1244" t="s">
        <v>294</v>
      </c>
      <c r="I1244" s="3">
        <v>0.20833333333333334</v>
      </c>
      <c r="J1244" t="s">
        <v>275</v>
      </c>
      <c r="K1244">
        <v>89</v>
      </c>
      <c r="L1244" s="3">
        <v>0.20833333333333334</v>
      </c>
      <c r="M1244" t="s">
        <v>31</v>
      </c>
      <c r="N1244" t="s">
        <v>276</v>
      </c>
      <c r="O1244">
        <f>IF(Table13[[#This Row],[Goal_assist]]="",1,0)</f>
        <v>0</v>
      </c>
    </row>
    <row r="1245" spans="1:15" x14ac:dyDescent="0.35">
      <c r="A1245" t="s">
        <v>14</v>
      </c>
      <c r="B1245" t="s">
        <v>351</v>
      </c>
      <c r="C1245" t="s">
        <v>321</v>
      </c>
      <c r="D1245">
        <v>22</v>
      </c>
      <c r="E1245" s="2">
        <v>43863</v>
      </c>
      <c r="F1245" t="s">
        <v>16</v>
      </c>
      <c r="G1245" t="s">
        <v>260</v>
      </c>
      <c r="H1245" t="s">
        <v>335</v>
      </c>
      <c r="I1245" s="3">
        <v>0.125</v>
      </c>
      <c r="J1245" t="s">
        <v>19</v>
      </c>
      <c r="K1245">
        <v>40</v>
      </c>
      <c r="L1245" s="3">
        <v>4.1666666666666664E-2</v>
      </c>
      <c r="M1245" t="s">
        <v>83</v>
      </c>
      <c r="O1245">
        <f>IF(Table13[[#This Row],[Goal_assist]]="",1,0)</f>
        <v>1</v>
      </c>
    </row>
    <row r="1246" spans="1:15" x14ac:dyDescent="0.35">
      <c r="A1246" t="s">
        <v>14</v>
      </c>
      <c r="B1246" t="s">
        <v>351</v>
      </c>
      <c r="C1246" t="s">
        <v>321</v>
      </c>
      <c r="D1246">
        <v>22</v>
      </c>
      <c r="E1246" s="2">
        <v>43863</v>
      </c>
      <c r="F1246" t="s">
        <v>16</v>
      </c>
      <c r="G1246" t="s">
        <v>260</v>
      </c>
      <c r="H1246" t="s">
        <v>335</v>
      </c>
      <c r="I1246" s="3">
        <v>0.125</v>
      </c>
      <c r="J1246" t="s">
        <v>19</v>
      </c>
      <c r="K1246">
        <v>80</v>
      </c>
      <c r="L1246" s="3">
        <v>8.3333333333333329E-2</v>
      </c>
      <c r="M1246" t="s">
        <v>83</v>
      </c>
      <c r="O1246">
        <f>IF(Table13[[#This Row],[Goal_assist]]="",1,0)</f>
        <v>1</v>
      </c>
    </row>
    <row r="1247" spans="1:15" x14ac:dyDescent="0.35">
      <c r="A1247" t="s">
        <v>14</v>
      </c>
      <c r="B1247" t="s">
        <v>351</v>
      </c>
      <c r="C1247" t="s">
        <v>321</v>
      </c>
      <c r="D1247">
        <v>23</v>
      </c>
      <c r="E1247" s="2">
        <v>43869</v>
      </c>
      <c r="F1247" t="s">
        <v>24</v>
      </c>
      <c r="G1247" t="s">
        <v>260</v>
      </c>
      <c r="H1247" t="s">
        <v>354</v>
      </c>
      <c r="I1247" s="3">
        <v>8.4027777777777785E-2</v>
      </c>
      <c r="J1247" t="s">
        <v>19</v>
      </c>
      <c r="K1247">
        <v>65</v>
      </c>
      <c r="L1247" s="3">
        <v>6.9444444444444447E-4</v>
      </c>
      <c r="M1247" t="s">
        <v>26</v>
      </c>
      <c r="N1247" t="s">
        <v>359</v>
      </c>
      <c r="O1247">
        <f>IF(Table13[[#This Row],[Goal_assist]]="",1,0)</f>
        <v>0</v>
      </c>
    </row>
    <row r="1248" spans="1:15" x14ac:dyDescent="0.35">
      <c r="A1248" t="s">
        <v>14</v>
      </c>
      <c r="B1248" t="s">
        <v>351</v>
      </c>
      <c r="C1248" t="s">
        <v>362</v>
      </c>
      <c r="D1248" t="s">
        <v>62</v>
      </c>
      <c r="E1248" s="2">
        <v>43874</v>
      </c>
      <c r="F1248" t="s">
        <v>24</v>
      </c>
      <c r="G1248" t="s">
        <v>260</v>
      </c>
      <c r="H1248" t="s">
        <v>118</v>
      </c>
      <c r="I1248" s="3">
        <v>4.2361111111111113E-2</v>
      </c>
      <c r="J1248" t="s">
        <v>19</v>
      </c>
      <c r="K1248" t="s">
        <v>69</v>
      </c>
      <c r="L1248" s="3">
        <v>4.2361111111111113E-2</v>
      </c>
      <c r="M1248" t="s">
        <v>83</v>
      </c>
      <c r="O1248">
        <f>IF(Table13[[#This Row],[Goal_assist]]="",1,0)</f>
        <v>1</v>
      </c>
    </row>
    <row r="1249" spans="1:15" x14ac:dyDescent="0.35">
      <c r="A1249" t="s">
        <v>64</v>
      </c>
      <c r="B1249" t="s">
        <v>351</v>
      </c>
      <c r="C1249" t="s">
        <v>65</v>
      </c>
      <c r="D1249">
        <v>25</v>
      </c>
      <c r="E1249" s="2">
        <v>43883</v>
      </c>
      <c r="F1249" t="s">
        <v>16</v>
      </c>
      <c r="G1249" t="s">
        <v>66</v>
      </c>
      <c r="H1249" t="s">
        <v>270</v>
      </c>
      <c r="I1249" s="3">
        <v>0.20833333333333334</v>
      </c>
      <c r="J1249" t="s">
        <v>311</v>
      </c>
      <c r="K1249">
        <v>37</v>
      </c>
      <c r="L1249" s="3">
        <v>8.3333333333333329E-2</v>
      </c>
      <c r="M1249" t="s">
        <v>31</v>
      </c>
      <c r="N1249" t="s">
        <v>326</v>
      </c>
      <c r="O1249">
        <f>IF(Table13[[#This Row],[Goal_assist]]="",1,0)</f>
        <v>0</v>
      </c>
    </row>
    <row r="1250" spans="1:15" x14ac:dyDescent="0.35">
      <c r="A1250" t="s">
        <v>64</v>
      </c>
      <c r="B1250" t="s">
        <v>351</v>
      </c>
      <c r="C1250" t="s">
        <v>65</v>
      </c>
      <c r="D1250">
        <v>25</v>
      </c>
      <c r="E1250" s="2">
        <v>43883</v>
      </c>
      <c r="F1250" t="s">
        <v>16</v>
      </c>
      <c r="G1250" t="s">
        <v>66</v>
      </c>
      <c r="H1250" t="s">
        <v>270</v>
      </c>
      <c r="I1250" s="3">
        <v>0.20833333333333334</v>
      </c>
      <c r="J1250" t="s">
        <v>311</v>
      </c>
      <c r="K1250">
        <v>40</v>
      </c>
      <c r="L1250" s="3">
        <v>0.125</v>
      </c>
      <c r="M1250" t="s">
        <v>31</v>
      </c>
      <c r="O1250">
        <f>IF(Table13[[#This Row],[Goal_assist]]="",1,0)</f>
        <v>1</v>
      </c>
    </row>
    <row r="1251" spans="1:15" x14ac:dyDescent="0.35">
      <c r="A1251" t="s">
        <v>64</v>
      </c>
      <c r="B1251" t="s">
        <v>351</v>
      </c>
      <c r="C1251" t="s">
        <v>65</v>
      </c>
      <c r="D1251">
        <v>25</v>
      </c>
      <c r="E1251" s="2">
        <v>43883</v>
      </c>
      <c r="F1251" t="s">
        <v>16</v>
      </c>
      <c r="G1251" t="s">
        <v>66</v>
      </c>
      <c r="H1251" t="s">
        <v>270</v>
      </c>
      <c r="I1251" s="3">
        <v>0.20833333333333334</v>
      </c>
      <c r="J1251" t="s">
        <v>311</v>
      </c>
      <c r="K1251">
        <v>87</v>
      </c>
      <c r="L1251" s="3">
        <v>0.16666666666666666</v>
      </c>
      <c r="M1251" t="s">
        <v>31</v>
      </c>
      <c r="O1251">
        <f>IF(Table13[[#This Row],[Goal_assist]]="",1,0)</f>
        <v>1</v>
      </c>
    </row>
    <row r="1252" spans="1:15" x14ac:dyDescent="0.35">
      <c r="A1252" t="s">
        <v>64</v>
      </c>
      <c r="B1252" t="s">
        <v>351</v>
      </c>
      <c r="C1252" t="s">
        <v>65</v>
      </c>
      <c r="D1252">
        <v>25</v>
      </c>
      <c r="E1252" s="2">
        <v>43883</v>
      </c>
      <c r="F1252" t="s">
        <v>16</v>
      </c>
      <c r="G1252" t="s">
        <v>66</v>
      </c>
      <c r="H1252" t="s">
        <v>270</v>
      </c>
      <c r="I1252" s="3">
        <v>0.20833333333333334</v>
      </c>
      <c r="J1252" t="s">
        <v>311</v>
      </c>
      <c r="K1252">
        <v>14</v>
      </c>
      <c r="L1252" s="3">
        <v>4.1666666666666664E-2</v>
      </c>
      <c r="M1252" t="s">
        <v>31</v>
      </c>
      <c r="N1252" t="s">
        <v>276</v>
      </c>
      <c r="O1252">
        <f>IF(Table13[[#This Row],[Goal_assist]]="",1,0)</f>
        <v>0</v>
      </c>
    </row>
    <row r="1253" spans="1:15" x14ac:dyDescent="0.35">
      <c r="A1253" t="s">
        <v>14</v>
      </c>
      <c r="B1253" t="s">
        <v>351</v>
      </c>
      <c r="C1253" t="s">
        <v>321</v>
      </c>
      <c r="D1253">
        <v>25</v>
      </c>
      <c r="E1253" s="2">
        <v>43883</v>
      </c>
      <c r="F1253" t="s">
        <v>24</v>
      </c>
      <c r="G1253" t="s">
        <v>260</v>
      </c>
      <c r="H1253" t="s">
        <v>333</v>
      </c>
      <c r="I1253" s="3">
        <v>4.3055555555555555E-2</v>
      </c>
      <c r="J1253" t="s">
        <v>19</v>
      </c>
      <c r="K1253">
        <v>39</v>
      </c>
      <c r="L1253" s="3">
        <v>6.9444444444444447E-4</v>
      </c>
      <c r="M1253" t="s">
        <v>55</v>
      </c>
      <c r="N1253" t="s">
        <v>364</v>
      </c>
      <c r="O1253">
        <f>IF(Table13[[#This Row],[Goal_assist]]="",1,0)</f>
        <v>0</v>
      </c>
    </row>
    <row r="1254" spans="1:15" x14ac:dyDescent="0.35">
      <c r="A1254" t="s">
        <v>64</v>
      </c>
      <c r="B1254" t="s">
        <v>351</v>
      </c>
      <c r="C1254" t="s">
        <v>65</v>
      </c>
      <c r="D1254">
        <v>27</v>
      </c>
      <c r="E1254" s="2">
        <v>43897</v>
      </c>
      <c r="F1254" t="s">
        <v>16</v>
      </c>
      <c r="G1254" t="s">
        <v>66</v>
      </c>
      <c r="H1254" t="s">
        <v>217</v>
      </c>
      <c r="I1254" s="3">
        <v>4.1666666666666664E-2</v>
      </c>
      <c r="J1254" t="s">
        <v>251</v>
      </c>
      <c r="K1254">
        <v>81</v>
      </c>
      <c r="L1254" s="3">
        <v>4.1666666666666664E-2</v>
      </c>
      <c r="M1254" t="s">
        <v>83</v>
      </c>
      <c r="O1254">
        <f>IF(Table13[[#This Row],[Goal_assist]]="",1,0)</f>
        <v>1</v>
      </c>
    </row>
    <row r="1255" spans="1:15" x14ac:dyDescent="0.35">
      <c r="A1255" t="s">
        <v>64</v>
      </c>
      <c r="B1255" t="s">
        <v>351</v>
      </c>
      <c r="C1255" t="s">
        <v>65</v>
      </c>
      <c r="D1255">
        <v>28</v>
      </c>
      <c r="E1255" s="2">
        <v>43995</v>
      </c>
      <c r="F1255" t="s">
        <v>24</v>
      </c>
      <c r="G1255" t="s">
        <v>66</v>
      </c>
      <c r="H1255" t="s">
        <v>89</v>
      </c>
      <c r="I1255" s="3">
        <v>2.7777777777777779E-3</v>
      </c>
      <c r="J1255" t="s">
        <v>275</v>
      </c>
      <c r="K1255" t="s">
        <v>136</v>
      </c>
      <c r="L1255" s="3">
        <v>2.7777777777777779E-3</v>
      </c>
      <c r="M1255" t="s">
        <v>26</v>
      </c>
      <c r="N1255" t="s">
        <v>273</v>
      </c>
      <c r="O1255">
        <f>IF(Table13[[#This Row],[Goal_assist]]="",1,0)</f>
        <v>0</v>
      </c>
    </row>
    <row r="1256" spans="1:15" x14ac:dyDescent="0.35">
      <c r="A1256" t="s">
        <v>64</v>
      </c>
      <c r="B1256" t="s">
        <v>351</v>
      </c>
      <c r="C1256" t="s">
        <v>65</v>
      </c>
      <c r="D1256">
        <v>29</v>
      </c>
      <c r="E1256" s="2">
        <v>43998</v>
      </c>
      <c r="F1256" t="s">
        <v>16</v>
      </c>
      <c r="G1256" t="s">
        <v>66</v>
      </c>
      <c r="H1256" t="s">
        <v>294</v>
      </c>
      <c r="I1256" s="3">
        <v>8.3333333333333329E-2</v>
      </c>
      <c r="J1256" t="s">
        <v>275</v>
      </c>
      <c r="K1256">
        <v>69</v>
      </c>
      <c r="L1256" s="3">
        <v>8.3333333333333329E-2</v>
      </c>
      <c r="M1256" t="s">
        <v>83</v>
      </c>
      <c r="O1256">
        <f>IF(Table13[[#This Row],[Goal_assist]]="",1,0)</f>
        <v>1</v>
      </c>
    </row>
    <row r="1257" spans="1:15" x14ac:dyDescent="0.35">
      <c r="A1257" t="s">
        <v>14</v>
      </c>
      <c r="B1257" t="s">
        <v>351</v>
      </c>
      <c r="C1257" t="s">
        <v>321</v>
      </c>
      <c r="D1257">
        <v>27</v>
      </c>
      <c r="E1257" s="2">
        <v>44004</v>
      </c>
      <c r="F1257" t="s">
        <v>24</v>
      </c>
      <c r="G1257" t="s">
        <v>260</v>
      </c>
      <c r="H1257" t="s">
        <v>356</v>
      </c>
      <c r="I1257" s="3">
        <v>1.3888888888888889E-3</v>
      </c>
      <c r="J1257" t="s">
        <v>19</v>
      </c>
      <c r="K1257">
        <v>23</v>
      </c>
      <c r="L1257" s="3">
        <v>6.9444444444444447E-4</v>
      </c>
      <c r="M1257" t="s">
        <v>83</v>
      </c>
      <c r="O1257">
        <f>IF(Table13[[#This Row],[Goal_assist]]="",1,0)</f>
        <v>1</v>
      </c>
    </row>
    <row r="1258" spans="1:15" x14ac:dyDescent="0.35">
      <c r="A1258" t="s">
        <v>14</v>
      </c>
      <c r="B1258" t="s">
        <v>351</v>
      </c>
      <c r="C1258" t="s">
        <v>321</v>
      </c>
      <c r="D1258">
        <v>28</v>
      </c>
      <c r="E1258" s="2">
        <v>44008</v>
      </c>
      <c r="F1258" t="s">
        <v>16</v>
      </c>
      <c r="G1258" t="s">
        <v>260</v>
      </c>
      <c r="H1258" t="s">
        <v>365</v>
      </c>
      <c r="I1258" s="3">
        <v>0.16666666666666666</v>
      </c>
      <c r="J1258" t="s">
        <v>19</v>
      </c>
      <c r="K1258">
        <v>62</v>
      </c>
      <c r="L1258" s="3">
        <v>8.3333333333333329E-2</v>
      </c>
      <c r="M1258" t="s">
        <v>83</v>
      </c>
      <c r="O1258">
        <f>IF(Table13[[#This Row],[Goal_assist]]="",1,0)</f>
        <v>1</v>
      </c>
    </row>
    <row r="1259" spans="1:15" x14ac:dyDescent="0.35">
      <c r="A1259" t="s">
        <v>64</v>
      </c>
      <c r="B1259" t="s">
        <v>351</v>
      </c>
      <c r="C1259" t="s">
        <v>65</v>
      </c>
      <c r="D1259">
        <v>33</v>
      </c>
      <c r="E1259" s="2">
        <v>44012</v>
      </c>
      <c r="F1259" t="s">
        <v>16</v>
      </c>
      <c r="G1259" t="s">
        <v>66</v>
      </c>
      <c r="H1259" t="s">
        <v>119</v>
      </c>
      <c r="I1259" s="3">
        <v>8.4722222222222227E-2</v>
      </c>
      <c r="J1259" t="s">
        <v>311</v>
      </c>
      <c r="K1259">
        <v>50</v>
      </c>
      <c r="L1259" s="3">
        <v>8.4027777777777785E-2</v>
      </c>
      <c r="M1259" t="s">
        <v>83</v>
      </c>
      <c r="O1259">
        <f>IF(Table13[[#This Row],[Goal_assist]]="",1,0)</f>
        <v>1</v>
      </c>
    </row>
    <row r="1260" spans="1:15" x14ac:dyDescent="0.35">
      <c r="A1260" t="s">
        <v>14</v>
      </c>
      <c r="B1260" t="s">
        <v>351</v>
      </c>
      <c r="C1260" t="s">
        <v>321</v>
      </c>
      <c r="D1260">
        <v>29</v>
      </c>
      <c r="E1260" s="2">
        <v>44012</v>
      </c>
      <c r="F1260" t="s">
        <v>24</v>
      </c>
      <c r="G1260" t="s">
        <v>260</v>
      </c>
      <c r="H1260" t="s">
        <v>329</v>
      </c>
      <c r="I1260" s="3">
        <v>4.3749999999999997E-2</v>
      </c>
      <c r="J1260" t="s">
        <v>19</v>
      </c>
      <c r="K1260">
        <v>56</v>
      </c>
      <c r="L1260" s="3">
        <v>1.3888888888888889E-3</v>
      </c>
      <c r="M1260" t="s">
        <v>170</v>
      </c>
      <c r="N1260" t="s">
        <v>334</v>
      </c>
      <c r="O1260">
        <f>IF(Table13[[#This Row],[Goal_assist]]="",1,0)</f>
        <v>0</v>
      </c>
    </row>
    <row r="1261" spans="1:15" x14ac:dyDescent="0.35">
      <c r="A1261" t="s">
        <v>14</v>
      </c>
      <c r="B1261" t="s">
        <v>351</v>
      </c>
      <c r="C1261" t="s">
        <v>321</v>
      </c>
      <c r="D1261">
        <v>30</v>
      </c>
      <c r="E1261" s="2">
        <v>44016</v>
      </c>
      <c r="F1261" t="s">
        <v>16</v>
      </c>
      <c r="G1261" t="s">
        <v>260</v>
      </c>
      <c r="H1261" t="s">
        <v>336</v>
      </c>
      <c r="I1261" s="3">
        <v>0.1673611111111111</v>
      </c>
      <c r="J1261" t="s">
        <v>19</v>
      </c>
      <c r="K1261">
        <v>61</v>
      </c>
      <c r="L1261" s="3">
        <v>0.12569444444444444</v>
      </c>
      <c r="M1261" t="s">
        <v>39</v>
      </c>
      <c r="O1261">
        <f>IF(Table13[[#This Row],[Goal_assist]]="",1,0)</f>
        <v>1</v>
      </c>
    </row>
    <row r="1262" spans="1:15" x14ac:dyDescent="0.35">
      <c r="A1262" t="s">
        <v>14</v>
      </c>
      <c r="B1262" t="s">
        <v>351</v>
      </c>
      <c r="C1262" t="s">
        <v>321</v>
      </c>
      <c r="D1262">
        <v>31</v>
      </c>
      <c r="E1262" s="2">
        <v>44019</v>
      </c>
      <c r="F1262" t="s">
        <v>24</v>
      </c>
      <c r="G1262" t="s">
        <v>260</v>
      </c>
      <c r="H1262" t="s">
        <v>118</v>
      </c>
      <c r="I1262" s="3">
        <v>0.16805555555555557</v>
      </c>
      <c r="J1262" t="s">
        <v>19</v>
      </c>
      <c r="K1262">
        <v>53</v>
      </c>
      <c r="L1262" s="3">
        <v>1.3888888888888889E-3</v>
      </c>
      <c r="M1262" t="s">
        <v>31</v>
      </c>
      <c r="N1262" t="s">
        <v>364</v>
      </c>
      <c r="O1262">
        <f>IF(Table13[[#This Row],[Goal_assist]]="",1,0)</f>
        <v>0</v>
      </c>
    </row>
    <row r="1263" spans="1:15" x14ac:dyDescent="0.35">
      <c r="A1263" t="s">
        <v>14</v>
      </c>
      <c r="B1263" t="s">
        <v>351</v>
      </c>
      <c r="C1263" t="s">
        <v>321</v>
      </c>
      <c r="D1263">
        <v>32</v>
      </c>
      <c r="E1263" s="2">
        <v>44023</v>
      </c>
      <c r="F1263" t="s">
        <v>16</v>
      </c>
      <c r="G1263" t="s">
        <v>260</v>
      </c>
      <c r="H1263" t="s">
        <v>337</v>
      </c>
      <c r="I1263" s="3">
        <v>8.4722222222222227E-2</v>
      </c>
      <c r="J1263" t="s">
        <v>19</v>
      </c>
      <c r="K1263">
        <v>90</v>
      </c>
      <c r="L1263" s="3">
        <v>8.4722222222222227E-2</v>
      </c>
      <c r="M1263" t="s">
        <v>83</v>
      </c>
      <c r="O1263">
        <f>IF(Table13[[#This Row],[Goal_assist]]="",1,0)</f>
        <v>1</v>
      </c>
    </row>
    <row r="1264" spans="1:15" x14ac:dyDescent="0.35">
      <c r="A1264" t="s">
        <v>14</v>
      </c>
      <c r="B1264" t="s">
        <v>351</v>
      </c>
      <c r="C1264" t="s">
        <v>321</v>
      </c>
      <c r="D1264">
        <v>32</v>
      </c>
      <c r="E1264" s="2">
        <v>44023</v>
      </c>
      <c r="F1264" t="s">
        <v>16</v>
      </c>
      <c r="G1264" t="s">
        <v>260</v>
      </c>
      <c r="H1264" t="s">
        <v>337</v>
      </c>
      <c r="I1264" s="3">
        <v>8.4722222222222227E-2</v>
      </c>
      <c r="J1264" t="s">
        <v>19</v>
      </c>
      <c r="K1264">
        <v>55</v>
      </c>
      <c r="L1264" s="3">
        <v>4.2361111111111113E-2</v>
      </c>
      <c r="M1264" t="s">
        <v>83</v>
      </c>
      <c r="O1264">
        <f>IF(Table13[[#This Row],[Goal_assist]]="",1,0)</f>
        <v>1</v>
      </c>
    </row>
    <row r="1265" spans="1:15" x14ac:dyDescent="0.35">
      <c r="A1265" t="s">
        <v>64</v>
      </c>
      <c r="B1265" t="s">
        <v>351</v>
      </c>
      <c r="C1265" t="s">
        <v>65</v>
      </c>
      <c r="D1265">
        <v>37</v>
      </c>
      <c r="E1265" s="2">
        <v>44028</v>
      </c>
      <c r="F1265" t="s">
        <v>16</v>
      </c>
      <c r="G1265" t="s">
        <v>66</v>
      </c>
      <c r="H1265" t="s">
        <v>100</v>
      </c>
      <c r="I1265" s="3">
        <v>4.3055555555555555E-2</v>
      </c>
      <c r="J1265" t="s">
        <v>275</v>
      </c>
      <c r="K1265">
        <v>62</v>
      </c>
      <c r="L1265" s="3">
        <v>4.2361111111111113E-2</v>
      </c>
      <c r="M1265" t="s">
        <v>39</v>
      </c>
      <c r="O1265">
        <f>IF(Table13[[#This Row],[Goal_assist]]="",1,0)</f>
        <v>1</v>
      </c>
    </row>
    <row r="1266" spans="1:15" x14ac:dyDescent="0.35">
      <c r="A1266" t="s">
        <v>64</v>
      </c>
      <c r="B1266" t="s">
        <v>351</v>
      </c>
      <c r="C1266" t="s">
        <v>65</v>
      </c>
      <c r="D1266">
        <v>38</v>
      </c>
      <c r="E1266" s="2">
        <v>44031</v>
      </c>
      <c r="F1266" t="s">
        <v>24</v>
      </c>
      <c r="G1266" t="s">
        <v>66</v>
      </c>
      <c r="H1266" t="s">
        <v>88</v>
      </c>
      <c r="I1266" s="3">
        <v>3.472222222222222E-3</v>
      </c>
      <c r="J1266" t="s">
        <v>275</v>
      </c>
      <c r="K1266">
        <v>34</v>
      </c>
      <c r="L1266" s="3">
        <v>1.3888888888888889E-3</v>
      </c>
      <c r="M1266" t="s">
        <v>31</v>
      </c>
      <c r="N1266" t="s">
        <v>366</v>
      </c>
      <c r="O1266">
        <f>IF(Table13[[#This Row],[Goal_assist]]="",1,0)</f>
        <v>0</v>
      </c>
    </row>
    <row r="1267" spans="1:15" x14ac:dyDescent="0.35">
      <c r="A1267" t="s">
        <v>64</v>
      </c>
      <c r="B1267" t="s">
        <v>351</v>
      </c>
      <c r="C1267" t="s">
        <v>65</v>
      </c>
      <c r="D1267">
        <v>38</v>
      </c>
      <c r="E1267" s="2">
        <v>44031</v>
      </c>
      <c r="F1267" t="s">
        <v>24</v>
      </c>
      <c r="G1267" t="s">
        <v>66</v>
      </c>
      <c r="H1267" t="s">
        <v>88</v>
      </c>
      <c r="I1267" s="3">
        <v>3.472222222222222E-3</v>
      </c>
      <c r="J1267" t="s">
        <v>275</v>
      </c>
      <c r="K1267">
        <v>75</v>
      </c>
      <c r="L1267" s="3">
        <v>3.472222222222222E-3</v>
      </c>
      <c r="M1267" t="s">
        <v>31</v>
      </c>
      <c r="N1267" t="s">
        <v>243</v>
      </c>
      <c r="O1267">
        <f>IF(Table13[[#This Row],[Goal_assist]]="",1,0)</f>
        <v>0</v>
      </c>
    </row>
    <row r="1268" spans="1:15" x14ac:dyDescent="0.35">
      <c r="A1268" t="s">
        <v>14</v>
      </c>
      <c r="B1268" t="s">
        <v>351</v>
      </c>
      <c r="C1268" t="s">
        <v>321</v>
      </c>
      <c r="D1268">
        <v>34</v>
      </c>
      <c r="E1268" s="2">
        <v>44032</v>
      </c>
      <c r="F1268" t="s">
        <v>16</v>
      </c>
      <c r="G1268" t="s">
        <v>260</v>
      </c>
      <c r="H1268" t="s">
        <v>343</v>
      </c>
      <c r="I1268" s="3">
        <v>8.4027777777777785E-2</v>
      </c>
      <c r="J1268" t="s">
        <v>19</v>
      </c>
      <c r="K1268">
        <v>54</v>
      </c>
      <c r="L1268" s="3">
        <v>8.3333333333333329E-2</v>
      </c>
      <c r="M1268" t="s">
        <v>162</v>
      </c>
      <c r="N1268" t="s">
        <v>340</v>
      </c>
      <c r="O1268">
        <f>IF(Table13[[#This Row],[Goal_assist]]="",1,0)</f>
        <v>0</v>
      </c>
    </row>
    <row r="1269" spans="1:15" x14ac:dyDescent="0.35">
      <c r="A1269" t="s">
        <v>14</v>
      </c>
      <c r="B1269" t="s">
        <v>351</v>
      </c>
      <c r="C1269" t="s">
        <v>321</v>
      </c>
      <c r="D1269">
        <v>34</v>
      </c>
      <c r="E1269" s="2">
        <v>44032</v>
      </c>
      <c r="F1269" t="s">
        <v>16</v>
      </c>
      <c r="G1269" t="s">
        <v>260</v>
      </c>
      <c r="H1269" t="s">
        <v>343</v>
      </c>
      <c r="I1269" s="3">
        <v>8.4027777777777785E-2</v>
      </c>
      <c r="J1269" t="s">
        <v>19</v>
      </c>
      <c r="K1269">
        <v>51</v>
      </c>
      <c r="L1269" s="3">
        <v>4.1666666666666664E-2</v>
      </c>
      <c r="M1269" t="s">
        <v>83</v>
      </c>
      <c r="O1269">
        <f>IF(Table13[[#This Row],[Goal_assist]]="",1,0)</f>
        <v>1</v>
      </c>
    </row>
    <row r="1270" spans="1:15" x14ac:dyDescent="0.35">
      <c r="A1270" t="s">
        <v>14</v>
      </c>
      <c r="B1270" t="s">
        <v>351</v>
      </c>
      <c r="C1270" t="s">
        <v>321</v>
      </c>
      <c r="D1270">
        <v>36</v>
      </c>
      <c r="E1270" s="2">
        <v>44038</v>
      </c>
      <c r="F1270" t="s">
        <v>16</v>
      </c>
      <c r="G1270" t="s">
        <v>260</v>
      </c>
      <c r="H1270" t="s">
        <v>339</v>
      </c>
      <c r="I1270" s="3">
        <v>8.3333333333333329E-2</v>
      </c>
      <c r="J1270" t="s">
        <v>19</v>
      </c>
      <c r="K1270" t="s">
        <v>367</v>
      </c>
      <c r="L1270" s="3">
        <v>4.1666666666666664E-2</v>
      </c>
      <c r="M1270" t="s">
        <v>26</v>
      </c>
      <c r="N1270" t="s">
        <v>334</v>
      </c>
      <c r="O1270">
        <f>IF(Table13[[#This Row],[Goal_assist]]="",1,0)</f>
        <v>0</v>
      </c>
    </row>
    <row r="1271" spans="1:15" x14ac:dyDescent="0.35">
      <c r="A1271" t="s">
        <v>14</v>
      </c>
      <c r="B1271" t="s">
        <v>351</v>
      </c>
      <c r="C1271" t="s">
        <v>75</v>
      </c>
      <c r="D1271" t="s">
        <v>143</v>
      </c>
      <c r="E1271" s="2">
        <v>44050</v>
      </c>
      <c r="F1271" t="s">
        <v>16</v>
      </c>
      <c r="G1271" t="s">
        <v>260</v>
      </c>
      <c r="H1271" t="s">
        <v>125</v>
      </c>
      <c r="I1271" s="3">
        <v>8.4027777777777785E-2</v>
      </c>
      <c r="J1271" t="s">
        <v>19</v>
      </c>
      <c r="K1271">
        <v>43</v>
      </c>
      <c r="L1271" s="3">
        <v>4.2361111111111113E-2</v>
      </c>
      <c r="M1271" t="s">
        <v>83</v>
      </c>
      <c r="O1271">
        <f>IF(Table13[[#This Row],[Goal_assist]]="",1,0)</f>
        <v>1</v>
      </c>
    </row>
    <row r="1272" spans="1:15" x14ac:dyDescent="0.35">
      <c r="A1272" t="s">
        <v>14</v>
      </c>
      <c r="B1272" t="s">
        <v>351</v>
      </c>
      <c r="C1272" t="s">
        <v>75</v>
      </c>
      <c r="D1272" t="s">
        <v>143</v>
      </c>
      <c r="E1272" s="2">
        <v>44050</v>
      </c>
      <c r="F1272" t="s">
        <v>16</v>
      </c>
      <c r="G1272" t="s">
        <v>260</v>
      </c>
      <c r="H1272" t="s">
        <v>125</v>
      </c>
      <c r="I1272" s="3">
        <v>8.4027777777777785E-2</v>
      </c>
      <c r="J1272" t="s">
        <v>19</v>
      </c>
      <c r="K1272">
        <v>60</v>
      </c>
      <c r="L1272" s="3">
        <v>8.4027777777777785E-2</v>
      </c>
      <c r="M1272" t="s">
        <v>31</v>
      </c>
      <c r="N1272" t="s">
        <v>345</v>
      </c>
      <c r="O1272">
        <f>IF(Table13[[#This Row],[Goal_assist]]="",1,0)</f>
        <v>0</v>
      </c>
    </row>
    <row r="1273" spans="1:15" x14ac:dyDescent="0.35">
      <c r="A1273" t="s">
        <v>64</v>
      </c>
      <c r="B1273" t="s">
        <v>351</v>
      </c>
      <c r="C1273" t="s">
        <v>75</v>
      </c>
      <c r="D1273" t="s">
        <v>143</v>
      </c>
      <c r="E1273" s="2">
        <v>44051</v>
      </c>
      <c r="F1273" t="s">
        <v>16</v>
      </c>
      <c r="G1273" t="s">
        <v>66</v>
      </c>
      <c r="H1273" t="s">
        <v>352</v>
      </c>
      <c r="I1273" s="3">
        <v>0.12569444444444444</v>
      </c>
      <c r="J1273" t="s">
        <v>311</v>
      </c>
      <c r="K1273">
        <v>23</v>
      </c>
      <c r="L1273" s="3">
        <v>8.3333333333333329E-2</v>
      </c>
      <c r="M1273" t="s">
        <v>31</v>
      </c>
      <c r="O1273">
        <f>IF(Table13[[#This Row],[Goal_assist]]="",1,0)</f>
        <v>1</v>
      </c>
    </row>
    <row r="1274" spans="1:15" x14ac:dyDescent="0.35">
      <c r="A1274" t="s">
        <v>14</v>
      </c>
      <c r="B1274" t="s">
        <v>368</v>
      </c>
      <c r="C1274" t="s">
        <v>321</v>
      </c>
      <c r="D1274">
        <v>1</v>
      </c>
      <c r="E1274" s="2">
        <v>44094</v>
      </c>
      <c r="F1274" t="s">
        <v>16</v>
      </c>
      <c r="G1274" t="s">
        <v>260</v>
      </c>
      <c r="H1274" t="s">
        <v>339</v>
      </c>
      <c r="I1274" s="3">
        <v>0.125</v>
      </c>
      <c r="J1274" t="s">
        <v>68</v>
      </c>
      <c r="K1274">
        <v>88</v>
      </c>
      <c r="L1274" s="3">
        <v>0.125</v>
      </c>
      <c r="M1274" t="s">
        <v>26</v>
      </c>
      <c r="N1274" t="s">
        <v>369</v>
      </c>
      <c r="O1274">
        <f>IF(Table13[[#This Row],[Goal_assist]]="",1,0)</f>
        <v>0</v>
      </c>
    </row>
    <row r="1275" spans="1:15" x14ac:dyDescent="0.35">
      <c r="A1275" t="s">
        <v>14</v>
      </c>
      <c r="B1275" t="s">
        <v>368</v>
      </c>
      <c r="C1275" t="s">
        <v>321</v>
      </c>
      <c r="D1275">
        <v>2</v>
      </c>
      <c r="E1275" s="2">
        <v>44101</v>
      </c>
      <c r="F1275" t="s">
        <v>24</v>
      </c>
      <c r="G1275" t="s">
        <v>260</v>
      </c>
      <c r="H1275" t="s">
        <v>116</v>
      </c>
      <c r="I1275" s="3">
        <v>8.4722222222222227E-2</v>
      </c>
      <c r="J1275" t="s">
        <v>68</v>
      </c>
      <c r="K1275">
        <v>44</v>
      </c>
      <c r="L1275" s="3">
        <v>4.2361111111111113E-2</v>
      </c>
      <c r="M1275" t="s">
        <v>83</v>
      </c>
      <c r="O1275">
        <f>IF(Table13[[#This Row],[Goal_assist]]="",1,0)</f>
        <v>1</v>
      </c>
    </row>
    <row r="1276" spans="1:15" x14ac:dyDescent="0.35">
      <c r="A1276" t="s">
        <v>64</v>
      </c>
      <c r="B1276" t="s">
        <v>368</v>
      </c>
      <c r="C1276" t="s">
        <v>65</v>
      </c>
      <c r="D1276">
        <v>3</v>
      </c>
      <c r="E1276" s="2">
        <v>44101</v>
      </c>
      <c r="F1276" t="s">
        <v>16</v>
      </c>
      <c r="G1276" t="s">
        <v>66</v>
      </c>
      <c r="H1276" t="s">
        <v>180</v>
      </c>
      <c r="I1276" s="3">
        <v>0.16666666666666666</v>
      </c>
      <c r="J1276" t="s">
        <v>251</v>
      </c>
      <c r="K1276">
        <v>35</v>
      </c>
      <c r="L1276" s="3">
        <v>0.125</v>
      </c>
      <c r="M1276" t="s">
        <v>83</v>
      </c>
      <c r="O1276">
        <f>IF(Table13[[#This Row],[Goal_assist]]="",1,0)</f>
        <v>1</v>
      </c>
    </row>
    <row r="1277" spans="1:15" x14ac:dyDescent="0.35">
      <c r="A1277" t="s">
        <v>14</v>
      </c>
      <c r="B1277" t="s">
        <v>368</v>
      </c>
      <c r="C1277" t="s">
        <v>321</v>
      </c>
      <c r="D1277">
        <v>2</v>
      </c>
      <c r="E1277" s="2">
        <v>44101</v>
      </c>
      <c r="F1277" t="s">
        <v>24</v>
      </c>
      <c r="G1277" t="s">
        <v>260</v>
      </c>
      <c r="H1277" t="s">
        <v>116</v>
      </c>
      <c r="I1277" s="3">
        <v>8.4722222222222227E-2</v>
      </c>
      <c r="J1277" t="s">
        <v>68</v>
      </c>
      <c r="K1277">
        <v>69</v>
      </c>
      <c r="L1277" s="3">
        <v>8.4722222222222227E-2</v>
      </c>
      <c r="M1277" t="s">
        <v>22</v>
      </c>
      <c r="N1277" t="s">
        <v>285</v>
      </c>
      <c r="O1277">
        <f>IF(Table13[[#This Row],[Goal_assist]]="",1,0)</f>
        <v>0</v>
      </c>
    </row>
    <row r="1278" spans="1:15" x14ac:dyDescent="0.35">
      <c r="A1278" t="s">
        <v>64</v>
      </c>
      <c r="B1278" t="s">
        <v>368</v>
      </c>
      <c r="C1278" t="s">
        <v>75</v>
      </c>
      <c r="D1278" t="s">
        <v>76</v>
      </c>
      <c r="E1278" s="2">
        <v>44124</v>
      </c>
      <c r="F1278" t="s">
        <v>16</v>
      </c>
      <c r="G1278" t="s">
        <v>66</v>
      </c>
      <c r="H1278" t="s">
        <v>370</v>
      </c>
      <c r="I1278" s="3">
        <v>0.20902777777777778</v>
      </c>
      <c r="J1278" t="s">
        <v>251</v>
      </c>
      <c r="K1278">
        <v>27</v>
      </c>
      <c r="L1278" s="3">
        <v>4.1666666666666664E-2</v>
      </c>
      <c r="M1278" t="s">
        <v>83</v>
      </c>
      <c r="O1278">
        <f>IF(Table13[[#This Row],[Goal_assist]]="",1,0)</f>
        <v>1</v>
      </c>
    </row>
    <row r="1279" spans="1:15" x14ac:dyDescent="0.35">
      <c r="A1279" t="s">
        <v>64</v>
      </c>
      <c r="B1279" t="s">
        <v>368</v>
      </c>
      <c r="C1279" t="s">
        <v>75</v>
      </c>
      <c r="D1279" t="s">
        <v>76</v>
      </c>
      <c r="E1279" s="2">
        <v>44132</v>
      </c>
      <c r="F1279" t="s">
        <v>24</v>
      </c>
      <c r="G1279" t="s">
        <v>66</v>
      </c>
      <c r="H1279" t="s">
        <v>260</v>
      </c>
      <c r="I1279" s="3">
        <v>1.3888888888888889E-3</v>
      </c>
      <c r="J1279" t="s">
        <v>251</v>
      </c>
      <c r="K1279" t="s">
        <v>69</v>
      </c>
      <c r="L1279" s="3">
        <v>1.3888888888888889E-3</v>
      </c>
      <c r="M1279" t="s">
        <v>83</v>
      </c>
      <c r="O1279">
        <f>IF(Table13[[#This Row],[Goal_assist]]="",1,0)</f>
        <v>1</v>
      </c>
    </row>
    <row r="1280" spans="1:15" x14ac:dyDescent="0.35">
      <c r="A1280" t="s">
        <v>14</v>
      </c>
      <c r="B1280" t="s">
        <v>368</v>
      </c>
      <c r="C1280" t="s">
        <v>321</v>
      </c>
      <c r="D1280">
        <v>6</v>
      </c>
      <c r="E1280" s="2">
        <v>44136</v>
      </c>
      <c r="F1280" t="s">
        <v>24</v>
      </c>
      <c r="G1280" t="s">
        <v>260</v>
      </c>
      <c r="H1280" t="s">
        <v>371</v>
      </c>
      <c r="I1280" s="3">
        <v>4.4444444444444446E-2</v>
      </c>
      <c r="J1280" t="s">
        <v>68</v>
      </c>
      <c r="K1280">
        <v>59</v>
      </c>
      <c r="L1280" s="3">
        <v>4.3055555555555555E-2</v>
      </c>
      <c r="M1280" t="s">
        <v>26</v>
      </c>
      <c r="N1280" t="s">
        <v>295</v>
      </c>
      <c r="O1280">
        <f>IF(Table13[[#This Row],[Goal_assist]]="",1,0)</f>
        <v>0</v>
      </c>
    </row>
    <row r="1281" spans="1:15" x14ac:dyDescent="0.35">
      <c r="A1281" t="s">
        <v>14</v>
      </c>
      <c r="B1281" t="s">
        <v>368</v>
      </c>
      <c r="C1281" t="s">
        <v>321</v>
      </c>
      <c r="D1281">
        <v>6</v>
      </c>
      <c r="E1281" s="2">
        <v>44136</v>
      </c>
      <c r="F1281" t="s">
        <v>24</v>
      </c>
      <c r="G1281" t="s">
        <v>260</v>
      </c>
      <c r="H1281" t="s">
        <v>371</v>
      </c>
      <c r="I1281" s="3">
        <v>4.4444444444444446E-2</v>
      </c>
      <c r="J1281" t="s">
        <v>68</v>
      </c>
      <c r="K1281">
        <v>76</v>
      </c>
      <c r="L1281" s="3">
        <v>4.4444444444444446E-2</v>
      </c>
      <c r="M1281" t="s">
        <v>83</v>
      </c>
      <c r="O1281">
        <f>IF(Table13[[#This Row],[Goal_assist]]="",1,0)</f>
        <v>1</v>
      </c>
    </row>
    <row r="1282" spans="1:15" x14ac:dyDescent="0.35">
      <c r="A1282" t="s">
        <v>64</v>
      </c>
      <c r="B1282" t="s">
        <v>368</v>
      </c>
      <c r="C1282" t="s">
        <v>75</v>
      </c>
      <c r="D1282" t="s">
        <v>76</v>
      </c>
      <c r="E1282" s="2">
        <v>44139</v>
      </c>
      <c r="F1282" t="s">
        <v>16</v>
      </c>
      <c r="G1282" t="s">
        <v>66</v>
      </c>
      <c r="H1282" t="s">
        <v>130</v>
      </c>
      <c r="I1282" s="3">
        <v>8.4027777777777785E-2</v>
      </c>
      <c r="J1282" t="s">
        <v>275</v>
      </c>
      <c r="K1282">
        <v>5</v>
      </c>
      <c r="L1282" s="3">
        <v>4.1666666666666664E-2</v>
      </c>
      <c r="M1282" t="s">
        <v>83</v>
      </c>
      <c r="O1282">
        <f>IF(Table13[[#This Row],[Goal_assist]]="",1,0)</f>
        <v>1</v>
      </c>
    </row>
    <row r="1283" spans="1:15" x14ac:dyDescent="0.35">
      <c r="A1283" t="s">
        <v>64</v>
      </c>
      <c r="B1283" t="s">
        <v>368</v>
      </c>
      <c r="C1283" t="s">
        <v>65</v>
      </c>
      <c r="D1283">
        <v>9</v>
      </c>
      <c r="E1283" s="2">
        <v>44142</v>
      </c>
      <c r="F1283" t="s">
        <v>16</v>
      </c>
      <c r="G1283" t="s">
        <v>66</v>
      </c>
      <c r="H1283" t="s">
        <v>95</v>
      </c>
      <c r="I1283" s="3">
        <v>0.20972222222222223</v>
      </c>
      <c r="J1283" t="s">
        <v>68</v>
      </c>
      <c r="K1283">
        <v>82</v>
      </c>
      <c r="L1283" s="3">
        <v>0.16805555555555557</v>
      </c>
      <c r="M1283" t="s">
        <v>31</v>
      </c>
      <c r="N1283" t="s">
        <v>293</v>
      </c>
      <c r="O1283">
        <f>IF(Table13[[#This Row],[Goal_assist]]="",1,0)</f>
        <v>0</v>
      </c>
    </row>
    <row r="1284" spans="1:15" x14ac:dyDescent="0.35">
      <c r="A1284" t="s">
        <v>64</v>
      </c>
      <c r="B1284" t="s">
        <v>368</v>
      </c>
      <c r="C1284" t="s">
        <v>65</v>
      </c>
      <c r="D1284">
        <v>9</v>
      </c>
      <c r="E1284" s="2">
        <v>44142</v>
      </c>
      <c r="F1284" t="s">
        <v>16</v>
      </c>
      <c r="G1284" t="s">
        <v>66</v>
      </c>
      <c r="H1284" t="s">
        <v>95</v>
      </c>
      <c r="I1284" s="3">
        <v>0.20972222222222223</v>
      </c>
      <c r="J1284" t="s">
        <v>68</v>
      </c>
      <c r="K1284">
        <v>61</v>
      </c>
      <c r="L1284" s="3">
        <v>0.12569444444444444</v>
      </c>
      <c r="M1284" t="s">
        <v>83</v>
      </c>
      <c r="O1284">
        <f>IF(Table13[[#This Row],[Goal_assist]]="",1,0)</f>
        <v>1</v>
      </c>
    </row>
    <row r="1285" spans="1:15" x14ac:dyDescent="0.35">
      <c r="A1285" t="s">
        <v>14</v>
      </c>
      <c r="B1285" t="s">
        <v>368</v>
      </c>
      <c r="C1285" t="s">
        <v>321</v>
      </c>
      <c r="D1285">
        <v>7</v>
      </c>
      <c r="E1285" s="2">
        <v>44143</v>
      </c>
      <c r="F1285" t="s">
        <v>24</v>
      </c>
      <c r="G1285" t="s">
        <v>260</v>
      </c>
      <c r="H1285" t="s">
        <v>343</v>
      </c>
      <c r="I1285" s="3">
        <v>4.2361111111111113E-2</v>
      </c>
      <c r="J1285" t="s">
        <v>19</v>
      </c>
      <c r="K1285">
        <v>15</v>
      </c>
      <c r="L1285" s="3">
        <v>6.9444444444444447E-4</v>
      </c>
      <c r="M1285" t="s">
        <v>26</v>
      </c>
      <c r="N1285" t="s">
        <v>364</v>
      </c>
      <c r="O1285">
        <f>IF(Table13[[#This Row],[Goal_assist]]="",1,0)</f>
        <v>0</v>
      </c>
    </row>
    <row r="1286" spans="1:15" x14ac:dyDescent="0.35">
      <c r="A1286" t="s">
        <v>14</v>
      </c>
      <c r="B1286" t="s">
        <v>368</v>
      </c>
      <c r="C1286" t="s">
        <v>321</v>
      </c>
      <c r="D1286">
        <v>8</v>
      </c>
      <c r="E1286" s="2">
        <v>44156</v>
      </c>
      <c r="F1286" t="s">
        <v>16</v>
      </c>
      <c r="G1286" t="s">
        <v>260</v>
      </c>
      <c r="H1286" t="s">
        <v>361</v>
      </c>
      <c r="I1286" s="3">
        <v>8.3333333333333329E-2</v>
      </c>
      <c r="J1286" t="s">
        <v>68</v>
      </c>
      <c r="K1286">
        <v>38</v>
      </c>
      <c r="L1286" s="3">
        <v>4.1666666666666664E-2</v>
      </c>
      <c r="M1286" t="s">
        <v>26</v>
      </c>
      <c r="N1286" t="s">
        <v>295</v>
      </c>
      <c r="O1286">
        <f>IF(Table13[[#This Row],[Goal_assist]]="",1,0)</f>
        <v>0</v>
      </c>
    </row>
    <row r="1287" spans="1:15" x14ac:dyDescent="0.35">
      <c r="A1287" t="s">
        <v>14</v>
      </c>
      <c r="B1287" t="s">
        <v>368</v>
      </c>
      <c r="C1287" t="s">
        <v>321</v>
      </c>
      <c r="D1287">
        <v>8</v>
      </c>
      <c r="E1287" s="2">
        <v>44156</v>
      </c>
      <c r="F1287" t="s">
        <v>16</v>
      </c>
      <c r="G1287" t="s">
        <v>260</v>
      </c>
      <c r="H1287" t="s">
        <v>361</v>
      </c>
      <c r="I1287" s="3">
        <v>8.3333333333333329E-2</v>
      </c>
      <c r="J1287" t="s">
        <v>68</v>
      </c>
      <c r="K1287">
        <v>42</v>
      </c>
      <c r="L1287" s="3">
        <v>8.3333333333333329E-2</v>
      </c>
      <c r="M1287" t="s">
        <v>26</v>
      </c>
      <c r="N1287" t="s">
        <v>372</v>
      </c>
      <c r="O1287">
        <f>IF(Table13[[#This Row],[Goal_assist]]="",1,0)</f>
        <v>0</v>
      </c>
    </row>
    <row r="1288" spans="1:15" x14ac:dyDescent="0.35">
      <c r="A1288" t="s">
        <v>14</v>
      </c>
      <c r="B1288" t="s">
        <v>368</v>
      </c>
      <c r="C1288" t="s">
        <v>75</v>
      </c>
      <c r="D1288" t="s">
        <v>76</v>
      </c>
      <c r="E1288" s="2">
        <v>44159</v>
      </c>
      <c r="F1288" t="s">
        <v>16</v>
      </c>
      <c r="G1288" t="s">
        <v>260</v>
      </c>
      <c r="H1288" t="s">
        <v>370</v>
      </c>
      <c r="I1288" s="3">
        <v>8.4027777777777785E-2</v>
      </c>
      <c r="J1288" t="s">
        <v>68</v>
      </c>
      <c r="K1288">
        <v>35</v>
      </c>
      <c r="L1288" s="3">
        <v>4.2361111111111113E-2</v>
      </c>
      <c r="M1288" t="s">
        <v>31</v>
      </c>
      <c r="N1288" t="s">
        <v>364</v>
      </c>
      <c r="O1288">
        <f>IF(Table13[[#This Row],[Goal_assist]]="",1,0)</f>
        <v>0</v>
      </c>
    </row>
    <row r="1289" spans="1:15" x14ac:dyDescent="0.35">
      <c r="A1289" t="s">
        <v>64</v>
      </c>
      <c r="B1289" t="s">
        <v>368</v>
      </c>
      <c r="C1289" t="s">
        <v>65</v>
      </c>
      <c r="D1289">
        <v>11</v>
      </c>
      <c r="E1289" s="2">
        <v>44164</v>
      </c>
      <c r="F1289" t="s">
        <v>16</v>
      </c>
      <c r="G1289" t="s">
        <v>66</v>
      </c>
      <c r="H1289" t="s">
        <v>100</v>
      </c>
      <c r="I1289" s="3">
        <v>0.16666666666666666</v>
      </c>
      <c r="J1289" t="s">
        <v>275</v>
      </c>
      <c r="K1289">
        <v>73</v>
      </c>
      <c r="L1289" s="3">
        <v>0.16666666666666666</v>
      </c>
      <c r="M1289" t="s">
        <v>31</v>
      </c>
      <c r="N1289" t="s">
        <v>373</v>
      </c>
      <c r="O1289">
        <f>IF(Table13[[#This Row],[Goal_assist]]="",1,0)</f>
        <v>0</v>
      </c>
    </row>
    <row r="1290" spans="1:15" x14ac:dyDescent="0.35">
      <c r="A1290" t="s">
        <v>14</v>
      </c>
      <c r="B1290" t="s">
        <v>368</v>
      </c>
      <c r="C1290" t="s">
        <v>75</v>
      </c>
      <c r="D1290" t="s">
        <v>76</v>
      </c>
      <c r="E1290" s="2">
        <v>44167</v>
      </c>
      <c r="F1290" t="s">
        <v>16</v>
      </c>
      <c r="G1290" t="s">
        <v>260</v>
      </c>
      <c r="H1290" t="s">
        <v>130</v>
      </c>
      <c r="I1290" s="3">
        <v>0.125</v>
      </c>
      <c r="J1290" t="s">
        <v>68</v>
      </c>
      <c r="K1290">
        <v>57</v>
      </c>
      <c r="L1290" s="3">
        <v>8.3333333333333329E-2</v>
      </c>
      <c r="M1290" t="s">
        <v>26</v>
      </c>
      <c r="N1290" t="s">
        <v>295</v>
      </c>
      <c r="O1290">
        <f>IF(Table13[[#This Row],[Goal_assist]]="",1,0)</f>
        <v>0</v>
      </c>
    </row>
    <row r="1291" spans="1:15" x14ac:dyDescent="0.35">
      <c r="A1291" t="s">
        <v>14</v>
      </c>
      <c r="B1291" t="s">
        <v>368</v>
      </c>
      <c r="C1291" t="s">
        <v>75</v>
      </c>
      <c r="D1291" t="s">
        <v>76</v>
      </c>
      <c r="E1291" s="2">
        <v>44173</v>
      </c>
      <c r="F1291" t="s">
        <v>24</v>
      </c>
      <c r="G1291" t="s">
        <v>260</v>
      </c>
      <c r="H1291" t="s">
        <v>66</v>
      </c>
      <c r="I1291" s="3">
        <v>2.0833333333333333E-3</v>
      </c>
      <c r="J1291" t="s">
        <v>68</v>
      </c>
      <c r="K1291">
        <v>13</v>
      </c>
      <c r="L1291" s="3">
        <v>6.9444444444444447E-4</v>
      </c>
      <c r="M1291" t="s">
        <v>83</v>
      </c>
      <c r="O1291">
        <f>IF(Table13[[#This Row],[Goal_assist]]="",1,0)</f>
        <v>1</v>
      </c>
    </row>
    <row r="1292" spans="1:15" x14ac:dyDescent="0.35">
      <c r="A1292" t="s">
        <v>14</v>
      </c>
      <c r="B1292" t="s">
        <v>368</v>
      </c>
      <c r="C1292" t="s">
        <v>75</v>
      </c>
      <c r="D1292" t="s">
        <v>76</v>
      </c>
      <c r="E1292" s="2">
        <v>44173</v>
      </c>
      <c r="F1292" t="s">
        <v>24</v>
      </c>
      <c r="G1292" t="s">
        <v>260</v>
      </c>
      <c r="H1292" t="s">
        <v>66</v>
      </c>
      <c r="I1292" s="3">
        <v>2.0833333333333333E-3</v>
      </c>
      <c r="J1292" t="s">
        <v>68</v>
      </c>
      <c r="K1292">
        <v>52</v>
      </c>
      <c r="L1292" s="3">
        <v>2.0833333333333333E-3</v>
      </c>
      <c r="M1292" t="s">
        <v>83</v>
      </c>
      <c r="O1292">
        <f>IF(Table13[[#This Row],[Goal_assist]]="",1,0)</f>
        <v>1</v>
      </c>
    </row>
    <row r="1293" spans="1:15" x14ac:dyDescent="0.35">
      <c r="A1293" t="s">
        <v>14</v>
      </c>
      <c r="B1293" t="s">
        <v>368</v>
      </c>
      <c r="C1293" t="s">
        <v>321</v>
      </c>
      <c r="D1293">
        <v>11</v>
      </c>
      <c r="E1293" s="2">
        <v>44178</v>
      </c>
      <c r="F1293" t="s">
        <v>24</v>
      </c>
      <c r="G1293" t="s">
        <v>260</v>
      </c>
      <c r="H1293" t="s">
        <v>329</v>
      </c>
      <c r="I1293" s="3">
        <v>4.3749999999999997E-2</v>
      </c>
      <c r="J1293" t="s">
        <v>68</v>
      </c>
      <c r="K1293">
        <v>78</v>
      </c>
      <c r="L1293" s="3">
        <v>4.3055555555555555E-2</v>
      </c>
      <c r="M1293" t="s">
        <v>83</v>
      </c>
      <c r="O1293">
        <f>IF(Table13[[#This Row],[Goal_assist]]="",1,0)</f>
        <v>1</v>
      </c>
    </row>
    <row r="1294" spans="1:15" x14ac:dyDescent="0.35">
      <c r="A1294" t="s">
        <v>14</v>
      </c>
      <c r="B1294" t="s">
        <v>368</v>
      </c>
      <c r="C1294" t="s">
        <v>321</v>
      </c>
      <c r="D1294">
        <v>11</v>
      </c>
      <c r="E1294" s="2">
        <v>44178</v>
      </c>
      <c r="F1294" t="s">
        <v>24</v>
      </c>
      <c r="G1294" t="s">
        <v>260</v>
      </c>
      <c r="H1294" t="s">
        <v>329</v>
      </c>
      <c r="I1294" s="3">
        <v>4.3749999999999997E-2</v>
      </c>
      <c r="J1294" t="s">
        <v>68</v>
      </c>
      <c r="K1294">
        <v>89</v>
      </c>
      <c r="L1294" s="3">
        <v>4.3749999999999997E-2</v>
      </c>
      <c r="M1294" t="s">
        <v>83</v>
      </c>
      <c r="O1294">
        <f>IF(Table13[[#This Row],[Goal_assist]]="",1,0)</f>
        <v>1</v>
      </c>
    </row>
    <row r="1295" spans="1:15" x14ac:dyDescent="0.35">
      <c r="A1295" t="s">
        <v>64</v>
      </c>
      <c r="B1295" t="s">
        <v>368</v>
      </c>
      <c r="C1295" t="s">
        <v>65</v>
      </c>
      <c r="D1295">
        <v>13</v>
      </c>
      <c r="E1295" s="2">
        <v>44178</v>
      </c>
      <c r="F1295" t="s">
        <v>16</v>
      </c>
      <c r="G1295" t="s">
        <v>66</v>
      </c>
      <c r="H1295" t="s">
        <v>127</v>
      </c>
      <c r="I1295" s="3">
        <v>4.1666666666666664E-2</v>
      </c>
      <c r="J1295" t="s">
        <v>251</v>
      </c>
      <c r="K1295">
        <v>76</v>
      </c>
      <c r="L1295" s="3">
        <v>4.1666666666666664E-2</v>
      </c>
      <c r="M1295" t="s">
        <v>31</v>
      </c>
      <c r="N1295" t="s">
        <v>363</v>
      </c>
      <c r="O1295">
        <f>IF(Table13[[#This Row],[Goal_assist]]="",1,0)</f>
        <v>0</v>
      </c>
    </row>
    <row r="1296" spans="1:15" x14ac:dyDescent="0.35">
      <c r="A1296" t="s">
        <v>64</v>
      </c>
      <c r="B1296" t="s">
        <v>368</v>
      </c>
      <c r="C1296" t="s">
        <v>65</v>
      </c>
      <c r="D1296">
        <v>14</v>
      </c>
      <c r="E1296" s="2">
        <v>44184</v>
      </c>
      <c r="F1296" t="s">
        <v>16</v>
      </c>
      <c r="G1296" t="s">
        <v>66</v>
      </c>
      <c r="H1296" t="s">
        <v>148</v>
      </c>
      <c r="I1296" s="3">
        <v>8.4722222222222227E-2</v>
      </c>
      <c r="J1296" t="s">
        <v>251</v>
      </c>
      <c r="K1296" t="s">
        <v>374</v>
      </c>
      <c r="L1296" s="3">
        <v>4.2361111111111113E-2</v>
      </c>
      <c r="M1296" t="s">
        <v>22</v>
      </c>
      <c r="O1296">
        <f>IF(Table13[[#This Row],[Goal_assist]]="",1,0)</f>
        <v>1</v>
      </c>
    </row>
    <row r="1297" spans="1:15" x14ac:dyDescent="0.35">
      <c r="A1297" t="s">
        <v>14</v>
      </c>
      <c r="B1297" t="s">
        <v>368</v>
      </c>
      <c r="C1297" t="s">
        <v>321</v>
      </c>
      <c r="D1297">
        <v>13</v>
      </c>
      <c r="E1297" s="2">
        <v>44184</v>
      </c>
      <c r="F1297" t="s">
        <v>24</v>
      </c>
      <c r="G1297" t="s">
        <v>260</v>
      </c>
      <c r="H1297" t="s">
        <v>344</v>
      </c>
      <c r="I1297" s="3">
        <v>2.7777777777777779E-3</v>
      </c>
      <c r="J1297" t="s">
        <v>68</v>
      </c>
      <c r="K1297">
        <v>48</v>
      </c>
      <c r="L1297" s="3">
        <v>2.0833333333333333E-3</v>
      </c>
      <c r="M1297" t="s">
        <v>31</v>
      </c>
      <c r="N1297" t="s">
        <v>369</v>
      </c>
      <c r="O1297">
        <f>IF(Table13[[#This Row],[Goal_assist]]="",1,0)</f>
        <v>0</v>
      </c>
    </row>
    <row r="1298" spans="1:15" x14ac:dyDescent="0.35">
      <c r="A1298" t="s">
        <v>14</v>
      </c>
      <c r="B1298" t="s">
        <v>368</v>
      </c>
      <c r="C1298" t="s">
        <v>321</v>
      </c>
      <c r="D1298">
        <v>13</v>
      </c>
      <c r="E1298" s="2">
        <v>44184</v>
      </c>
      <c r="F1298" t="s">
        <v>24</v>
      </c>
      <c r="G1298" t="s">
        <v>260</v>
      </c>
      <c r="H1298" t="s">
        <v>344</v>
      </c>
      <c r="I1298" s="3">
        <v>2.7777777777777779E-3</v>
      </c>
      <c r="J1298" t="s">
        <v>68</v>
      </c>
      <c r="K1298">
        <v>26</v>
      </c>
      <c r="L1298" s="3">
        <v>1.3888888888888889E-3</v>
      </c>
      <c r="M1298" t="s">
        <v>22</v>
      </c>
      <c r="N1298" t="s">
        <v>295</v>
      </c>
      <c r="O1298">
        <f>IF(Table13[[#This Row],[Goal_assist]]="",1,0)</f>
        <v>0</v>
      </c>
    </row>
    <row r="1299" spans="1:15" x14ac:dyDescent="0.35">
      <c r="A1299" t="s">
        <v>64</v>
      </c>
      <c r="B1299" t="s">
        <v>368</v>
      </c>
      <c r="C1299" t="s">
        <v>65</v>
      </c>
      <c r="D1299">
        <v>15</v>
      </c>
      <c r="E1299" s="2">
        <v>44187</v>
      </c>
      <c r="F1299" t="s">
        <v>24</v>
      </c>
      <c r="G1299" t="s">
        <v>66</v>
      </c>
      <c r="H1299" t="s">
        <v>197</v>
      </c>
      <c r="I1299" s="3">
        <v>2.0833333333333333E-3</v>
      </c>
      <c r="J1299" t="s">
        <v>282</v>
      </c>
      <c r="K1299">
        <v>65</v>
      </c>
      <c r="L1299" s="3">
        <v>2.0833333333333333E-3</v>
      </c>
      <c r="M1299" t="s">
        <v>31</v>
      </c>
      <c r="N1299" t="s">
        <v>375</v>
      </c>
      <c r="O1299">
        <f>IF(Table13[[#This Row],[Goal_assist]]="",1,0)</f>
        <v>0</v>
      </c>
    </row>
    <row r="1300" spans="1:15" x14ac:dyDescent="0.35">
      <c r="A1300" t="s">
        <v>14</v>
      </c>
      <c r="B1300" t="s">
        <v>368</v>
      </c>
      <c r="C1300" t="s">
        <v>321</v>
      </c>
      <c r="D1300">
        <v>15</v>
      </c>
      <c r="E1300" s="2">
        <v>44199</v>
      </c>
      <c r="F1300" t="s">
        <v>16</v>
      </c>
      <c r="G1300" t="s">
        <v>260</v>
      </c>
      <c r="H1300" t="s">
        <v>327</v>
      </c>
      <c r="I1300" s="3">
        <v>0.1673611111111111</v>
      </c>
      <c r="J1300" t="s">
        <v>68</v>
      </c>
      <c r="K1300">
        <v>70</v>
      </c>
      <c r="L1300" s="3">
        <v>0.125</v>
      </c>
      <c r="M1300" t="s">
        <v>31</v>
      </c>
      <c r="N1300" t="s">
        <v>359</v>
      </c>
      <c r="O1300">
        <f>IF(Table13[[#This Row],[Goal_assist]]="",1,0)</f>
        <v>0</v>
      </c>
    </row>
    <row r="1301" spans="1:15" x14ac:dyDescent="0.35">
      <c r="A1301" t="s">
        <v>14</v>
      </c>
      <c r="B1301" t="s">
        <v>368</v>
      </c>
      <c r="C1301" t="s">
        <v>321</v>
      </c>
      <c r="D1301">
        <v>15</v>
      </c>
      <c r="E1301" s="2">
        <v>44199</v>
      </c>
      <c r="F1301" t="s">
        <v>16</v>
      </c>
      <c r="G1301" t="s">
        <v>260</v>
      </c>
      <c r="H1301" t="s">
        <v>327</v>
      </c>
      <c r="I1301" s="3">
        <v>0.1673611111111111</v>
      </c>
      <c r="J1301" t="s">
        <v>68</v>
      </c>
      <c r="K1301">
        <v>31</v>
      </c>
      <c r="L1301" s="3">
        <v>4.1666666666666664E-2</v>
      </c>
      <c r="M1301" t="s">
        <v>26</v>
      </c>
      <c r="N1301" t="s">
        <v>369</v>
      </c>
      <c r="O1301">
        <f>IF(Table13[[#This Row],[Goal_assist]]="",1,0)</f>
        <v>0</v>
      </c>
    </row>
    <row r="1302" spans="1:15" x14ac:dyDescent="0.35">
      <c r="A1302" t="s">
        <v>64</v>
      </c>
      <c r="B1302" t="s">
        <v>368</v>
      </c>
      <c r="C1302" t="s">
        <v>65</v>
      </c>
      <c r="D1302">
        <v>2</v>
      </c>
      <c r="E1302" s="2">
        <v>44202</v>
      </c>
      <c r="F1302" t="s">
        <v>24</v>
      </c>
      <c r="G1302" t="s">
        <v>66</v>
      </c>
      <c r="H1302" t="s">
        <v>86</v>
      </c>
      <c r="I1302" s="3">
        <v>8.5416666666666669E-2</v>
      </c>
      <c r="J1302" t="s">
        <v>251</v>
      </c>
      <c r="K1302">
        <v>62</v>
      </c>
      <c r="L1302" s="3">
        <v>4.3749999999999997E-2</v>
      </c>
      <c r="M1302" t="s">
        <v>31</v>
      </c>
      <c r="N1302" t="s">
        <v>355</v>
      </c>
      <c r="O1302">
        <f>IF(Table13[[#This Row],[Goal_assist]]="",1,0)</f>
        <v>0</v>
      </c>
    </row>
    <row r="1303" spans="1:15" x14ac:dyDescent="0.35">
      <c r="A1303" t="s">
        <v>64</v>
      </c>
      <c r="B1303" t="s">
        <v>368</v>
      </c>
      <c r="C1303" t="s">
        <v>65</v>
      </c>
      <c r="D1303">
        <v>2</v>
      </c>
      <c r="E1303" s="2">
        <v>44202</v>
      </c>
      <c r="F1303" t="s">
        <v>24</v>
      </c>
      <c r="G1303" t="s">
        <v>66</v>
      </c>
      <c r="H1303" t="s">
        <v>86</v>
      </c>
      <c r="I1303" s="3">
        <v>8.5416666666666669E-2</v>
      </c>
      <c r="J1303" t="s">
        <v>251</v>
      </c>
      <c r="K1303">
        <v>38</v>
      </c>
      <c r="L1303" s="3">
        <v>4.3055555555555555E-2</v>
      </c>
      <c r="M1303" t="s">
        <v>31</v>
      </c>
      <c r="N1303" t="s">
        <v>375</v>
      </c>
      <c r="O1303">
        <f>IF(Table13[[#This Row],[Goal_assist]]="",1,0)</f>
        <v>0</v>
      </c>
    </row>
    <row r="1304" spans="1:15" x14ac:dyDescent="0.35">
      <c r="A1304" t="s">
        <v>64</v>
      </c>
      <c r="B1304" t="s">
        <v>368</v>
      </c>
      <c r="C1304" t="s">
        <v>65</v>
      </c>
      <c r="D1304">
        <v>18</v>
      </c>
      <c r="E1304" s="2">
        <v>44205</v>
      </c>
      <c r="F1304" t="s">
        <v>24</v>
      </c>
      <c r="G1304" t="s">
        <v>66</v>
      </c>
      <c r="H1304" t="s">
        <v>233</v>
      </c>
      <c r="I1304" s="3">
        <v>2.7777777777777779E-3</v>
      </c>
      <c r="J1304" t="s">
        <v>251</v>
      </c>
      <c r="K1304">
        <v>35</v>
      </c>
      <c r="L1304" s="3">
        <v>1.3888888888888889E-3</v>
      </c>
      <c r="M1304" t="s">
        <v>31</v>
      </c>
      <c r="N1304" t="s">
        <v>355</v>
      </c>
      <c r="O1304">
        <f>IF(Table13[[#This Row],[Goal_assist]]="",1,0)</f>
        <v>0</v>
      </c>
    </row>
    <row r="1305" spans="1:15" x14ac:dyDescent="0.35">
      <c r="A1305" t="s">
        <v>64</v>
      </c>
      <c r="B1305" t="s">
        <v>368</v>
      </c>
      <c r="C1305" t="s">
        <v>65</v>
      </c>
      <c r="D1305">
        <v>18</v>
      </c>
      <c r="E1305" s="2">
        <v>44205</v>
      </c>
      <c r="F1305" t="s">
        <v>24</v>
      </c>
      <c r="G1305" t="s">
        <v>66</v>
      </c>
      <c r="H1305" t="s">
        <v>233</v>
      </c>
      <c r="I1305" s="3">
        <v>2.7777777777777779E-3</v>
      </c>
      <c r="J1305" t="s">
        <v>251</v>
      </c>
      <c r="K1305">
        <v>42</v>
      </c>
      <c r="L1305" s="3">
        <v>2.0833333333333333E-3</v>
      </c>
      <c r="M1305" t="s">
        <v>39</v>
      </c>
      <c r="O1305">
        <f>IF(Table13[[#This Row],[Goal_assist]]="",1,0)</f>
        <v>1</v>
      </c>
    </row>
    <row r="1306" spans="1:15" x14ac:dyDescent="0.35">
      <c r="A1306" t="s">
        <v>14</v>
      </c>
      <c r="B1306" t="s">
        <v>368</v>
      </c>
      <c r="C1306" t="s">
        <v>321</v>
      </c>
      <c r="D1306">
        <v>17</v>
      </c>
      <c r="E1306" s="2">
        <v>44206</v>
      </c>
      <c r="F1306" t="s">
        <v>16</v>
      </c>
      <c r="G1306" t="s">
        <v>260</v>
      </c>
      <c r="H1306" t="s">
        <v>322</v>
      </c>
      <c r="I1306" s="3">
        <v>0.12569444444444444</v>
      </c>
      <c r="J1306" t="s">
        <v>68</v>
      </c>
      <c r="K1306" t="s">
        <v>141</v>
      </c>
      <c r="L1306" s="3">
        <v>0.12569444444444444</v>
      </c>
      <c r="M1306" t="s">
        <v>26</v>
      </c>
      <c r="N1306" t="s">
        <v>285</v>
      </c>
      <c r="O1306">
        <f>IF(Table13[[#This Row],[Goal_assist]]="",1,0)</f>
        <v>0</v>
      </c>
    </row>
    <row r="1307" spans="1:15" x14ac:dyDescent="0.35">
      <c r="A1307" t="s">
        <v>14</v>
      </c>
      <c r="B1307" t="s">
        <v>368</v>
      </c>
      <c r="C1307" t="s">
        <v>341</v>
      </c>
      <c r="D1307" t="s">
        <v>46</v>
      </c>
      <c r="E1307" s="2">
        <v>44216</v>
      </c>
      <c r="F1307" t="s">
        <v>16</v>
      </c>
      <c r="G1307" t="s">
        <v>260</v>
      </c>
      <c r="H1307" t="s">
        <v>352</v>
      </c>
      <c r="I1307" s="3">
        <v>8.3333333333333329E-2</v>
      </c>
      <c r="J1307" t="s">
        <v>68</v>
      </c>
      <c r="K1307">
        <v>64</v>
      </c>
      <c r="L1307" s="3">
        <v>4.1666666666666664E-2</v>
      </c>
      <c r="M1307" t="s">
        <v>55</v>
      </c>
      <c r="O1307">
        <f>IF(Table13[[#This Row],[Goal_assist]]="",1,0)</f>
        <v>1</v>
      </c>
    </row>
    <row r="1308" spans="1:15" x14ac:dyDescent="0.35">
      <c r="A1308" t="s">
        <v>64</v>
      </c>
      <c r="B1308" t="s">
        <v>368</v>
      </c>
      <c r="C1308" t="s">
        <v>91</v>
      </c>
      <c r="D1308" t="s">
        <v>81</v>
      </c>
      <c r="E1308" s="2">
        <v>44223</v>
      </c>
      <c r="F1308" t="s">
        <v>24</v>
      </c>
      <c r="G1308" t="s">
        <v>66</v>
      </c>
      <c r="H1308" t="s">
        <v>225</v>
      </c>
      <c r="I1308" s="3">
        <v>4.3055555555555555E-2</v>
      </c>
      <c r="J1308" t="s">
        <v>251</v>
      </c>
      <c r="K1308">
        <v>69</v>
      </c>
      <c r="L1308" s="3">
        <v>4.2361111111111113E-2</v>
      </c>
      <c r="M1308" t="s">
        <v>31</v>
      </c>
      <c r="N1308" t="s">
        <v>355</v>
      </c>
      <c r="O1308">
        <f>IF(Table13[[#This Row],[Goal_assist]]="",1,0)</f>
        <v>0</v>
      </c>
    </row>
    <row r="1309" spans="1:15" x14ac:dyDescent="0.35">
      <c r="A1309" t="s">
        <v>64</v>
      </c>
      <c r="B1309" t="s">
        <v>368</v>
      </c>
      <c r="C1309" t="s">
        <v>65</v>
      </c>
      <c r="D1309">
        <v>21</v>
      </c>
      <c r="E1309" s="2">
        <v>44227</v>
      </c>
      <c r="F1309" t="s">
        <v>16</v>
      </c>
      <c r="G1309" t="s">
        <v>66</v>
      </c>
      <c r="H1309" t="s">
        <v>86</v>
      </c>
      <c r="I1309" s="3">
        <v>8.4027777777777785E-2</v>
      </c>
      <c r="J1309" t="s">
        <v>251</v>
      </c>
      <c r="K1309">
        <v>20</v>
      </c>
      <c r="L1309" s="3">
        <v>4.1666666666666664E-2</v>
      </c>
      <c r="M1309" t="s">
        <v>39</v>
      </c>
      <c r="O1309">
        <f>IF(Table13[[#This Row],[Goal_assist]]="",1,0)</f>
        <v>1</v>
      </c>
    </row>
    <row r="1310" spans="1:15" x14ac:dyDescent="0.35">
      <c r="A1310" t="s">
        <v>14</v>
      </c>
      <c r="B1310" t="s">
        <v>368</v>
      </c>
      <c r="C1310" t="s">
        <v>362</v>
      </c>
      <c r="D1310" t="s">
        <v>62</v>
      </c>
      <c r="E1310" s="2">
        <v>44229</v>
      </c>
      <c r="F1310" t="s">
        <v>24</v>
      </c>
      <c r="G1310" t="s">
        <v>260</v>
      </c>
      <c r="H1310" t="s">
        <v>348</v>
      </c>
      <c r="I1310" s="3">
        <v>4.3055555555555555E-2</v>
      </c>
      <c r="J1310" t="s">
        <v>68</v>
      </c>
      <c r="K1310">
        <v>35</v>
      </c>
      <c r="L1310" s="3">
        <v>4.3055555555555555E-2</v>
      </c>
      <c r="M1310" t="s">
        <v>31</v>
      </c>
      <c r="O1310">
        <f>IF(Table13[[#This Row],[Goal_assist]]="",1,0)</f>
        <v>1</v>
      </c>
    </row>
    <row r="1311" spans="1:15" x14ac:dyDescent="0.35">
      <c r="A1311" t="s">
        <v>14</v>
      </c>
      <c r="B1311" t="s">
        <v>368</v>
      </c>
      <c r="C1311" t="s">
        <v>362</v>
      </c>
      <c r="D1311" t="s">
        <v>62</v>
      </c>
      <c r="E1311" s="2">
        <v>44229</v>
      </c>
      <c r="F1311" t="s">
        <v>24</v>
      </c>
      <c r="G1311" t="s">
        <v>260</v>
      </c>
      <c r="H1311" t="s">
        <v>348</v>
      </c>
      <c r="I1311" s="3">
        <v>4.3055555555555555E-2</v>
      </c>
      <c r="J1311" t="s">
        <v>68</v>
      </c>
      <c r="K1311">
        <v>26</v>
      </c>
      <c r="L1311" s="3">
        <v>4.2361111111111113E-2</v>
      </c>
      <c r="M1311" t="s">
        <v>83</v>
      </c>
      <c r="O1311">
        <f>IF(Table13[[#This Row],[Goal_assist]]="",1,0)</f>
        <v>1</v>
      </c>
    </row>
    <row r="1312" spans="1:15" x14ac:dyDescent="0.35">
      <c r="A1312" t="s">
        <v>14</v>
      </c>
      <c r="B1312" t="s">
        <v>368</v>
      </c>
      <c r="C1312" t="s">
        <v>321</v>
      </c>
      <c r="D1312">
        <v>21</v>
      </c>
      <c r="E1312" s="2">
        <v>44233</v>
      </c>
      <c r="F1312" t="s">
        <v>16</v>
      </c>
      <c r="G1312" t="s">
        <v>260</v>
      </c>
      <c r="H1312" t="s">
        <v>116</v>
      </c>
      <c r="I1312" s="3">
        <v>8.3333333333333329E-2</v>
      </c>
      <c r="J1312" t="s">
        <v>68</v>
      </c>
      <c r="K1312">
        <v>13</v>
      </c>
      <c r="L1312" s="3">
        <v>4.1666666666666664E-2</v>
      </c>
      <c r="M1312" t="s">
        <v>31</v>
      </c>
      <c r="N1312" t="s">
        <v>295</v>
      </c>
      <c r="O1312">
        <f>IF(Table13[[#This Row],[Goal_assist]]="",1,0)</f>
        <v>0</v>
      </c>
    </row>
    <row r="1313" spans="1:15" x14ac:dyDescent="0.35">
      <c r="A1313" t="s">
        <v>64</v>
      </c>
      <c r="B1313" t="s">
        <v>368</v>
      </c>
      <c r="C1313" t="s">
        <v>65</v>
      </c>
      <c r="D1313">
        <v>22</v>
      </c>
      <c r="E1313" s="2">
        <v>44234</v>
      </c>
      <c r="F1313" t="s">
        <v>24</v>
      </c>
      <c r="G1313" t="s">
        <v>66</v>
      </c>
      <c r="H1313" t="s">
        <v>95</v>
      </c>
      <c r="I1313" s="3">
        <v>8.5416666666666669E-2</v>
      </c>
      <c r="J1313" t="s">
        <v>68</v>
      </c>
      <c r="K1313">
        <v>59</v>
      </c>
      <c r="L1313" s="3">
        <v>4.2361111111111113E-2</v>
      </c>
      <c r="M1313" t="s">
        <v>31</v>
      </c>
      <c r="N1313" t="s">
        <v>316</v>
      </c>
      <c r="O1313">
        <f>IF(Table13[[#This Row],[Goal_assist]]="",1,0)</f>
        <v>0</v>
      </c>
    </row>
    <row r="1314" spans="1:15" x14ac:dyDescent="0.35">
      <c r="A1314" t="s">
        <v>64</v>
      </c>
      <c r="B1314" t="s">
        <v>368</v>
      </c>
      <c r="C1314" t="s">
        <v>65</v>
      </c>
      <c r="D1314">
        <v>23</v>
      </c>
      <c r="E1314" s="2">
        <v>44240</v>
      </c>
      <c r="F1314" t="s">
        <v>16</v>
      </c>
      <c r="G1314" t="s">
        <v>66</v>
      </c>
      <c r="H1314" t="s">
        <v>88</v>
      </c>
      <c r="I1314" s="3">
        <v>0.20902777777777778</v>
      </c>
      <c r="J1314" t="s">
        <v>251</v>
      </c>
      <c r="K1314">
        <v>75</v>
      </c>
      <c r="L1314" s="3">
        <v>0.1673611111111111</v>
      </c>
      <c r="M1314" t="s">
        <v>31</v>
      </c>
      <c r="N1314" t="s">
        <v>355</v>
      </c>
      <c r="O1314">
        <f>IF(Table13[[#This Row],[Goal_assist]]="",1,0)</f>
        <v>0</v>
      </c>
    </row>
    <row r="1315" spans="1:15" x14ac:dyDescent="0.35">
      <c r="A1315" t="s">
        <v>64</v>
      </c>
      <c r="B1315" t="s">
        <v>368</v>
      </c>
      <c r="C1315" t="s">
        <v>65</v>
      </c>
      <c r="D1315">
        <v>23</v>
      </c>
      <c r="E1315" s="2">
        <v>44240</v>
      </c>
      <c r="F1315" t="s">
        <v>16</v>
      </c>
      <c r="G1315" t="s">
        <v>66</v>
      </c>
      <c r="H1315" t="s">
        <v>88</v>
      </c>
      <c r="I1315" s="3">
        <v>0.20902777777777778</v>
      </c>
      <c r="J1315" t="s">
        <v>251</v>
      </c>
      <c r="K1315" t="s">
        <v>58</v>
      </c>
      <c r="L1315" s="3">
        <v>8.3333333333333329E-2</v>
      </c>
      <c r="M1315" t="s">
        <v>31</v>
      </c>
      <c r="N1315" t="s">
        <v>222</v>
      </c>
      <c r="O1315">
        <f>IF(Table13[[#This Row],[Goal_assist]]="",1,0)</f>
        <v>0</v>
      </c>
    </row>
    <row r="1316" spans="1:15" x14ac:dyDescent="0.35">
      <c r="A1316" t="s">
        <v>64</v>
      </c>
      <c r="B1316" t="s">
        <v>368</v>
      </c>
      <c r="C1316" t="s">
        <v>75</v>
      </c>
      <c r="D1316" t="s">
        <v>143</v>
      </c>
      <c r="E1316" s="2">
        <v>44243</v>
      </c>
      <c r="F1316" t="s">
        <v>16</v>
      </c>
      <c r="G1316" t="s">
        <v>66</v>
      </c>
      <c r="H1316" t="s">
        <v>252</v>
      </c>
      <c r="I1316" s="3">
        <v>4.4444444444444446E-2</v>
      </c>
      <c r="J1316" t="s">
        <v>251</v>
      </c>
      <c r="K1316">
        <v>27</v>
      </c>
      <c r="L1316" s="3">
        <v>4.1666666666666664E-2</v>
      </c>
      <c r="M1316" t="s">
        <v>83</v>
      </c>
      <c r="O1316">
        <f>IF(Table13[[#This Row],[Goal_assist]]="",1,0)</f>
        <v>1</v>
      </c>
    </row>
    <row r="1317" spans="1:15" x14ac:dyDescent="0.35">
      <c r="A1317" t="s">
        <v>64</v>
      </c>
      <c r="B1317" t="s">
        <v>368</v>
      </c>
      <c r="C1317" t="s">
        <v>65</v>
      </c>
      <c r="D1317">
        <v>24</v>
      </c>
      <c r="E1317" s="2">
        <v>44248</v>
      </c>
      <c r="F1317" t="s">
        <v>16</v>
      </c>
      <c r="G1317" t="s">
        <v>66</v>
      </c>
      <c r="H1317" t="s">
        <v>376</v>
      </c>
      <c r="I1317" s="3">
        <v>4.2361111111111113E-2</v>
      </c>
      <c r="J1317" t="s">
        <v>251</v>
      </c>
      <c r="K1317">
        <v>32</v>
      </c>
      <c r="L1317" s="3">
        <v>4.1666666666666664E-2</v>
      </c>
      <c r="M1317" t="s">
        <v>83</v>
      </c>
      <c r="O1317">
        <f>IF(Table13[[#This Row],[Goal_assist]]="",1,0)</f>
        <v>1</v>
      </c>
    </row>
    <row r="1318" spans="1:15" x14ac:dyDescent="0.35">
      <c r="A1318" t="s">
        <v>14</v>
      </c>
      <c r="B1318" t="s">
        <v>368</v>
      </c>
      <c r="C1318" t="s">
        <v>321</v>
      </c>
      <c r="D1318">
        <v>23</v>
      </c>
      <c r="E1318" s="2">
        <v>44249</v>
      </c>
      <c r="F1318" t="s">
        <v>16</v>
      </c>
      <c r="G1318" t="s">
        <v>260</v>
      </c>
      <c r="H1318" t="s">
        <v>377</v>
      </c>
      <c r="I1318" s="3">
        <v>0.125</v>
      </c>
      <c r="J1318" t="s">
        <v>68</v>
      </c>
      <c r="K1318">
        <v>38</v>
      </c>
      <c r="L1318" s="3">
        <v>4.1666666666666664E-2</v>
      </c>
      <c r="M1318" t="s">
        <v>22</v>
      </c>
      <c r="N1318" t="s">
        <v>360</v>
      </c>
      <c r="O1318">
        <f>IF(Table13[[#This Row],[Goal_assist]]="",1,0)</f>
        <v>0</v>
      </c>
    </row>
    <row r="1319" spans="1:15" x14ac:dyDescent="0.35">
      <c r="A1319" t="s">
        <v>14</v>
      </c>
      <c r="B1319" t="s">
        <v>368</v>
      </c>
      <c r="C1319" t="s">
        <v>321</v>
      </c>
      <c r="D1319">
        <v>23</v>
      </c>
      <c r="E1319" s="2">
        <v>44249</v>
      </c>
      <c r="F1319" t="s">
        <v>16</v>
      </c>
      <c r="G1319" t="s">
        <v>260</v>
      </c>
      <c r="H1319" t="s">
        <v>377</v>
      </c>
      <c r="I1319" s="3">
        <v>0.125</v>
      </c>
      <c r="J1319" t="s">
        <v>68</v>
      </c>
      <c r="K1319" t="s">
        <v>58</v>
      </c>
      <c r="L1319" s="3">
        <v>8.3333333333333329E-2</v>
      </c>
      <c r="M1319" t="s">
        <v>22</v>
      </c>
      <c r="N1319" t="s">
        <v>369</v>
      </c>
      <c r="O1319">
        <f>IF(Table13[[#This Row],[Goal_assist]]="",1,0)</f>
        <v>0</v>
      </c>
    </row>
    <row r="1320" spans="1:15" x14ac:dyDescent="0.35">
      <c r="A1320" t="s">
        <v>64</v>
      </c>
      <c r="B1320" t="s">
        <v>368</v>
      </c>
      <c r="C1320" t="s">
        <v>65</v>
      </c>
      <c r="D1320">
        <v>1</v>
      </c>
      <c r="E1320" s="2">
        <v>44251</v>
      </c>
      <c r="F1320" t="s">
        <v>16</v>
      </c>
      <c r="G1320" t="s">
        <v>66</v>
      </c>
      <c r="H1320" t="s">
        <v>258</v>
      </c>
      <c r="I1320" s="3">
        <v>0.125</v>
      </c>
      <c r="J1320" t="s">
        <v>251</v>
      </c>
      <c r="K1320">
        <v>48</v>
      </c>
      <c r="L1320" s="3">
        <v>4.1666666666666664E-2</v>
      </c>
      <c r="M1320" t="s">
        <v>31</v>
      </c>
      <c r="N1320" t="s">
        <v>378</v>
      </c>
      <c r="O1320">
        <f>IF(Table13[[#This Row],[Goal_assist]]="",1,0)</f>
        <v>0</v>
      </c>
    </row>
    <row r="1321" spans="1:15" x14ac:dyDescent="0.35">
      <c r="A1321" t="s">
        <v>64</v>
      </c>
      <c r="B1321" t="s">
        <v>368</v>
      </c>
      <c r="C1321" t="s">
        <v>65</v>
      </c>
      <c r="D1321">
        <v>1</v>
      </c>
      <c r="E1321" s="2">
        <v>44251</v>
      </c>
      <c r="F1321" t="s">
        <v>16</v>
      </c>
      <c r="G1321" t="s">
        <v>66</v>
      </c>
      <c r="H1321" t="s">
        <v>258</v>
      </c>
      <c r="I1321" s="3">
        <v>0.125</v>
      </c>
      <c r="J1321" t="s">
        <v>251</v>
      </c>
      <c r="K1321">
        <v>68</v>
      </c>
      <c r="L1321" s="3">
        <v>8.3333333333333329E-2</v>
      </c>
      <c r="M1321" t="s">
        <v>31</v>
      </c>
      <c r="N1321" t="s">
        <v>363</v>
      </c>
      <c r="O1321">
        <f>IF(Table13[[#This Row],[Goal_assist]]="",1,0)</f>
        <v>0</v>
      </c>
    </row>
    <row r="1322" spans="1:15" x14ac:dyDescent="0.35">
      <c r="A1322" t="s">
        <v>64</v>
      </c>
      <c r="B1322" t="s">
        <v>368</v>
      </c>
      <c r="C1322" t="s">
        <v>65</v>
      </c>
      <c r="D1322">
        <v>25</v>
      </c>
      <c r="E1322" s="2">
        <v>44254</v>
      </c>
      <c r="F1322" t="s">
        <v>24</v>
      </c>
      <c r="G1322" t="s">
        <v>66</v>
      </c>
      <c r="H1322" t="s">
        <v>105</v>
      </c>
      <c r="I1322" s="3">
        <v>1.3888888888888889E-3</v>
      </c>
      <c r="J1322" t="s">
        <v>251</v>
      </c>
      <c r="K1322">
        <v>85</v>
      </c>
      <c r="L1322" s="3">
        <v>1.3888888888888889E-3</v>
      </c>
      <c r="M1322" t="s">
        <v>26</v>
      </c>
      <c r="N1322" t="s">
        <v>379</v>
      </c>
      <c r="O1322">
        <f>IF(Table13[[#This Row],[Goal_assist]]="",1,0)</f>
        <v>0</v>
      </c>
    </row>
    <row r="1323" spans="1:15" x14ac:dyDescent="0.35">
      <c r="A1323" t="s">
        <v>14</v>
      </c>
      <c r="B1323" t="s">
        <v>368</v>
      </c>
      <c r="C1323" t="s">
        <v>321</v>
      </c>
      <c r="D1323">
        <v>24</v>
      </c>
      <c r="E1323" s="2">
        <v>44254</v>
      </c>
      <c r="F1323" t="s">
        <v>24</v>
      </c>
      <c r="G1323" t="s">
        <v>260</v>
      </c>
      <c r="H1323" t="s">
        <v>354</v>
      </c>
      <c r="I1323" s="3">
        <v>4.2361111111111113E-2</v>
      </c>
      <c r="J1323" t="s">
        <v>68</v>
      </c>
      <c r="K1323">
        <v>49</v>
      </c>
      <c r="L1323" s="3">
        <v>6.9444444444444447E-4</v>
      </c>
      <c r="M1323" t="s">
        <v>26</v>
      </c>
      <c r="N1323" t="s">
        <v>380</v>
      </c>
      <c r="O1323">
        <f>IF(Table13[[#This Row],[Goal_assist]]="",1,0)</f>
        <v>0</v>
      </c>
    </row>
    <row r="1324" spans="1:15" x14ac:dyDescent="0.35">
      <c r="A1324" t="s">
        <v>14</v>
      </c>
      <c r="B1324" t="s">
        <v>368</v>
      </c>
      <c r="C1324" t="s">
        <v>321</v>
      </c>
      <c r="D1324">
        <v>25</v>
      </c>
      <c r="E1324" s="2">
        <v>44257</v>
      </c>
      <c r="F1324" t="s">
        <v>16</v>
      </c>
      <c r="G1324" t="s">
        <v>260</v>
      </c>
      <c r="H1324" t="s">
        <v>371</v>
      </c>
      <c r="I1324" s="3">
        <v>0.125</v>
      </c>
      <c r="J1324" t="s">
        <v>68</v>
      </c>
      <c r="K1324">
        <v>89</v>
      </c>
      <c r="L1324" s="3">
        <v>0.125</v>
      </c>
      <c r="M1324" t="s">
        <v>162</v>
      </c>
      <c r="N1324" t="s">
        <v>359</v>
      </c>
      <c r="O1324">
        <f>IF(Table13[[#This Row],[Goal_assist]]="",1,0)</f>
        <v>0</v>
      </c>
    </row>
    <row r="1325" spans="1:15" x14ac:dyDescent="0.35">
      <c r="A1325" t="s">
        <v>64</v>
      </c>
      <c r="B1325" t="s">
        <v>368</v>
      </c>
      <c r="C1325" t="s">
        <v>75</v>
      </c>
      <c r="D1325" t="s">
        <v>143</v>
      </c>
      <c r="E1325" s="2">
        <v>44265</v>
      </c>
      <c r="F1325" t="s">
        <v>24</v>
      </c>
      <c r="G1325" t="s">
        <v>66</v>
      </c>
      <c r="H1325" t="s">
        <v>252</v>
      </c>
      <c r="I1325" s="3">
        <v>4.2361111111111113E-2</v>
      </c>
      <c r="J1325" t="s">
        <v>311</v>
      </c>
      <c r="K1325">
        <v>37</v>
      </c>
      <c r="L1325" s="3">
        <v>4.2361111111111113E-2</v>
      </c>
      <c r="M1325" t="s">
        <v>170</v>
      </c>
      <c r="N1325" t="s">
        <v>375</v>
      </c>
      <c r="O1325">
        <f>IF(Table13[[#This Row],[Goal_assist]]="",1,0)</f>
        <v>0</v>
      </c>
    </row>
    <row r="1326" spans="1:15" x14ac:dyDescent="0.35">
      <c r="A1326" t="s">
        <v>14</v>
      </c>
      <c r="B1326" t="s">
        <v>368</v>
      </c>
      <c r="C1326" t="s">
        <v>321</v>
      </c>
      <c r="D1326">
        <v>27</v>
      </c>
      <c r="E1326" s="2">
        <v>44269</v>
      </c>
      <c r="F1326" t="s">
        <v>24</v>
      </c>
      <c r="G1326" t="s">
        <v>260</v>
      </c>
      <c r="H1326" t="s">
        <v>361</v>
      </c>
      <c r="I1326" s="3">
        <v>4.3749999999999997E-2</v>
      </c>
      <c r="J1326" t="s">
        <v>68</v>
      </c>
      <c r="K1326">
        <v>25</v>
      </c>
      <c r="L1326" s="3">
        <v>1.3888888888888889E-3</v>
      </c>
      <c r="M1326" t="s">
        <v>83</v>
      </c>
      <c r="O1326">
        <f>IF(Table13[[#This Row],[Goal_assist]]="",1,0)</f>
        <v>1</v>
      </c>
    </row>
    <row r="1327" spans="1:15" x14ac:dyDescent="0.35">
      <c r="A1327" t="s">
        <v>14</v>
      </c>
      <c r="B1327" t="s">
        <v>368</v>
      </c>
      <c r="C1327" t="s">
        <v>321</v>
      </c>
      <c r="D1327">
        <v>27</v>
      </c>
      <c r="E1327" s="2">
        <v>44269</v>
      </c>
      <c r="F1327" t="s">
        <v>24</v>
      </c>
      <c r="G1327" t="s">
        <v>260</v>
      </c>
      <c r="H1327" t="s">
        <v>361</v>
      </c>
      <c r="I1327" s="3">
        <v>4.3749999999999997E-2</v>
      </c>
      <c r="J1327" t="s">
        <v>68</v>
      </c>
      <c r="K1327">
        <v>32</v>
      </c>
      <c r="L1327" s="3">
        <v>2.0833333333333333E-3</v>
      </c>
      <c r="M1327" t="s">
        <v>31</v>
      </c>
      <c r="N1327" t="s">
        <v>380</v>
      </c>
      <c r="O1327">
        <f>IF(Table13[[#This Row],[Goal_assist]]="",1,0)</f>
        <v>0</v>
      </c>
    </row>
    <row r="1328" spans="1:15" x14ac:dyDescent="0.35">
      <c r="A1328" t="s">
        <v>14</v>
      </c>
      <c r="B1328" t="s">
        <v>368</v>
      </c>
      <c r="C1328" t="s">
        <v>321</v>
      </c>
      <c r="D1328">
        <v>27</v>
      </c>
      <c r="E1328" s="2">
        <v>44269</v>
      </c>
      <c r="F1328" t="s">
        <v>24</v>
      </c>
      <c r="G1328" t="s">
        <v>260</v>
      </c>
      <c r="H1328" t="s">
        <v>361</v>
      </c>
      <c r="I1328" s="3">
        <v>4.3749999999999997E-2</v>
      </c>
      <c r="J1328" t="s">
        <v>68</v>
      </c>
      <c r="K1328">
        <v>10</v>
      </c>
      <c r="L1328" s="3">
        <v>6.9444444444444447E-4</v>
      </c>
      <c r="M1328" t="s">
        <v>22</v>
      </c>
      <c r="N1328" t="s">
        <v>364</v>
      </c>
      <c r="O1328">
        <f>IF(Table13[[#This Row],[Goal_assist]]="",1,0)</f>
        <v>0</v>
      </c>
    </row>
    <row r="1329" spans="1:15" x14ac:dyDescent="0.35">
      <c r="A1329" t="s">
        <v>64</v>
      </c>
      <c r="B1329" t="s">
        <v>368</v>
      </c>
      <c r="C1329" t="s">
        <v>65</v>
      </c>
      <c r="D1329">
        <v>27</v>
      </c>
      <c r="E1329" s="2">
        <v>44270</v>
      </c>
      <c r="F1329" t="s">
        <v>16</v>
      </c>
      <c r="G1329" t="s">
        <v>66</v>
      </c>
      <c r="H1329" t="s">
        <v>320</v>
      </c>
      <c r="I1329" s="3">
        <v>0.1673611111111111</v>
      </c>
      <c r="J1329" t="s">
        <v>311</v>
      </c>
      <c r="K1329">
        <v>90</v>
      </c>
      <c r="L1329" s="3">
        <v>0.1673611111111111</v>
      </c>
      <c r="M1329" t="s">
        <v>31</v>
      </c>
      <c r="N1329" t="s">
        <v>373</v>
      </c>
      <c r="O1329">
        <f>IF(Table13[[#This Row],[Goal_assist]]="",1,0)</f>
        <v>0</v>
      </c>
    </row>
    <row r="1330" spans="1:15" x14ac:dyDescent="0.35">
      <c r="A1330" t="s">
        <v>64</v>
      </c>
      <c r="B1330" t="s">
        <v>368</v>
      </c>
      <c r="C1330" t="s">
        <v>65</v>
      </c>
      <c r="D1330">
        <v>27</v>
      </c>
      <c r="E1330" s="2">
        <v>44270</v>
      </c>
      <c r="F1330" t="s">
        <v>16</v>
      </c>
      <c r="G1330" t="s">
        <v>66</v>
      </c>
      <c r="H1330" t="s">
        <v>320</v>
      </c>
      <c r="I1330" s="3">
        <v>0.1673611111111111</v>
      </c>
      <c r="J1330" t="s">
        <v>311</v>
      </c>
      <c r="K1330">
        <v>13</v>
      </c>
      <c r="L1330" s="3">
        <v>4.1666666666666664E-2</v>
      </c>
      <c r="M1330" t="s">
        <v>31</v>
      </c>
      <c r="N1330" t="s">
        <v>222</v>
      </c>
      <c r="O1330">
        <f>IF(Table13[[#This Row],[Goal_assist]]="",1,0)</f>
        <v>0</v>
      </c>
    </row>
    <row r="1331" spans="1:15" x14ac:dyDescent="0.35">
      <c r="A1331" t="s">
        <v>64</v>
      </c>
      <c r="B1331" t="s">
        <v>368</v>
      </c>
      <c r="C1331" t="s">
        <v>65</v>
      </c>
      <c r="D1331">
        <v>28</v>
      </c>
      <c r="E1331" s="2">
        <v>44276</v>
      </c>
      <c r="F1331" t="s">
        <v>24</v>
      </c>
      <c r="G1331" t="s">
        <v>66</v>
      </c>
      <c r="H1331" t="s">
        <v>217</v>
      </c>
      <c r="I1331" s="3">
        <v>4.583333333333333E-2</v>
      </c>
      <c r="J1331" t="s">
        <v>311</v>
      </c>
      <c r="K1331">
        <v>89</v>
      </c>
      <c r="L1331" s="3">
        <v>4.583333333333333E-2</v>
      </c>
      <c r="M1331" t="s">
        <v>31</v>
      </c>
      <c r="N1331" t="s">
        <v>243</v>
      </c>
      <c r="O1331">
        <f>IF(Table13[[#This Row],[Goal_assist]]="",1,0)</f>
        <v>0</v>
      </c>
    </row>
    <row r="1332" spans="1:15" x14ac:dyDescent="0.35">
      <c r="A1332" t="s">
        <v>64</v>
      </c>
      <c r="B1332" t="s">
        <v>368</v>
      </c>
      <c r="C1332" t="s">
        <v>65</v>
      </c>
      <c r="D1332">
        <v>28</v>
      </c>
      <c r="E1332" s="2">
        <v>44276</v>
      </c>
      <c r="F1332" t="s">
        <v>24</v>
      </c>
      <c r="G1332" t="s">
        <v>66</v>
      </c>
      <c r="H1332" t="s">
        <v>217</v>
      </c>
      <c r="I1332" s="3">
        <v>4.583333333333333E-2</v>
      </c>
      <c r="J1332" t="s">
        <v>311</v>
      </c>
      <c r="K1332">
        <v>56</v>
      </c>
      <c r="L1332" s="3">
        <v>2.7777777777777779E-3</v>
      </c>
      <c r="M1332" t="s">
        <v>31</v>
      </c>
      <c r="N1332" t="s">
        <v>222</v>
      </c>
      <c r="O1332">
        <f>IF(Table13[[#This Row],[Goal_assist]]="",1,0)</f>
        <v>0</v>
      </c>
    </row>
    <row r="1333" spans="1:15" x14ac:dyDescent="0.35">
      <c r="A1333" t="s">
        <v>14</v>
      </c>
      <c r="B1333" t="s">
        <v>368</v>
      </c>
      <c r="C1333" t="s">
        <v>321</v>
      </c>
      <c r="D1333">
        <v>29</v>
      </c>
      <c r="E1333" s="2">
        <v>44289</v>
      </c>
      <c r="F1333" t="s">
        <v>24</v>
      </c>
      <c r="G1333" t="s">
        <v>260</v>
      </c>
      <c r="H1333" t="s">
        <v>336</v>
      </c>
      <c r="I1333" s="3">
        <v>8.4722222222222227E-2</v>
      </c>
      <c r="J1333" t="s">
        <v>68</v>
      </c>
      <c r="K1333">
        <v>79</v>
      </c>
      <c r="L1333" s="3">
        <v>8.4722222222222227E-2</v>
      </c>
      <c r="M1333" t="s">
        <v>22</v>
      </c>
      <c r="N1333" t="s">
        <v>338</v>
      </c>
      <c r="O1333">
        <f>IF(Table13[[#This Row],[Goal_assist]]="",1,0)</f>
        <v>0</v>
      </c>
    </row>
    <row r="1334" spans="1:15" x14ac:dyDescent="0.35">
      <c r="A1334" t="s">
        <v>14</v>
      </c>
      <c r="B1334" t="s">
        <v>368</v>
      </c>
      <c r="C1334" t="s">
        <v>321</v>
      </c>
      <c r="D1334">
        <v>3</v>
      </c>
      <c r="E1334" s="2">
        <v>44293</v>
      </c>
      <c r="F1334" t="s">
        <v>16</v>
      </c>
      <c r="G1334" t="s">
        <v>260</v>
      </c>
      <c r="H1334" t="s">
        <v>352</v>
      </c>
      <c r="I1334" s="3">
        <v>8.4027777777777785E-2</v>
      </c>
      <c r="J1334" t="s">
        <v>68</v>
      </c>
      <c r="K1334">
        <v>13</v>
      </c>
      <c r="L1334" s="3">
        <v>4.1666666666666664E-2</v>
      </c>
      <c r="M1334" t="s">
        <v>26</v>
      </c>
      <c r="N1334" t="s">
        <v>380</v>
      </c>
      <c r="O1334">
        <f>IF(Table13[[#This Row],[Goal_assist]]="",1,0)</f>
        <v>0</v>
      </c>
    </row>
    <row r="1335" spans="1:15" x14ac:dyDescent="0.35">
      <c r="A1335" t="s">
        <v>64</v>
      </c>
      <c r="B1335" t="s">
        <v>368</v>
      </c>
      <c r="C1335" t="s">
        <v>91</v>
      </c>
      <c r="D1335" t="s">
        <v>46</v>
      </c>
      <c r="E1335" s="2">
        <v>44303</v>
      </c>
      <c r="F1335" t="s">
        <v>24</v>
      </c>
      <c r="G1335" t="s">
        <v>66</v>
      </c>
      <c r="H1335" t="s">
        <v>86</v>
      </c>
      <c r="I1335" s="3">
        <v>2.7777777777777779E-3</v>
      </c>
      <c r="J1335" t="s">
        <v>251</v>
      </c>
      <c r="K1335">
        <v>72</v>
      </c>
      <c r="L1335" s="3">
        <v>2.7777777777777779E-3</v>
      </c>
      <c r="M1335" t="s">
        <v>31</v>
      </c>
      <c r="N1335" t="s">
        <v>243</v>
      </c>
      <c r="O1335">
        <f>IF(Table13[[#This Row],[Goal_assist]]="",1,0)</f>
        <v>0</v>
      </c>
    </row>
    <row r="1336" spans="1:15" x14ac:dyDescent="0.35">
      <c r="A1336" t="s">
        <v>64</v>
      </c>
      <c r="B1336" t="s">
        <v>368</v>
      </c>
      <c r="C1336" t="s">
        <v>91</v>
      </c>
      <c r="D1336" t="s">
        <v>46</v>
      </c>
      <c r="E1336" s="2">
        <v>44303</v>
      </c>
      <c r="F1336" t="s">
        <v>24</v>
      </c>
      <c r="G1336" t="s">
        <v>66</v>
      </c>
      <c r="H1336" t="s">
        <v>86</v>
      </c>
      <c r="I1336" s="3">
        <v>2.7777777777777779E-3</v>
      </c>
      <c r="J1336" t="s">
        <v>251</v>
      </c>
      <c r="K1336">
        <v>68</v>
      </c>
      <c r="L1336" s="3">
        <v>2.0833333333333333E-3</v>
      </c>
      <c r="M1336" t="s">
        <v>31</v>
      </c>
      <c r="N1336" t="s">
        <v>363</v>
      </c>
      <c r="O1336">
        <f>IF(Table13[[#This Row],[Goal_assist]]="",1,0)</f>
        <v>0</v>
      </c>
    </row>
    <row r="1337" spans="1:15" x14ac:dyDescent="0.35">
      <c r="A1337" t="s">
        <v>64</v>
      </c>
      <c r="B1337" t="s">
        <v>368</v>
      </c>
      <c r="C1337" t="s">
        <v>65</v>
      </c>
      <c r="D1337">
        <v>31</v>
      </c>
      <c r="E1337" s="2">
        <v>44308</v>
      </c>
      <c r="F1337" t="s">
        <v>16</v>
      </c>
      <c r="G1337" t="s">
        <v>66</v>
      </c>
      <c r="H1337" t="s">
        <v>117</v>
      </c>
      <c r="I1337" s="3">
        <v>0.20972222222222223</v>
      </c>
      <c r="J1337" t="s">
        <v>251</v>
      </c>
      <c r="K1337">
        <v>8</v>
      </c>
      <c r="L1337" s="3">
        <v>4.1666666666666664E-2</v>
      </c>
      <c r="M1337" t="s">
        <v>31</v>
      </c>
      <c r="N1337" t="s">
        <v>222</v>
      </c>
      <c r="O1337">
        <f>IF(Table13[[#This Row],[Goal_assist]]="",1,0)</f>
        <v>0</v>
      </c>
    </row>
    <row r="1338" spans="1:15" x14ac:dyDescent="0.35">
      <c r="A1338" t="s">
        <v>64</v>
      </c>
      <c r="B1338" t="s">
        <v>368</v>
      </c>
      <c r="C1338" t="s">
        <v>65</v>
      </c>
      <c r="D1338">
        <v>31</v>
      </c>
      <c r="E1338" s="2">
        <v>44308</v>
      </c>
      <c r="F1338" t="s">
        <v>16</v>
      </c>
      <c r="G1338" t="s">
        <v>66</v>
      </c>
      <c r="H1338" t="s">
        <v>117</v>
      </c>
      <c r="I1338" s="3">
        <v>0.20972222222222223</v>
      </c>
      <c r="J1338" t="s">
        <v>251</v>
      </c>
      <c r="K1338">
        <v>33</v>
      </c>
      <c r="L1338" s="3">
        <v>0.12569444444444444</v>
      </c>
      <c r="M1338" t="s">
        <v>31</v>
      </c>
      <c r="O1338">
        <f>IF(Table13[[#This Row],[Goal_assist]]="",1,0)</f>
        <v>1</v>
      </c>
    </row>
    <row r="1339" spans="1:15" x14ac:dyDescent="0.35">
      <c r="A1339" t="s">
        <v>64</v>
      </c>
      <c r="B1339" t="s">
        <v>368</v>
      </c>
      <c r="C1339" t="s">
        <v>65</v>
      </c>
      <c r="D1339">
        <v>33</v>
      </c>
      <c r="E1339" s="2">
        <v>44315</v>
      </c>
      <c r="F1339" t="s">
        <v>16</v>
      </c>
      <c r="G1339" t="s">
        <v>66</v>
      </c>
      <c r="H1339" t="s">
        <v>233</v>
      </c>
      <c r="I1339" s="3">
        <v>4.3055555555555555E-2</v>
      </c>
      <c r="J1339" t="s">
        <v>251</v>
      </c>
      <c r="K1339">
        <v>23</v>
      </c>
      <c r="L1339" s="3">
        <v>4.1666666666666664E-2</v>
      </c>
      <c r="M1339" t="s">
        <v>31</v>
      </c>
      <c r="N1339" t="s">
        <v>355</v>
      </c>
      <c r="O1339">
        <f>IF(Table13[[#This Row],[Goal_assist]]="",1,0)</f>
        <v>0</v>
      </c>
    </row>
    <row r="1340" spans="1:15" x14ac:dyDescent="0.35">
      <c r="A1340" t="s">
        <v>64</v>
      </c>
      <c r="B1340" t="s">
        <v>368</v>
      </c>
      <c r="C1340" t="s">
        <v>65</v>
      </c>
      <c r="D1340">
        <v>34</v>
      </c>
      <c r="E1340" s="2">
        <v>44318</v>
      </c>
      <c r="F1340" t="s">
        <v>24</v>
      </c>
      <c r="G1340" t="s">
        <v>66</v>
      </c>
      <c r="H1340" t="s">
        <v>148</v>
      </c>
      <c r="I1340" s="3">
        <v>8.5416666666666669E-2</v>
      </c>
      <c r="J1340" t="s">
        <v>251</v>
      </c>
      <c r="K1340">
        <v>69</v>
      </c>
      <c r="L1340" s="3">
        <v>4.3749999999999997E-2</v>
      </c>
      <c r="M1340" t="s">
        <v>39</v>
      </c>
      <c r="O1340">
        <f>IF(Table13[[#This Row],[Goal_assist]]="",1,0)</f>
        <v>1</v>
      </c>
    </row>
    <row r="1341" spans="1:15" x14ac:dyDescent="0.35">
      <c r="A1341" t="s">
        <v>64</v>
      </c>
      <c r="B1341" t="s">
        <v>368</v>
      </c>
      <c r="C1341" t="s">
        <v>65</v>
      </c>
      <c r="D1341">
        <v>34</v>
      </c>
      <c r="E1341" s="2">
        <v>44318</v>
      </c>
      <c r="F1341" t="s">
        <v>24</v>
      </c>
      <c r="G1341" t="s">
        <v>66</v>
      </c>
      <c r="H1341" t="s">
        <v>148</v>
      </c>
      <c r="I1341" s="3">
        <v>8.5416666666666669E-2</v>
      </c>
      <c r="J1341" t="s">
        <v>251</v>
      </c>
      <c r="K1341">
        <v>57</v>
      </c>
      <c r="L1341" s="3">
        <v>4.2361111111111113E-2</v>
      </c>
      <c r="M1341" t="s">
        <v>31</v>
      </c>
      <c r="O1341">
        <f>IF(Table13[[#This Row],[Goal_assist]]="",1,0)</f>
        <v>1</v>
      </c>
    </row>
    <row r="1342" spans="1:15" x14ac:dyDescent="0.35">
      <c r="A1342" t="s">
        <v>14</v>
      </c>
      <c r="B1342" t="s">
        <v>368</v>
      </c>
      <c r="C1342" t="s">
        <v>321</v>
      </c>
      <c r="D1342">
        <v>34</v>
      </c>
      <c r="E1342" s="2">
        <v>44318</v>
      </c>
      <c r="F1342" t="s">
        <v>24</v>
      </c>
      <c r="G1342" t="s">
        <v>260</v>
      </c>
      <c r="H1342" t="s">
        <v>327</v>
      </c>
      <c r="I1342" s="3">
        <v>4.3055555555555555E-2</v>
      </c>
      <c r="J1342" t="s">
        <v>68</v>
      </c>
      <c r="K1342">
        <v>89</v>
      </c>
      <c r="L1342" s="3">
        <v>4.3055555555555555E-2</v>
      </c>
      <c r="M1342" t="s">
        <v>22</v>
      </c>
      <c r="N1342" t="s">
        <v>381</v>
      </c>
      <c r="O1342">
        <f>IF(Table13[[#This Row],[Goal_assist]]="",1,0)</f>
        <v>0</v>
      </c>
    </row>
    <row r="1343" spans="1:15" x14ac:dyDescent="0.35">
      <c r="A1343" t="s">
        <v>14</v>
      </c>
      <c r="B1343" t="s">
        <v>368</v>
      </c>
      <c r="C1343" t="s">
        <v>321</v>
      </c>
      <c r="D1343">
        <v>34</v>
      </c>
      <c r="E1343" s="2">
        <v>44318</v>
      </c>
      <c r="F1343" t="s">
        <v>24</v>
      </c>
      <c r="G1343" t="s">
        <v>260</v>
      </c>
      <c r="H1343" t="s">
        <v>327</v>
      </c>
      <c r="I1343" s="3">
        <v>4.3055555555555555E-2</v>
      </c>
      <c r="J1343" t="s">
        <v>68</v>
      </c>
      <c r="K1343">
        <v>83</v>
      </c>
      <c r="L1343" s="3">
        <v>4.2361111111111113E-2</v>
      </c>
      <c r="M1343" t="s">
        <v>83</v>
      </c>
      <c r="O1343">
        <f>IF(Table13[[#This Row],[Goal_assist]]="",1,0)</f>
        <v>1</v>
      </c>
    </row>
    <row r="1344" spans="1:15" x14ac:dyDescent="0.35">
      <c r="A1344" t="s">
        <v>64</v>
      </c>
      <c r="B1344" t="s">
        <v>368</v>
      </c>
      <c r="C1344" t="s">
        <v>65</v>
      </c>
      <c r="D1344">
        <v>36</v>
      </c>
      <c r="E1344" s="2">
        <v>44327</v>
      </c>
      <c r="F1344" t="s">
        <v>24</v>
      </c>
      <c r="G1344" t="s">
        <v>66</v>
      </c>
      <c r="H1344" t="s">
        <v>127</v>
      </c>
      <c r="I1344" s="3">
        <v>0.12708333333333333</v>
      </c>
      <c r="J1344" t="s">
        <v>311</v>
      </c>
      <c r="K1344">
        <v>25</v>
      </c>
      <c r="L1344" s="3">
        <v>6.9444444444444447E-4</v>
      </c>
      <c r="M1344" t="s">
        <v>31</v>
      </c>
      <c r="O1344">
        <f>IF(Table13[[#This Row],[Goal_assist]]="",1,0)</f>
        <v>1</v>
      </c>
    </row>
    <row r="1345" spans="1:15" x14ac:dyDescent="0.35">
      <c r="A1345" t="s">
        <v>14</v>
      </c>
      <c r="B1345" t="s">
        <v>368</v>
      </c>
      <c r="C1345" t="s">
        <v>321</v>
      </c>
      <c r="D1345">
        <v>36</v>
      </c>
      <c r="E1345" s="2">
        <v>44328</v>
      </c>
      <c r="F1345" t="s">
        <v>24</v>
      </c>
      <c r="G1345" t="s">
        <v>260</v>
      </c>
      <c r="H1345" t="s">
        <v>322</v>
      </c>
      <c r="I1345" s="3">
        <v>4.3749999999999997E-2</v>
      </c>
      <c r="J1345" t="s">
        <v>68</v>
      </c>
      <c r="K1345">
        <v>45</v>
      </c>
      <c r="L1345" s="3">
        <v>1.3888888888888889E-3</v>
      </c>
      <c r="M1345" t="s">
        <v>31</v>
      </c>
      <c r="O1345">
        <f>IF(Table13[[#This Row],[Goal_assist]]="",1,0)</f>
        <v>1</v>
      </c>
    </row>
    <row r="1346" spans="1:15" x14ac:dyDescent="0.35">
      <c r="A1346" t="s">
        <v>14</v>
      </c>
      <c r="B1346" t="s">
        <v>368</v>
      </c>
      <c r="C1346" t="s">
        <v>321</v>
      </c>
      <c r="D1346">
        <v>37</v>
      </c>
      <c r="E1346" s="2">
        <v>44331</v>
      </c>
      <c r="F1346" t="s">
        <v>16</v>
      </c>
      <c r="G1346" t="s">
        <v>260</v>
      </c>
      <c r="H1346" t="s">
        <v>348</v>
      </c>
      <c r="I1346" s="3">
        <v>0.12638888888888888</v>
      </c>
      <c r="J1346" t="s">
        <v>68</v>
      </c>
      <c r="K1346">
        <v>24</v>
      </c>
      <c r="L1346" s="3">
        <v>4.1666666666666664E-2</v>
      </c>
      <c r="M1346" t="s">
        <v>107</v>
      </c>
      <c r="O1346">
        <f>IF(Table13[[#This Row],[Goal_assist]]="",1,0)</f>
        <v>1</v>
      </c>
    </row>
    <row r="1347" spans="1:15" x14ac:dyDescent="0.35">
      <c r="A1347" t="s">
        <v>64</v>
      </c>
      <c r="B1347" t="s">
        <v>368</v>
      </c>
      <c r="C1347" t="s">
        <v>65</v>
      </c>
      <c r="D1347">
        <v>37</v>
      </c>
      <c r="E1347" s="2">
        <v>44332</v>
      </c>
      <c r="F1347" t="s">
        <v>16</v>
      </c>
      <c r="G1347" t="s">
        <v>66</v>
      </c>
      <c r="H1347" t="s">
        <v>98</v>
      </c>
      <c r="I1347" s="3">
        <v>4.3055555555555555E-2</v>
      </c>
      <c r="J1347" t="s">
        <v>311</v>
      </c>
      <c r="K1347">
        <v>28</v>
      </c>
      <c r="L1347" s="3">
        <v>4.1666666666666664E-2</v>
      </c>
      <c r="M1347" t="s">
        <v>22</v>
      </c>
      <c r="N1347" t="s">
        <v>222</v>
      </c>
      <c r="O1347">
        <f>IF(Table13[[#This Row],[Goal_assist]]="",1,0)</f>
        <v>0</v>
      </c>
    </row>
    <row r="1348" spans="1:15" x14ac:dyDescent="0.35">
      <c r="A1348" t="s">
        <v>14</v>
      </c>
      <c r="B1348" t="s">
        <v>382</v>
      </c>
      <c r="C1348" t="s">
        <v>35</v>
      </c>
      <c r="D1348">
        <v>4</v>
      </c>
      <c r="E1348" s="2">
        <v>44450</v>
      </c>
      <c r="F1348" t="s">
        <v>16</v>
      </c>
      <c r="G1348" t="s">
        <v>36</v>
      </c>
      <c r="H1348" t="s">
        <v>63</v>
      </c>
      <c r="I1348" s="3">
        <v>0.1673611111111111</v>
      </c>
      <c r="J1348" t="s">
        <v>68</v>
      </c>
      <c r="K1348">
        <v>62</v>
      </c>
      <c r="L1348" s="3">
        <v>8.4027777777777785E-2</v>
      </c>
      <c r="M1348" t="s">
        <v>31</v>
      </c>
      <c r="N1348" t="s">
        <v>383</v>
      </c>
      <c r="O1348">
        <f>IF(Table13[[#This Row],[Goal_assist]]="",1,0)</f>
        <v>0</v>
      </c>
    </row>
    <row r="1349" spans="1:15" x14ac:dyDescent="0.35">
      <c r="A1349" t="s">
        <v>14</v>
      </c>
      <c r="B1349" t="s">
        <v>382</v>
      </c>
      <c r="C1349" t="s">
        <v>35</v>
      </c>
      <c r="D1349">
        <v>4</v>
      </c>
      <c r="E1349" s="2">
        <v>44450</v>
      </c>
      <c r="F1349" t="s">
        <v>16</v>
      </c>
      <c r="G1349" t="s">
        <v>36</v>
      </c>
      <c r="H1349" t="s">
        <v>63</v>
      </c>
      <c r="I1349" s="3">
        <v>0.1673611111111111</v>
      </c>
      <c r="J1349" t="s">
        <v>68</v>
      </c>
      <c r="K1349" t="s">
        <v>228</v>
      </c>
      <c r="L1349" s="3">
        <v>4.1666666666666664E-2</v>
      </c>
      <c r="M1349" t="s">
        <v>55</v>
      </c>
      <c r="O1349">
        <f>IF(Table13[[#This Row],[Goal_assist]]="",1,0)</f>
        <v>1</v>
      </c>
    </row>
    <row r="1350" spans="1:15" x14ac:dyDescent="0.35">
      <c r="A1350" t="s">
        <v>14</v>
      </c>
      <c r="B1350" t="s">
        <v>382</v>
      </c>
      <c r="C1350" t="s">
        <v>75</v>
      </c>
      <c r="D1350" t="s">
        <v>76</v>
      </c>
      <c r="E1350" s="2">
        <v>44453</v>
      </c>
      <c r="F1350" t="s">
        <v>24</v>
      </c>
      <c r="G1350" t="s">
        <v>36</v>
      </c>
      <c r="H1350" t="s">
        <v>384</v>
      </c>
      <c r="I1350" s="3">
        <v>8.4027777777777785E-2</v>
      </c>
      <c r="J1350" t="s">
        <v>68</v>
      </c>
      <c r="K1350">
        <v>13</v>
      </c>
      <c r="L1350" s="3">
        <v>6.9444444444444447E-4</v>
      </c>
      <c r="M1350" t="s">
        <v>26</v>
      </c>
      <c r="N1350" t="s">
        <v>385</v>
      </c>
      <c r="O1350">
        <f>IF(Table13[[#This Row],[Goal_assist]]="",1,0)</f>
        <v>0</v>
      </c>
    </row>
    <row r="1351" spans="1:15" x14ac:dyDescent="0.35">
      <c r="A1351" t="s">
        <v>14</v>
      </c>
      <c r="B1351" t="s">
        <v>382</v>
      </c>
      <c r="C1351" t="s">
        <v>35</v>
      </c>
      <c r="D1351">
        <v>5</v>
      </c>
      <c r="E1351" s="2">
        <v>44458</v>
      </c>
      <c r="F1351" t="s">
        <v>24</v>
      </c>
      <c r="G1351" t="s">
        <v>36</v>
      </c>
      <c r="H1351" t="s">
        <v>140</v>
      </c>
      <c r="I1351" s="3">
        <v>4.3055555555555555E-2</v>
      </c>
      <c r="J1351" t="s">
        <v>68</v>
      </c>
      <c r="K1351">
        <v>35</v>
      </c>
      <c r="L1351" s="3">
        <v>4.2361111111111113E-2</v>
      </c>
      <c r="M1351" t="s">
        <v>26</v>
      </c>
      <c r="O1351">
        <f>IF(Table13[[#This Row],[Goal_assist]]="",1,0)</f>
        <v>1</v>
      </c>
    </row>
    <row r="1352" spans="1:15" x14ac:dyDescent="0.35">
      <c r="A1352" t="s">
        <v>64</v>
      </c>
      <c r="B1352" t="s">
        <v>382</v>
      </c>
      <c r="C1352" t="s">
        <v>75</v>
      </c>
      <c r="D1352" t="s">
        <v>76</v>
      </c>
      <c r="E1352" s="2">
        <v>44467</v>
      </c>
      <c r="F1352" t="s">
        <v>16</v>
      </c>
      <c r="G1352" t="s">
        <v>252</v>
      </c>
      <c r="H1352" t="s">
        <v>41</v>
      </c>
      <c r="I1352" s="3">
        <v>8.3333333333333329E-2</v>
      </c>
      <c r="J1352" t="s">
        <v>38</v>
      </c>
      <c r="K1352">
        <v>74</v>
      </c>
      <c r="L1352" s="3">
        <v>8.3333333333333329E-2</v>
      </c>
      <c r="M1352" t="s">
        <v>31</v>
      </c>
      <c r="N1352" t="s">
        <v>386</v>
      </c>
      <c r="O1352">
        <f>IF(Table13[[#This Row],[Goal_assist]]="",1,0)</f>
        <v>0</v>
      </c>
    </row>
    <row r="1353" spans="1:15" x14ac:dyDescent="0.35">
      <c r="A1353" t="s">
        <v>14</v>
      </c>
      <c r="B1353" t="s">
        <v>382</v>
      </c>
      <c r="C1353" t="s">
        <v>75</v>
      </c>
      <c r="D1353" t="s">
        <v>76</v>
      </c>
      <c r="E1353" s="2">
        <v>44468</v>
      </c>
      <c r="F1353" t="s">
        <v>16</v>
      </c>
      <c r="G1353" t="s">
        <v>36</v>
      </c>
      <c r="H1353" t="s">
        <v>180</v>
      </c>
      <c r="I1353" s="3">
        <v>8.4027777777777785E-2</v>
      </c>
      <c r="J1353" t="s">
        <v>68</v>
      </c>
      <c r="K1353" t="s">
        <v>21</v>
      </c>
      <c r="L1353" s="3">
        <v>8.4027777777777785E-2</v>
      </c>
      <c r="M1353" t="s">
        <v>26</v>
      </c>
      <c r="N1353" t="s">
        <v>387</v>
      </c>
      <c r="O1353">
        <f>IF(Table13[[#This Row],[Goal_assist]]="",1,0)</f>
        <v>0</v>
      </c>
    </row>
    <row r="1354" spans="1:15" x14ac:dyDescent="0.35">
      <c r="A1354" t="s">
        <v>64</v>
      </c>
      <c r="B1354" t="s">
        <v>382</v>
      </c>
      <c r="C1354" t="s">
        <v>75</v>
      </c>
      <c r="D1354" t="s">
        <v>76</v>
      </c>
      <c r="E1354" s="2">
        <v>44488</v>
      </c>
      <c r="F1354" t="s">
        <v>16</v>
      </c>
      <c r="G1354" t="s">
        <v>252</v>
      </c>
      <c r="H1354" t="s">
        <v>388</v>
      </c>
      <c r="I1354" s="3">
        <v>0.12638888888888888</v>
      </c>
      <c r="J1354" t="s">
        <v>38</v>
      </c>
      <c r="K1354">
        <v>74</v>
      </c>
      <c r="L1354" s="3">
        <v>0.12638888888888888</v>
      </c>
      <c r="M1354" t="s">
        <v>83</v>
      </c>
      <c r="O1354">
        <f>IF(Table13[[#This Row],[Goal_assist]]="",1,0)</f>
        <v>1</v>
      </c>
    </row>
    <row r="1355" spans="1:15" x14ac:dyDescent="0.35">
      <c r="A1355" t="s">
        <v>64</v>
      </c>
      <c r="B1355" t="s">
        <v>382</v>
      </c>
      <c r="C1355" t="s">
        <v>75</v>
      </c>
      <c r="D1355" t="s">
        <v>76</v>
      </c>
      <c r="E1355" s="2">
        <v>44488</v>
      </c>
      <c r="F1355" t="s">
        <v>16</v>
      </c>
      <c r="G1355" t="s">
        <v>252</v>
      </c>
      <c r="H1355" t="s">
        <v>388</v>
      </c>
      <c r="I1355" s="3">
        <v>0.12638888888888888</v>
      </c>
      <c r="J1355" t="s">
        <v>38</v>
      </c>
      <c r="K1355">
        <v>67</v>
      </c>
      <c r="L1355" s="3">
        <v>8.4722222222222227E-2</v>
      </c>
      <c r="M1355" t="s">
        <v>31</v>
      </c>
      <c r="N1355" t="s">
        <v>386</v>
      </c>
      <c r="O1355">
        <f>IF(Table13[[#This Row],[Goal_assist]]="",1,0)</f>
        <v>0</v>
      </c>
    </row>
    <row r="1356" spans="1:15" x14ac:dyDescent="0.35">
      <c r="A1356" t="s">
        <v>14</v>
      </c>
      <c r="B1356" t="s">
        <v>382</v>
      </c>
      <c r="C1356" t="s">
        <v>75</v>
      </c>
      <c r="D1356" t="s">
        <v>76</v>
      </c>
      <c r="E1356" s="2">
        <v>44489</v>
      </c>
      <c r="F1356" t="s">
        <v>16</v>
      </c>
      <c r="G1356" t="s">
        <v>36</v>
      </c>
      <c r="H1356" t="s">
        <v>337</v>
      </c>
      <c r="I1356" s="3">
        <v>0.12638888888888888</v>
      </c>
      <c r="J1356" t="s">
        <v>68</v>
      </c>
      <c r="K1356">
        <v>81</v>
      </c>
      <c r="L1356" s="3">
        <v>0.12638888888888888</v>
      </c>
      <c r="M1356" t="s">
        <v>22</v>
      </c>
      <c r="N1356" t="s">
        <v>383</v>
      </c>
      <c r="O1356">
        <f>IF(Table13[[#This Row],[Goal_assist]]="",1,0)</f>
        <v>0</v>
      </c>
    </row>
    <row r="1357" spans="1:15" x14ac:dyDescent="0.35">
      <c r="A1357" t="s">
        <v>14</v>
      </c>
      <c r="B1357" t="s">
        <v>382</v>
      </c>
      <c r="C1357" t="s">
        <v>35</v>
      </c>
      <c r="D1357">
        <v>10</v>
      </c>
      <c r="E1357" s="2">
        <v>44499</v>
      </c>
      <c r="F1357" t="s">
        <v>24</v>
      </c>
      <c r="G1357" t="s">
        <v>36</v>
      </c>
      <c r="H1357" t="s">
        <v>42</v>
      </c>
      <c r="I1357" s="3">
        <v>2.0833333333333333E-3</v>
      </c>
      <c r="J1357" t="s">
        <v>68</v>
      </c>
      <c r="K1357">
        <v>39</v>
      </c>
      <c r="L1357" s="3">
        <v>6.9444444444444447E-4</v>
      </c>
      <c r="M1357" t="s">
        <v>26</v>
      </c>
      <c r="N1357" t="s">
        <v>385</v>
      </c>
      <c r="O1357">
        <f>IF(Table13[[#This Row],[Goal_assist]]="",1,0)</f>
        <v>0</v>
      </c>
    </row>
    <row r="1358" spans="1:15" x14ac:dyDescent="0.35">
      <c r="A1358" t="s">
        <v>14</v>
      </c>
      <c r="B1358" t="s">
        <v>382</v>
      </c>
      <c r="C1358" t="s">
        <v>75</v>
      </c>
      <c r="D1358" t="s">
        <v>76</v>
      </c>
      <c r="E1358" s="2">
        <v>44502</v>
      </c>
      <c r="F1358" t="s">
        <v>24</v>
      </c>
      <c r="G1358" t="s">
        <v>36</v>
      </c>
      <c r="H1358" t="s">
        <v>337</v>
      </c>
      <c r="I1358" s="3">
        <v>8.4722222222222227E-2</v>
      </c>
      <c r="J1358" t="s">
        <v>68</v>
      </c>
      <c r="K1358" t="s">
        <v>69</v>
      </c>
      <c r="L1358" s="3">
        <v>8.4722222222222227E-2</v>
      </c>
      <c r="M1358" t="s">
        <v>26</v>
      </c>
      <c r="N1358" t="s">
        <v>389</v>
      </c>
      <c r="O1358">
        <f>IF(Table13[[#This Row],[Goal_assist]]="",1,0)</f>
        <v>0</v>
      </c>
    </row>
    <row r="1359" spans="1:15" x14ac:dyDescent="0.35">
      <c r="A1359" t="s">
        <v>14</v>
      </c>
      <c r="B1359" t="s">
        <v>382</v>
      </c>
      <c r="C1359" t="s">
        <v>75</v>
      </c>
      <c r="D1359" t="s">
        <v>76</v>
      </c>
      <c r="E1359" s="2">
        <v>44502</v>
      </c>
      <c r="F1359" t="s">
        <v>24</v>
      </c>
      <c r="G1359" t="s">
        <v>36</v>
      </c>
      <c r="H1359" t="s">
        <v>337</v>
      </c>
      <c r="I1359" s="3">
        <v>8.4722222222222227E-2</v>
      </c>
      <c r="J1359" t="s">
        <v>68</v>
      </c>
      <c r="K1359" t="s">
        <v>58</v>
      </c>
      <c r="L1359" s="3">
        <v>4.2361111111111113E-2</v>
      </c>
      <c r="M1359" t="s">
        <v>26</v>
      </c>
      <c r="N1359" t="s">
        <v>385</v>
      </c>
      <c r="O1359">
        <f>IF(Table13[[#This Row],[Goal_assist]]="",1,0)</f>
        <v>0</v>
      </c>
    </row>
    <row r="1360" spans="1:15" x14ac:dyDescent="0.35">
      <c r="A1360" t="s">
        <v>64</v>
      </c>
      <c r="B1360" t="s">
        <v>382</v>
      </c>
      <c r="C1360" t="s">
        <v>390</v>
      </c>
      <c r="D1360">
        <v>14</v>
      </c>
      <c r="E1360" s="2">
        <v>44520</v>
      </c>
      <c r="F1360" t="s">
        <v>16</v>
      </c>
      <c r="G1360" t="s">
        <v>252</v>
      </c>
      <c r="H1360" t="s">
        <v>391</v>
      </c>
      <c r="I1360" s="3">
        <v>0.12569444444444444</v>
      </c>
      <c r="J1360" t="s">
        <v>38</v>
      </c>
      <c r="K1360">
        <v>87</v>
      </c>
      <c r="L1360" s="3">
        <v>0.12569444444444444</v>
      </c>
      <c r="M1360" t="s">
        <v>31</v>
      </c>
      <c r="N1360" t="s">
        <v>386</v>
      </c>
      <c r="O1360">
        <f>IF(Table13[[#This Row],[Goal_assist]]="",1,0)</f>
        <v>0</v>
      </c>
    </row>
    <row r="1361" spans="1:15" x14ac:dyDescent="0.35">
      <c r="A1361" t="s">
        <v>14</v>
      </c>
      <c r="B1361" t="s">
        <v>382</v>
      </c>
      <c r="C1361" t="s">
        <v>75</v>
      </c>
      <c r="D1361" t="s">
        <v>76</v>
      </c>
      <c r="E1361" s="2">
        <v>44523</v>
      </c>
      <c r="F1361" t="s">
        <v>24</v>
      </c>
      <c r="G1361" t="s">
        <v>36</v>
      </c>
      <c r="H1361" t="s">
        <v>180</v>
      </c>
      <c r="I1361" s="3">
        <v>1.3888888888888889E-3</v>
      </c>
      <c r="J1361" t="s">
        <v>68</v>
      </c>
      <c r="K1361">
        <v>78</v>
      </c>
      <c r="L1361" s="3">
        <v>6.9444444444444447E-4</v>
      </c>
      <c r="M1361" t="s">
        <v>26</v>
      </c>
      <c r="O1361">
        <f>IF(Table13[[#This Row],[Goal_assist]]="",1,0)</f>
        <v>1</v>
      </c>
    </row>
    <row r="1362" spans="1:15" x14ac:dyDescent="0.35">
      <c r="A1362" t="s">
        <v>14</v>
      </c>
      <c r="B1362" t="s">
        <v>382</v>
      </c>
      <c r="C1362" t="s">
        <v>35</v>
      </c>
      <c r="D1362">
        <v>14</v>
      </c>
      <c r="E1362" s="2">
        <v>44532</v>
      </c>
      <c r="F1362" t="s">
        <v>16</v>
      </c>
      <c r="G1362" t="s">
        <v>36</v>
      </c>
      <c r="H1362" t="s">
        <v>54</v>
      </c>
      <c r="I1362" s="3">
        <v>0.12638888888888888</v>
      </c>
      <c r="J1362" t="s">
        <v>68</v>
      </c>
      <c r="K1362">
        <v>70</v>
      </c>
      <c r="L1362" s="3">
        <v>0.12638888888888888</v>
      </c>
      <c r="M1362" t="s">
        <v>83</v>
      </c>
      <c r="O1362">
        <f>IF(Table13[[#This Row],[Goal_assist]]="",1,0)</f>
        <v>1</v>
      </c>
    </row>
    <row r="1363" spans="1:15" x14ac:dyDescent="0.35">
      <c r="A1363" t="s">
        <v>14</v>
      </c>
      <c r="B1363" t="s">
        <v>382</v>
      </c>
      <c r="C1363" t="s">
        <v>35</v>
      </c>
      <c r="D1363">
        <v>14</v>
      </c>
      <c r="E1363" s="2">
        <v>44532</v>
      </c>
      <c r="F1363" t="s">
        <v>16</v>
      </c>
      <c r="G1363" t="s">
        <v>36</v>
      </c>
      <c r="H1363" t="s">
        <v>54</v>
      </c>
      <c r="I1363" s="3">
        <v>0.12638888888888888</v>
      </c>
      <c r="J1363" t="s">
        <v>68</v>
      </c>
      <c r="K1363">
        <v>52</v>
      </c>
      <c r="L1363" s="3">
        <v>8.4027777777777785E-2</v>
      </c>
      <c r="M1363" t="s">
        <v>26</v>
      </c>
      <c r="N1363" t="s">
        <v>392</v>
      </c>
      <c r="O1363">
        <f>IF(Table13[[#This Row],[Goal_assist]]="",1,0)</f>
        <v>0</v>
      </c>
    </row>
    <row r="1364" spans="1:15" x14ac:dyDescent="0.35">
      <c r="A1364" t="s">
        <v>64</v>
      </c>
      <c r="B1364" t="s">
        <v>382</v>
      </c>
      <c r="C1364" t="s">
        <v>75</v>
      </c>
      <c r="D1364" t="s">
        <v>76</v>
      </c>
      <c r="E1364" s="2">
        <v>44537</v>
      </c>
      <c r="F1364" t="s">
        <v>16</v>
      </c>
      <c r="G1364" t="s">
        <v>252</v>
      </c>
      <c r="H1364" t="s">
        <v>393</v>
      </c>
      <c r="I1364" s="3">
        <v>0.1673611111111111</v>
      </c>
      <c r="J1364" t="s">
        <v>68</v>
      </c>
      <c r="K1364">
        <v>38</v>
      </c>
      <c r="L1364" s="3">
        <v>0.125</v>
      </c>
      <c r="M1364" t="s">
        <v>31</v>
      </c>
      <c r="N1364" t="s">
        <v>386</v>
      </c>
      <c r="O1364">
        <f>IF(Table13[[#This Row],[Goal_assist]]="",1,0)</f>
        <v>0</v>
      </c>
    </row>
    <row r="1365" spans="1:15" x14ac:dyDescent="0.35">
      <c r="A1365" t="s">
        <v>64</v>
      </c>
      <c r="B1365" t="s">
        <v>382</v>
      </c>
      <c r="C1365" t="s">
        <v>75</v>
      </c>
      <c r="D1365" t="s">
        <v>76</v>
      </c>
      <c r="E1365" s="2">
        <v>44537</v>
      </c>
      <c r="F1365" t="s">
        <v>16</v>
      </c>
      <c r="G1365" t="s">
        <v>252</v>
      </c>
      <c r="H1365" t="s">
        <v>393</v>
      </c>
      <c r="I1365" s="3">
        <v>0.1673611111111111</v>
      </c>
      <c r="J1365" t="s">
        <v>68</v>
      </c>
      <c r="K1365">
        <v>76</v>
      </c>
      <c r="L1365" s="3">
        <v>0.1673611111111111</v>
      </c>
      <c r="M1365" t="s">
        <v>83</v>
      </c>
      <c r="O1365">
        <f>IF(Table13[[#This Row],[Goal_assist]]="",1,0)</f>
        <v>1</v>
      </c>
    </row>
    <row r="1366" spans="1:15" x14ac:dyDescent="0.35">
      <c r="A1366" t="s">
        <v>14</v>
      </c>
      <c r="B1366" t="s">
        <v>382</v>
      </c>
      <c r="C1366" t="s">
        <v>35</v>
      </c>
      <c r="D1366">
        <v>16</v>
      </c>
      <c r="E1366" s="2">
        <v>44541</v>
      </c>
      <c r="F1366" t="s">
        <v>24</v>
      </c>
      <c r="G1366" t="s">
        <v>36</v>
      </c>
      <c r="H1366" t="s">
        <v>394</v>
      </c>
      <c r="I1366" s="3">
        <v>6.9444444444444447E-4</v>
      </c>
      <c r="J1366" t="s">
        <v>68</v>
      </c>
      <c r="K1366">
        <v>75</v>
      </c>
      <c r="L1366" s="3">
        <v>6.9444444444444447E-4</v>
      </c>
      <c r="M1366" t="s">
        <v>83</v>
      </c>
      <c r="O1366">
        <f>IF(Table13[[#This Row],[Goal_assist]]="",1,0)</f>
        <v>1</v>
      </c>
    </row>
    <row r="1367" spans="1:15" x14ac:dyDescent="0.35">
      <c r="A1367" t="s">
        <v>14</v>
      </c>
      <c r="B1367" t="s">
        <v>382</v>
      </c>
      <c r="C1367" t="s">
        <v>35</v>
      </c>
      <c r="D1367">
        <v>20</v>
      </c>
      <c r="E1367" s="2">
        <v>44560</v>
      </c>
      <c r="F1367" t="s">
        <v>16</v>
      </c>
      <c r="G1367" t="s">
        <v>36</v>
      </c>
      <c r="H1367" t="s">
        <v>395</v>
      </c>
      <c r="I1367" s="3">
        <v>0.12569444444444444</v>
      </c>
      <c r="J1367" t="s">
        <v>68</v>
      </c>
      <c r="K1367">
        <v>35</v>
      </c>
      <c r="L1367" s="3">
        <v>0.125</v>
      </c>
      <c r="M1367" t="s">
        <v>26</v>
      </c>
      <c r="O1367">
        <f>IF(Table13[[#This Row],[Goal_assist]]="",1,0)</f>
        <v>1</v>
      </c>
    </row>
    <row r="1368" spans="1:15" x14ac:dyDescent="0.35">
      <c r="A1368" t="s">
        <v>64</v>
      </c>
      <c r="B1368" t="s">
        <v>382</v>
      </c>
      <c r="C1368" t="s">
        <v>390</v>
      </c>
      <c r="D1368">
        <v>23</v>
      </c>
      <c r="E1368" s="2">
        <v>44598</v>
      </c>
      <c r="F1368" t="s">
        <v>24</v>
      </c>
      <c r="G1368" t="s">
        <v>252</v>
      </c>
      <c r="H1368" t="s">
        <v>396</v>
      </c>
      <c r="I1368" s="3">
        <v>4.5138888888888888E-2</v>
      </c>
      <c r="J1368" t="s">
        <v>68</v>
      </c>
      <c r="K1368">
        <v>38</v>
      </c>
      <c r="L1368" s="3">
        <v>4.3749999999999997E-2</v>
      </c>
      <c r="M1368" t="s">
        <v>31</v>
      </c>
      <c r="O1368">
        <f>IF(Table13[[#This Row],[Goal_assist]]="",1,0)</f>
        <v>1</v>
      </c>
    </row>
    <row r="1369" spans="1:15" x14ac:dyDescent="0.35">
      <c r="A1369" t="s">
        <v>14</v>
      </c>
      <c r="B1369" t="s">
        <v>382</v>
      </c>
      <c r="C1369" t="s">
        <v>35</v>
      </c>
      <c r="D1369">
        <v>18</v>
      </c>
      <c r="E1369" s="2">
        <v>44607</v>
      </c>
      <c r="F1369" t="s">
        <v>16</v>
      </c>
      <c r="G1369" t="s">
        <v>36</v>
      </c>
      <c r="H1369" t="s">
        <v>397</v>
      </c>
      <c r="I1369" s="3">
        <v>8.3333333333333329E-2</v>
      </c>
      <c r="J1369" t="s">
        <v>68</v>
      </c>
      <c r="K1369">
        <v>51</v>
      </c>
      <c r="L1369" s="3">
        <v>4.1666666666666664E-2</v>
      </c>
      <c r="M1369" t="s">
        <v>26</v>
      </c>
      <c r="N1369" t="s">
        <v>398</v>
      </c>
      <c r="O1369">
        <f>IF(Table13[[#This Row],[Goal_assist]]="",1,0)</f>
        <v>0</v>
      </c>
    </row>
    <row r="1370" spans="1:15" x14ac:dyDescent="0.35">
      <c r="A1370" t="s">
        <v>14</v>
      </c>
      <c r="B1370" t="s">
        <v>382</v>
      </c>
      <c r="C1370" t="s">
        <v>35</v>
      </c>
      <c r="D1370">
        <v>29</v>
      </c>
      <c r="E1370" s="2">
        <v>44632</v>
      </c>
      <c r="F1370" t="s">
        <v>16</v>
      </c>
      <c r="G1370" t="s">
        <v>36</v>
      </c>
      <c r="H1370" t="s">
        <v>42</v>
      </c>
      <c r="I1370" s="3">
        <v>0.12638888888888888</v>
      </c>
      <c r="J1370" t="s">
        <v>68</v>
      </c>
      <c r="K1370">
        <v>81</v>
      </c>
      <c r="L1370" s="3">
        <v>0.12638888888888888</v>
      </c>
      <c r="M1370" t="s">
        <v>22</v>
      </c>
      <c r="N1370" t="s">
        <v>399</v>
      </c>
      <c r="O1370">
        <f>IF(Table13[[#This Row],[Goal_assist]]="",1,0)</f>
        <v>0</v>
      </c>
    </row>
    <row r="1371" spans="1:15" x14ac:dyDescent="0.35">
      <c r="A1371" t="s">
        <v>14</v>
      </c>
      <c r="B1371" t="s">
        <v>382</v>
      </c>
      <c r="C1371" t="s">
        <v>35</v>
      </c>
      <c r="D1371">
        <v>29</v>
      </c>
      <c r="E1371" s="2">
        <v>44632</v>
      </c>
      <c r="F1371" t="s">
        <v>16</v>
      </c>
      <c r="G1371" t="s">
        <v>36</v>
      </c>
      <c r="H1371" t="s">
        <v>42</v>
      </c>
      <c r="I1371" s="3">
        <v>0.12638888888888888</v>
      </c>
      <c r="J1371" t="s">
        <v>68</v>
      </c>
      <c r="K1371">
        <v>38</v>
      </c>
      <c r="L1371" s="3">
        <v>8.4027777777777785E-2</v>
      </c>
      <c r="M1371" t="s">
        <v>26</v>
      </c>
      <c r="N1371" t="s">
        <v>400</v>
      </c>
      <c r="O1371">
        <f>IF(Table13[[#This Row],[Goal_assist]]="",1,0)</f>
        <v>0</v>
      </c>
    </row>
    <row r="1372" spans="1:15" x14ac:dyDescent="0.35">
      <c r="A1372" t="s">
        <v>14</v>
      </c>
      <c r="B1372" t="s">
        <v>382</v>
      </c>
      <c r="C1372" t="s">
        <v>35</v>
      </c>
      <c r="D1372">
        <v>29</v>
      </c>
      <c r="E1372" s="2">
        <v>44632</v>
      </c>
      <c r="F1372" t="s">
        <v>16</v>
      </c>
      <c r="G1372" t="s">
        <v>36</v>
      </c>
      <c r="H1372" t="s">
        <v>42</v>
      </c>
      <c r="I1372" s="3">
        <v>0.12638888888888888</v>
      </c>
      <c r="J1372" t="s">
        <v>68</v>
      </c>
      <c r="K1372">
        <v>12</v>
      </c>
      <c r="L1372" s="3">
        <v>4.1666666666666664E-2</v>
      </c>
      <c r="M1372" t="s">
        <v>26</v>
      </c>
      <c r="N1372" t="s">
        <v>401</v>
      </c>
      <c r="O1372">
        <f>IF(Table13[[#This Row],[Goal_assist]]="",1,0)</f>
        <v>0</v>
      </c>
    </row>
    <row r="1373" spans="1:15" x14ac:dyDescent="0.35">
      <c r="A1373" t="s">
        <v>64</v>
      </c>
      <c r="B1373" t="s">
        <v>382</v>
      </c>
      <c r="C1373" t="s">
        <v>390</v>
      </c>
      <c r="D1373">
        <v>30</v>
      </c>
      <c r="E1373" s="2">
        <v>44654</v>
      </c>
      <c r="F1373" t="s">
        <v>16</v>
      </c>
      <c r="G1373" t="s">
        <v>252</v>
      </c>
      <c r="H1373" t="s">
        <v>402</v>
      </c>
      <c r="I1373" s="3">
        <v>0.20902777777777778</v>
      </c>
      <c r="J1373" t="s">
        <v>38</v>
      </c>
      <c r="K1373">
        <v>73</v>
      </c>
      <c r="L1373" s="3">
        <v>0.1673611111111111</v>
      </c>
      <c r="M1373" t="s">
        <v>31</v>
      </c>
      <c r="N1373" t="s">
        <v>386</v>
      </c>
      <c r="O1373">
        <f>IF(Table13[[#This Row],[Goal_assist]]="",1,0)</f>
        <v>0</v>
      </c>
    </row>
    <row r="1374" spans="1:15" x14ac:dyDescent="0.35">
      <c r="A1374" t="s">
        <v>14</v>
      </c>
      <c r="B1374" t="s">
        <v>382</v>
      </c>
      <c r="C1374" t="s">
        <v>35</v>
      </c>
      <c r="D1374">
        <v>33</v>
      </c>
      <c r="E1374" s="2">
        <v>44667</v>
      </c>
      <c r="F1374" t="s">
        <v>16</v>
      </c>
      <c r="G1374" t="s">
        <v>36</v>
      </c>
      <c r="H1374" t="s">
        <v>394</v>
      </c>
      <c r="I1374" s="3">
        <v>0.12638888888888888</v>
      </c>
      <c r="J1374" t="s">
        <v>68</v>
      </c>
      <c r="K1374">
        <v>7</v>
      </c>
      <c r="L1374" s="3">
        <v>4.1666666666666664E-2</v>
      </c>
      <c r="M1374" t="s">
        <v>26</v>
      </c>
      <c r="N1374" t="s">
        <v>403</v>
      </c>
      <c r="O1374">
        <f>IF(Table13[[#This Row],[Goal_assist]]="",1,0)</f>
        <v>0</v>
      </c>
    </row>
    <row r="1375" spans="1:15" x14ac:dyDescent="0.35">
      <c r="A1375" t="s">
        <v>14</v>
      </c>
      <c r="B1375" t="s">
        <v>382</v>
      </c>
      <c r="C1375" t="s">
        <v>35</v>
      </c>
      <c r="D1375">
        <v>33</v>
      </c>
      <c r="E1375" s="2">
        <v>44667</v>
      </c>
      <c r="F1375" t="s">
        <v>16</v>
      </c>
      <c r="G1375" t="s">
        <v>36</v>
      </c>
      <c r="H1375" t="s">
        <v>394</v>
      </c>
      <c r="I1375" s="3">
        <v>0.12638888888888888</v>
      </c>
      <c r="J1375" t="s">
        <v>68</v>
      </c>
      <c r="K1375">
        <v>32</v>
      </c>
      <c r="L1375" s="3">
        <v>8.3333333333333329E-2</v>
      </c>
      <c r="M1375" t="s">
        <v>22</v>
      </c>
      <c r="N1375" t="s">
        <v>399</v>
      </c>
      <c r="O1375">
        <f>IF(Table13[[#This Row],[Goal_assist]]="",1,0)</f>
        <v>0</v>
      </c>
    </row>
    <row r="1376" spans="1:15" x14ac:dyDescent="0.35">
      <c r="A1376" t="s">
        <v>14</v>
      </c>
      <c r="B1376" t="s">
        <v>382</v>
      </c>
      <c r="C1376" t="s">
        <v>35</v>
      </c>
      <c r="D1376">
        <v>33</v>
      </c>
      <c r="E1376" s="2">
        <v>44667</v>
      </c>
      <c r="F1376" t="s">
        <v>16</v>
      </c>
      <c r="G1376" t="s">
        <v>36</v>
      </c>
      <c r="H1376" t="s">
        <v>394</v>
      </c>
      <c r="I1376" s="3">
        <v>0.12638888888888888</v>
      </c>
      <c r="J1376" t="s">
        <v>68</v>
      </c>
      <c r="K1376">
        <v>76</v>
      </c>
      <c r="L1376" s="3">
        <v>0.12638888888888888</v>
      </c>
      <c r="M1376" t="s">
        <v>39</v>
      </c>
      <c r="O1376">
        <f>IF(Table13[[#This Row],[Goal_assist]]="",1,0)</f>
        <v>1</v>
      </c>
    </row>
    <row r="1377" spans="1:15" x14ac:dyDescent="0.35">
      <c r="A1377" t="s">
        <v>14</v>
      </c>
      <c r="B1377" t="s">
        <v>382</v>
      </c>
      <c r="C1377" t="s">
        <v>35</v>
      </c>
      <c r="D1377">
        <v>34</v>
      </c>
      <c r="E1377" s="2">
        <v>44674</v>
      </c>
      <c r="F1377" t="s">
        <v>24</v>
      </c>
      <c r="G1377" t="s">
        <v>36</v>
      </c>
      <c r="H1377" t="s">
        <v>54</v>
      </c>
      <c r="I1377" s="3">
        <v>0.12569444444444444</v>
      </c>
      <c r="J1377" t="s">
        <v>68</v>
      </c>
      <c r="K1377">
        <v>34</v>
      </c>
      <c r="L1377" s="3">
        <v>8.4027777777777785E-2</v>
      </c>
      <c r="M1377" t="s">
        <v>31</v>
      </c>
      <c r="N1377" t="s">
        <v>404</v>
      </c>
      <c r="O1377">
        <f>IF(Table13[[#This Row],[Goal_assist]]="",1,0)</f>
        <v>0</v>
      </c>
    </row>
    <row r="1378" spans="1:15" x14ac:dyDescent="0.35">
      <c r="A1378" t="s">
        <v>64</v>
      </c>
      <c r="B1378" t="s">
        <v>382</v>
      </c>
      <c r="C1378" t="s">
        <v>390</v>
      </c>
      <c r="D1378">
        <v>34</v>
      </c>
      <c r="E1378" s="2">
        <v>44674</v>
      </c>
      <c r="F1378" t="s">
        <v>16</v>
      </c>
      <c r="G1378" t="s">
        <v>252</v>
      </c>
      <c r="H1378" t="s">
        <v>405</v>
      </c>
      <c r="I1378" s="3">
        <v>4.2361111111111113E-2</v>
      </c>
      <c r="J1378" t="s">
        <v>38</v>
      </c>
      <c r="K1378">
        <v>68</v>
      </c>
      <c r="L1378" s="3">
        <v>4.1666666666666664E-2</v>
      </c>
      <c r="M1378" t="s">
        <v>31</v>
      </c>
      <c r="N1378" t="s">
        <v>256</v>
      </c>
      <c r="O1378">
        <f>IF(Table13[[#This Row],[Goal_assist]]="",1,0)</f>
        <v>0</v>
      </c>
    </row>
    <row r="1379" spans="1:15" x14ac:dyDescent="0.35">
      <c r="A1379" t="s">
        <v>14</v>
      </c>
      <c r="B1379" t="s">
        <v>382</v>
      </c>
      <c r="C1379" t="s">
        <v>35</v>
      </c>
      <c r="D1379">
        <v>37</v>
      </c>
      <c r="E1379" s="2">
        <v>44679</v>
      </c>
      <c r="F1379" t="s">
        <v>16</v>
      </c>
      <c r="G1379" t="s">
        <v>36</v>
      </c>
      <c r="H1379" t="s">
        <v>149</v>
      </c>
      <c r="I1379" s="3">
        <v>4.2361111111111113E-2</v>
      </c>
      <c r="J1379" t="s">
        <v>68</v>
      </c>
      <c r="K1379">
        <v>62</v>
      </c>
      <c r="L1379" s="3">
        <v>4.2361111111111113E-2</v>
      </c>
      <c r="M1379" t="s">
        <v>26</v>
      </c>
      <c r="N1379" t="s">
        <v>404</v>
      </c>
      <c r="O1379">
        <f>IF(Table13[[#This Row],[Goal_assist]]="",1,0)</f>
        <v>0</v>
      </c>
    </row>
    <row r="1380" spans="1:15" x14ac:dyDescent="0.35">
      <c r="A1380" t="s">
        <v>14</v>
      </c>
      <c r="B1380" t="s">
        <v>382</v>
      </c>
      <c r="C1380" t="s">
        <v>35</v>
      </c>
      <c r="D1380">
        <v>35</v>
      </c>
      <c r="E1380" s="2">
        <v>44683</v>
      </c>
      <c r="F1380" t="s">
        <v>16</v>
      </c>
      <c r="G1380" t="s">
        <v>36</v>
      </c>
      <c r="H1380" t="s">
        <v>406</v>
      </c>
      <c r="I1380" s="3">
        <v>0.125</v>
      </c>
      <c r="J1380" t="s">
        <v>68</v>
      </c>
      <c r="K1380">
        <v>61</v>
      </c>
      <c r="L1380" s="3">
        <v>8.3333333333333329E-2</v>
      </c>
      <c r="M1380" t="s">
        <v>83</v>
      </c>
      <c r="O1380">
        <f>IF(Table13[[#This Row],[Goal_assist]]="",1,0)</f>
        <v>1</v>
      </c>
    </row>
    <row r="1381" spans="1:15" x14ac:dyDescent="0.35">
      <c r="A1381" t="s">
        <v>64</v>
      </c>
      <c r="B1381" t="s">
        <v>382</v>
      </c>
      <c r="C1381" t="s">
        <v>390</v>
      </c>
      <c r="D1381">
        <v>37</v>
      </c>
      <c r="E1381" s="2">
        <v>44695</v>
      </c>
      <c r="F1381" t="s">
        <v>24</v>
      </c>
      <c r="G1381" t="s">
        <v>252</v>
      </c>
      <c r="H1381" t="s">
        <v>407</v>
      </c>
      <c r="I1381" s="3">
        <v>2.7777777777777779E-3</v>
      </c>
      <c r="J1381" t="s">
        <v>68</v>
      </c>
      <c r="K1381">
        <v>6</v>
      </c>
      <c r="L1381" s="3">
        <v>6.9444444444444447E-4</v>
      </c>
      <c r="M1381" t="s">
        <v>31</v>
      </c>
      <c r="N1381" t="s">
        <v>408</v>
      </c>
      <c r="O1381">
        <f>IF(Table13[[#This Row],[Goal_assist]]="",1,0)</f>
        <v>0</v>
      </c>
    </row>
    <row r="1382" spans="1:15" x14ac:dyDescent="0.35">
      <c r="A1382" t="s">
        <v>64</v>
      </c>
      <c r="B1382" t="s">
        <v>382</v>
      </c>
      <c r="C1382" t="s">
        <v>390</v>
      </c>
      <c r="D1382">
        <v>37</v>
      </c>
      <c r="E1382" s="2">
        <v>44695</v>
      </c>
      <c r="F1382" t="s">
        <v>24</v>
      </c>
      <c r="G1382" t="s">
        <v>252</v>
      </c>
      <c r="H1382" t="s">
        <v>407</v>
      </c>
      <c r="I1382" s="3">
        <v>2.7777777777777779E-3</v>
      </c>
      <c r="J1382" t="s">
        <v>68</v>
      </c>
      <c r="K1382">
        <v>20</v>
      </c>
      <c r="L1382" s="3">
        <v>1.3888888888888889E-3</v>
      </c>
      <c r="M1382" t="s">
        <v>31</v>
      </c>
      <c r="N1382" t="s">
        <v>408</v>
      </c>
      <c r="O1382">
        <f>IF(Table13[[#This Row],[Goal_assist]]="",1,0)</f>
        <v>0</v>
      </c>
    </row>
    <row r="1383" spans="1:15" x14ac:dyDescent="0.35">
      <c r="A1383" t="s">
        <v>64</v>
      </c>
      <c r="B1383" t="s">
        <v>409</v>
      </c>
      <c r="C1383" t="s">
        <v>410</v>
      </c>
      <c r="D1383" t="s">
        <v>46</v>
      </c>
      <c r="E1383" s="2">
        <v>44773</v>
      </c>
      <c r="F1383" t="s">
        <v>16</v>
      </c>
      <c r="G1383" t="s">
        <v>252</v>
      </c>
      <c r="H1383" t="s">
        <v>391</v>
      </c>
      <c r="I1383" s="3">
        <v>0.16666666666666666</v>
      </c>
      <c r="J1383" t="s">
        <v>68</v>
      </c>
      <c r="K1383">
        <v>22</v>
      </c>
      <c r="L1383" s="3">
        <v>4.1666666666666664E-2</v>
      </c>
      <c r="M1383" t="s">
        <v>26</v>
      </c>
      <c r="O1383">
        <f>IF(Table13[[#This Row],[Goal_assist]]="",1,0)</f>
        <v>1</v>
      </c>
    </row>
    <row r="1384" spans="1:15" x14ac:dyDescent="0.35">
      <c r="A1384" t="s">
        <v>64</v>
      </c>
      <c r="B1384" t="s">
        <v>382</v>
      </c>
      <c r="C1384" t="s">
        <v>411</v>
      </c>
      <c r="D1384" t="s">
        <v>46</v>
      </c>
      <c r="E1384" s="2">
        <v>44773</v>
      </c>
      <c r="F1384" t="s">
        <v>16</v>
      </c>
      <c r="G1384" t="s">
        <v>252</v>
      </c>
      <c r="H1384" t="s">
        <v>391</v>
      </c>
      <c r="I1384" s="3">
        <v>0.16666666666666666</v>
      </c>
      <c r="J1384" t="s">
        <v>68</v>
      </c>
      <c r="K1384">
        <v>22</v>
      </c>
      <c r="L1384" s="3">
        <v>4.1666666666666664E-2</v>
      </c>
      <c r="M1384" t="s">
        <v>26</v>
      </c>
      <c r="O1384">
        <f>IF(Table13[[#This Row],[Goal_assist]]="",1,0)</f>
        <v>1</v>
      </c>
    </row>
    <row r="1385" spans="1:15" x14ac:dyDescent="0.35">
      <c r="A1385" t="s">
        <v>64</v>
      </c>
      <c r="B1385" t="s">
        <v>409</v>
      </c>
      <c r="C1385" t="s">
        <v>390</v>
      </c>
      <c r="D1385">
        <v>1</v>
      </c>
      <c r="E1385" s="2">
        <v>44779</v>
      </c>
      <c r="F1385" t="s">
        <v>24</v>
      </c>
      <c r="G1385" t="s">
        <v>252</v>
      </c>
      <c r="H1385" t="s">
        <v>412</v>
      </c>
      <c r="I1385" s="3">
        <v>3.472222222222222E-3</v>
      </c>
      <c r="J1385" t="s">
        <v>68</v>
      </c>
      <c r="K1385">
        <v>80</v>
      </c>
      <c r="L1385" s="3">
        <v>2.7777777777777779E-3</v>
      </c>
      <c r="M1385" t="s">
        <v>31</v>
      </c>
      <c r="N1385" t="s">
        <v>256</v>
      </c>
      <c r="O1385">
        <f>IF(Table13[[#This Row],[Goal_assist]]="",1,0)</f>
        <v>0</v>
      </c>
    </row>
    <row r="1386" spans="1:15" x14ac:dyDescent="0.35">
      <c r="A1386" t="s">
        <v>64</v>
      </c>
      <c r="B1386" t="s">
        <v>409</v>
      </c>
      <c r="C1386" t="s">
        <v>390</v>
      </c>
      <c r="D1386">
        <v>1</v>
      </c>
      <c r="E1386" s="2">
        <v>44779</v>
      </c>
      <c r="F1386" t="s">
        <v>24</v>
      </c>
      <c r="G1386" t="s">
        <v>252</v>
      </c>
      <c r="H1386" t="s">
        <v>412</v>
      </c>
      <c r="I1386" s="3">
        <v>3.472222222222222E-3</v>
      </c>
      <c r="J1386" t="s">
        <v>68</v>
      </c>
      <c r="K1386">
        <v>86</v>
      </c>
      <c r="L1386" s="3">
        <v>3.472222222222222E-3</v>
      </c>
      <c r="M1386" t="s">
        <v>31</v>
      </c>
      <c r="N1386" t="s">
        <v>413</v>
      </c>
      <c r="O1386">
        <f>IF(Table13[[#This Row],[Goal_assist]]="",1,0)</f>
        <v>0</v>
      </c>
    </row>
    <row r="1387" spans="1:15" x14ac:dyDescent="0.35">
      <c r="A1387" t="s">
        <v>64</v>
      </c>
      <c r="B1387" t="s">
        <v>382</v>
      </c>
      <c r="C1387" t="s">
        <v>390</v>
      </c>
      <c r="D1387">
        <v>1</v>
      </c>
      <c r="E1387" s="2">
        <v>44779</v>
      </c>
      <c r="F1387" t="s">
        <v>24</v>
      </c>
      <c r="G1387" t="s">
        <v>252</v>
      </c>
      <c r="H1387" t="s">
        <v>412</v>
      </c>
      <c r="I1387" s="3">
        <v>3.472222222222222E-3</v>
      </c>
      <c r="J1387" t="s">
        <v>68</v>
      </c>
      <c r="K1387">
        <v>86</v>
      </c>
      <c r="L1387" s="3">
        <v>3.472222222222222E-3</v>
      </c>
      <c r="M1387" t="s">
        <v>31</v>
      </c>
      <c r="N1387" t="s">
        <v>413</v>
      </c>
      <c r="O1387">
        <f>IF(Table13[[#This Row],[Goal_assist]]="",1,0)</f>
        <v>0</v>
      </c>
    </row>
    <row r="1388" spans="1:15" x14ac:dyDescent="0.35">
      <c r="A1388" t="s">
        <v>64</v>
      </c>
      <c r="B1388" t="s">
        <v>382</v>
      </c>
      <c r="C1388" t="s">
        <v>390</v>
      </c>
      <c r="D1388">
        <v>1</v>
      </c>
      <c r="E1388" s="2">
        <v>44779</v>
      </c>
      <c r="F1388" t="s">
        <v>24</v>
      </c>
      <c r="G1388" t="s">
        <v>252</v>
      </c>
      <c r="H1388" t="s">
        <v>412</v>
      </c>
      <c r="I1388" s="3">
        <v>3.472222222222222E-3</v>
      </c>
      <c r="J1388" t="s">
        <v>68</v>
      </c>
      <c r="K1388">
        <v>80</v>
      </c>
      <c r="L1388" s="3">
        <v>2.7777777777777779E-3</v>
      </c>
      <c r="M1388" t="s">
        <v>31</v>
      </c>
      <c r="N1388" t="s">
        <v>256</v>
      </c>
      <c r="O1388">
        <f>IF(Table13[[#This Row],[Goal_assist]]="",1,0)</f>
        <v>0</v>
      </c>
    </row>
    <row r="1389" spans="1:15" x14ac:dyDescent="0.35">
      <c r="A1389" t="s">
        <v>64</v>
      </c>
      <c r="B1389" t="s">
        <v>409</v>
      </c>
      <c r="C1389" t="s">
        <v>390</v>
      </c>
      <c r="D1389">
        <v>3</v>
      </c>
      <c r="E1389" s="2">
        <v>44794</v>
      </c>
      <c r="F1389" t="s">
        <v>24</v>
      </c>
      <c r="G1389" t="s">
        <v>252</v>
      </c>
      <c r="H1389" t="s">
        <v>396</v>
      </c>
      <c r="I1389" s="3">
        <v>4.6527777777777779E-2</v>
      </c>
      <c r="J1389" t="s">
        <v>274</v>
      </c>
      <c r="K1389">
        <v>27</v>
      </c>
      <c r="L1389" s="3">
        <v>1.3888888888888889E-3</v>
      </c>
      <c r="M1389" t="s">
        <v>26</v>
      </c>
      <c r="N1389" t="s">
        <v>414</v>
      </c>
      <c r="O1389">
        <f>IF(Table13[[#This Row],[Goal_assist]]="",1,0)</f>
        <v>0</v>
      </c>
    </row>
    <row r="1390" spans="1:15" x14ac:dyDescent="0.35">
      <c r="A1390" t="s">
        <v>64</v>
      </c>
      <c r="B1390" t="s">
        <v>409</v>
      </c>
      <c r="C1390" t="s">
        <v>415</v>
      </c>
      <c r="D1390" t="s">
        <v>76</v>
      </c>
      <c r="E1390" s="2">
        <v>44818</v>
      </c>
      <c r="F1390" t="s">
        <v>24</v>
      </c>
      <c r="G1390" t="s">
        <v>252</v>
      </c>
      <c r="H1390" t="s">
        <v>416</v>
      </c>
      <c r="I1390" s="3">
        <v>4.3749999999999997E-2</v>
      </c>
      <c r="J1390" t="s">
        <v>230</v>
      </c>
      <c r="K1390">
        <v>37</v>
      </c>
      <c r="L1390" s="3">
        <v>4.2361111111111113E-2</v>
      </c>
      <c r="M1390" t="s">
        <v>31</v>
      </c>
      <c r="O1390">
        <f>IF(Table13[[#This Row],[Goal_assist]]="",1,0)</f>
        <v>1</v>
      </c>
    </row>
    <row r="1391" spans="1:15" x14ac:dyDescent="0.35">
      <c r="A1391" t="s">
        <v>14</v>
      </c>
      <c r="B1391" t="s">
        <v>409</v>
      </c>
      <c r="C1391" t="s">
        <v>417</v>
      </c>
      <c r="D1391" t="s">
        <v>76</v>
      </c>
      <c r="E1391" s="2">
        <v>44819</v>
      </c>
      <c r="F1391" t="s">
        <v>24</v>
      </c>
      <c r="G1391" t="s">
        <v>36</v>
      </c>
      <c r="H1391" t="s">
        <v>418</v>
      </c>
      <c r="I1391" s="3">
        <v>1.3888888888888889E-3</v>
      </c>
      <c r="J1391" t="s">
        <v>68</v>
      </c>
      <c r="K1391">
        <v>39</v>
      </c>
      <c r="L1391" s="3">
        <v>1.3888888888888889E-3</v>
      </c>
      <c r="M1391" t="s">
        <v>83</v>
      </c>
      <c r="O1391">
        <f>IF(Table13[[#This Row],[Goal_assist]]="",1,0)</f>
        <v>1</v>
      </c>
    </row>
    <row r="1392" spans="1:15" x14ac:dyDescent="0.35">
      <c r="A1392" t="s">
        <v>64</v>
      </c>
      <c r="B1392" t="s">
        <v>409</v>
      </c>
      <c r="C1392" t="s">
        <v>390</v>
      </c>
      <c r="D1392">
        <v>8</v>
      </c>
      <c r="E1392" s="2">
        <v>44822</v>
      </c>
      <c r="F1392" t="s">
        <v>24</v>
      </c>
      <c r="G1392" t="s">
        <v>252</v>
      </c>
      <c r="H1392" t="s">
        <v>125</v>
      </c>
      <c r="I1392" s="3">
        <v>6.9444444444444447E-4</v>
      </c>
      <c r="J1392" t="s">
        <v>274</v>
      </c>
      <c r="K1392">
        <v>5</v>
      </c>
      <c r="L1392" s="3">
        <v>6.9444444444444447E-4</v>
      </c>
      <c r="M1392" t="s">
        <v>31</v>
      </c>
      <c r="N1392" t="s">
        <v>256</v>
      </c>
      <c r="O1392">
        <f>IF(Table13[[#This Row],[Goal_assist]]="",1,0)</f>
        <v>0</v>
      </c>
    </row>
    <row r="1393" spans="1:15" x14ac:dyDescent="0.35">
      <c r="A1393" t="s">
        <v>64</v>
      </c>
      <c r="B1393" t="s">
        <v>409</v>
      </c>
      <c r="C1393" t="s">
        <v>390</v>
      </c>
      <c r="D1393">
        <v>9</v>
      </c>
      <c r="E1393" s="2">
        <v>44835</v>
      </c>
      <c r="F1393" t="s">
        <v>16</v>
      </c>
      <c r="G1393" t="s">
        <v>252</v>
      </c>
      <c r="H1393" t="s">
        <v>419</v>
      </c>
      <c r="I1393" s="3">
        <v>8.4027777777777785E-2</v>
      </c>
      <c r="J1393" t="s">
        <v>274</v>
      </c>
      <c r="K1393">
        <v>28</v>
      </c>
      <c r="L1393" s="3">
        <v>4.1666666666666664E-2</v>
      </c>
      <c r="M1393" t="s">
        <v>39</v>
      </c>
      <c r="O1393">
        <f>IF(Table13[[#This Row],[Goal_assist]]="",1,0)</f>
        <v>1</v>
      </c>
    </row>
    <row r="1394" spans="1:15" x14ac:dyDescent="0.35">
      <c r="A1394" t="s">
        <v>64</v>
      </c>
      <c r="B1394" t="s">
        <v>409</v>
      </c>
      <c r="C1394" t="s">
        <v>75</v>
      </c>
      <c r="D1394" t="s">
        <v>76</v>
      </c>
      <c r="E1394" s="2">
        <v>44839</v>
      </c>
      <c r="F1394" t="s">
        <v>24</v>
      </c>
      <c r="G1394" t="s">
        <v>252</v>
      </c>
      <c r="H1394" t="s">
        <v>420</v>
      </c>
      <c r="I1394" s="3">
        <v>4.2361111111111113E-2</v>
      </c>
      <c r="J1394" t="s">
        <v>274</v>
      </c>
      <c r="K1394">
        <v>22</v>
      </c>
      <c r="L1394" s="3">
        <v>6.9444444444444447E-4</v>
      </c>
      <c r="M1394" t="s">
        <v>31</v>
      </c>
      <c r="N1394" t="s">
        <v>256</v>
      </c>
      <c r="O1394">
        <f>IF(Table13[[#This Row],[Goal_assist]]="",1,0)</f>
        <v>0</v>
      </c>
    </row>
    <row r="1395" spans="1:15" x14ac:dyDescent="0.35">
      <c r="A1395" t="s">
        <v>14</v>
      </c>
      <c r="B1395" t="s">
        <v>409</v>
      </c>
      <c r="C1395" t="s">
        <v>35</v>
      </c>
      <c r="D1395">
        <v>10</v>
      </c>
      <c r="E1395" s="2">
        <v>44843</v>
      </c>
      <c r="F1395" t="s">
        <v>24</v>
      </c>
      <c r="G1395" t="s">
        <v>36</v>
      </c>
      <c r="H1395" t="s">
        <v>56</v>
      </c>
      <c r="I1395" s="3">
        <v>4.3055555555555555E-2</v>
      </c>
      <c r="J1395" t="str">
        <f>J1394</f>
        <v>AM</v>
      </c>
      <c r="K1395">
        <v>44</v>
      </c>
      <c r="L1395" s="3">
        <v>4.3055555555555555E-2</v>
      </c>
      <c r="M1395" t="s">
        <v>162</v>
      </c>
      <c r="N1395" t="s">
        <v>304</v>
      </c>
      <c r="O1395">
        <f>IF(Table13[[#This Row],[Goal_assist]]="",1,0)</f>
        <v>0</v>
      </c>
    </row>
    <row r="1396" spans="1:15" x14ac:dyDescent="0.35">
      <c r="A1396" t="s">
        <v>64</v>
      </c>
      <c r="B1396" t="s">
        <v>409</v>
      </c>
      <c r="C1396" t="s">
        <v>390</v>
      </c>
      <c r="D1396">
        <v>12</v>
      </c>
      <c r="E1396" s="2">
        <v>44855</v>
      </c>
      <c r="F1396" t="s">
        <v>24</v>
      </c>
      <c r="G1396" t="s">
        <v>252</v>
      </c>
      <c r="H1396" t="s">
        <v>421</v>
      </c>
      <c r="I1396" s="3">
        <v>2.0833333333333333E-3</v>
      </c>
      <c r="J1396" t="s">
        <v>68</v>
      </c>
      <c r="K1396">
        <v>78</v>
      </c>
      <c r="L1396" s="3">
        <v>1.3888888888888889E-3</v>
      </c>
      <c r="M1396" t="s">
        <v>31</v>
      </c>
      <c r="N1396" t="s">
        <v>386</v>
      </c>
      <c r="O1396">
        <f>IF(Table13[[#This Row],[Goal_assist]]="",1,0)</f>
        <v>0</v>
      </c>
    </row>
    <row r="1397" spans="1:15" x14ac:dyDescent="0.35">
      <c r="A1397" t="s">
        <v>64</v>
      </c>
      <c r="B1397" t="s">
        <v>409</v>
      </c>
      <c r="C1397" t="s">
        <v>75</v>
      </c>
      <c r="D1397" t="s">
        <v>76</v>
      </c>
      <c r="E1397" s="2">
        <v>44859</v>
      </c>
      <c r="F1397" t="s">
        <v>16</v>
      </c>
      <c r="G1397" t="s">
        <v>252</v>
      </c>
      <c r="H1397" t="s">
        <v>416</v>
      </c>
      <c r="I1397" s="3">
        <v>0.29305555555555557</v>
      </c>
      <c r="J1397" t="s">
        <v>230</v>
      </c>
      <c r="K1397">
        <v>44</v>
      </c>
      <c r="L1397" s="3">
        <v>0.1673611111111111</v>
      </c>
      <c r="M1397" t="s">
        <v>31</v>
      </c>
      <c r="N1397" t="s">
        <v>386</v>
      </c>
      <c r="O1397">
        <f>IF(Table13[[#This Row],[Goal_assist]]="",1,0)</f>
        <v>0</v>
      </c>
    </row>
    <row r="1398" spans="1:15" x14ac:dyDescent="0.35">
      <c r="A1398" t="s">
        <v>64</v>
      </c>
      <c r="B1398" t="s">
        <v>409</v>
      </c>
      <c r="C1398" t="s">
        <v>75</v>
      </c>
      <c r="D1398" t="s">
        <v>76</v>
      </c>
      <c r="E1398" s="2">
        <v>44859</v>
      </c>
      <c r="F1398" t="s">
        <v>16</v>
      </c>
      <c r="G1398" t="s">
        <v>252</v>
      </c>
      <c r="H1398" t="s">
        <v>416</v>
      </c>
      <c r="I1398" s="3">
        <v>0.29305555555555557</v>
      </c>
      <c r="J1398" t="s">
        <v>230</v>
      </c>
      <c r="K1398">
        <v>19</v>
      </c>
      <c r="L1398" s="3">
        <v>4.1666666666666664E-2</v>
      </c>
      <c r="M1398" t="s">
        <v>31</v>
      </c>
      <c r="N1398" t="s">
        <v>386</v>
      </c>
      <c r="O1398">
        <f>IF(Table13[[#This Row],[Goal_assist]]="",1,0)</f>
        <v>0</v>
      </c>
    </row>
    <row r="1399" spans="1:15" x14ac:dyDescent="0.35">
      <c r="A1399" t="s">
        <v>14</v>
      </c>
      <c r="B1399" t="s">
        <v>409</v>
      </c>
      <c r="C1399" t="s">
        <v>417</v>
      </c>
      <c r="D1399" t="s">
        <v>76</v>
      </c>
      <c r="E1399" s="2">
        <v>44861</v>
      </c>
      <c r="F1399" t="s">
        <v>16</v>
      </c>
      <c r="G1399" t="s">
        <v>36</v>
      </c>
      <c r="H1399" t="s">
        <v>418</v>
      </c>
      <c r="I1399" s="3">
        <v>0.125</v>
      </c>
      <c r="J1399" t="s">
        <v>68</v>
      </c>
      <c r="K1399">
        <v>81</v>
      </c>
      <c r="L1399" s="3">
        <v>0.125</v>
      </c>
      <c r="M1399" t="s">
        <v>31</v>
      </c>
      <c r="O1399">
        <f>IF(Table13[[#This Row],[Goal_assist]]="",1,0)</f>
        <v>1</v>
      </c>
    </row>
    <row r="1400" spans="1:15" x14ac:dyDescent="0.35">
      <c r="A1400" t="s">
        <v>64</v>
      </c>
      <c r="B1400" t="s">
        <v>409</v>
      </c>
      <c r="C1400" t="s">
        <v>390</v>
      </c>
      <c r="D1400">
        <v>13</v>
      </c>
      <c r="E1400" s="2">
        <v>44863</v>
      </c>
      <c r="F1400" t="s">
        <v>16</v>
      </c>
      <c r="G1400" t="s">
        <v>252</v>
      </c>
      <c r="H1400" t="s">
        <v>422</v>
      </c>
      <c r="I1400" s="3">
        <v>0.16875000000000001</v>
      </c>
      <c r="J1400" t="s">
        <v>38</v>
      </c>
      <c r="K1400">
        <v>55</v>
      </c>
      <c r="L1400" s="3">
        <v>8.4722222222222227E-2</v>
      </c>
      <c r="M1400" t="s">
        <v>31</v>
      </c>
      <c r="N1400" t="s">
        <v>202</v>
      </c>
      <c r="O1400">
        <f>IF(Table13[[#This Row],[Goal_assist]]="",1,0)</f>
        <v>0</v>
      </c>
    </row>
    <row r="1401" spans="1:15" x14ac:dyDescent="0.35">
      <c r="A1401" t="s">
        <v>64</v>
      </c>
      <c r="B1401" t="s">
        <v>409</v>
      </c>
      <c r="C1401" t="s">
        <v>390</v>
      </c>
      <c r="D1401">
        <v>21</v>
      </c>
      <c r="E1401" s="2">
        <v>44958</v>
      </c>
      <c r="F1401" t="s">
        <v>24</v>
      </c>
      <c r="G1401" t="s">
        <v>252</v>
      </c>
      <c r="H1401" t="s">
        <v>423</v>
      </c>
      <c r="I1401" s="3">
        <v>4.3749999999999997E-2</v>
      </c>
      <c r="J1401" t="s">
        <v>230</v>
      </c>
      <c r="K1401">
        <v>72</v>
      </c>
      <c r="L1401" s="3">
        <v>1.3888888888888889E-3</v>
      </c>
      <c r="M1401" t="s">
        <v>31</v>
      </c>
      <c r="N1401" t="s">
        <v>424</v>
      </c>
      <c r="O1401">
        <f>IF(Table13[[#This Row],[Goal_assist]]="",1,0)</f>
        <v>0</v>
      </c>
    </row>
    <row r="1402" spans="1:15" x14ac:dyDescent="0.35">
      <c r="A1402" t="s">
        <v>14</v>
      </c>
      <c r="B1402" t="s">
        <v>409</v>
      </c>
      <c r="C1402" t="s">
        <v>425</v>
      </c>
      <c r="D1402">
        <v>15</v>
      </c>
      <c r="E1402" s="2">
        <v>44960</v>
      </c>
      <c r="F1402" t="s">
        <v>24</v>
      </c>
      <c r="G1402" t="s">
        <v>426</v>
      </c>
      <c r="H1402" t="s">
        <v>427</v>
      </c>
      <c r="I1402" s="3">
        <v>8.4722222222222227E-2</v>
      </c>
      <c r="J1402" t="s">
        <v>68</v>
      </c>
      <c r="K1402" t="s">
        <v>136</v>
      </c>
      <c r="L1402" s="3">
        <v>8.4722222222222227E-2</v>
      </c>
      <c r="M1402" t="s">
        <v>83</v>
      </c>
      <c r="O1402">
        <f>IF(Table13[[#This Row],[Goal_assist]]="",1,0)</f>
        <v>1</v>
      </c>
    </row>
    <row r="1403" spans="1:15" x14ac:dyDescent="0.35">
      <c r="A1403" t="s">
        <v>64</v>
      </c>
      <c r="B1403" t="s">
        <v>409</v>
      </c>
      <c r="C1403" t="s">
        <v>390</v>
      </c>
      <c r="D1403">
        <v>22</v>
      </c>
      <c r="E1403" s="2">
        <v>44961</v>
      </c>
      <c r="F1403" t="s">
        <v>16</v>
      </c>
      <c r="G1403" t="s">
        <v>252</v>
      </c>
      <c r="H1403" t="s">
        <v>428</v>
      </c>
      <c r="I1403" s="3">
        <v>8.4027777777777785E-2</v>
      </c>
      <c r="J1403" t="s">
        <v>230</v>
      </c>
      <c r="K1403">
        <v>58</v>
      </c>
      <c r="L1403" s="3">
        <v>8.4027777777777785E-2</v>
      </c>
      <c r="M1403" t="s">
        <v>31</v>
      </c>
      <c r="N1403" t="s">
        <v>429</v>
      </c>
      <c r="O1403">
        <f>IF(Table13[[#This Row],[Goal_assist]]="",1,0)</f>
        <v>0</v>
      </c>
    </row>
    <row r="1404" spans="1:15" x14ac:dyDescent="0.35">
      <c r="A1404" t="s">
        <v>14</v>
      </c>
      <c r="B1404" t="s">
        <v>409</v>
      </c>
      <c r="C1404" t="s">
        <v>425</v>
      </c>
      <c r="D1404">
        <v>16</v>
      </c>
      <c r="E1404" s="2">
        <v>44966</v>
      </c>
      <c r="F1404" t="s">
        <v>24</v>
      </c>
      <c r="G1404" t="s">
        <v>426</v>
      </c>
      <c r="H1404" t="s">
        <v>430</v>
      </c>
      <c r="I1404" s="3">
        <v>2.7777777777777779E-3</v>
      </c>
      <c r="J1404" t="s">
        <v>68</v>
      </c>
      <c r="K1404">
        <v>61</v>
      </c>
      <c r="L1404" s="3">
        <v>2.7777777777777779E-3</v>
      </c>
      <c r="M1404" t="s">
        <v>26</v>
      </c>
      <c r="O1404">
        <f>IF(Table13[[#This Row],[Goal_assist]]="",1,0)</f>
        <v>1</v>
      </c>
    </row>
    <row r="1405" spans="1:15" x14ac:dyDescent="0.35">
      <c r="A1405" t="s">
        <v>14</v>
      </c>
      <c r="B1405" t="s">
        <v>409</v>
      </c>
      <c r="C1405" t="s">
        <v>425</v>
      </c>
      <c r="D1405">
        <v>16</v>
      </c>
      <c r="E1405" s="2">
        <v>44966</v>
      </c>
      <c r="F1405" t="s">
        <v>24</v>
      </c>
      <c r="G1405" t="s">
        <v>426</v>
      </c>
      <c r="H1405" t="s">
        <v>430</v>
      </c>
      <c r="I1405" s="3">
        <v>2.7777777777777779E-3</v>
      </c>
      <c r="J1405" t="s">
        <v>68</v>
      </c>
      <c r="K1405">
        <v>53</v>
      </c>
      <c r="L1405" s="3">
        <v>2.0833333333333333E-3</v>
      </c>
      <c r="M1405" t="s">
        <v>83</v>
      </c>
      <c r="O1405">
        <f>IF(Table13[[#This Row],[Goal_assist]]="",1,0)</f>
        <v>1</v>
      </c>
    </row>
    <row r="1406" spans="1:15" x14ac:dyDescent="0.35">
      <c r="A1406" t="s">
        <v>14</v>
      </c>
      <c r="B1406" t="s">
        <v>409</v>
      </c>
      <c r="C1406" t="s">
        <v>425</v>
      </c>
      <c r="D1406">
        <v>16</v>
      </c>
      <c r="E1406" s="2">
        <v>44966</v>
      </c>
      <c r="F1406" t="s">
        <v>24</v>
      </c>
      <c r="G1406" t="s">
        <v>426</v>
      </c>
      <c r="H1406" t="s">
        <v>430</v>
      </c>
      <c r="I1406" s="3">
        <v>2.7777777777777779E-3</v>
      </c>
      <c r="J1406" t="s">
        <v>68</v>
      </c>
      <c r="K1406">
        <v>21</v>
      </c>
      <c r="L1406" s="3">
        <v>6.9444444444444447E-4</v>
      </c>
      <c r="M1406" t="s">
        <v>31</v>
      </c>
      <c r="N1406" t="s">
        <v>431</v>
      </c>
      <c r="O1406">
        <f>IF(Table13[[#This Row],[Goal_assist]]="",1,0)</f>
        <v>0</v>
      </c>
    </row>
    <row r="1407" spans="1:15" x14ac:dyDescent="0.35">
      <c r="A1407" t="s">
        <v>14</v>
      </c>
      <c r="B1407" t="s">
        <v>409</v>
      </c>
      <c r="C1407" t="s">
        <v>425</v>
      </c>
      <c r="D1407">
        <v>16</v>
      </c>
      <c r="E1407" s="2">
        <v>44966</v>
      </c>
      <c r="F1407" t="s">
        <v>24</v>
      </c>
      <c r="G1407" t="s">
        <v>426</v>
      </c>
      <c r="H1407" t="s">
        <v>430</v>
      </c>
      <c r="I1407" s="3">
        <v>2.7777777777777779E-3</v>
      </c>
      <c r="J1407" t="s">
        <v>68</v>
      </c>
      <c r="K1407">
        <v>40</v>
      </c>
      <c r="L1407" s="3">
        <v>1.3888888888888889E-3</v>
      </c>
      <c r="M1407" t="s">
        <v>26</v>
      </c>
      <c r="N1407" t="s">
        <v>432</v>
      </c>
      <c r="O1407">
        <f>IF(Table13[[#This Row],[Goal_assist]]="",1,0)</f>
        <v>0</v>
      </c>
    </row>
    <row r="1408" spans="1:15" x14ac:dyDescent="0.35">
      <c r="A1408" t="s">
        <v>64</v>
      </c>
      <c r="B1408" t="s">
        <v>409</v>
      </c>
      <c r="C1408" t="s">
        <v>390</v>
      </c>
      <c r="D1408">
        <v>24</v>
      </c>
      <c r="E1408" s="2">
        <v>44976</v>
      </c>
      <c r="F1408" t="s">
        <v>16</v>
      </c>
      <c r="G1408" t="s">
        <v>252</v>
      </c>
      <c r="H1408" t="s">
        <v>396</v>
      </c>
      <c r="I1408" s="3">
        <v>0.16875000000000001</v>
      </c>
      <c r="J1408" t="s">
        <v>68</v>
      </c>
      <c r="K1408" t="s">
        <v>21</v>
      </c>
      <c r="L1408" s="3">
        <v>0.16875000000000001</v>
      </c>
      <c r="M1408" t="s">
        <v>39</v>
      </c>
      <c r="N1408" t="s">
        <v>433</v>
      </c>
      <c r="O1408">
        <f>IF(Table13[[#This Row],[Goal_assist]]="",1,0)</f>
        <v>0</v>
      </c>
    </row>
    <row r="1409" spans="1:15" x14ac:dyDescent="0.35">
      <c r="A1409" t="s">
        <v>14</v>
      </c>
      <c r="B1409" t="s">
        <v>409</v>
      </c>
      <c r="C1409" t="s">
        <v>425</v>
      </c>
      <c r="D1409">
        <v>18</v>
      </c>
      <c r="E1409" s="2">
        <v>44982</v>
      </c>
      <c r="F1409" t="s">
        <v>24</v>
      </c>
      <c r="G1409" t="s">
        <v>426</v>
      </c>
      <c r="H1409" t="s">
        <v>434</v>
      </c>
      <c r="I1409" s="3">
        <v>2.0833333333333333E-3</v>
      </c>
      <c r="J1409" t="s">
        <v>68</v>
      </c>
      <c r="K1409">
        <v>18</v>
      </c>
      <c r="L1409" s="3">
        <v>6.9444444444444447E-4</v>
      </c>
      <c r="M1409" t="s">
        <v>83</v>
      </c>
      <c r="N1409" t="s">
        <v>433</v>
      </c>
      <c r="O1409">
        <f>IF(Table13[[#This Row],[Goal_assist]]="",1,0)</f>
        <v>0</v>
      </c>
    </row>
    <row r="1410" spans="1:15" x14ac:dyDescent="0.35">
      <c r="A1410" t="s">
        <v>14</v>
      </c>
      <c r="B1410" t="s">
        <v>409</v>
      </c>
      <c r="C1410" t="s">
        <v>425</v>
      </c>
      <c r="D1410">
        <v>18</v>
      </c>
      <c r="E1410" s="2">
        <v>44982</v>
      </c>
      <c r="F1410" t="s">
        <v>24</v>
      </c>
      <c r="G1410" t="s">
        <v>426</v>
      </c>
      <c r="H1410" t="s">
        <v>434</v>
      </c>
      <c r="I1410" s="3">
        <v>2.0833333333333333E-3</v>
      </c>
      <c r="J1410" t="s">
        <v>68</v>
      </c>
      <c r="K1410">
        <v>44</v>
      </c>
      <c r="L1410" s="3">
        <v>2.0833333333333333E-3</v>
      </c>
      <c r="M1410" t="s">
        <v>162</v>
      </c>
      <c r="N1410" t="s">
        <v>435</v>
      </c>
      <c r="O1410">
        <f>IF(Table13[[#This Row],[Goal_assist]]="",1,0)</f>
        <v>0</v>
      </c>
    </row>
    <row r="1411" spans="1:15" x14ac:dyDescent="0.35">
      <c r="A1411" t="s">
        <v>14</v>
      </c>
      <c r="B1411" t="s">
        <v>409</v>
      </c>
      <c r="C1411" t="s">
        <v>425</v>
      </c>
      <c r="D1411">
        <v>18</v>
      </c>
      <c r="E1411" s="2">
        <v>44982</v>
      </c>
      <c r="F1411" t="s">
        <v>24</v>
      </c>
      <c r="G1411" t="s">
        <v>426</v>
      </c>
      <c r="H1411" t="s">
        <v>434</v>
      </c>
      <c r="I1411" s="3">
        <v>2.0833333333333333E-3</v>
      </c>
      <c r="J1411" t="s">
        <v>68</v>
      </c>
      <c r="K1411">
        <v>23</v>
      </c>
      <c r="L1411" s="3">
        <v>1.3888888888888889E-3</v>
      </c>
      <c r="M1411" t="s">
        <v>31</v>
      </c>
      <c r="N1411" t="s">
        <v>436</v>
      </c>
      <c r="O1411">
        <f>IF(Table13[[#This Row],[Goal_assist]]="",1,0)</f>
        <v>0</v>
      </c>
    </row>
    <row r="1412" spans="1:15" x14ac:dyDescent="0.35">
      <c r="A1412" t="s">
        <v>64</v>
      </c>
      <c r="B1412" t="s">
        <v>409</v>
      </c>
      <c r="C1412" t="s">
        <v>390</v>
      </c>
      <c r="D1412">
        <v>25</v>
      </c>
      <c r="E1412" s="2">
        <v>44983</v>
      </c>
      <c r="F1412" t="s">
        <v>24</v>
      </c>
      <c r="G1412" t="s">
        <v>252</v>
      </c>
      <c r="H1412" t="s">
        <v>181</v>
      </c>
      <c r="I1412" s="3">
        <v>2.0833333333333333E-3</v>
      </c>
      <c r="J1412" t="s">
        <v>68</v>
      </c>
      <c r="K1412">
        <v>29</v>
      </c>
      <c r="L1412" s="3">
        <v>1.3888888888888889E-3</v>
      </c>
      <c r="M1412" t="s">
        <v>26</v>
      </c>
      <c r="N1412" t="s">
        <v>408</v>
      </c>
      <c r="O1412">
        <f>IF(Table13[[#This Row],[Goal_assist]]="",1,0)</f>
        <v>0</v>
      </c>
    </row>
    <row r="1413" spans="1:15" x14ac:dyDescent="0.35">
      <c r="A1413" t="s">
        <v>64</v>
      </c>
      <c r="B1413" t="s">
        <v>409</v>
      </c>
      <c r="C1413" t="s">
        <v>390</v>
      </c>
      <c r="D1413">
        <v>26</v>
      </c>
      <c r="E1413" s="2">
        <v>44989</v>
      </c>
      <c r="F1413" t="s">
        <v>16</v>
      </c>
      <c r="G1413" t="s">
        <v>252</v>
      </c>
      <c r="H1413" t="s">
        <v>391</v>
      </c>
      <c r="I1413" s="3">
        <v>0.16805555555555557</v>
      </c>
      <c r="J1413" t="s">
        <v>68</v>
      </c>
      <c r="K1413">
        <v>12</v>
      </c>
      <c r="L1413" s="3">
        <v>4.1666666666666664E-2</v>
      </c>
      <c r="M1413" t="s">
        <v>31</v>
      </c>
      <c r="O1413">
        <f>IF(Table13[[#This Row],[Goal_assist]]="",1,0)</f>
        <v>1</v>
      </c>
    </row>
    <row r="1414" spans="1:15" x14ac:dyDescent="0.35">
      <c r="A1414" t="s">
        <v>14</v>
      </c>
      <c r="B1414" t="s">
        <v>409</v>
      </c>
      <c r="C1414" t="s">
        <v>425</v>
      </c>
      <c r="D1414">
        <v>21</v>
      </c>
      <c r="E1414" s="2">
        <v>45003</v>
      </c>
      <c r="F1414" t="s">
        <v>16</v>
      </c>
      <c r="G1414" t="s">
        <v>426</v>
      </c>
      <c r="H1414" t="s">
        <v>437</v>
      </c>
      <c r="I1414" s="3">
        <v>8.4027777777777785E-2</v>
      </c>
      <c r="J1414" t="s">
        <v>68</v>
      </c>
      <c r="K1414">
        <v>78</v>
      </c>
      <c r="L1414" s="3">
        <v>4.2361111111111113E-2</v>
      </c>
      <c r="M1414" t="s">
        <v>39</v>
      </c>
      <c r="O1414">
        <f>IF(Table13[[#This Row],[Goal_assist]]="",1,0)</f>
        <v>1</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B4F22-BB11-450E-9F51-5E7F0EEF844E}">
  <sheetPr codeName="Sheet4"/>
  <dimension ref="A1:O6"/>
  <sheetViews>
    <sheetView workbookViewId="0">
      <selection activeCell="A7" sqref="A7"/>
    </sheetView>
  </sheetViews>
  <sheetFormatPr defaultRowHeight="18" x14ac:dyDescent="0.35"/>
  <sheetData>
    <row r="1" spans="1:15" x14ac:dyDescent="0.35">
      <c r="A1" s="5" t="s">
        <v>0</v>
      </c>
      <c r="B1" s="6" t="s">
        <v>1</v>
      </c>
      <c r="C1" s="6" t="s">
        <v>2</v>
      </c>
      <c r="D1" s="6" t="s">
        <v>3</v>
      </c>
      <c r="E1" s="6" t="s">
        <v>4</v>
      </c>
      <c r="F1" s="6" t="s">
        <v>5</v>
      </c>
      <c r="G1" s="6" t="s">
        <v>6</v>
      </c>
      <c r="H1" s="6" t="s">
        <v>7</v>
      </c>
      <c r="I1" s="6" t="s">
        <v>8</v>
      </c>
      <c r="J1" s="6" t="s">
        <v>9</v>
      </c>
      <c r="K1" s="6" t="s">
        <v>10</v>
      </c>
      <c r="L1" s="6" t="s">
        <v>11</v>
      </c>
      <c r="M1" s="6" t="s">
        <v>12</v>
      </c>
      <c r="N1" s="6" t="s">
        <v>13</v>
      </c>
      <c r="O1" s="7" t="s">
        <v>438</v>
      </c>
    </row>
    <row r="2" spans="1:15" x14ac:dyDescent="0.35">
      <c r="A2">
        <f>COUNTBLANK(Table13[Player])</f>
        <v>0</v>
      </c>
      <c r="B2">
        <f>COUNTBLANK(Table13[Season])</f>
        <v>0</v>
      </c>
      <c r="C2">
        <f>COUNTBLANK(Table13[Competition])</f>
        <v>0</v>
      </c>
      <c r="D2">
        <f>COUNTBLANK(Table13[Matchday])</f>
        <v>0</v>
      </c>
      <c r="E2">
        <f>COUNTBLANK(Table13[Date])</f>
        <v>0</v>
      </c>
      <c r="F2">
        <f>COUNTBLANK(Table13[Venue])</f>
        <v>0</v>
      </c>
      <c r="G2">
        <f>COUNTBLANK(Table13[Club])</f>
        <v>0</v>
      </c>
      <c r="H2">
        <f>COUNTBLANK(Table13[Opponent])</f>
        <v>0</v>
      </c>
      <c r="I2">
        <f>COUNTBLANK(Table13[Result])</f>
        <v>0</v>
      </c>
      <c r="J2">
        <f>COUNTBLANK(Table13[Playing_Position])</f>
        <v>0</v>
      </c>
      <c r="K2">
        <f>COUNTBLANK(Table13[Minute])</f>
        <v>0</v>
      </c>
      <c r="L2">
        <f>COUNTBLANK(Table13[At_score])</f>
        <v>0</v>
      </c>
      <c r="M2">
        <f>COUNTBLANK(Table13[Type])</f>
        <v>0</v>
      </c>
      <c r="N2">
        <f>COUNTBLANK(Table13[Goal_assist])</f>
        <v>460</v>
      </c>
      <c r="O2">
        <f>COUNTBLANK(Table13[Solo Goals])</f>
        <v>0</v>
      </c>
    </row>
    <row r="6" spans="1:15" x14ac:dyDescent="0.35">
      <c r="A6" t="s">
        <v>546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94F74-B6A7-497B-95C6-90EB7FC1CA35}">
  <sheetPr codeName="Sheet5"/>
  <dimension ref="A1:R1414"/>
  <sheetViews>
    <sheetView topLeftCell="D1" workbookViewId="0">
      <selection sqref="A1:R1414"/>
    </sheetView>
  </sheetViews>
  <sheetFormatPr defaultRowHeight="18" x14ac:dyDescent="0.35"/>
  <cols>
    <col min="1" max="1" width="14.4140625" bestFit="1" customWidth="1"/>
    <col min="2" max="2" width="8" bestFit="1" customWidth="1"/>
    <col min="3" max="3" width="28.33203125" bestFit="1" customWidth="1"/>
    <col min="4" max="4" width="11.83203125" bestFit="1" customWidth="1"/>
    <col min="5" max="5" width="9.9140625" bestFit="1" customWidth="1"/>
    <col min="6" max="6" width="7.58203125" bestFit="1" customWidth="1"/>
    <col min="7" max="7" width="16.1640625" bestFit="1" customWidth="1"/>
    <col min="8" max="8" width="29.6640625" bestFit="1" customWidth="1"/>
    <col min="9" max="9" width="7.4140625" bestFit="1" customWidth="1"/>
    <col min="10" max="10" width="17" bestFit="1" customWidth="1"/>
    <col min="11" max="11" width="16.58203125" bestFit="1" customWidth="1"/>
    <col min="12" max="12" width="10.08203125" bestFit="1" customWidth="1"/>
    <col min="13" max="13" width="15.58203125" bestFit="1" customWidth="1"/>
    <col min="14" max="14" width="8.25" bestFit="1" customWidth="1"/>
    <col min="15" max="15" width="9.4140625" bestFit="1" customWidth="1"/>
    <col min="16" max="16" width="18.25" bestFit="1" customWidth="1"/>
    <col min="17" max="17" width="20.83203125" bestFit="1" customWidth="1"/>
    <col min="18" max="18" width="10.6640625" bestFit="1" customWidth="1"/>
  </cols>
  <sheetData>
    <row r="1" spans="1:18" x14ac:dyDescent="0.35">
      <c r="A1" t="s">
        <v>0</v>
      </c>
      <c r="B1" t="s">
        <v>1</v>
      </c>
      <c r="C1" t="s">
        <v>2</v>
      </c>
      <c r="D1" t="s">
        <v>3</v>
      </c>
      <c r="E1" t="s">
        <v>4</v>
      </c>
      <c r="F1" t="s">
        <v>5</v>
      </c>
      <c r="G1" t="s">
        <v>6</v>
      </c>
      <c r="H1" t="s">
        <v>7</v>
      </c>
      <c r="I1" t="s">
        <v>8</v>
      </c>
      <c r="J1" t="s">
        <v>439</v>
      </c>
      <c r="K1" t="s">
        <v>440</v>
      </c>
      <c r="L1" t="s">
        <v>441</v>
      </c>
      <c r="M1" t="s">
        <v>9</v>
      </c>
      <c r="N1" t="s">
        <v>10</v>
      </c>
      <c r="O1" t="s">
        <v>11</v>
      </c>
      <c r="P1" t="s">
        <v>12</v>
      </c>
      <c r="Q1" t="s">
        <v>13</v>
      </c>
      <c r="R1" t="s">
        <v>438</v>
      </c>
    </row>
    <row r="2" spans="1:18" x14ac:dyDescent="0.35">
      <c r="A2" t="s">
        <v>14</v>
      </c>
      <c r="B2" s="1">
        <v>45353</v>
      </c>
      <c r="C2" t="s">
        <v>15</v>
      </c>
      <c r="D2">
        <v>6</v>
      </c>
      <c r="E2" s="2">
        <v>37536</v>
      </c>
      <c r="F2" t="s">
        <v>16</v>
      </c>
      <c r="G2" t="s">
        <v>17</v>
      </c>
      <c r="H2" t="s">
        <v>18</v>
      </c>
      <c r="I2" s="3">
        <v>0.125</v>
      </c>
      <c r="J2" s="8" t="s">
        <v>442</v>
      </c>
      <c r="K2" s="8" t="s">
        <v>443</v>
      </c>
      <c r="L2" s="8" t="str">
        <f>IF(Table1346[[#This Row],[Home Team Score]]&gt;Table1346[[#This Row],[Away Team Score]],"Win",IF(Table1346[[#This Row],[Home Team Score]]=Table1346[[#This Row],[Away Team Score]],"Tie","Lose"))</f>
        <v>Win</v>
      </c>
      <c r="M2" s="9" t="s">
        <v>19</v>
      </c>
      <c r="N2" s="9">
        <v>34</v>
      </c>
      <c r="O2" s="3">
        <v>8.3333333333333329E-2</v>
      </c>
      <c r="P2" t="s">
        <v>20</v>
      </c>
      <c r="R2" t="e">
        <f>IF([1]!Table13[[#This Row],[Goal_assist]]="",1,0)</f>
        <v>#REF!</v>
      </c>
    </row>
    <row r="3" spans="1:18" x14ac:dyDescent="0.35">
      <c r="A3" t="s">
        <v>14</v>
      </c>
      <c r="B3" s="1">
        <v>45353</v>
      </c>
      <c r="C3" t="s">
        <v>15</v>
      </c>
      <c r="D3">
        <v>6</v>
      </c>
      <c r="E3" s="2">
        <v>37536</v>
      </c>
      <c r="F3" t="s">
        <v>16</v>
      </c>
      <c r="G3" t="s">
        <v>17</v>
      </c>
      <c r="H3" t="s">
        <v>18</v>
      </c>
      <c r="I3" s="3">
        <v>0.125</v>
      </c>
      <c r="J3" s="8" t="s">
        <v>442</v>
      </c>
      <c r="K3" s="8" t="s">
        <v>443</v>
      </c>
      <c r="L3" s="8" t="str">
        <f>IF(Table1346[[#This Row],[Home Team Score]]&gt;Table1346[[#This Row],[Away Team Score]],"Win",IF(Table1346[[#This Row],[Home Team Score]]=Table1346[[#This Row],[Away Team Score]],"Tie","Lose"))</f>
        <v>Win</v>
      </c>
      <c r="M3" t="s">
        <v>19</v>
      </c>
      <c r="N3" t="s">
        <v>21</v>
      </c>
      <c r="O3" s="3">
        <v>0.125</v>
      </c>
      <c r="P3" t="s">
        <v>22</v>
      </c>
      <c r="Q3" t="s">
        <v>23</v>
      </c>
      <c r="R3" t="e">
        <f>IF([1]!Table13[[#This Row],[Goal_assist]]="",1,0)</f>
        <v>#REF!</v>
      </c>
    </row>
    <row r="4" spans="1:18" x14ac:dyDescent="0.35">
      <c r="A4" t="s">
        <v>14</v>
      </c>
      <c r="B4" s="1">
        <v>45353</v>
      </c>
      <c r="C4" t="s">
        <v>15</v>
      </c>
      <c r="D4">
        <v>8</v>
      </c>
      <c r="E4" s="2">
        <v>37555</v>
      </c>
      <c r="F4" t="s">
        <v>24</v>
      </c>
      <c r="G4" t="s">
        <v>17</v>
      </c>
      <c r="H4" t="s">
        <v>25</v>
      </c>
      <c r="I4" s="3">
        <v>4.3055555555555555E-2</v>
      </c>
      <c r="J4" s="8" t="s">
        <v>444</v>
      </c>
      <c r="K4" s="8" t="s">
        <v>445</v>
      </c>
      <c r="L4" s="8" t="str">
        <f>IF(Table1346[[#This Row],[Home Team Score]]&gt;Table1346[[#This Row],[Away Team Score]],"Win",IF(Table1346[[#This Row],[Home Team Score]]=Table1346[[#This Row],[Away Team Score]],"Tie","Lose"))</f>
        <v>Lose</v>
      </c>
      <c r="M4" t="str">
        <f t="shared" ref="M4:M6" si="0">M3</f>
        <v>LW</v>
      </c>
      <c r="N4">
        <v>88</v>
      </c>
      <c r="O4" s="3">
        <v>4.3055555555555555E-2</v>
      </c>
      <c r="P4" t="s">
        <v>26</v>
      </c>
      <c r="Q4" t="s">
        <v>27</v>
      </c>
      <c r="R4" t="e">
        <f>IF([1]!Table13[[#This Row],[Goal_assist]]="",1,0)</f>
        <v>#REF!</v>
      </c>
    </row>
    <row r="5" spans="1:18" x14ac:dyDescent="0.35">
      <c r="A5" t="s">
        <v>14</v>
      </c>
      <c r="B5" s="1">
        <v>45353</v>
      </c>
      <c r="C5" t="s">
        <v>28</v>
      </c>
      <c r="D5" t="s">
        <v>29</v>
      </c>
      <c r="E5" s="2">
        <v>37584</v>
      </c>
      <c r="F5" t="s">
        <v>16</v>
      </c>
      <c r="G5" t="s">
        <v>17</v>
      </c>
      <c r="H5" t="s">
        <v>30</v>
      </c>
      <c r="I5" s="3">
        <v>0.1673611111111111</v>
      </c>
      <c r="J5" s="8" t="s">
        <v>446</v>
      </c>
      <c r="K5" s="8" t="s">
        <v>444</v>
      </c>
      <c r="L5" s="8" t="str">
        <f>IF(Table1346[[#This Row],[Home Team Score]]&gt;Table1346[[#This Row],[Away Team Score]],"Win",IF(Table1346[[#This Row],[Home Team Score]]=Table1346[[#This Row],[Away Team Score]],"Tie","Lose"))</f>
        <v>Win</v>
      </c>
      <c r="M5" t="str">
        <f t="shared" si="0"/>
        <v>LW</v>
      </c>
      <c r="N5">
        <v>67</v>
      </c>
      <c r="O5" s="3">
        <v>0.125</v>
      </c>
      <c r="P5" t="s">
        <v>31</v>
      </c>
      <c r="Q5" t="s">
        <v>32</v>
      </c>
      <c r="R5" t="e">
        <f>IF([1]!Table13[[#This Row],[Goal_assist]]="",1,0)</f>
        <v>#REF!</v>
      </c>
    </row>
    <row r="6" spans="1:18" x14ac:dyDescent="0.35">
      <c r="A6" t="s">
        <v>14</v>
      </c>
      <c r="B6" s="1">
        <v>45353</v>
      </c>
      <c r="C6" t="s">
        <v>28</v>
      </c>
      <c r="D6" t="s">
        <v>33</v>
      </c>
      <c r="E6" s="2">
        <v>37608</v>
      </c>
      <c r="F6" t="s">
        <v>16</v>
      </c>
      <c r="G6" t="s">
        <v>17</v>
      </c>
      <c r="H6" t="s">
        <v>34</v>
      </c>
      <c r="I6" s="3">
        <v>0.33402777777777776</v>
      </c>
      <c r="J6" s="8" t="s">
        <v>447</v>
      </c>
      <c r="K6" s="8" t="s">
        <v>444</v>
      </c>
      <c r="L6" s="8" t="str">
        <f>IF(Table1346[[#This Row],[Home Team Score]]&gt;Table1346[[#This Row],[Away Team Score]],"Win",IF(Table1346[[#This Row],[Home Team Score]]=Table1346[[#This Row],[Away Team Score]],"Tie","Lose"))</f>
        <v>Win</v>
      </c>
      <c r="M6" t="str">
        <f t="shared" si="0"/>
        <v>LW</v>
      </c>
      <c r="N6">
        <v>13</v>
      </c>
      <c r="O6" s="3">
        <v>0.125</v>
      </c>
      <c r="P6" t="str">
        <f>P5</f>
        <v>Left-footed shot</v>
      </c>
      <c r="R6" t="e">
        <f>IF([1]!Table13[[#This Row],[Goal_assist]]="",1,0)</f>
        <v>#REF!</v>
      </c>
    </row>
    <row r="7" spans="1:18" x14ac:dyDescent="0.35">
      <c r="A7" t="s">
        <v>14</v>
      </c>
      <c r="B7" s="1">
        <v>45385</v>
      </c>
      <c r="C7" t="s">
        <v>35</v>
      </c>
      <c r="D7">
        <v>11</v>
      </c>
      <c r="E7" s="2">
        <v>37926</v>
      </c>
      <c r="F7" t="s">
        <v>16</v>
      </c>
      <c r="G7" t="s">
        <v>36</v>
      </c>
      <c r="H7" t="s">
        <v>37</v>
      </c>
      <c r="I7" s="3">
        <v>0.125</v>
      </c>
      <c r="J7" s="8" t="s">
        <v>442</v>
      </c>
      <c r="K7" s="8" t="s">
        <v>443</v>
      </c>
      <c r="L7" s="8" t="str">
        <f>IF(Table1346[[#This Row],[Home Team Score]]&gt;Table1346[[#This Row],[Away Team Score]],"Win",IF(Table1346[[#This Row],[Home Team Score]]=Table1346[[#This Row],[Away Team Score]],"Tie","Lose"))</f>
        <v>Win</v>
      </c>
      <c r="M7" t="s">
        <v>38</v>
      </c>
      <c r="N7">
        <v>80</v>
      </c>
      <c r="O7" s="3">
        <v>8.3333333333333329E-2</v>
      </c>
      <c r="P7" t="s">
        <v>39</v>
      </c>
      <c r="R7" t="e">
        <f>IF([1]!Table13[[#This Row],[Goal_assist]]="",1,0)</f>
        <v>#REF!</v>
      </c>
    </row>
    <row r="8" spans="1:18" x14ac:dyDescent="0.35">
      <c r="A8" t="s">
        <v>14</v>
      </c>
      <c r="B8" s="1">
        <v>45385</v>
      </c>
      <c r="C8" t="s">
        <v>40</v>
      </c>
      <c r="D8" t="s">
        <v>33</v>
      </c>
      <c r="E8" s="2">
        <v>38031</v>
      </c>
      <c r="F8" t="s">
        <v>16</v>
      </c>
      <c r="G8" t="s">
        <v>36</v>
      </c>
      <c r="H8" t="s">
        <v>41</v>
      </c>
      <c r="I8" s="3">
        <v>0.16805555555555557</v>
      </c>
      <c r="J8" s="8" t="s">
        <v>446</v>
      </c>
      <c r="K8" s="8" t="s">
        <v>445</v>
      </c>
      <c r="L8" s="8" t="str">
        <f>IF(Table1346[[#This Row],[Home Team Score]]&gt;Table1346[[#This Row],[Away Team Score]],"Win",IF(Table1346[[#This Row],[Home Team Score]]=Table1346[[#This Row],[Away Team Score]],"Tie","Lose"))</f>
        <v>Win</v>
      </c>
      <c r="M8" t="s">
        <v>38</v>
      </c>
      <c r="N8">
        <v>74</v>
      </c>
      <c r="O8" s="3">
        <v>0.125</v>
      </c>
      <c r="P8" t="s">
        <v>26</v>
      </c>
      <c r="R8" t="e">
        <f>IF([1]!Table13[[#This Row],[Goal_assist]]="",1,0)</f>
        <v>#REF!</v>
      </c>
    </row>
    <row r="9" spans="1:18" x14ac:dyDescent="0.35">
      <c r="A9" t="s">
        <v>14</v>
      </c>
      <c r="B9" s="1">
        <v>45385</v>
      </c>
      <c r="C9" t="s">
        <v>35</v>
      </c>
      <c r="D9">
        <v>29</v>
      </c>
      <c r="E9" s="2">
        <v>38066</v>
      </c>
      <c r="F9" t="s">
        <v>16</v>
      </c>
      <c r="G9" t="s">
        <v>36</v>
      </c>
      <c r="H9" t="s">
        <v>42</v>
      </c>
      <c r="I9" s="3">
        <v>0.125</v>
      </c>
      <c r="J9" s="8" t="s">
        <v>442</v>
      </c>
      <c r="K9" s="8" t="s">
        <v>443</v>
      </c>
      <c r="L9" s="8" t="str">
        <f>IF(Table1346[[#This Row],[Home Team Score]]&gt;Table1346[[#This Row],[Away Team Score]],"Win",IF(Table1346[[#This Row],[Home Team Score]]=Table1346[[#This Row],[Away Team Score]],"Tie","Lose"))</f>
        <v>Win</v>
      </c>
      <c r="M9" t="str">
        <f t="shared" ref="M9:M11" si="1">M8</f>
        <v>RW</v>
      </c>
      <c r="N9">
        <v>89</v>
      </c>
      <c r="O9" s="3">
        <v>8.3333333333333329E-2</v>
      </c>
      <c r="P9" t="s">
        <v>26</v>
      </c>
      <c r="R9" t="e">
        <f>IF([1]!Table13[[#This Row],[Goal_assist]]="",1,0)</f>
        <v>#REF!</v>
      </c>
    </row>
    <row r="10" spans="1:18" x14ac:dyDescent="0.35">
      <c r="A10" t="s">
        <v>14</v>
      </c>
      <c r="B10" s="1">
        <v>45385</v>
      </c>
      <c r="C10" t="s">
        <v>35</v>
      </c>
      <c r="D10">
        <v>32</v>
      </c>
      <c r="E10" s="2">
        <v>38087</v>
      </c>
      <c r="F10" t="s">
        <v>24</v>
      </c>
      <c r="G10" t="s">
        <v>36</v>
      </c>
      <c r="H10" t="s">
        <v>43</v>
      </c>
      <c r="I10" s="3">
        <v>4.3055555555555555E-2</v>
      </c>
      <c r="J10" s="8" t="s">
        <v>444</v>
      </c>
      <c r="K10" s="8" t="s">
        <v>445</v>
      </c>
      <c r="L10" s="8" t="str">
        <f>IF(Table1346[[#This Row],[Home Team Score]]&gt;Table1346[[#This Row],[Away Team Score]],"Win",IF(Table1346[[#This Row],[Home Team Score]]=Table1346[[#This Row],[Away Team Score]],"Tie","Lose"))</f>
        <v>Lose</v>
      </c>
      <c r="M10" t="str">
        <f t="shared" si="1"/>
        <v>RW</v>
      </c>
      <c r="N10">
        <v>60</v>
      </c>
      <c r="O10" s="3">
        <v>4.2361111111111113E-2</v>
      </c>
      <c r="P10" t="s">
        <v>22</v>
      </c>
      <c r="Q10" t="s">
        <v>44</v>
      </c>
      <c r="R10" t="e">
        <f>IF([1]!Table13[[#This Row],[Goal_assist]]="",1,0)</f>
        <v>#REF!</v>
      </c>
    </row>
    <row r="11" spans="1:18" x14ac:dyDescent="0.35">
      <c r="A11" t="s">
        <v>14</v>
      </c>
      <c r="B11" s="1">
        <v>45385</v>
      </c>
      <c r="C11" t="s">
        <v>35</v>
      </c>
      <c r="D11">
        <v>38</v>
      </c>
      <c r="E11" s="2">
        <v>38122</v>
      </c>
      <c r="F11" t="s">
        <v>24</v>
      </c>
      <c r="G11" t="s">
        <v>36</v>
      </c>
      <c r="H11" t="s">
        <v>45</v>
      </c>
      <c r="I11" s="3">
        <v>1.3888888888888889E-3</v>
      </c>
      <c r="J11" s="8" t="s">
        <v>443</v>
      </c>
      <c r="K11" s="8" t="s">
        <v>445</v>
      </c>
      <c r="L11" s="8" t="str">
        <f>IF(Table1346[[#This Row],[Home Team Score]]&gt;Table1346[[#This Row],[Away Team Score]],"Win",IF(Table1346[[#This Row],[Home Team Score]]=Table1346[[#This Row],[Away Team Score]],"Tie","Lose"))</f>
        <v>Lose</v>
      </c>
      <c r="M11" t="str">
        <f t="shared" si="1"/>
        <v>RW</v>
      </c>
      <c r="N11">
        <v>4</v>
      </c>
      <c r="O11" s="3">
        <v>6.9444444444444447E-4</v>
      </c>
      <c r="P11" t="s">
        <v>26</v>
      </c>
      <c r="R11" t="e">
        <f>IF([1]!Table13[[#This Row],[Goal_assist]]="",1,0)</f>
        <v>#REF!</v>
      </c>
    </row>
    <row r="12" spans="1:18" x14ac:dyDescent="0.35">
      <c r="A12" t="s">
        <v>14</v>
      </c>
      <c r="B12" s="1">
        <v>45385</v>
      </c>
      <c r="C12" t="s">
        <v>40</v>
      </c>
      <c r="D12" t="s">
        <v>46</v>
      </c>
      <c r="E12" s="2">
        <v>38129</v>
      </c>
      <c r="F12" t="s">
        <v>16</v>
      </c>
      <c r="G12" t="s">
        <v>36</v>
      </c>
      <c r="H12" t="s">
        <v>47</v>
      </c>
      <c r="I12" s="3">
        <v>0.125</v>
      </c>
      <c r="J12" s="8" t="s">
        <v>442</v>
      </c>
      <c r="K12" s="8" t="s">
        <v>443</v>
      </c>
      <c r="L12" s="8" t="str">
        <f>IF(Table1346[[#This Row],[Home Team Score]]&gt;Table1346[[#This Row],[Away Team Score]],"Win",IF(Table1346[[#This Row],[Home Team Score]]=Table1346[[#This Row],[Away Team Score]],"Tie","Lose"))</f>
        <v>Win</v>
      </c>
      <c r="M12" t="s">
        <v>38</v>
      </c>
      <c r="N12">
        <v>44</v>
      </c>
      <c r="O12" s="3">
        <v>4.1666666666666664E-2</v>
      </c>
      <c r="P12" t="s">
        <v>22</v>
      </c>
      <c r="Q12" t="s">
        <v>48</v>
      </c>
      <c r="R12" t="e">
        <f>IF([1]!Table13[[#This Row],[Goal_assist]]="",1,0)</f>
        <v>#REF!</v>
      </c>
    </row>
    <row r="13" spans="1:18" x14ac:dyDescent="0.35">
      <c r="A13" t="s">
        <v>14</v>
      </c>
      <c r="B13" s="1">
        <v>45416</v>
      </c>
      <c r="C13" t="s">
        <v>35</v>
      </c>
      <c r="D13">
        <v>16</v>
      </c>
      <c r="E13" s="2">
        <v>38325</v>
      </c>
      <c r="F13" t="s">
        <v>16</v>
      </c>
      <c r="G13" t="s">
        <v>36</v>
      </c>
      <c r="H13" t="s">
        <v>49</v>
      </c>
      <c r="I13" s="3">
        <v>0.125</v>
      </c>
      <c r="J13" s="8" t="s">
        <v>442</v>
      </c>
      <c r="K13" s="8" t="s">
        <v>443</v>
      </c>
      <c r="L13" s="8" t="str">
        <f>IF(Table1346[[#This Row],[Home Team Score]]&gt;Table1346[[#This Row],[Away Team Score]],"Win",IF(Table1346[[#This Row],[Home Team Score]]=Table1346[[#This Row],[Away Team Score]],"Tie","Lose"))</f>
        <v>Win</v>
      </c>
      <c r="M13" t="str">
        <f t="shared" ref="M13:M15" si="2">M12</f>
        <v>RW</v>
      </c>
      <c r="N13">
        <v>87</v>
      </c>
      <c r="O13" s="3">
        <v>0.125</v>
      </c>
      <c r="P13" t="s">
        <v>26</v>
      </c>
      <c r="Q13" t="s">
        <v>48</v>
      </c>
      <c r="R13" t="e">
        <f>IF([1]!Table13[[#This Row],[Goal_assist]]="",1,0)</f>
        <v>#REF!</v>
      </c>
    </row>
    <row r="14" spans="1:18" x14ac:dyDescent="0.35">
      <c r="A14" t="s">
        <v>14</v>
      </c>
      <c r="B14" s="1">
        <v>45416</v>
      </c>
      <c r="C14" t="s">
        <v>40</v>
      </c>
      <c r="D14" t="s">
        <v>50</v>
      </c>
      <c r="E14" s="2">
        <v>38371</v>
      </c>
      <c r="F14" t="s">
        <v>24</v>
      </c>
      <c r="G14" t="s">
        <v>36</v>
      </c>
      <c r="H14" t="s">
        <v>51</v>
      </c>
      <c r="I14" s="3">
        <v>1.3888888888888889E-3</v>
      </c>
      <c r="J14" s="8" t="s">
        <v>443</v>
      </c>
      <c r="K14" s="8" t="s">
        <v>445</v>
      </c>
      <c r="L14" s="8" t="str">
        <f>IF(Table1346[[#This Row],[Home Team Score]]&gt;Table1346[[#This Row],[Away Team Score]],"Win",IF(Table1346[[#This Row],[Home Team Score]]=Table1346[[#This Row],[Away Team Score]],"Tie","Lose"))</f>
        <v>Lose</v>
      </c>
      <c r="M14" t="str">
        <f t="shared" si="2"/>
        <v>RW</v>
      </c>
      <c r="N14">
        <v>9</v>
      </c>
      <c r="O14" s="3">
        <v>6.9444444444444447E-4</v>
      </c>
      <c r="P14" t="str">
        <f>P13</f>
        <v>Right-footed shot</v>
      </c>
      <c r="Q14" t="s">
        <v>52</v>
      </c>
      <c r="R14" t="e">
        <f>IF([1]!Table13[[#This Row],[Goal_assist]]="",1,0)</f>
        <v>#REF!</v>
      </c>
    </row>
    <row r="15" spans="1:18" x14ac:dyDescent="0.35">
      <c r="A15" t="s">
        <v>14</v>
      </c>
      <c r="B15" s="1">
        <v>45416</v>
      </c>
      <c r="C15" t="s">
        <v>35</v>
      </c>
      <c r="D15">
        <v>24</v>
      </c>
      <c r="E15" s="2">
        <v>38374</v>
      </c>
      <c r="F15" t="s">
        <v>16</v>
      </c>
      <c r="G15" t="s">
        <v>36</v>
      </c>
      <c r="H15" t="s">
        <v>45</v>
      </c>
      <c r="I15" s="3">
        <v>0.12569444444444444</v>
      </c>
      <c r="J15" s="8" t="s">
        <v>442</v>
      </c>
      <c r="K15" s="8" t="s">
        <v>444</v>
      </c>
      <c r="L15" s="8" t="str">
        <f>IF(Table1346[[#This Row],[Home Team Score]]&gt;Table1346[[#This Row],[Away Team Score]],"Win",IF(Table1346[[#This Row],[Home Team Score]]=Table1346[[#This Row],[Away Team Score]],"Tie","Lose"))</f>
        <v>Win</v>
      </c>
      <c r="M15" t="str">
        <f t="shared" si="2"/>
        <v>RW</v>
      </c>
      <c r="N15">
        <v>8</v>
      </c>
      <c r="O15" s="3">
        <v>4.1666666666666664E-2</v>
      </c>
      <c r="P15" t="s">
        <v>26</v>
      </c>
      <c r="Q15" t="s">
        <v>53</v>
      </c>
      <c r="R15" t="e">
        <f>IF([1]!Table13[[#This Row],[Goal_assist]]="",1,0)</f>
        <v>#REF!</v>
      </c>
    </row>
    <row r="16" spans="1:18" x14ac:dyDescent="0.35">
      <c r="A16" t="s">
        <v>14</v>
      </c>
      <c r="B16" s="1">
        <v>45416</v>
      </c>
      <c r="C16" t="s">
        <v>35</v>
      </c>
      <c r="D16">
        <v>25</v>
      </c>
      <c r="E16" s="2">
        <v>38384</v>
      </c>
      <c r="F16" t="s">
        <v>24</v>
      </c>
      <c r="G16" t="s">
        <v>36</v>
      </c>
      <c r="H16" t="s">
        <v>54</v>
      </c>
      <c r="I16" s="3">
        <v>8.611111111111111E-2</v>
      </c>
      <c r="J16" s="8" t="s">
        <v>445</v>
      </c>
      <c r="K16" s="8" t="s">
        <v>446</v>
      </c>
      <c r="L16" s="8" t="str">
        <f>IF(Table1346[[#This Row],[Home Team Score]]&gt;Table1346[[#This Row],[Away Team Score]],"Win",IF(Table1346[[#This Row],[Home Team Score]]=Table1346[[#This Row],[Away Team Score]],"Tie","Lose"))</f>
        <v>Lose</v>
      </c>
      <c r="M16" t="s">
        <v>38</v>
      </c>
      <c r="N16">
        <v>54</v>
      </c>
      <c r="O16" s="3">
        <v>8.4722222222222227E-2</v>
      </c>
      <c r="P16" t="s">
        <v>31</v>
      </c>
      <c r="Q16" t="s">
        <v>44</v>
      </c>
      <c r="R16" t="e">
        <f>IF([1]!Table13[[#This Row],[Goal_assist]]="",1,0)</f>
        <v>#REF!</v>
      </c>
    </row>
    <row r="17" spans="1:18" x14ac:dyDescent="0.35">
      <c r="A17" t="s">
        <v>14</v>
      </c>
      <c r="B17" s="1">
        <v>45416</v>
      </c>
      <c r="C17" t="s">
        <v>35</v>
      </c>
      <c r="D17">
        <v>25</v>
      </c>
      <c r="E17" s="2">
        <v>38384</v>
      </c>
      <c r="F17" t="s">
        <v>24</v>
      </c>
      <c r="G17" t="s">
        <v>36</v>
      </c>
      <c r="H17" t="s">
        <v>54</v>
      </c>
      <c r="I17" s="3">
        <v>8.611111111111111E-2</v>
      </c>
      <c r="J17" s="8" t="s">
        <v>445</v>
      </c>
      <c r="K17" s="8" t="s">
        <v>446</v>
      </c>
      <c r="L17" s="8" t="str">
        <f>IF(Table1346[[#This Row],[Home Team Score]]&gt;Table1346[[#This Row],[Away Team Score]],"Win",IF(Table1346[[#This Row],[Home Team Score]]=Table1346[[#This Row],[Away Team Score]],"Tie","Lose"))</f>
        <v>Lose</v>
      </c>
      <c r="M17" t="s">
        <v>38</v>
      </c>
      <c r="N17">
        <v>58</v>
      </c>
      <c r="O17" s="3">
        <v>8.5416666666666669E-2</v>
      </c>
      <c r="P17" t="s">
        <v>55</v>
      </c>
      <c r="Q17" t="s">
        <v>44</v>
      </c>
      <c r="R17" t="e">
        <f>IF([1]!Table13[[#This Row],[Goal_assist]]="",1,0)</f>
        <v>#REF!</v>
      </c>
    </row>
    <row r="18" spans="1:18" x14ac:dyDescent="0.35">
      <c r="A18" t="s">
        <v>14</v>
      </c>
      <c r="B18" s="1">
        <v>45416</v>
      </c>
      <c r="C18" t="s">
        <v>40</v>
      </c>
      <c r="D18" t="s">
        <v>33</v>
      </c>
      <c r="E18" s="2">
        <v>38402</v>
      </c>
      <c r="F18" t="s">
        <v>24</v>
      </c>
      <c r="G18" t="s">
        <v>36</v>
      </c>
      <c r="H18" t="s">
        <v>56</v>
      </c>
      <c r="I18" s="3">
        <v>1.3888888888888889E-3</v>
      </c>
      <c r="J18" s="8" t="s">
        <v>443</v>
      </c>
      <c r="K18" s="8" t="s">
        <v>445</v>
      </c>
      <c r="L18" s="8" t="str">
        <f>IF(Table1346[[#This Row],[Home Team Score]]&gt;Table1346[[#This Row],[Away Team Score]],"Win",IF(Table1346[[#This Row],[Home Team Score]]=Table1346[[#This Row],[Away Team Score]],"Tie","Lose"))</f>
        <v>Lose</v>
      </c>
      <c r="M18" t="str">
        <f t="shared" ref="M18:M20" si="3">M17</f>
        <v>RW</v>
      </c>
      <c r="N18">
        <v>58</v>
      </c>
      <c r="O18" s="3">
        <v>1.3888888888888889E-3</v>
      </c>
      <c r="P18" t="s">
        <v>55</v>
      </c>
      <c r="Q18" t="s">
        <v>52</v>
      </c>
      <c r="R18" t="e">
        <f>IF([1]!Table13[[#This Row],[Goal_assist]]="",1,0)</f>
        <v>#REF!</v>
      </c>
    </row>
    <row r="19" spans="1:18" x14ac:dyDescent="0.35">
      <c r="A19" t="s">
        <v>14</v>
      </c>
      <c r="B19" s="1">
        <v>45416</v>
      </c>
      <c r="C19" t="s">
        <v>40</v>
      </c>
      <c r="D19" t="s">
        <v>57</v>
      </c>
      <c r="E19" s="2">
        <v>38423</v>
      </c>
      <c r="F19" t="s">
        <v>24</v>
      </c>
      <c r="G19" t="s">
        <v>36</v>
      </c>
      <c r="H19" t="s">
        <v>49</v>
      </c>
      <c r="I19" s="3">
        <v>2.7777777777777779E-3</v>
      </c>
      <c r="J19" s="8" t="s">
        <v>443</v>
      </c>
      <c r="K19" s="8" t="s">
        <v>446</v>
      </c>
      <c r="L19" s="8" t="str">
        <f>IF(Table1346[[#This Row],[Home Team Score]]&gt;Table1346[[#This Row],[Away Team Score]],"Win",IF(Table1346[[#This Row],[Home Team Score]]=Table1346[[#This Row],[Away Team Score]],"Tie","Lose"))</f>
        <v>Lose</v>
      </c>
      <c r="M19" t="str">
        <f t="shared" si="3"/>
        <v>RW</v>
      </c>
      <c r="N19" t="s">
        <v>58</v>
      </c>
      <c r="O19" s="3">
        <v>1.3888888888888889E-3</v>
      </c>
      <c r="P19" t="s">
        <v>31</v>
      </c>
      <c r="Q19" t="s">
        <v>59</v>
      </c>
      <c r="R19" t="e">
        <f>IF([1]!Table13[[#This Row],[Goal_assist]]="",1,0)</f>
        <v>#REF!</v>
      </c>
    </row>
    <row r="20" spans="1:18" x14ac:dyDescent="0.35">
      <c r="A20" t="s">
        <v>14</v>
      </c>
      <c r="B20" s="1">
        <v>45416</v>
      </c>
      <c r="C20" t="s">
        <v>35</v>
      </c>
      <c r="D20">
        <v>30</v>
      </c>
      <c r="E20" s="2">
        <v>38430</v>
      </c>
      <c r="F20" t="s">
        <v>16</v>
      </c>
      <c r="G20" t="s">
        <v>36</v>
      </c>
      <c r="H20" t="s">
        <v>60</v>
      </c>
      <c r="I20" s="3">
        <v>4.1666666666666664E-2</v>
      </c>
      <c r="J20" s="8" t="s">
        <v>444</v>
      </c>
      <c r="K20" s="8" t="s">
        <v>443</v>
      </c>
      <c r="L20" s="8" t="str">
        <f>IF(Table1346[[#This Row],[Home Team Score]]&gt;Table1346[[#This Row],[Away Team Score]],"Win",IF(Table1346[[#This Row],[Home Team Score]]=Table1346[[#This Row],[Away Team Score]],"Tie","Lose"))</f>
        <v>Win</v>
      </c>
      <c r="M20" t="str">
        <f t="shared" si="3"/>
        <v>RW</v>
      </c>
      <c r="N20">
        <v>21</v>
      </c>
      <c r="O20" s="3">
        <v>4.1666666666666664E-2</v>
      </c>
      <c r="P20" t="s">
        <v>26</v>
      </c>
      <c r="Q20" t="s">
        <v>61</v>
      </c>
      <c r="R20" t="e">
        <f>IF([1]!Table13[[#This Row],[Goal_assist]]="",1,0)</f>
        <v>#REF!</v>
      </c>
    </row>
    <row r="21" spans="1:18" x14ac:dyDescent="0.35">
      <c r="A21" t="s">
        <v>14</v>
      </c>
      <c r="B21" s="1">
        <v>45416</v>
      </c>
      <c r="C21" t="s">
        <v>40</v>
      </c>
      <c r="D21" t="s">
        <v>62</v>
      </c>
      <c r="E21" s="2">
        <v>38459</v>
      </c>
      <c r="F21" t="s">
        <v>24</v>
      </c>
      <c r="G21" t="s">
        <v>36</v>
      </c>
      <c r="H21" t="s">
        <v>63</v>
      </c>
      <c r="I21" s="3">
        <v>4.4444444444444446E-2</v>
      </c>
      <c r="J21" s="8" t="s">
        <v>444</v>
      </c>
      <c r="K21" s="8" t="s">
        <v>446</v>
      </c>
      <c r="L21" s="8" t="str">
        <f>IF(Table1346[[#This Row],[Home Team Score]]&gt;Table1346[[#This Row],[Away Team Score]],"Win",IF(Table1346[[#This Row],[Home Team Score]]=Table1346[[#This Row],[Away Team Score]],"Tie","Lose"))</f>
        <v>Lose</v>
      </c>
      <c r="M21" t="s">
        <v>38</v>
      </c>
      <c r="N21">
        <v>76</v>
      </c>
      <c r="O21" s="3">
        <v>4.4444444444444446E-2</v>
      </c>
      <c r="P21" t="s">
        <v>26</v>
      </c>
      <c r="Q21" t="s">
        <v>59</v>
      </c>
      <c r="R21" t="e">
        <f>IF([1]!Table13[[#This Row],[Goal_assist]]="",1,0)</f>
        <v>#REF!</v>
      </c>
    </row>
    <row r="22" spans="1:18" x14ac:dyDescent="0.35">
      <c r="A22" t="s">
        <v>64</v>
      </c>
      <c r="B22" s="1">
        <v>45416</v>
      </c>
      <c r="C22" t="s">
        <v>65</v>
      </c>
      <c r="D22">
        <v>34</v>
      </c>
      <c r="E22" s="2">
        <v>38473</v>
      </c>
      <c r="F22" t="s">
        <v>16</v>
      </c>
      <c r="G22" t="s">
        <v>66</v>
      </c>
      <c r="H22" t="s">
        <v>67</v>
      </c>
      <c r="I22" s="3">
        <v>8.3333333333333329E-2</v>
      </c>
      <c r="J22" s="8" t="s">
        <v>445</v>
      </c>
      <c r="K22" s="8" t="s">
        <v>443</v>
      </c>
      <c r="L22" s="8" t="str">
        <f>IF(Table1346[[#This Row],[Home Team Score]]&gt;Table1346[[#This Row],[Away Team Score]],"Win",IF(Table1346[[#This Row],[Home Team Score]]=Table1346[[#This Row],[Away Team Score]],"Tie","Lose"))</f>
        <v>Win</v>
      </c>
      <c r="M22" t="s">
        <v>68</v>
      </c>
      <c r="N22" t="s">
        <v>69</v>
      </c>
      <c r="O22" s="3">
        <v>8.3333333333333329E-2</v>
      </c>
      <c r="P22" t="s">
        <v>31</v>
      </c>
      <c r="Q22" t="s">
        <v>70</v>
      </c>
      <c r="R22" t="e">
        <f>IF([1]!Table13[[#This Row],[Goal_assist]]="",1,0)</f>
        <v>#REF!</v>
      </c>
    </row>
    <row r="23" spans="1:18" x14ac:dyDescent="0.35">
      <c r="A23" t="s">
        <v>14</v>
      </c>
      <c r="B23" s="1">
        <v>45448</v>
      </c>
      <c r="C23" t="s">
        <v>71</v>
      </c>
      <c r="D23" t="s">
        <v>72</v>
      </c>
      <c r="E23" s="2">
        <v>38573</v>
      </c>
      <c r="F23" t="s">
        <v>16</v>
      </c>
      <c r="G23" t="s">
        <v>36</v>
      </c>
      <c r="H23" t="s">
        <v>73</v>
      </c>
      <c r="I23" s="3">
        <v>0.125</v>
      </c>
      <c r="J23" s="8" t="s">
        <v>442</v>
      </c>
      <c r="K23" s="8" t="s">
        <v>443</v>
      </c>
      <c r="L23" s="8" t="str">
        <f>IF(Table1346[[#This Row],[Home Team Score]]&gt;Table1346[[#This Row],[Away Team Score]],"Win",IF(Table1346[[#This Row],[Home Team Score]]=Table1346[[#This Row],[Away Team Score]],"Tie","Lose"))</f>
        <v>Win</v>
      </c>
      <c r="M23" t="str">
        <f t="shared" ref="M23:M24" si="4">M22</f>
        <v>CF</v>
      </c>
      <c r="N23">
        <v>63</v>
      </c>
      <c r="O23" s="3">
        <v>0.125</v>
      </c>
      <c r="P23" t="s">
        <v>26</v>
      </c>
      <c r="Q23" t="s">
        <v>52</v>
      </c>
      <c r="R23" t="e">
        <f>IF([1]!Table13[[#This Row],[Goal_assist]]="",1,0)</f>
        <v>#REF!</v>
      </c>
    </row>
    <row r="24" spans="1:18" x14ac:dyDescent="0.35">
      <c r="A24" t="s">
        <v>14</v>
      </c>
      <c r="B24" s="1">
        <v>45448</v>
      </c>
      <c r="C24" t="s">
        <v>35</v>
      </c>
      <c r="D24">
        <v>11</v>
      </c>
      <c r="E24" s="2">
        <v>38654</v>
      </c>
      <c r="F24" t="s">
        <v>24</v>
      </c>
      <c r="G24" t="s">
        <v>36</v>
      </c>
      <c r="H24" t="s">
        <v>74</v>
      </c>
      <c r="I24" s="3">
        <v>0.1673611111111111</v>
      </c>
      <c r="J24" s="8" t="s">
        <v>446</v>
      </c>
      <c r="K24" s="8" t="s">
        <v>444</v>
      </c>
      <c r="L24" s="8" t="str">
        <f>IF(Table1346[[#This Row],[Home Team Score]]&gt;Table1346[[#This Row],[Away Team Score]],"Win",IF(Table1346[[#This Row],[Home Team Score]]=Table1346[[#This Row],[Away Team Score]],"Tie","Lose"))</f>
        <v>Win</v>
      </c>
      <c r="M24" t="str">
        <f t="shared" si="4"/>
        <v>CF</v>
      </c>
      <c r="N24">
        <v>90</v>
      </c>
      <c r="O24" s="3">
        <v>0.1673611111111111</v>
      </c>
      <c r="P24" t="s">
        <v>22</v>
      </c>
      <c r="Q24" t="s">
        <v>52</v>
      </c>
      <c r="R24" t="e">
        <f>IF([1]!Table13[[#This Row],[Goal_assist]]="",1,0)</f>
        <v>#REF!</v>
      </c>
    </row>
    <row r="25" spans="1:18" x14ac:dyDescent="0.35">
      <c r="A25" t="s">
        <v>64</v>
      </c>
      <c r="B25" s="1">
        <v>45448</v>
      </c>
      <c r="C25" t="s">
        <v>75</v>
      </c>
      <c r="D25" t="s">
        <v>76</v>
      </c>
      <c r="E25" s="2">
        <v>38658</v>
      </c>
      <c r="F25" t="s">
        <v>16</v>
      </c>
      <c r="G25" t="s">
        <v>66</v>
      </c>
      <c r="H25" t="s">
        <v>77</v>
      </c>
      <c r="I25" s="3">
        <v>0.20833333333333334</v>
      </c>
      <c r="J25" s="8" t="s">
        <v>448</v>
      </c>
      <c r="K25" s="8" t="s">
        <v>443</v>
      </c>
      <c r="L25" s="8" t="str">
        <f>IF(Table1346[[#This Row],[Home Team Score]]&gt;Table1346[[#This Row],[Away Team Score]],"Win",IF(Table1346[[#This Row],[Home Team Score]]=Table1346[[#This Row],[Away Team Score]],"Tie","Lose"))</f>
        <v>Win</v>
      </c>
      <c r="M25" t="s">
        <v>38</v>
      </c>
      <c r="N25">
        <v>34</v>
      </c>
      <c r="O25" s="3">
        <v>0.125</v>
      </c>
      <c r="P25" t="s">
        <v>31</v>
      </c>
      <c r="R25" t="e">
        <f>IF([1]!Table13[[#This Row],[Goal_assist]]="",1,0)</f>
        <v>#REF!</v>
      </c>
    </row>
    <row r="26" spans="1:18" x14ac:dyDescent="0.35">
      <c r="A26" t="s">
        <v>64</v>
      </c>
      <c r="B26" s="1">
        <v>45448</v>
      </c>
      <c r="C26" t="s">
        <v>65</v>
      </c>
      <c r="D26">
        <v>13</v>
      </c>
      <c r="E26" s="2">
        <v>38683</v>
      </c>
      <c r="F26" t="s">
        <v>16</v>
      </c>
      <c r="G26" t="s">
        <v>66</v>
      </c>
      <c r="H26" t="s">
        <v>78</v>
      </c>
      <c r="I26" s="3">
        <v>0.1673611111111111</v>
      </c>
      <c r="J26" s="8" t="s">
        <v>446</v>
      </c>
      <c r="K26" s="8" t="s">
        <v>444</v>
      </c>
      <c r="L26" s="8" t="str">
        <f>IF(Table1346[[#This Row],[Home Team Score]]&gt;Table1346[[#This Row],[Away Team Score]],"Win",IF(Table1346[[#This Row],[Home Team Score]]=Table1346[[#This Row],[Away Team Score]],"Tie","Lose"))</f>
        <v>Win</v>
      </c>
      <c r="M26" t="s">
        <v>38</v>
      </c>
      <c r="N26">
        <v>51</v>
      </c>
      <c r="O26" s="3">
        <v>8.3333333333333329E-2</v>
      </c>
      <c r="P26" t="s">
        <v>31</v>
      </c>
      <c r="Q26" t="s">
        <v>79</v>
      </c>
      <c r="R26" t="e">
        <f>IF([1]!Table13[[#This Row],[Goal_assist]]="",1,0)</f>
        <v>#REF!</v>
      </c>
    </row>
    <row r="27" spans="1:18" x14ac:dyDescent="0.35">
      <c r="A27" t="s">
        <v>14</v>
      </c>
      <c r="B27" s="1">
        <v>45448</v>
      </c>
      <c r="C27" t="s">
        <v>80</v>
      </c>
      <c r="D27" t="s">
        <v>81</v>
      </c>
      <c r="E27" s="2">
        <v>38686</v>
      </c>
      <c r="F27" t="s">
        <v>16</v>
      </c>
      <c r="G27" t="s">
        <v>36</v>
      </c>
      <c r="H27" t="s">
        <v>82</v>
      </c>
      <c r="I27" s="3">
        <v>0.12569444444444444</v>
      </c>
      <c r="J27" s="8" t="s">
        <v>442</v>
      </c>
      <c r="K27" s="8" t="s">
        <v>444</v>
      </c>
      <c r="L27" s="8" t="str">
        <f>IF(Table1346[[#This Row],[Home Team Score]]&gt;Table1346[[#This Row],[Away Team Score]],"Win",IF(Table1346[[#This Row],[Home Team Score]]=Table1346[[#This Row],[Away Team Score]],"Tie","Lose"))</f>
        <v>Win</v>
      </c>
      <c r="M27" t="s">
        <v>38</v>
      </c>
      <c r="N27">
        <v>12</v>
      </c>
      <c r="O27" s="3">
        <v>4.2361111111111113E-2</v>
      </c>
      <c r="P27" t="s">
        <v>83</v>
      </c>
      <c r="R27" t="e">
        <f>IF([1]!Table13[[#This Row],[Goal_assist]]="",1,0)</f>
        <v>#REF!</v>
      </c>
    </row>
    <row r="28" spans="1:18" x14ac:dyDescent="0.35">
      <c r="A28" t="s">
        <v>14</v>
      </c>
      <c r="B28" s="1">
        <v>45448</v>
      </c>
      <c r="C28" t="s">
        <v>35</v>
      </c>
      <c r="D28">
        <v>20</v>
      </c>
      <c r="E28" s="2">
        <v>38717</v>
      </c>
      <c r="F28" t="s">
        <v>16</v>
      </c>
      <c r="G28" t="s">
        <v>36</v>
      </c>
      <c r="H28" t="s">
        <v>84</v>
      </c>
      <c r="I28" s="3">
        <v>0.1673611111111111</v>
      </c>
      <c r="J28" s="8" t="s">
        <v>446</v>
      </c>
      <c r="K28" s="8" t="s">
        <v>444</v>
      </c>
      <c r="L28" s="8" t="str">
        <f>IF(Table1346[[#This Row],[Home Team Score]]&gt;Table1346[[#This Row],[Away Team Score]],"Win",IF(Table1346[[#This Row],[Home Team Score]]=Table1346[[#This Row],[Away Team Score]],"Tie","Lose"))</f>
        <v>Win</v>
      </c>
      <c r="M28" t="str">
        <f t="shared" ref="M28:M29" si="5">M27</f>
        <v>RW</v>
      </c>
      <c r="N28">
        <v>68</v>
      </c>
      <c r="O28" s="3">
        <v>0.12569444444444444</v>
      </c>
      <c r="P28" t="s">
        <v>26</v>
      </c>
      <c r="Q28" t="s">
        <v>85</v>
      </c>
      <c r="R28" t="e">
        <f>IF([1]!Table13[[#This Row],[Goal_assist]]="",1,0)</f>
        <v>#REF!</v>
      </c>
    </row>
    <row r="29" spans="1:18" x14ac:dyDescent="0.35">
      <c r="A29" t="s">
        <v>14</v>
      </c>
      <c r="B29" s="1">
        <v>45448</v>
      </c>
      <c r="C29" t="s">
        <v>35</v>
      </c>
      <c r="D29">
        <v>20</v>
      </c>
      <c r="E29" s="2">
        <v>38717</v>
      </c>
      <c r="F29" t="s">
        <v>16</v>
      </c>
      <c r="G29" t="s">
        <v>36</v>
      </c>
      <c r="H29" t="s">
        <v>84</v>
      </c>
      <c r="I29" s="3">
        <v>0.1673611111111111</v>
      </c>
      <c r="J29" s="8" t="s">
        <v>446</v>
      </c>
      <c r="K29" s="8" t="s">
        <v>444</v>
      </c>
      <c r="L29" s="8" t="str">
        <f>IF(Table1346[[#This Row],[Home Team Score]]&gt;Table1346[[#This Row],[Away Team Score]],"Win",IF(Table1346[[#This Row],[Home Team Score]]=Table1346[[#This Row],[Away Team Score]],"Tie","Lose"))</f>
        <v>Win</v>
      </c>
      <c r="M29" t="str">
        <f t="shared" si="5"/>
        <v>RW</v>
      </c>
      <c r="N29">
        <v>90</v>
      </c>
      <c r="O29" s="3">
        <v>0.1673611111111111</v>
      </c>
      <c r="P29" t="s">
        <v>31</v>
      </c>
      <c r="Q29" t="s">
        <v>59</v>
      </c>
      <c r="R29" t="e">
        <f>IF([1]!Table13[[#This Row],[Goal_assist]]="",1,0)</f>
        <v>#REF!</v>
      </c>
    </row>
    <row r="30" spans="1:18" x14ac:dyDescent="0.35">
      <c r="A30" t="s">
        <v>64</v>
      </c>
      <c r="B30" s="1">
        <v>45448</v>
      </c>
      <c r="C30" t="s">
        <v>65</v>
      </c>
      <c r="D30">
        <v>19</v>
      </c>
      <c r="E30" s="2">
        <v>38732</v>
      </c>
      <c r="F30" t="s">
        <v>16</v>
      </c>
      <c r="G30" t="s">
        <v>66</v>
      </c>
      <c r="H30" t="s">
        <v>86</v>
      </c>
      <c r="I30" s="3">
        <v>8.4027777777777785E-2</v>
      </c>
      <c r="J30" s="8" t="s">
        <v>445</v>
      </c>
      <c r="K30" s="8" t="s">
        <v>444</v>
      </c>
      <c r="L30" s="8" t="str">
        <f>IF(Table1346[[#This Row],[Home Team Score]]&gt;Table1346[[#This Row],[Away Team Score]],"Win",IF(Table1346[[#This Row],[Home Team Score]]=Table1346[[#This Row],[Away Team Score]],"Tie","Lose"))</f>
        <v>Win</v>
      </c>
      <c r="M30" t="s">
        <v>38</v>
      </c>
      <c r="N30">
        <v>50</v>
      </c>
      <c r="O30" s="3">
        <v>8.4027777777777785E-2</v>
      </c>
      <c r="P30" t="s">
        <v>31</v>
      </c>
      <c r="Q30" t="s">
        <v>87</v>
      </c>
      <c r="R30" t="e">
        <f>IF([1]!Table13[[#This Row],[Goal_assist]]="",1,0)</f>
        <v>#REF!</v>
      </c>
    </row>
    <row r="31" spans="1:18" x14ac:dyDescent="0.35">
      <c r="A31" t="s">
        <v>64</v>
      </c>
      <c r="B31" s="1">
        <v>45448</v>
      </c>
      <c r="C31" t="s">
        <v>65</v>
      </c>
      <c r="D31">
        <v>20</v>
      </c>
      <c r="E31" s="2">
        <v>38739</v>
      </c>
      <c r="F31" t="s">
        <v>16</v>
      </c>
      <c r="G31" t="s">
        <v>66</v>
      </c>
      <c r="H31" t="s">
        <v>88</v>
      </c>
      <c r="I31" s="3">
        <v>8.3333333333333329E-2</v>
      </c>
      <c r="J31" s="8" t="s">
        <v>445</v>
      </c>
      <c r="K31" s="8" t="s">
        <v>443</v>
      </c>
      <c r="L31" s="8" t="str">
        <f>IF(Table1346[[#This Row],[Home Team Score]]&gt;Table1346[[#This Row],[Away Team Score]],"Win",IF(Table1346[[#This Row],[Home Team Score]]=Table1346[[#This Row],[Away Team Score]],"Tie","Lose"))</f>
        <v>Win</v>
      </c>
      <c r="M31" t="s">
        <v>68</v>
      </c>
      <c r="N31">
        <v>82</v>
      </c>
      <c r="O31" s="3">
        <v>8.3333333333333329E-2</v>
      </c>
      <c r="P31" t="s">
        <v>31</v>
      </c>
      <c r="Q31" t="s">
        <v>70</v>
      </c>
      <c r="R31" t="e">
        <f>IF([1]!Table13[[#This Row],[Goal_assist]]="",1,0)</f>
        <v>#REF!</v>
      </c>
    </row>
    <row r="32" spans="1:18" x14ac:dyDescent="0.35">
      <c r="A32" t="s">
        <v>64</v>
      </c>
      <c r="B32" s="1">
        <v>45448</v>
      </c>
      <c r="C32" t="s">
        <v>65</v>
      </c>
      <c r="D32">
        <v>21</v>
      </c>
      <c r="E32" s="2">
        <v>38746</v>
      </c>
      <c r="F32" t="s">
        <v>24</v>
      </c>
      <c r="G32" t="s">
        <v>66</v>
      </c>
      <c r="H32" t="s">
        <v>89</v>
      </c>
      <c r="I32" s="3">
        <v>2.0833333333333333E-3</v>
      </c>
      <c r="J32" s="8" t="s">
        <v>443</v>
      </c>
      <c r="K32" s="8" t="s">
        <v>442</v>
      </c>
      <c r="L32" s="8" t="str">
        <f>IF(Table1346[[#This Row],[Home Team Score]]&gt;Table1346[[#This Row],[Away Team Score]],"Win",IF(Table1346[[#This Row],[Home Team Score]]=Table1346[[#This Row],[Away Team Score]],"Tie","Lose"))</f>
        <v>Lose</v>
      </c>
      <c r="M32" t="s">
        <v>68</v>
      </c>
      <c r="N32">
        <v>83</v>
      </c>
      <c r="O32" s="3">
        <v>2.0833333333333333E-3</v>
      </c>
      <c r="P32" t="s">
        <v>31</v>
      </c>
      <c r="Q32" t="s">
        <v>70</v>
      </c>
      <c r="R32" t="e">
        <f>IF([1]!Table13[[#This Row],[Goal_assist]]="",1,0)</f>
        <v>#REF!</v>
      </c>
    </row>
    <row r="33" spans="1:18" x14ac:dyDescent="0.35">
      <c r="A33" t="s">
        <v>64</v>
      </c>
      <c r="B33" s="1">
        <v>45448</v>
      </c>
      <c r="C33" t="s">
        <v>65</v>
      </c>
      <c r="D33">
        <v>21</v>
      </c>
      <c r="E33" s="2">
        <v>38746</v>
      </c>
      <c r="F33" t="s">
        <v>24</v>
      </c>
      <c r="G33" t="s">
        <v>66</v>
      </c>
      <c r="H33" t="s">
        <v>89</v>
      </c>
      <c r="I33" s="3">
        <v>2.0833333333333333E-3</v>
      </c>
      <c r="J33" s="8" t="s">
        <v>443</v>
      </c>
      <c r="K33" s="8" t="s">
        <v>442</v>
      </c>
      <c r="L33" s="8" t="str">
        <f>IF(Table1346[[#This Row],[Home Team Score]]&gt;Table1346[[#This Row],[Away Team Score]],"Win",IF(Table1346[[#This Row],[Home Team Score]]=Table1346[[#This Row],[Away Team Score]],"Tie","Lose"))</f>
        <v>Lose</v>
      </c>
      <c r="M33" t="s">
        <v>68</v>
      </c>
      <c r="N33">
        <v>75</v>
      </c>
      <c r="O33" s="3">
        <v>1.3888888888888889E-3</v>
      </c>
      <c r="P33" t="s">
        <v>26</v>
      </c>
      <c r="Q33" t="s">
        <v>90</v>
      </c>
      <c r="R33" t="e">
        <f>IF([1]!Table13[[#This Row],[Goal_assist]]="",1,0)</f>
        <v>#REF!</v>
      </c>
    </row>
    <row r="34" spans="1:18" x14ac:dyDescent="0.35">
      <c r="A34" t="s">
        <v>64</v>
      </c>
      <c r="B34" s="1">
        <v>45448</v>
      </c>
      <c r="C34" t="s">
        <v>91</v>
      </c>
      <c r="D34" t="s">
        <v>92</v>
      </c>
      <c r="E34" s="2">
        <v>38749</v>
      </c>
      <c r="F34" t="s">
        <v>16</v>
      </c>
      <c r="G34" t="s">
        <v>66</v>
      </c>
      <c r="H34" t="s">
        <v>93</v>
      </c>
      <c r="I34" s="3">
        <v>8.4027777777777785E-2</v>
      </c>
      <c r="J34" s="8" t="s">
        <v>445</v>
      </c>
      <c r="K34" s="8" t="s">
        <v>444</v>
      </c>
      <c r="L34" s="8" t="str">
        <f>IF(Table1346[[#This Row],[Home Team Score]]&gt;Table1346[[#This Row],[Away Team Score]],"Win",IF(Table1346[[#This Row],[Home Team Score]]=Table1346[[#This Row],[Away Team Score]],"Tie","Lose"))</f>
        <v>Win</v>
      </c>
      <c r="M34" t="s">
        <v>68</v>
      </c>
      <c r="N34">
        <v>42</v>
      </c>
      <c r="O34" s="3">
        <v>4.1666666666666664E-2</v>
      </c>
      <c r="P34" t="s">
        <v>22</v>
      </c>
      <c r="Q34" t="s">
        <v>94</v>
      </c>
      <c r="R34" t="e">
        <f>IF([1]!Table13[[#This Row],[Goal_assist]]="",1,0)</f>
        <v>#REF!</v>
      </c>
    </row>
    <row r="35" spans="1:18" x14ac:dyDescent="0.35">
      <c r="A35" t="s">
        <v>14</v>
      </c>
      <c r="B35" s="1">
        <v>45448</v>
      </c>
      <c r="C35" t="s">
        <v>35</v>
      </c>
      <c r="D35">
        <v>25</v>
      </c>
      <c r="E35" s="2">
        <v>38752</v>
      </c>
      <c r="F35" t="s">
        <v>16</v>
      </c>
      <c r="G35" t="s">
        <v>36</v>
      </c>
      <c r="H35" t="s">
        <v>60</v>
      </c>
      <c r="I35" s="3">
        <v>0.16805555555555557</v>
      </c>
      <c r="J35" s="8" t="s">
        <v>446</v>
      </c>
      <c r="K35" s="8" t="s">
        <v>445</v>
      </c>
      <c r="L35" s="8" t="str">
        <f>IF(Table1346[[#This Row],[Home Team Score]]&gt;Table1346[[#This Row],[Away Team Score]],"Win",IF(Table1346[[#This Row],[Home Team Score]]=Table1346[[#This Row],[Away Team Score]],"Tie","Lose"))</f>
        <v>Win</v>
      </c>
      <c r="M35" t="str">
        <f t="shared" ref="M35:M36" si="6">M34</f>
        <v>CF</v>
      </c>
      <c r="N35">
        <v>14</v>
      </c>
      <c r="O35" s="3">
        <v>8.3333333333333329E-2</v>
      </c>
      <c r="P35" t="s">
        <v>39</v>
      </c>
      <c r="R35" t="e">
        <f>IF([1]!Table13[[#This Row],[Goal_assist]]="",1,0)</f>
        <v>#REF!</v>
      </c>
    </row>
    <row r="36" spans="1:18" x14ac:dyDescent="0.35">
      <c r="A36" t="s">
        <v>14</v>
      </c>
      <c r="B36" s="1">
        <v>45448</v>
      </c>
      <c r="C36" t="s">
        <v>35</v>
      </c>
      <c r="D36">
        <v>25</v>
      </c>
      <c r="E36" s="2">
        <v>38752</v>
      </c>
      <c r="F36" t="s">
        <v>16</v>
      </c>
      <c r="G36" t="s">
        <v>36</v>
      </c>
      <c r="H36" t="s">
        <v>60</v>
      </c>
      <c r="I36" s="3">
        <v>0.16805555555555557</v>
      </c>
      <c r="J36" s="8" t="s">
        <v>446</v>
      </c>
      <c r="K36" s="8" t="s">
        <v>445</v>
      </c>
      <c r="L36" s="8" t="str">
        <f>IF(Table1346[[#This Row],[Home Team Score]]&gt;Table1346[[#This Row],[Away Team Score]],"Win",IF(Table1346[[#This Row],[Home Team Score]]=Table1346[[#This Row],[Away Team Score]],"Tie","Lose"))</f>
        <v>Win</v>
      </c>
      <c r="M36" t="str">
        <f t="shared" si="6"/>
        <v>CF</v>
      </c>
      <c r="N36">
        <v>87</v>
      </c>
      <c r="O36" s="3">
        <v>0.16805555555555557</v>
      </c>
      <c r="P36" t="s">
        <v>26</v>
      </c>
      <c r="R36" t="e">
        <f>IF([1]!Table13[[#This Row],[Goal_assist]]="",1,0)</f>
        <v>#REF!</v>
      </c>
    </row>
    <row r="37" spans="1:18" x14ac:dyDescent="0.35">
      <c r="A37" t="s">
        <v>14</v>
      </c>
      <c r="B37" s="1">
        <v>45448</v>
      </c>
      <c r="C37" t="s">
        <v>35</v>
      </c>
      <c r="D37">
        <v>26</v>
      </c>
      <c r="E37" s="2">
        <v>38759</v>
      </c>
      <c r="F37" t="s">
        <v>24</v>
      </c>
      <c r="G37" t="s">
        <v>36</v>
      </c>
      <c r="H37" t="s">
        <v>37</v>
      </c>
      <c r="I37" s="3">
        <v>4.3749999999999997E-2</v>
      </c>
      <c r="J37" s="8" t="s">
        <v>444</v>
      </c>
      <c r="K37" s="8" t="s">
        <v>442</v>
      </c>
      <c r="L37" s="8" t="str">
        <f>IF(Table1346[[#This Row],[Home Team Score]]&gt;Table1346[[#This Row],[Away Team Score]],"Win",IF(Table1346[[#This Row],[Home Team Score]]=Table1346[[#This Row],[Away Team Score]],"Tie","Lose"))</f>
        <v>Lose</v>
      </c>
      <c r="M37" t="s">
        <v>38</v>
      </c>
      <c r="N37">
        <v>38</v>
      </c>
      <c r="O37" s="3">
        <v>1.3888888888888889E-3</v>
      </c>
      <c r="P37" t="s">
        <v>31</v>
      </c>
      <c r="R37" t="e">
        <f>IF([1]!Table13[[#This Row],[Goal_assist]]="",1,0)</f>
        <v>#REF!</v>
      </c>
    </row>
    <row r="38" spans="1:18" x14ac:dyDescent="0.35">
      <c r="A38" t="s">
        <v>14</v>
      </c>
      <c r="B38" s="1">
        <v>45448</v>
      </c>
      <c r="C38" t="s">
        <v>35</v>
      </c>
      <c r="D38">
        <v>26</v>
      </c>
      <c r="E38" s="2">
        <v>38759</v>
      </c>
      <c r="F38" t="s">
        <v>24</v>
      </c>
      <c r="G38" t="s">
        <v>36</v>
      </c>
      <c r="H38" t="s">
        <v>37</v>
      </c>
      <c r="I38" s="3">
        <v>4.3749999999999997E-2</v>
      </c>
      <c r="J38" s="8" t="s">
        <v>444</v>
      </c>
      <c r="K38" s="8" t="s">
        <v>442</v>
      </c>
      <c r="L38" s="8" t="str">
        <f>IF(Table1346[[#This Row],[Home Team Score]]&gt;Table1346[[#This Row],[Away Team Score]],"Win",IF(Table1346[[#This Row],[Home Team Score]]=Table1346[[#This Row],[Away Team Score]],"Tie","Lose"))</f>
        <v>Lose</v>
      </c>
      <c r="M38" t="s">
        <v>38</v>
      </c>
      <c r="N38">
        <v>45</v>
      </c>
      <c r="O38" s="3">
        <v>2.0833333333333333E-3</v>
      </c>
      <c r="P38" t="s">
        <v>26</v>
      </c>
      <c r="Q38" t="s">
        <v>85</v>
      </c>
      <c r="R38" t="e">
        <f>IF([1]!Table13[[#This Row],[Goal_assist]]="",1,0)</f>
        <v>#REF!</v>
      </c>
    </row>
    <row r="39" spans="1:18" x14ac:dyDescent="0.35">
      <c r="A39" t="s">
        <v>64</v>
      </c>
      <c r="B39" s="1">
        <v>45448</v>
      </c>
      <c r="C39" t="s">
        <v>65</v>
      </c>
      <c r="D39">
        <v>24</v>
      </c>
      <c r="E39" s="2">
        <v>38766</v>
      </c>
      <c r="F39" t="s">
        <v>16</v>
      </c>
      <c r="G39" t="s">
        <v>66</v>
      </c>
      <c r="H39" t="s">
        <v>95</v>
      </c>
      <c r="I39" s="3">
        <v>0.20902777777777778</v>
      </c>
      <c r="J39" s="8" t="s">
        <v>448</v>
      </c>
      <c r="K39" s="8" t="s">
        <v>444</v>
      </c>
      <c r="L39" s="8" t="str">
        <f>IF(Table1346[[#This Row],[Home Team Score]]&gt;Table1346[[#This Row],[Away Team Score]],"Win",IF(Table1346[[#This Row],[Home Team Score]]=Table1346[[#This Row],[Away Team Score]],"Tie","Lose"))</f>
        <v>Win</v>
      </c>
      <c r="M39" t="s">
        <v>38</v>
      </c>
      <c r="N39">
        <v>84</v>
      </c>
      <c r="O39" s="3">
        <v>0.20902777777777778</v>
      </c>
      <c r="P39" t="s">
        <v>31</v>
      </c>
      <c r="R39" t="e">
        <f>IF([1]!Table13[[#This Row],[Goal_assist]]="",1,0)</f>
        <v>#REF!</v>
      </c>
    </row>
    <row r="40" spans="1:18" x14ac:dyDescent="0.35">
      <c r="A40" t="s">
        <v>14</v>
      </c>
      <c r="B40" s="1">
        <v>45448</v>
      </c>
      <c r="C40" t="s">
        <v>80</v>
      </c>
      <c r="D40" t="s">
        <v>46</v>
      </c>
      <c r="E40" s="2">
        <v>38774</v>
      </c>
      <c r="F40" t="s">
        <v>16</v>
      </c>
      <c r="G40" t="s">
        <v>36</v>
      </c>
      <c r="H40" t="s">
        <v>96</v>
      </c>
      <c r="I40" s="3">
        <v>0.16666666666666666</v>
      </c>
      <c r="J40" s="8" t="s">
        <v>446</v>
      </c>
      <c r="K40" s="8" t="s">
        <v>443</v>
      </c>
      <c r="L40" s="8" t="str">
        <f>IF(Table1346[[#This Row],[Home Team Score]]&gt;Table1346[[#This Row],[Away Team Score]],"Win",IF(Table1346[[#This Row],[Home Team Score]]=Table1346[[#This Row],[Away Team Score]],"Tie","Lose"))</f>
        <v>Win</v>
      </c>
      <c r="M40" t="s">
        <v>38</v>
      </c>
      <c r="N40">
        <v>59</v>
      </c>
      <c r="O40" s="3">
        <v>0.125</v>
      </c>
      <c r="P40" t="str">
        <f>P39</f>
        <v>Left-footed shot</v>
      </c>
      <c r="Q40" t="s">
        <v>53</v>
      </c>
      <c r="R40" t="e">
        <f>IF([1]!Table13[[#This Row],[Goal_assist]]="",1,0)</f>
        <v>#REF!</v>
      </c>
    </row>
    <row r="41" spans="1:18" x14ac:dyDescent="0.35">
      <c r="A41" t="s">
        <v>14</v>
      </c>
      <c r="B41" s="1">
        <v>45448</v>
      </c>
      <c r="C41" t="s">
        <v>35</v>
      </c>
      <c r="D41">
        <v>28</v>
      </c>
      <c r="E41" s="2">
        <v>38782</v>
      </c>
      <c r="F41" t="s">
        <v>24</v>
      </c>
      <c r="G41" t="s">
        <v>36</v>
      </c>
      <c r="H41" t="s">
        <v>96</v>
      </c>
      <c r="I41" s="3">
        <v>4.3055555555555555E-2</v>
      </c>
      <c r="J41" s="8" t="s">
        <v>444</v>
      </c>
      <c r="K41" s="8" t="s">
        <v>445</v>
      </c>
      <c r="L41" s="8" t="str">
        <f>IF(Table1346[[#This Row],[Home Team Score]]&gt;Table1346[[#This Row],[Away Team Score]],"Win",IF(Table1346[[#This Row],[Home Team Score]]=Table1346[[#This Row],[Away Team Score]],"Tie","Lose"))</f>
        <v>Lose</v>
      </c>
      <c r="M41" t="str">
        <f>M40</f>
        <v>RW</v>
      </c>
      <c r="N41">
        <v>74</v>
      </c>
      <c r="O41" s="3">
        <v>4.2361111111111113E-2</v>
      </c>
      <c r="P41" t="s">
        <v>26</v>
      </c>
      <c r="Q41" t="s">
        <v>59</v>
      </c>
      <c r="R41" t="e">
        <f>IF([1]!Table13[[#This Row],[Goal_assist]]="",1,0)</f>
        <v>#REF!</v>
      </c>
    </row>
    <row r="42" spans="1:18" x14ac:dyDescent="0.35">
      <c r="A42" t="s">
        <v>14</v>
      </c>
      <c r="B42" s="1">
        <v>45448</v>
      </c>
      <c r="C42" t="s">
        <v>35</v>
      </c>
      <c r="D42">
        <v>38</v>
      </c>
      <c r="E42" s="2">
        <v>38844</v>
      </c>
      <c r="F42" t="s">
        <v>16</v>
      </c>
      <c r="G42" t="s">
        <v>36</v>
      </c>
      <c r="H42" t="s">
        <v>97</v>
      </c>
      <c r="I42" s="3">
        <v>0.16666666666666666</v>
      </c>
      <c r="J42" s="8" t="s">
        <v>446</v>
      </c>
      <c r="K42" s="8" t="s">
        <v>443</v>
      </c>
      <c r="L42" s="8" t="str">
        <f>IF(Table1346[[#This Row],[Home Team Score]]&gt;Table1346[[#This Row],[Away Team Score]],"Win",IF(Table1346[[#This Row],[Home Team Score]]=Table1346[[#This Row],[Away Team Score]],"Tie","Lose"))</f>
        <v>Win</v>
      </c>
      <c r="M42" t="s">
        <v>38</v>
      </c>
      <c r="N42">
        <v>23</v>
      </c>
      <c r="O42" s="3">
        <v>8.3333333333333329E-2</v>
      </c>
      <c r="P42" t="s">
        <v>31</v>
      </c>
      <c r="Q42" t="s">
        <v>44</v>
      </c>
      <c r="R42" t="e">
        <f>IF([1]!Table13[[#This Row],[Goal_assist]]="",1,0)</f>
        <v>#REF!</v>
      </c>
    </row>
    <row r="43" spans="1:18" x14ac:dyDescent="0.35">
      <c r="A43" t="s">
        <v>14</v>
      </c>
      <c r="B43" s="1">
        <v>45479</v>
      </c>
      <c r="C43" t="s">
        <v>35</v>
      </c>
      <c r="D43">
        <v>1</v>
      </c>
      <c r="E43" s="2">
        <v>38949</v>
      </c>
      <c r="F43" t="s">
        <v>16</v>
      </c>
      <c r="G43" t="s">
        <v>36</v>
      </c>
      <c r="H43" t="s">
        <v>60</v>
      </c>
      <c r="I43" s="3">
        <v>0.20902777777777778</v>
      </c>
      <c r="J43" s="8" t="s">
        <v>448</v>
      </c>
      <c r="K43" s="8" t="s">
        <v>444</v>
      </c>
      <c r="L43" s="8" t="str">
        <f>IF(Table1346[[#This Row],[Home Team Score]]&gt;Table1346[[#This Row],[Away Team Score]],"Win",IF(Table1346[[#This Row],[Home Team Score]]=Table1346[[#This Row],[Away Team Score]],"Tie","Lose"))</f>
        <v>Win</v>
      </c>
      <c r="M43" t="str">
        <f>M42</f>
        <v>RW</v>
      </c>
      <c r="N43">
        <v>19</v>
      </c>
      <c r="O43" s="3">
        <v>0.16666666666666666</v>
      </c>
      <c r="P43" t="str">
        <f>P42</f>
        <v>Left-footed shot</v>
      </c>
      <c r="Q43" t="s">
        <v>85</v>
      </c>
      <c r="R43" t="e">
        <f>IF([1]!Table13[[#This Row],[Goal_assist]]="",1,0)</f>
        <v>#REF!</v>
      </c>
    </row>
    <row r="44" spans="1:18" x14ac:dyDescent="0.35">
      <c r="A44" t="s">
        <v>64</v>
      </c>
      <c r="B44" s="1">
        <v>45479</v>
      </c>
      <c r="C44" t="s">
        <v>65</v>
      </c>
      <c r="D44">
        <v>1</v>
      </c>
      <c r="E44" s="2">
        <v>38957</v>
      </c>
      <c r="F44" t="s">
        <v>24</v>
      </c>
      <c r="G44" t="s">
        <v>66</v>
      </c>
      <c r="H44" t="s">
        <v>98</v>
      </c>
      <c r="I44" s="3">
        <v>8.5416666666666669E-2</v>
      </c>
      <c r="J44" s="8" t="s">
        <v>445</v>
      </c>
      <c r="K44" s="8" t="s">
        <v>442</v>
      </c>
      <c r="L44" s="8" t="str">
        <f>IF(Table1346[[#This Row],[Home Team Score]]&gt;Table1346[[#This Row],[Away Team Score]],"Win",IF(Table1346[[#This Row],[Home Team Score]]=Table1346[[#This Row],[Away Team Score]],"Tie","Lose"))</f>
        <v>Lose</v>
      </c>
      <c r="M44" t="s">
        <v>19</v>
      </c>
      <c r="N44">
        <v>59</v>
      </c>
      <c r="O44" s="3">
        <v>4.3055555555555555E-2</v>
      </c>
      <c r="P44" t="s">
        <v>31</v>
      </c>
      <c r="Q44" t="s">
        <v>99</v>
      </c>
      <c r="R44" t="e">
        <f>IF([1]!Table13[[#This Row],[Goal_assist]]="",1,0)</f>
        <v>#REF!</v>
      </c>
    </row>
    <row r="45" spans="1:18" x14ac:dyDescent="0.35">
      <c r="A45" t="s">
        <v>64</v>
      </c>
      <c r="B45" s="1">
        <v>45479</v>
      </c>
      <c r="C45" t="s">
        <v>65</v>
      </c>
      <c r="D45">
        <v>2</v>
      </c>
      <c r="E45" s="2">
        <v>38969</v>
      </c>
      <c r="F45" t="s">
        <v>16</v>
      </c>
      <c r="G45" t="s">
        <v>66</v>
      </c>
      <c r="H45" t="s">
        <v>100</v>
      </c>
      <c r="I45" s="3">
        <v>0.125</v>
      </c>
      <c r="J45" s="8" t="s">
        <v>442</v>
      </c>
      <c r="K45" s="8" t="s">
        <v>443</v>
      </c>
      <c r="L45" s="8" t="str">
        <f>IF(Table1346[[#This Row],[Home Team Score]]&gt;Table1346[[#This Row],[Away Team Score]],"Win",IF(Table1346[[#This Row],[Home Team Score]]=Table1346[[#This Row],[Away Team Score]],"Tie","Lose"))</f>
        <v>Win</v>
      </c>
      <c r="M45" t="s">
        <v>38</v>
      </c>
      <c r="N45">
        <v>36</v>
      </c>
      <c r="O45" s="3">
        <v>0.125</v>
      </c>
      <c r="P45" t="s">
        <v>31</v>
      </c>
      <c r="Q45" t="s">
        <v>79</v>
      </c>
      <c r="R45" t="e">
        <f>IF([1]!Table13[[#This Row],[Goal_assist]]="",1,0)</f>
        <v>#REF!</v>
      </c>
    </row>
    <row r="46" spans="1:18" x14ac:dyDescent="0.35">
      <c r="A46" t="s">
        <v>14</v>
      </c>
      <c r="B46" s="1">
        <v>45479</v>
      </c>
      <c r="C46" t="s">
        <v>35</v>
      </c>
      <c r="D46">
        <v>6</v>
      </c>
      <c r="E46" s="2">
        <v>38983</v>
      </c>
      <c r="F46" t="s">
        <v>24</v>
      </c>
      <c r="G46" t="s">
        <v>36</v>
      </c>
      <c r="H46" t="s">
        <v>101</v>
      </c>
      <c r="I46" s="3">
        <v>4.2361111111111113E-2</v>
      </c>
      <c r="J46" s="8" t="s">
        <v>444</v>
      </c>
      <c r="K46" s="8" t="s">
        <v>444</v>
      </c>
      <c r="L46" s="8" t="str">
        <f>IF(Table1346[[#This Row],[Home Team Score]]&gt;Table1346[[#This Row],[Away Team Score]],"Win",IF(Table1346[[#This Row],[Home Team Score]]=Table1346[[#This Row],[Away Team Score]],"Tie","Lose"))</f>
        <v>Tie</v>
      </c>
      <c r="M46" t="s">
        <v>68</v>
      </c>
      <c r="N46">
        <v>73</v>
      </c>
      <c r="O46" s="3">
        <v>4.2361111111111113E-2</v>
      </c>
      <c r="P46" t="str">
        <f>P45</f>
        <v>Left-footed shot</v>
      </c>
      <c r="Q46" t="s">
        <v>102</v>
      </c>
      <c r="R46" t="e">
        <f>IF([1]!Table13[[#This Row],[Goal_assist]]="",1,0)</f>
        <v>#REF!</v>
      </c>
    </row>
    <row r="47" spans="1:18" x14ac:dyDescent="0.35">
      <c r="A47" t="s">
        <v>64</v>
      </c>
      <c r="B47" s="1">
        <v>45479</v>
      </c>
      <c r="C47" t="s">
        <v>75</v>
      </c>
      <c r="D47" t="s">
        <v>76</v>
      </c>
      <c r="E47" s="2">
        <v>38987</v>
      </c>
      <c r="F47" t="s">
        <v>24</v>
      </c>
      <c r="G47" t="s">
        <v>66</v>
      </c>
      <c r="H47" t="s">
        <v>103</v>
      </c>
      <c r="I47" s="3">
        <v>4.2361111111111113E-2</v>
      </c>
      <c r="J47" s="8" t="s">
        <v>444</v>
      </c>
      <c r="K47" s="8" t="s">
        <v>444</v>
      </c>
      <c r="L47" s="8" t="str">
        <f>IF(Table1346[[#This Row],[Home Team Score]]&gt;Table1346[[#This Row],[Away Team Score]],"Win",IF(Table1346[[#This Row],[Home Team Score]]=Table1346[[#This Row],[Away Team Score]],"Tie","Lose"))</f>
        <v>Tie</v>
      </c>
      <c r="M47" t="s">
        <v>38</v>
      </c>
      <c r="N47">
        <v>89</v>
      </c>
      <c r="O47" s="3">
        <v>4.2361111111111113E-2</v>
      </c>
      <c r="P47" t="s">
        <v>31</v>
      </c>
      <c r="Q47" t="s">
        <v>104</v>
      </c>
      <c r="R47" t="e">
        <f>IF([1]!Table13[[#This Row],[Goal_assist]]="",1,0)</f>
        <v>#REF!</v>
      </c>
    </row>
    <row r="48" spans="1:18" x14ac:dyDescent="0.35">
      <c r="A48" t="s">
        <v>64</v>
      </c>
      <c r="B48" s="1">
        <v>45479</v>
      </c>
      <c r="C48" t="s">
        <v>65</v>
      </c>
      <c r="D48">
        <v>6</v>
      </c>
      <c r="E48" s="2">
        <v>39005</v>
      </c>
      <c r="F48" t="s">
        <v>16</v>
      </c>
      <c r="G48" t="s">
        <v>66</v>
      </c>
      <c r="H48" t="s">
        <v>105</v>
      </c>
      <c r="I48" s="3">
        <v>0.12569444444444444</v>
      </c>
      <c r="J48" s="8" t="s">
        <v>442</v>
      </c>
      <c r="K48" s="8" t="s">
        <v>444</v>
      </c>
      <c r="L48" s="8" t="str">
        <f>IF(Table1346[[#This Row],[Home Team Score]]&gt;Table1346[[#This Row],[Away Team Score]],"Win",IF(Table1346[[#This Row],[Home Team Score]]=Table1346[[#This Row],[Away Team Score]],"Tie","Lose"))</f>
        <v>Win</v>
      </c>
      <c r="M48" t="s">
        <v>38</v>
      </c>
      <c r="N48">
        <v>80</v>
      </c>
      <c r="O48" s="3">
        <v>0.12569444444444444</v>
      </c>
      <c r="P48" t="s">
        <v>26</v>
      </c>
      <c r="Q48" t="s">
        <v>106</v>
      </c>
      <c r="R48" t="e">
        <f>IF([1]!Table13[[#This Row],[Goal_assist]]="",1,0)</f>
        <v>#REF!</v>
      </c>
    </row>
    <row r="49" spans="1:18" x14ac:dyDescent="0.35">
      <c r="A49" t="s">
        <v>14</v>
      </c>
      <c r="B49" s="1">
        <v>45479</v>
      </c>
      <c r="C49" t="s">
        <v>35</v>
      </c>
      <c r="D49">
        <v>10</v>
      </c>
      <c r="E49" s="2">
        <v>39018</v>
      </c>
      <c r="F49" t="s">
        <v>24</v>
      </c>
      <c r="G49" t="s">
        <v>36</v>
      </c>
      <c r="H49" t="s">
        <v>84</v>
      </c>
      <c r="I49" s="3">
        <v>2.7777777777777779E-3</v>
      </c>
      <c r="J49" s="8" t="s">
        <v>443</v>
      </c>
      <c r="K49" s="8" t="s">
        <v>446</v>
      </c>
      <c r="L49" s="8" t="str">
        <f>IF(Table1346[[#This Row],[Home Team Score]]&gt;Table1346[[#This Row],[Away Team Score]],"Win",IF(Table1346[[#This Row],[Home Team Score]]=Table1346[[#This Row],[Away Team Score]],"Tie","Lose"))</f>
        <v>Lose</v>
      </c>
      <c r="M49" t="str">
        <f>M48</f>
        <v>RW</v>
      </c>
      <c r="N49">
        <v>82</v>
      </c>
      <c r="O49" s="3">
        <v>2.0833333333333333E-3</v>
      </c>
      <c r="P49" t="str">
        <f>P48</f>
        <v>Right-footed shot</v>
      </c>
      <c r="Q49" t="s">
        <v>53</v>
      </c>
      <c r="R49" t="e">
        <f>IF([1]!Table13[[#This Row],[Goal_assist]]="",1,0)</f>
        <v>#REF!</v>
      </c>
    </row>
    <row r="50" spans="1:18" x14ac:dyDescent="0.35">
      <c r="A50" t="s">
        <v>14</v>
      </c>
      <c r="B50" s="1">
        <v>45479</v>
      </c>
      <c r="C50" t="s">
        <v>35</v>
      </c>
      <c r="D50">
        <v>11</v>
      </c>
      <c r="E50" s="2">
        <v>39025</v>
      </c>
      <c r="F50" t="s">
        <v>16</v>
      </c>
      <c r="G50" t="s">
        <v>36</v>
      </c>
      <c r="H50" t="s">
        <v>37</v>
      </c>
      <c r="I50" s="3">
        <v>0.125</v>
      </c>
      <c r="J50" s="8" t="s">
        <v>442</v>
      </c>
      <c r="K50" s="8" t="s">
        <v>443</v>
      </c>
      <c r="L50" s="8" t="str">
        <f>IF(Table1346[[#This Row],[Home Team Score]]&gt;Table1346[[#This Row],[Away Team Score]],"Win",IF(Table1346[[#This Row],[Home Team Score]]=Table1346[[#This Row],[Away Team Score]],"Tie","Lose"))</f>
        <v>Win</v>
      </c>
      <c r="M50" t="s">
        <v>38</v>
      </c>
      <c r="N50">
        <v>10</v>
      </c>
      <c r="O50" s="3">
        <v>8.3333333333333329E-2</v>
      </c>
      <c r="P50" t="s">
        <v>39</v>
      </c>
      <c r="R50" t="e">
        <f>IF([1]!Table13[[#This Row],[Goal_assist]]="",1,0)</f>
        <v>#REF!</v>
      </c>
    </row>
    <row r="51" spans="1:18" x14ac:dyDescent="0.35">
      <c r="A51" t="s">
        <v>14</v>
      </c>
      <c r="B51" s="1">
        <v>45479</v>
      </c>
      <c r="C51" t="s">
        <v>35</v>
      </c>
      <c r="D51">
        <v>15</v>
      </c>
      <c r="E51" s="2">
        <v>39050</v>
      </c>
      <c r="F51" t="s">
        <v>16</v>
      </c>
      <c r="G51" t="s">
        <v>36</v>
      </c>
      <c r="H51" t="s">
        <v>56</v>
      </c>
      <c r="I51" s="3">
        <v>0.125</v>
      </c>
      <c r="J51" s="8" t="s">
        <v>442</v>
      </c>
      <c r="K51" s="8" t="s">
        <v>443</v>
      </c>
      <c r="L51" s="8" t="str">
        <f>IF(Table1346[[#This Row],[Home Team Score]]&gt;Table1346[[#This Row],[Away Team Score]],"Win",IF(Table1346[[#This Row],[Home Team Score]]=Table1346[[#This Row],[Away Team Score]],"Tie","Lose"))</f>
        <v>Win</v>
      </c>
      <c r="M51" t="str">
        <f t="shared" ref="M51:M56" si="7">M50</f>
        <v>RW</v>
      </c>
      <c r="N51">
        <v>39</v>
      </c>
      <c r="O51" s="3">
        <v>4.1666666666666664E-2</v>
      </c>
      <c r="P51" t="str">
        <f t="shared" ref="P51:P54" si="8">P50</f>
        <v>Direct free kick</v>
      </c>
      <c r="R51" t="e">
        <f>IF([1]!Table13[[#This Row],[Goal_assist]]="",1,0)</f>
        <v>#REF!</v>
      </c>
    </row>
    <row r="52" spans="1:18" x14ac:dyDescent="0.35">
      <c r="A52" t="s">
        <v>14</v>
      </c>
      <c r="B52" s="1">
        <v>45479</v>
      </c>
      <c r="C52" t="s">
        <v>35</v>
      </c>
      <c r="D52">
        <v>17</v>
      </c>
      <c r="E52" s="2">
        <v>39060</v>
      </c>
      <c r="F52" t="s">
        <v>16</v>
      </c>
      <c r="G52" t="s">
        <v>36</v>
      </c>
      <c r="H52" t="s">
        <v>41</v>
      </c>
      <c r="I52" s="3">
        <v>0.12569444444444444</v>
      </c>
      <c r="J52" s="8" t="s">
        <v>442</v>
      </c>
      <c r="K52" s="8" t="s">
        <v>444</v>
      </c>
      <c r="L52" s="8" t="str">
        <f>IF(Table1346[[#This Row],[Home Team Score]]&gt;Table1346[[#This Row],[Away Team Score]],"Win",IF(Table1346[[#This Row],[Home Team Score]]=Table1346[[#This Row],[Away Team Score]],"Tie","Lose"))</f>
        <v>Win</v>
      </c>
      <c r="M52" t="str">
        <f t="shared" si="7"/>
        <v>RW</v>
      </c>
      <c r="N52">
        <v>84</v>
      </c>
      <c r="O52" s="3">
        <v>0.12569444444444444</v>
      </c>
      <c r="P52" t="str">
        <f t="shared" si="8"/>
        <v>Direct free kick</v>
      </c>
      <c r="R52" t="e">
        <f>IF([1]!Table13[[#This Row],[Goal_assist]]="",1,0)</f>
        <v>#REF!</v>
      </c>
    </row>
    <row r="53" spans="1:18" x14ac:dyDescent="0.35">
      <c r="A53" t="s">
        <v>14</v>
      </c>
      <c r="B53" s="1">
        <v>45479</v>
      </c>
      <c r="C53" t="s">
        <v>35</v>
      </c>
      <c r="D53">
        <v>19</v>
      </c>
      <c r="E53" s="2">
        <v>39074</v>
      </c>
      <c r="F53" t="s">
        <v>24</v>
      </c>
      <c r="G53" t="s">
        <v>36</v>
      </c>
      <c r="H53" t="s">
        <v>45</v>
      </c>
      <c r="I53" s="3">
        <v>2.0833333333333333E-3</v>
      </c>
      <c r="J53" s="8" t="s">
        <v>443</v>
      </c>
      <c r="K53" s="8" t="s">
        <v>442</v>
      </c>
      <c r="L53" s="8" t="str">
        <f>IF(Table1346[[#This Row],[Home Team Score]]&gt;Table1346[[#This Row],[Away Team Score]],"Win",IF(Table1346[[#This Row],[Home Team Score]]=Table1346[[#This Row],[Away Team Score]],"Tie","Lose"))</f>
        <v>Lose</v>
      </c>
      <c r="M53" t="str">
        <f t="shared" si="7"/>
        <v>RW</v>
      </c>
      <c r="N53">
        <v>85</v>
      </c>
      <c r="O53" s="3">
        <v>2.0833333333333333E-3</v>
      </c>
      <c r="P53" t="str">
        <f t="shared" si="8"/>
        <v>Direct free kick</v>
      </c>
      <c r="Q53" t="s">
        <v>48</v>
      </c>
      <c r="R53" t="e">
        <f>IF([1]!Table13[[#This Row],[Goal_assist]]="",1,0)</f>
        <v>#REF!</v>
      </c>
    </row>
    <row r="54" spans="1:18" x14ac:dyDescent="0.35">
      <c r="A54" t="s">
        <v>14</v>
      </c>
      <c r="B54" s="1">
        <v>45479</v>
      </c>
      <c r="C54" t="s">
        <v>35</v>
      </c>
      <c r="D54">
        <v>19</v>
      </c>
      <c r="E54" s="2">
        <v>39074</v>
      </c>
      <c r="F54" t="s">
        <v>24</v>
      </c>
      <c r="G54" t="s">
        <v>36</v>
      </c>
      <c r="H54" t="s">
        <v>45</v>
      </c>
      <c r="I54" s="3">
        <v>2.0833333333333333E-3</v>
      </c>
      <c r="J54" s="8" t="s">
        <v>443</v>
      </c>
      <c r="K54" s="8" t="s">
        <v>442</v>
      </c>
      <c r="L54" s="8" t="str">
        <f>IF(Table1346[[#This Row],[Home Team Score]]&gt;Table1346[[#This Row],[Away Team Score]],"Win",IF(Table1346[[#This Row],[Home Team Score]]=Table1346[[#This Row],[Away Team Score]],"Tie","Lose"))</f>
        <v>Lose</v>
      </c>
      <c r="M54" t="str">
        <f t="shared" si="7"/>
        <v>RW</v>
      </c>
      <c r="N54">
        <v>58</v>
      </c>
      <c r="O54" s="3">
        <v>6.9444444444444447E-4</v>
      </c>
      <c r="P54" t="str">
        <f t="shared" si="8"/>
        <v>Direct free kick</v>
      </c>
      <c r="R54" t="e">
        <f>IF([1]!Table13[[#This Row],[Goal_assist]]="",1,0)</f>
        <v>#REF!</v>
      </c>
    </row>
    <row r="55" spans="1:18" x14ac:dyDescent="0.35">
      <c r="A55" t="s">
        <v>14</v>
      </c>
      <c r="B55" s="1">
        <v>45479</v>
      </c>
      <c r="C55" t="s">
        <v>35</v>
      </c>
      <c r="D55">
        <v>20</v>
      </c>
      <c r="E55" s="2">
        <v>39077</v>
      </c>
      <c r="F55" t="s">
        <v>16</v>
      </c>
      <c r="G55" t="s">
        <v>36</v>
      </c>
      <c r="H55" t="s">
        <v>96</v>
      </c>
      <c r="I55" s="3">
        <v>0.12569444444444444</v>
      </c>
      <c r="J55" s="8" t="s">
        <v>442</v>
      </c>
      <c r="K55" s="8" t="s">
        <v>444</v>
      </c>
      <c r="L55" s="8" t="str">
        <f>IF(Table1346[[#This Row],[Home Team Score]]&gt;Table1346[[#This Row],[Away Team Score]],"Win",IF(Table1346[[#This Row],[Home Team Score]]=Table1346[[#This Row],[Away Team Score]],"Tie","Lose"))</f>
        <v>Win</v>
      </c>
      <c r="M55" t="str">
        <f t="shared" si="7"/>
        <v>RW</v>
      </c>
      <c r="N55">
        <v>50</v>
      </c>
      <c r="O55" s="3">
        <v>8.3333333333333329E-2</v>
      </c>
      <c r="P55" t="s">
        <v>107</v>
      </c>
      <c r="Q55" t="s">
        <v>108</v>
      </c>
      <c r="R55" t="e">
        <f>IF([1]!Table13[[#This Row],[Goal_assist]]="",1,0)</f>
        <v>#REF!</v>
      </c>
    </row>
    <row r="56" spans="1:18" x14ac:dyDescent="0.35">
      <c r="A56" t="s">
        <v>14</v>
      </c>
      <c r="B56" s="1">
        <v>45479</v>
      </c>
      <c r="C56" t="s">
        <v>35</v>
      </c>
      <c r="D56">
        <v>20</v>
      </c>
      <c r="E56" s="2">
        <v>39077</v>
      </c>
      <c r="F56" t="s">
        <v>16</v>
      </c>
      <c r="G56" t="s">
        <v>36</v>
      </c>
      <c r="H56" t="s">
        <v>96</v>
      </c>
      <c r="I56" s="3">
        <v>0.12569444444444444</v>
      </c>
      <c r="J56" s="8" t="s">
        <v>442</v>
      </c>
      <c r="K56" s="8" t="s">
        <v>444</v>
      </c>
      <c r="L56" s="8" t="str">
        <f>IF(Table1346[[#This Row],[Home Team Score]]&gt;Table1346[[#This Row],[Away Team Score]],"Win",IF(Table1346[[#This Row],[Home Team Score]]=Table1346[[#This Row],[Away Team Score]],"Tie","Lose"))</f>
        <v>Win</v>
      </c>
      <c r="M56" t="str">
        <f t="shared" si="7"/>
        <v>RW</v>
      </c>
      <c r="N56">
        <v>47</v>
      </c>
      <c r="O56" s="3">
        <v>4.1666666666666664E-2</v>
      </c>
      <c r="P56" t="str">
        <f t="shared" ref="P56:P58" si="9">P55</f>
        <v>Penalty rebound</v>
      </c>
      <c r="Q56" t="s">
        <v>52</v>
      </c>
      <c r="R56" t="e">
        <f>IF([1]!Table13[[#This Row],[Goal_assist]]="",1,0)</f>
        <v>#REF!</v>
      </c>
    </row>
    <row r="57" spans="1:18" x14ac:dyDescent="0.35">
      <c r="A57" t="s">
        <v>14</v>
      </c>
      <c r="B57" s="1">
        <v>45479</v>
      </c>
      <c r="C57" t="s">
        <v>35</v>
      </c>
      <c r="D57">
        <v>21</v>
      </c>
      <c r="E57" s="2">
        <v>39081</v>
      </c>
      <c r="F57" t="s">
        <v>16</v>
      </c>
      <c r="G57" t="s">
        <v>36</v>
      </c>
      <c r="H57" t="s">
        <v>101</v>
      </c>
      <c r="I57" s="3">
        <v>0.12638888888888888</v>
      </c>
      <c r="J57" s="8" t="s">
        <v>442</v>
      </c>
      <c r="K57" s="8" t="s">
        <v>445</v>
      </c>
      <c r="L57" s="8" t="str">
        <f>IF(Table1346[[#This Row],[Home Team Score]]&gt;Table1346[[#This Row],[Away Team Score]],"Win",IF(Table1346[[#This Row],[Home Team Score]]=Table1346[[#This Row],[Away Team Score]],"Tie","Lose"))</f>
        <v>Win</v>
      </c>
      <c r="M57" t="s">
        <v>38</v>
      </c>
      <c r="N57">
        <v>58</v>
      </c>
      <c r="O57" s="3">
        <v>8.4027777777777785E-2</v>
      </c>
      <c r="P57" t="str">
        <f t="shared" si="9"/>
        <v>Penalty rebound</v>
      </c>
      <c r="Q57" t="s">
        <v>109</v>
      </c>
      <c r="R57" t="e">
        <f>IF([1]!Table13[[#This Row],[Goal_assist]]="",1,0)</f>
        <v>#REF!</v>
      </c>
    </row>
    <row r="58" spans="1:18" x14ac:dyDescent="0.35">
      <c r="A58" t="s">
        <v>14</v>
      </c>
      <c r="B58" s="1">
        <v>45479</v>
      </c>
      <c r="C58" t="s">
        <v>35</v>
      </c>
      <c r="D58">
        <v>21</v>
      </c>
      <c r="E58" s="2">
        <v>39081</v>
      </c>
      <c r="F58" t="s">
        <v>16</v>
      </c>
      <c r="G58" t="s">
        <v>36</v>
      </c>
      <c r="H58" t="s">
        <v>101</v>
      </c>
      <c r="I58" s="3">
        <v>0.12638888888888888</v>
      </c>
      <c r="J58" s="8" t="s">
        <v>442</v>
      </c>
      <c r="K58" s="8" t="s">
        <v>445</v>
      </c>
      <c r="L58" s="8" t="str">
        <f>IF(Table1346[[#This Row],[Home Team Score]]&gt;Table1346[[#This Row],[Away Team Score]],"Win",IF(Table1346[[#This Row],[Home Team Score]]=Table1346[[#This Row],[Away Team Score]],"Tie","Lose"))</f>
        <v>Win</v>
      </c>
      <c r="M58" t="s">
        <v>38</v>
      </c>
      <c r="N58">
        <v>77</v>
      </c>
      <c r="O58" s="3">
        <v>0.12569444444444444</v>
      </c>
      <c r="P58" t="str">
        <f t="shared" si="9"/>
        <v>Penalty rebound</v>
      </c>
      <c r="Q58" t="s">
        <v>44</v>
      </c>
      <c r="R58" t="e">
        <f>IF([1]!Table13[[#This Row],[Goal_assist]]="",1,0)</f>
        <v>#REF!</v>
      </c>
    </row>
    <row r="59" spans="1:18" x14ac:dyDescent="0.35">
      <c r="A59" t="s">
        <v>14</v>
      </c>
      <c r="B59" s="1">
        <v>45479</v>
      </c>
      <c r="C59" t="s">
        <v>35</v>
      </c>
      <c r="D59">
        <v>23</v>
      </c>
      <c r="E59" s="2">
        <v>39095</v>
      </c>
      <c r="F59" t="s">
        <v>16</v>
      </c>
      <c r="G59" t="s">
        <v>36</v>
      </c>
      <c r="H59" t="s">
        <v>45</v>
      </c>
      <c r="I59" s="3">
        <v>0.12569444444444444</v>
      </c>
      <c r="J59" s="8" t="s">
        <v>442</v>
      </c>
      <c r="K59" s="8" t="s">
        <v>444</v>
      </c>
      <c r="L59" s="8" t="str">
        <f>IF(Table1346[[#This Row],[Home Team Score]]&gt;Table1346[[#This Row],[Away Team Score]],"Win",IF(Table1346[[#This Row],[Home Team Score]]=Table1346[[#This Row],[Away Team Score]],"Tie","Lose"))</f>
        <v>Win</v>
      </c>
      <c r="M59" t="str">
        <f>M58</f>
        <v>RW</v>
      </c>
      <c r="N59">
        <v>34</v>
      </c>
      <c r="O59" s="3">
        <v>0.125</v>
      </c>
      <c r="P59" t="s">
        <v>22</v>
      </c>
      <c r="Q59" t="s">
        <v>110</v>
      </c>
      <c r="R59" t="e">
        <f>IF([1]!Table13[[#This Row],[Goal_assist]]="",1,0)</f>
        <v>#REF!</v>
      </c>
    </row>
    <row r="60" spans="1:18" x14ac:dyDescent="0.35">
      <c r="A60" t="s">
        <v>14</v>
      </c>
      <c r="B60" s="1">
        <v>45479</v>
      </c>
      <c r="C60" t="s">
        <v>35</v>
      </c>
      <c r="D60">
        <v>25</v>
      </c>
      <c r="E60" s="2">
        <v>39113</v>
      </c>
      <c r="F60" t="s">
        <v>16</v>
      </c>
      <c r="G60" t="s">
        <v>36</v>
      </c>
      <c r="H60" t="s">
        <v>111</v>
      </c>
      <c r="I60" s="3">
        <v>0.16666666666666666</v>
      </c>
      <c r="J60" s="8" t="s">
        <v>446</v>
      </c>
      <c r="K60" s="8" t="s">
        <v>443</v>
      </c>
      <c r="L60" s="8" t="str">
        <f>IF(Table1346[[#This Row],[Home Team Score]]&gt;Table1346[[#This Row],[Away Team Score]],"Win",IF(Table1346[[#This Row],[Home Team Score]]=Table1346[[#This Row],[Away Team Score]],"Tie","Lose"))</f>
        <v>Win</v>
      </c>
      <c r="M60" t="s">
        <v>38</v>
      </c>
      <c r="N60">
        <v>12</v>
      </c>
      <c r="O60" s="3">
        <v>4.1666666666666664E-2</v>
      </c>
      <c r="P60" t="s">
        <v>83</v>
      </c>
      <c r="R60" t="e">
        <f>IF([1]!Table13[[#This Row],[Goal_assist]]="",1,0)</f>
        <v>#REF!</v>
      </c>
    </row>
    <row r="61" spans="1:18" x14ac:dyDescent="0.35">
      <c r="A61" t="s">
        <v>14</v>
      </c>
      <c r="B61" s="1">
        <v>45479</v>
      </c>
      <c r="C61" t="s">
        <v>35</v>
      </c>
      <c r="D61">
        <v>26</v>
      </c>
      <c r="E61" s="2">
        <v>39116</v>
      </c>
      <c r="F61" t="s">
        <v>24</v>
      </c>
      <c r="G61" t="s">
        <v>36</v>
      </c>
      <c r="H61" t="s">
        <v>42</v>
      </c>
      <c r="I61" s="3">
        <v>2.7777777777777779E-3</v>
      </c>
      <c r="J61" s="8" t="s">
        <v>443</v>
      </c>
      <c r="K61" s="8" t="s">
        <v>446</v>
      </c>
      <c r="L61" s="8" t="str">
        <f>IF(Table1346[[#This Row],[Home Team Score]]&gt;Table1346[[#This Row],[Away Team Score]],"Win",IF(Table1346[[#This Row],[Home Team Score]]=Table1346[[#This Row],[Away Team Score]],"Tie","Lose"))</f>
        <v>Lose</v>
      </c>
      <c r="M61" t="s">
        <v>38</v>
      </c>
      <c r="N61">
        <v>45</v>
      </c>
      <c r="O61" s="3">
        <v>6.9444444444444447E-4</v>
      </c>
      <c r="P61" t="s">
        <v>83</v>
      </c>
      <c r="R61" t="e">
        <f>IF([1]!Table13[[#This Row],[Goal_assist]]="",1,0)</f>
        <v>#REF!</v>
      </c>
    </row>
    <row r="62" spans="1:18" x14ac:dyDescent="0.35">
      <c r="A62" t="s">
        <v>14</v>
      </c>
      <c r="B62" s="1">
        <v>45479</v>
      </c>
      <c r="C62" t="s">
        <v>35</v>
      </c>
      <c r="D62">
        <v>28</v>
      </c>
      <c r="E62" s="2">
        <v>39137</v>
      </c>
      <c r="F62" t="s">
        <v>24</v>
      </c>
      <c r="G62" t="s">
        <v>36</v>
      </c>
      <c r="H62" t="s">
        <v>60</v>
      </c>
      <c r="I62" s="3">
        <v>4.3055555555555555E-2</v>
      </c>
      <c r="J62" s="8" t="s">
        <v>444</v>
      </c>
      <c r="K62" s="8" t="s">
        <v>445</v>
      </c>
      <c r="L62" s="8" t="str">
        <f>IF(Table1346[[#This Row],[Home Team Score]]&gt;Table1346[[#This Row],[Away Team Score]],"Win",IF(Table1346[[#This Row],[Home Team Score]]=Table1346[[#This Row],[Away Team Score]],"Tie","Lose"))</f>
        <v>Lose</v>
      </c>
      <c r="M62" t="str">
        <f>M61</f>
        <v>RW</v>
      </c>
      <c r="N62">
        <v>88</v>
      </c>
      <c r="O62" s="3">
        <v>4.3055555555555555E-2</v>
      </c>
      <c r="P62" t="s">
        <v>20</v>
      </c>
      <c r="R62" t="e">
        <f>IF([1]!Table13[[#This Row],[Goal_assist]]="",1,0)</f>
        <v>#REF!</v>
      </c>
    </row>
    <row r="63" spans="1:18" x14ac:dyDescent="0.35">
      <c r="A63" t="s">
        <v>14</v>
      </c>
      <c r="B63" s="1">
        <v>45479</v>
      </c>
      <c r="C63" t="s">
        <v>40</v>
      </c>
      <c r="D63" t="s">
        <v>57</v>
      </c>
      <c r="E63" s="2">
        <v>39151</v>
      </c>
      <c r="F63" t="s">
        <v>24</v>
      </c>
      <c r="G63" t="s">
        <v>36</v>
      </c>
      <c r="H63" t="s">
        <v>74</v>
      </c>
      <c r="I63" s="3">
        <v>8.4722222222222227E-2</v>
      </c>
      <c r="J63" s="8" t="s">
        <v>445</v>
      </c>
      <c r="K63" s="8" t="s">
        <v>445</v>
      </c>
      <c r="L63" s="8" t="str">
        <f>IF(Table1346[[#This Row],[Home Team Score]]&gt;Table1346[[#This Row],[Away Team Score]],"Win",IF(Table1346[[#This Row],[Home Team Score]]=Table1346[[#This Row],[Away Team Score]],"Tie","Lose"))</f>
        <v>Tie</v>
      </c>
      <c r="M63" t="s">
        <v>38</v>
      </c>
      <c r="N63">
        <v>68</v>
      </c>
      <c r="O63" s="3">
        <v>8.4722222222222227E-2</v>
      </c>
      <c r="P63" t="s">
        <v>83</v>
      </c>
      <c r="R63" t="e">
        <f>IF([1]!Table13[[#This Row],[Goal_assist]]="",1,0)</f>
        <v>#REF!</v>
      </c>
    </row>
    <row r="64" spans="1:18" x14ac:dyDescent="0.35">
      <c r="A64" t="s">
        <v>64</v>
      </c>
      <c r="B64" s="1">
        <v>45479</v>
      </c>
      <c r="C64" t="s">
        <v>65</v>
      </c>
      <c r="D64">
        <v>26</v>
      </c>
      <c r="E64" s="2">
        <v>39151</v>
      </c>
      <c r="F64" t="s">
        <v>16</v>
      </c>
      <c r="G64" t="s">
        <v>66</v>
      </c>
      <c r="H64" t="s">
        <v>112</v>
      </c>
      <c r="I64" s="3">
        <v>0.12708333333333333</v>
      </c>
      <c r="J64" s="8" t="s">
        <v>442</v>
      </c>
      <c r="K64" s="8" t="s">
        <v>442</v>
      </c>
      <c r="L64" s="8" t="str">
        <f>IF(Table1346[[#This Row],[Home Team Score]]&gt;Table1346[[#This Row],[Away Team Score]],"Win",IF(Table1346[[#This Row],[Home Team Score]]=Table1346[[#This Row],[Away Team Score]],"Tie","Lose"))</f>
        <v>Tie</v>
      </c>
      <c r="M64" t="s">
        <v>38</v>
      </c>
      <c r="N64">
        <v>28</v>
      </c>
      <c r="O64" s="3">
        <v>8.4722222222222227E-2</v>
      </c>
      <c r="P64" t="s">
        <v>31</v>
      </c>
      <c r="R64" t="e">
        <f>IF([1]!Table13[[#This Row],[Goal_assist]]="",1,0)</f>
        <v>#REF!</v>
      </c>
    </row>
    <row r="65" spans="1:18" x14ac:dyDescent="0.35">
      <c r="A65" t="s">
        <v>64</v>
      </c>
      <c r="B65" s="1">
        <v>45479</v>
      </c>
      <c r="C65" t="s">
        <v>65</v>
      </c>
      <c r="D65">
        <v>26</v>
      </c>
      <c r="E65" s="2">
        <v>39151</v>
      </c>
      <c r="F65" t="s">
        <v>16</v>
      </c>
      <c r="G65" t="s">
        <v>66</v>
      </c>
      <c r="H65" t="s">
        <v>112</v>
      </c>
      <c r="I65" s="3">
        <v>0.12708333333333333</v>
      </c>
      <c r="J65" s="8" t="s">
        <v>442</v>
      </c>
      <c r="K65" s="8" t="s">
        <v>442</v>
      </c>
      <c r="L65" s="8" t="str">
        <f>IF(Table1346[[#This Row],[Home Team Score]]&gt;Table1346[[#This Row],[Away Team Score]],"Win",IF(Table1346[[#This Row],[Home Team Score]]=Table1346[[#This Row],[Away Team Score]],"Tie","Lose"))</f>
        <v>Tie</v>
      </c>
      <c r="M65" t="s">
        <v>38</v>
      </c>
      <c r="N65" t="s">
        <v>69</v>
      </c>
      <c r="O65" s="3">
        <v>0.12708333333333333</v>
      </c>
      <c r="P65" t="s">
        <v>31</v>
      </c>
      <c r="Q65" t="s">
        <v>70</v>
      </c>
      <c r="R65" t="e">
        <f>IF([1]!Table13[[#This Row],[Goal_assist]]="",1,0)</f>
        <v>#REF!</v>
      </c>
    </row>
    <row r="66" spans="1:18" x14ac:dyDescent="0.35">
      <c r="A66" t="s">
        <v>64</v>
      </c>
      <c r="B66" s="1">
        <v>45479</v>
      </c>
      <c r="C66" t="s">
        <v>65</v>
      </c>
      <c r="D66">
        <v>26</v>
      </c>
      <c r="E66" s="2">
        <v>39151</v>
      </c>
      <c r="F66" t="s">
        <v>16</v>
      </c>
      <c r="G66" t="s">
        <v>66</v>
      </c>
      <c r="H66" t="s">
        <v>112</v>
      </c>
      <c r="I66" s="3">
        <v>0.12708333333333333</v>
      </c>
      <c r="J66" s="8" t="s">
        <v>442</v>
      </c>
      <c r="K66" s="8" t="s">
        <v>442</v>
      </c>
      <c r="L66" s="8" t="str">
        <f>IF(Table1346[[#This Row],[Home Team Score]]&gt;Table1346[[#This Row],[Away Team Score]],"Win",IF(Table1346[[#This Row],[Home Team Score]]=Table1346[[#This Row],[Away Team Score]],"Tie","Lose"))</f>
        <v>Tie</v>
      </c>
      <c r="M66" t="s">
        <v>38</v>
      </c>
      <c r="N66">
        <v>11</v>
      </c>
      <c r="O66" s="3">
        <v>4.2361111111111113E-2</v>
      </c>
      <c r="P66" t="s">
        <v>31</v>
      </c>
      <c r="Q66" t="s">
        <v>79</v>
      </c>
      <c r="R66" t="e">
        <f>IF([1]!Table13[[#This Row],[Goal_assist]]="",1,0)</f>
        <v>#REF!</v>
      </c>
    </row>
    <row r="67" spans="1:18" x14ac:dyDescent="0.35">
      <c r="A67" t="s">
        <v>64</v>
      </c>
      <c r="B67" s="1">
        <v>45479</v>
      </c>
      <c r="C67" t="s">
        <v>65</v>
      </c>
      <c r="D67">
        <v>27</v>
      </c>
      <c r="E67" s="2">
        <v>39158</v>
      </c>
      <c r="F67" t="s">
        <v>24</v>
      </c>
      <c r="G67" t="s">
        <v>66</v>
      </c>
      <c r="H67" t="s">
        <v>113</v>
      </c>
      <c r="I67" s="3">
        <v>2.7777777777777779E-3</v>
      </c>
      <c r="J67" s="8" t="s">
        <v>443</v>
      </c>
      <c r="K67" s="8" t="s">
        <v>446</v>
      </c>
      <c r="L67" s="8" t="str">
        <f>IF(Table1346[[#This Row],[Home Team Score]]&gt;Table1346[[#This Row],[Away Team Score]],"Win",IF(Table1346[[#This Row],[Home Team Score]]=Table1346[[#This Row],[Away Team Score]],"Tie","Lose"))</f>
        <v>Lose</v>
      </c>
      <c r="M67" t="s">
        <v>38</v>
      </c>
      <c r="N67">
        <v>86</v>
      </c>
      <c r="O67" s="3">
        <v>2.7777777777777779E-3</v>
      </c>
      <c r="P67" t="s">
        <v>31</v>
      </c>
      <c r="R67" t="e">
        <f>IF([1]!Table13[[#This Row],[Goal_assist]]="",1,0)</f>
        <v>#REF!</v>
      </c>
    </row>
    <row r="68" spans="1:18" x14ac:dyDescent="0.35">
      <c r="A68" t="s">
        <v>14</v>
      </c>
      <c r="B68" s="1">
        <v>45479</v>
      </c>
      <c r="C68" t="s">
        <v>40</v>
      </c>
      <c r="D68" t="s">
        <v>114</v>
      </c>
      <c r="E68" s="2">
        <v>39160</v>
      </c>
      <c r="F68" t="s">
        <v>16</v>
      </c>
      <c r="G68" t="s">
        <v>36</v>
      </c>
      <c r="H68" t="s">
        <v>74</v>
      </c>
      <c r="I68" s="3">
        <v>4.1666666666666664E-2</v>
      </c>
      <c r="J68" s="8" t="s">
        <v>444</v>
      </c>
      <c r="K68" s="8" t="s">
        <v>443</v>
      </c>
      <c r="L68" s="8" t="str">
        <f>IF(Table1346[[#This Row],[Home Team Score]]&gt;Table1346[[#This Row],[Away Team Score]],"Win",IF(Table1346[[#This Row],[Home Team Score]]=Table1346[[#This Row],[Away Team Score]],"Tie","Lose"))</f>
        <v>Win</v>
      </c>
      <c r="M68" t="str">
        <f>M67</f>
        <v>RW</v>
      </c>
      <c r="N68">
        <v>76</v>
      </c>
      <c r="O68" s="3">
        <v>4.1666666666666664E-2</v>
      </c>
      <c r="P68" t="s">
        <v>83</v>
      </c>
      <c r="R68" t="e">
        <f>IF([1]!Table13[[#This Row],[Goal_assist]]="",1,0)</f>
        <v>#REF!</v>
      </c>
    </row>
    <row r="69" spans="1:18" x14ac:dyDescent="0.35">
      <c r="A69" t="s">
        <v>64</v>
      </c>
      <c r="B69" s="1">
        <v>45479</v>
      </c>
      <c r="C69" t="s">
        <v>65</v>
      </c>
      <c r="D69">
        <v>28</v>
      </c>
      <c r="E69" s="2">
        <v>39172</v>
      </c>
      <c r="F69" t="s">
        <v>16</v>
      </c>
      <c r="G69" t="s">
        <v>66</v>
      </c>
      <c r="H69" t="s">
        <v>115</v>
      </c>
      <c r="I69" s="3">
        <v>8.4027777777777785E-2</v>
      </c>
      <c r="J69" s="8" t="s">
        <v>445</v>
      </c>
      <c r="K69" s="8" t="s">
        <v>444</v>
      </c>
      <c r="L69" s="8" t="str">
        <f>IF(Table1346[[#This Row],[Home Team Score]]&gt;Table1346[[#This Row],[Away Team Score]],"Win",IF(Table1346[[#This Row],[Home Team Score]]=Table1346[[#This Row],[Away Team Score]],"Tie","Lose"))</f>
        <v>Win</v>
      </c>
      <c r="M69" t="s">
        <v>38</v>
      </c>
      <c r="N69">
        <v>45</v>
      </c>
      <c r="O69" s="3">
        <v>4.1666666666666664E-2</v>
      </c>
      <c r="P69" t="s">
        <v>31</v>
      </c>
      <c r="Q69" t="s">
        <v>70</v>
      </c>
      <c r="R69" t="e">
        <f>IF([1]!Table13[[#This Row],[Goal_assist]]="",1,0)</f>
        <v>#REF!</v>
      </c>
    </row>
    <row r="70" spans="1:18" x14ac:dyDescent="0.35">
      <c r="A70" t="s">
        <v>14</v>
      </c>
      <c r="B70" s="1">
        <v>45479</v>
      </c>
      <c r="C70" t="s">
        <v>75</v>
      </c>
      <c r="D70" t="s">
        <v>92</v>
      </c>
      <c r="E70" s="2">
        <v>39182</v>
      </c>
      <c r="F70" t="s">
        <v>16</v>
      </c>
      <c r="G70" t="s">
        <v>36</v>
      </c>
      <c r="H70" t="s">
        <v>116</v>
      </c>
      <c r="I70" s="3">
        <v>0.29236111111111113</v>
      </c>
      <c r="J70" s="8" t="s">
        <v>449</v>
      </c>
      <c r="K70" s="8" t="s">
        <v>444</v>
      </c>
      <c r="L70" s="8" t="str">
        <f>IF(Table1346[[#This Row],[Home Team Score]]&gt;Table1346[[#This Row],[Away Team Score]],"Win",IF(Table1346[[#This Row],[Home Team Score]]=Table1346[[#This Row],[Away Team Score]],"Tie","Lose"))</f>
        <v>Win</v>
      </c>
      <c r="M70" t="s">
        <v>38</v>
      </c>
      <c r="N70">
        <v>49</v>
      </c>
      <c r="O70" s="3">
        <v>0.20833333333333334</v>
      </c>
      <c r="P70" t="s">
        <v>26</v>
      </c>
      <c r="Q70" t="s">
        <v>44</v>
      </c>
      <c r="R70" t="e">
        <f>IF([1]!Table13[[#This Row],[Goal_assist]]="",1,0)</f>
        <v>#REF!</v>
      </c>
    </row>
    <row r="71" spans="1:18" x14ac:dyDescent="0.35">
      <c r="A71" t="s">
        <v>14</v>
      </c>
      <c r="B71" s="1">
        <v>45479</v>
      </c>
      <c r="C71" t="s">
        <v>75</v>
      </c>
      <c r="D71" t="s">
        <v>92</v>
      </c>
      <c r="E71" s="2">
        <v>39182</v>
      </c>
      <c r="F71" t="s">
        <v>16</v>
      </c>
      <c r="G71" t="s">
        <v>36</v>
      </c>
      <c r="H71" t="s">
        <v>116</v>
      </c>
      <c r="I71" s="3">
        <v>0.29236111111111113</v>
      </c>
      <c r="J71" s="8" t="s">
        <v>449</v>
      </c>
      <c r="K71" s="8" t="s">
        <v>444</v>
      </c>
      <c r="L71" s="8" t="str">
        <f>IF(Table1346[[#This Row],[Home Team Score]]&gt;Table1346[[#This Row],[Away Team Score]],"Win",IF(Table1346[[#This Row],[Home Team Score]]=Table1346[[#This Row],[Away Team Score]],"Tie","Lose"))</f>
        <v>Win</v>
      </c>
      <c r="M71" t="s">
        <v>38</v>
      </c>
      <c r="N71">
        <v>44</v>
      </c>
      <c r="O71" s="3">
        <v>0.16666666666666666</v>
      </c>
      <c r="P71" t="s">
        <v>26</v>
      </c>
      <c r="Q71" t="s">
        <v>44</v>
      </c>
      <c r="R71" t="e">
        <f>IF([1]!Table13[[#This Row],[Goal_assist]]="",1,0)</f>
        <v>#REF!</v>
      </c>
    </row>
    <row r="72" spans="1:18" x14ac:dyDescent="0.35">
      <c r="A72" t="s">
        <v>14</v>
      </c>
      <c r="B72" s="1">
        <v>45479</v>
      </c>
      <c r="C72" t="s">
        <v>40</v>
      </c>
      <c r="D72" t="s">
        <v>62</v>
      </c>
      <c r="E72" s="2">
        <v>39186</v>
      </c>
      <c r="F72" t="s">
        <v>24</v>
      </c>
      <c r="G72" t="s">
        <v>36</v>
      </c>
      <c r="H72" t="s">
        <v>111</v>
      </c>
      <c r="I72" s="3">
        <v>4.4444444444444446E-2</v>
      </c>
      <c r="J72" s="8" t="s">
        <v>444</v>
      </c>
      <c r="K72" s="8" t="s">
        <v>446</v>
      </c>
      <c r="L72" s="8" t="str">
        <f>IF(Table1346[[#This Row],[Home Team Score]]&gt;Table1346[[#This Row],[Away Team Score]],"Win",IF(Table1346[[#This Row],[Home Team Score]]=Table1346[[#This Row],[Away Team Score]],"Tie","Lose"))</f>
        <v>Lose</v>
      </c>
      <c r="M72" t="str">
        <f>M71</f>
        <v>RW</v>
      </c>
      <c r="N72">
        <v>28</v>
      </c>
      <c r="O72" s="3">
        <v>4.3055555555555555E-2</v>
      </c>
      <c r="P72" t="s">
        <v>26</v>
      </c>
      <c r="Q72" t="s">
        <v>85</v>
      </c>
      <c r="R72" t="e">
        <f>IF([1]!Table13[[#This Row],[Goal_assist]]="",1,0)</f>
        <v>#REF!</v>
      </c>
    </row>
    <row r="73" spans="1:18" x14ac:dyDescent="0.35">
      <c r="A73" t="s">
        <v>64</v>
      </c>
      <c r="B73" s="1">
        <v>45479</v>
      </c>
      <c r="C73" t="s">
        <v>91</v>
      </c>
      <c r="D73" t="s">
        <v>62</v>
      </c>
      <c r="E73" s="2">
        <v>39190</v>
      </c>
      <c r="F73" t="s">
        <v>16</v>
      </c>
      <c r="G73" t="s">
        <v>66</v>
      </c>
      <c r="H73" t="s">
        <v>117</v>
      </c>
      <c r="I73" s="3">
        <v>0.20972222222222223</v>
      </c>
      <c r="J73" s="8" t="s">
        <v>448</v>
      </c>
      <c r="K73" s="8" t="s">
        <v>445</v>
      </c>
      <c r="L73" s="8" t="str">
        <f>IF(Table1346[[#This Row],[Home Team Score]]&gt;Table1346[[#This Row],[Away Team Score]],"Win",IF(Table1346[[#This Row],[Home Team Score]]=Table1346[[#This Row],[Away Team Score]],"Tie","Lose"))</f>
        <v>Win</v>
      </c>
      <c r="M73" t="s">
        <v>38</v>
      </c>
      <c r="N73">
        <v>45</v>
      </c>
      <c r="O73" s="3">
        <v>0.125</v>
      </c>
      <c r="P73" t="s">
        <v>31</v>
      </c>
      <c r="Q73" t="s">
        <v>104</v>
      </c>
      <c r="R73" t="e">
        <f>IF([1]!Table13[[#This Row],[Goal_assist]]="",1,0)</f>
        <v>#REF!</v>
      </c>
    </row>
    <row r="74" spans="1:18" x14ac:dyDescent="0.35">
      <c r="A74" t="s">
        <v>64</v>
      </c>
      <c r="B74" s="1">
        <v>45479</v>
      </c>
      <c r="C74" t="s">
        <v>91</v>
      </c>
      <c r="D74" t="s">
        <v>62</v>
      </c>
      <c r="E74" s="2">
        <v>39190</v>
      </c>
      <c r="F74" t="s">
        <v>16</v>
      </c>
      <c r="G74" t="s">
        <v>66</v>
      </c>
      <c r="H74" t="s">
        <v>117</v>
      </c>
      <c r="I74" s="3">
        <v>0.20972222222222223</v>
      </c>
      <c r="J74" s="8" t="s">
        <v>448</v>
      </c>
      <c r="K74" s="8" t="s">
        <v>445</v>
      </c>
      <c r="L74" s="8" t="str">
        <f>IF(Table1346[[#This Row],[Home Team Score]]&gt;Table1346[[#This Row],[Away Team Score]],"Win",IF(Table1346[[#This Row],[Home Team Score]]=Table1346[[#This Row],[Away Team Score]],"Tie","Lose"))</f>
        <v>Win</v>
      </c>
      <c r="M74" t="s">
        <v>38</v>
      </c>
      <c r="N74">
        <v>29</v>
      </c>
      <c r="O74" s="3">
        <v>8.3333333333333329E-2</v>
      </c>
      <c r="P74" t="s">
        <v>20</v>
      </c>
      <c r="Q74" t="s">
        <v>106</v>
      </c>
      <c r="R74" t="e">
        <f>IF([1]!Table13[[#This Row],[Goal_assist]]="",1,0)</f>
        <v>#REF!</v>
      </c>
    </row>
    <row r="75" spans="1:18" x14ac:dyDescent="0.35">
      <c r="A75" t="s">
        <v>14</v>
      </c>
      <c r="B75" s="1">
        <v>45479</v>
      </c>
      <c r="C75" t="s">
        <v>75</v>
      </c>
      <c r="D75" t="s">
        <v>62</v>
      </c>
      <c r="E75" s="2">
        <v>39196</v>
      </c>
      <c r="F75" t="s">
        <v>16</v>
      </c>
      <c r="G75" t="s">
        <v>36</v>
      </c>
      <c r="H75" t="s">
        <v>118</v>
      </c>
      <c r="I75" s="3">
        <v>0.12638888888888888</v>
      </c>
      <c r="J75" s="8" t="s">
        <v>442</v>
      </c>
      <c r="K75" s="8" t="s">
        <v>445</v>
      </c>
      <c r="L75" s="8" t="str">
        <f>IF(Table1346[[#This Row],[Home Team Score]]&gt;Table1346[[#This Row],[Away Team Score]],"Win",IF(Table1346[[#This Row],[Home Team Score]]=Table1346[[#This Row],[Away Team Score]],"Tie","Lose"))</f>
        <v>Win</v>
      </c>
      <c r="M75" t="s">
        <v>38</v>
      </c>
      <c r="N75">
        <v>5</v>
      </c>
      <c r="O75" s="3">
        <v>4.1666666666666664E-2</v>
      </c>
      <c r="P75" t="s">
        <v>22</v>
      </c>
      <c r="Q75" t="s">
        <v>44</v>
      </c>
      <c r="R75" t="e">
        <f>IF([1]!Table13[[#This Row],[Goal_assist]]="",1,0)</f>
        <v>#REF!</v>
      </c>
    </row>
    <row r="76" spans="1:18" x14ac:dyDescent="0.35">
      <c r="A76" t="s">
        <v>14</v>
      </c>
      <c r="B76" s="1">
        <v>45479</v>
      </c>
      <c r="C76" t="s">
        <v>35</v>
      </c>
      <c r="D76">
        <v>37</v>
      </c>
      <c r="E76" s="2">
        <v>39207</v>
      </c>
      <c r="F76" t="s">
        <v>24</v>
      </c>
      <c r="G76" t="s">
        <v>36</v>
      </c>
      <c r="H76" t="s">
        <v>41</v>
      </c>
      <c r="I76" s="3">
        <v>6.9444444444444447E-4</v>
      </c>
      <c r="J76" s="8" t="s">
        <v>443</v>
      </c>
      <c r="K76" s="8" t="s">
        <v>444</v>
      </c>
      <c r="L76" s="8" t="str">
        <f>IF(Table1346[[#This Row],[Home Team Score]]&gt;Table1346[[#This Row],[Away Team Score]],"Win",IF(Table1346[[#This Row],[Home Team Score]]=Table1346[[#This Row],[Away Team Score]],"Tie","Lose"))</f>
        <v>Lose</v>
      </c>
      <c r="M76" t="s">
        <v>38</v>
      </c>
      <c r="N76">
        <v>34</v>
      </c>
      <c r="O76" s="3">
        <v>6.9444444444444447E-4</v>
      </c>
      <c r="P76" t="s">
        <v>83</v>
      </c>
      <c r="R76" t="e">
        <f>IF([1]!Table13[[#This Row],[Goal_assist]]="",1,0)</f>
        <v>#REF!</v>
      </c>
    </row>
    <row r="77" spans="1:18" x14ac:dyDescent="0.35">
      <c r="A77" t="s">
        <v>64</v>
      </c>
      <c r="B77" s="1">
        <v>45479</v>
      </c>
      <c r="C77" t="s">
        <v>65</v>
      </c>
      <c r="D77">
        <v>35</v>
      </c>
      <c r="E77" s="2">
        <v>39222</v>
      </c>
      <c r="F77" t="s">
        <v>24</v>
      </c>
      <c r="G77" t="s">
        <v>66</v>
      </c>
      <c r="H77" t="s">
        <v>119</v>
      </c>
      <c r="I77" s="3">
        <v>4.1666666666666666E-3</v>
      </c>
      <c r="J77" s="8" t="s">
        <v>443</v>
      </c>
      <c r="K77" s="8" t="s">
        <v>450</v>
      </c>
      <c r="L77" s="8" t="str">
        <f>IF(Table1346[[#This Row],[Home Team Score]]&gt;Table1346[[#This Row],[Away Team Score]],"Win",IF(Table1346[[#This Row],[Home Team Score]]=Table1346[[#This Row],[Away Team Score]],"Tie","Lose"))</f>
        <v>Lose</v>
      </c>
      <c r="M77" t="s">
        <v>38</v>
      </c>
      <c r="N77">
        <v>39</v>
      </c>
      <c r="O77" s="3">
        <v>6.9444444444444447E-4</v>
      </c>
      <c r="P77" t="s">
        <v>31</v>
      </c>
      <c r="Q77" t="s">
        <v>79</v>
      </c>
      <c r="R77" t="e">
        <f>IF([1]!Table13[[#This Row],[Goal_assist]]="",1,0)</f>
        <v>#REF!</v>
      </c>
    </row>
    <row r="78" spans="1:18" x14ac:dyDescent="0.35">
      <c r="A78" t="s">
        <v>64</v>
      </c>
      <c r="B78" s="1">
        <v>45479</v>
      </c>
      <c r="C78" t="s">
        <v>65</v>
      </c>
      <c r="D78">
        <v>35</v>
      </c>
      <c r="E78" s="2">
        <v>39222</v>
      </c>
      <c r="F78" t="s">
        <v>24</v>
      </c>
      <c r="G78" t="s">
        <v>66</v>
      </c>
      <c r="H78" t="s">
        <v>119</v>
      </c>
      <c r="I78" s="3">
        <v>4.1666666666666666E-3</v>
      </c>
      <c r="J78" s="8" t="s">
        <v>443</v>
      </c>
      <c r="K78" s="8" t="s">
        <v>450</v>
      </c>
      <c r="L78" s="8" t="str">
        <f>IF(Table1346[[#This Row],[Home Team Score]]&gt;Table1346[[#This Row],[Away Team Score]],"Win",IF(Table1346[[#This Row],[Home Team Score]]=Table1346[[#This Row],[Away Team Score]],"Tie","Lose"))</f>
        <v>Lose</v>
      </c>
      <c r="M78" t="s">
        <v>38</v>
      </c>
      <c r="N78">
        <v>80</v>
      </c>
      <c r="O78" s="3">
        <v>3.472222222222222E-3</v>
      </c>
      <c r="P78" t="s">
        <v>31</v>
      </c>
      <c r="Q78" t="s">
        <v>120</v>
      </c>
      <c r="R78" t="e">
        <f>IF([1]!Table13[[#This Row],[Goal_assist]]="",1,0)</f>
        <v>#REF!</v>
      </c>
    </row>
    <row r="79" spans="1:18" x14ac:dyDescent="0.35">
      <c r="A79" t="s">
        <v>64</v>
      </c>
      <c r="B79" s="1">
        <v>45479</v>
      </c>
      <c r="C79" t="s">
        <v>65</v>
      </c>
      <c r="D79">
        <v>37</v>
      </c>
      <c r="E79" s="2">
        <v>39242</v>
      </c>
      <c r="F79" t="s">
        <v>16</v>
      </c>
      <c r="G79" t="s">
        <v>66</v>
      </c>
      <c r="H79" t="s">
        <v>121</v>
      </c>
      <c r="I79" s="3">
        <v>8.4722222222222227E-2</v>
      </c>
      <c r="J79" s="8" t="s">
        <v>445</v>
      </c>
      <c r="K79" s="8" t="s">
        <v>445</v>
      </c>
      <c r="L79" s="8" t="str">
        <f>IF(Table1346[[#This Row],[Home Team Score]]&gt;Table1346[[#This Row],[Away Team Score]],"Win",IF(Table1346[[#This Row],[Home Team Score]]=Table1346[[#This Row],[Away Team Score]],"Tie","Lose"))</f>
        <v>Tie</v>
      </c>
      <c r="M79" t="s">
        <v>38</v>
      </c>
      <c r="N79">
        <v>57</v>
      </c>
      <c r="O79" s="3">
        <v>8.4027777777777785E-2</v>
      </c>
      <c r="P79" t="s">
        <v>26</v>
      </c>
      <c r="Q79" t="s">
        <v>104</v>
      </c>
      <c r="R79" t="e">
        <f>IF([1]!Table13[[#This Row],[Goal_assist]]="",1,0)</f>
        <v>#REF!</v>
      </c>
    </row>
    <row r="80" spans="1:18" x14ac:dyDescent="0.35">
      <c r="A80" t="s">
        <v>64</v>
      </c>
      <c r="B80" s="1">
        <v>45479</v>
      </c>
      <c r="C80" t="s">
        <v>65</v>
      </c>
      <c r="D80">
        <v>37</v>
      </c>
      <c r="E80" s="2">
        <v>39242</v>
      </c>
      <c r="F80" t="s">
        <v>16</v>
      </c>
      <c r="G80" t="s">
        <v>66</v>
      </c>
      <c r="H80" t="s">
        <v>121</v>
      </c>
      <c r="I80" s="3">
        <v>8.4722222222222227E-2</v>
      </c>
      <c r="J80" s="8" t="s">
        <v>445</v>
      </c>
      <c r="K80" s="8" t="s">
        <v>445</v>
      </c>
      <c r="L80" s="8" t="str">
        <f>IF(Table1346[[#This Row],[Home Team Score]]&gt;Table1346[[#This Row],[Away Team Score]],"Win",IF(Table1346[[#This Row],[Home Team Score]]=Table1346[[#This Row],[Away Team Score]],"Tie","Lose"))</f>
        <v>Tie</v>
      </c>
      <c r="M80" t="s">
        <v>38</v>
      </c>
      <c r="N80">
        <v>43</v>
      </c>
      <c r="O80" s="3">
        <v>4.2361111111111113E-2</v>
      </c>
      <c r="P80" t="str">
        <f>P79</f>
        <v>Right-footed shot</v>
      </c>
      <c r="Q80" t="s">
        <v>122</v>
      </c>
      <c r="R80" t="e">
        <f>IF([1]!Table13[[#This Row],[Goal_assist]]="",1,0)</f>
        <v>#REF!</v>
      </c>
    </row>
    <row r="81" spans="1:18" x14ac:dyDescent="0.35">
      <c r="A81" t="s">
        <v>64</v>
      </c>
      <c r="B81" s="1">
        <v>45479</v>
      </c>
      <c r="C81" t="s">
        <v>65</v>
      </c>
      <c r="D81">
        <v>38</v>
      </c>
      <c r="E81" s="2">
        <v>39250</v>
      </c>
      <c r="F81" t="s">
        <v>24</v>
      </c>
      <c r="G81" t="s">
        <v>66</v>
      </c>
      <c r="H81" t="s">
        <v>123</v>
      </c>
      <c r="I81" s="3">
        <v>4.5138888888888888E-2</v>
      </c>
      <c r="J81" s="8" t="s">
        <v>444</v>
      </c>
      <c r="K81" s="8" t="s">
        <v>448</v>
      </c>
      <c r="L81" s="8" t="str">
        <f>IF(Table1346[[#This Row],[Home Team Score]]&gt;Table1346[[#This Row],[Away Team Score]],"Win",IF(Table1346[[#This Row],[Home Team Score]]=Table1346[[#This Row],[Away Team Score]],"Tie","Lose"))</f>
        <v>Lose</v>
      </c>
      <c r="M81" t="s">
        <v>38</v>
      </c>
      <c r="N81">
        <v>51</v>
      </c>
      <c r="O81" s="3">
        <v>2.7777777777777779E-3</v>
      </c>
      <c r="P81" t="s">
        <v>31</v>
      </c>
      <c r="Q81" t="s">
        <v>104</v>
      </c>
      <c r="R81" t="e">
        <f>IF([1]!Table13[[#This Row],[Goal_assist]]="",1,0)</f>
        <v>#REF!</v>
      </c>
    </row>
    <row r="82" spans="1:18" x14ac:dyDescent="0.35">
      <c r="A82" t="s">
        <v>64</v>
      </c>
      <c r="B82" s="1">
        <v>45479</v>
      </c>
      <c r="C82" t="s">
        <v>65</v>
      </c>
      <c r="D82">
        <v>38</v>
      </c>
      <c r="E82" s="2">
        <v>39250</v>
      </c>
      <c r="F82" t="s">
        <v>24</v>
      </c>
      <c r="G82" t="s">
        <v>66</v>
      </c>
      <c r="H82" t="s">
        <v>123</v>
      </c>
      <c r="I82" s="3">
        <v>4.5138888888888888E-2</v>
      </c>
      <c r="J82" s="8" t="s">
        <v>444</v>
      </c>
      <c r="K82" s="8" t="s">
        <v>448</v>
      </c>
      <c r="L82" s="8" t="str">
        <f>IF(Table1346[[#This Row],[Home Team Score]]&gt;Table1346[[#This Row],[Away Team Score]],"Win",IF(Table1346[[#This Row],[Home Team Score]]=Table1346[[#This Row],[Away Team Score]],"Tie","Lose"))</f>
        <v>Lose</v>
      </c>
      <c r="M82" t="s">
        <v>38</v>
      </c>
      <c r="N82">
        <v>34</v>
      </c>
      <c r="O82" s="3">
        <v>1.3888888888888889E-3</v>
      </c>
      <c r="P82" t="s">
        <v>31</v>
      </c>
      <c r="Q82" t="s">
        <v>104</v>
      </c>
      <c r="R82" t="e">
        <f>IF([1]!Table13[[#This Row],[Goal_assist]]="",1,0)</f>
        <v>#REF!</v>
      </c>
    </row>
    <row r="83" spans="1:18" x14ac:dyDescent="0.35">
      <c r="A83" t="s">
        <v>14</v>
      </c>
      <c r="B83" s="1">
        <v>45511</v>
      </c>
      <c r="C83" t="s">
        <v>75</v>
      </c>
      <c r="D83" t="s">
        <v>76</v>
      </c>
      <c r="E83" s="2">
        <v>39344</v>
      </c>
      <c r="F83" t="s">
        <v>24</v>
      </c>
      <c r="G83" t="s">
        <v>36</v>
      </c>
      <c r="H83" t="s">
        <v>17</v>
      </c>
      <c r="I83" s="3">
        <v>6.9444444444444447E-4</v>
      </c>
      <c r="J83" s="8" t="s">
        <v>443</v>
      </c>
      <c r="K83" s="8" t="s">
        <v>444</v>
      </c>
      <c r="L83" s="8" t="str">
        <f>IF(Table1346[[#This Row],[Home Team Score]]&gt;Table1346[[#This Row],[Away Team Score]],"Win",IF(Table1346[[#This Row],[Home Team Score]]=Table1346[[#This Row],[Away Team Score]],"Tie","Lose"))</f>
        <v>Lose</v>
      </c>
      <c r="M83" t="s">
        <v>38</v>
      </c>
      <c r="N83">
        <v>62</v>
      </c>
      <c r="O83" s="3">
        <v>6.9444444444444447E-4</v>
      </c>
      <c r="P83" t="s">
        <v>22</v>
      </c>
      <c r="Q83" t="s">
        <v>124</v>
      </c>
      <c r="R83" t="e">
        <f>IF([1]!Table13[[#This Row],[Goal_assist]]="",1,0)</f>
        <v>#REF!</v>
      </c>
    </row>
    <row r="84" spans="1:18" x14ac:dyDescent="0.35">
      <c r="A84" t="s">
        <v>64</v>
      </c>
      <c r="B84" s="1">
        <v>45511</v>
      </c>
      <c r="C84" t="s">
        <v>75</v>
      </c>
      <c r="D84" t="s">
        <v>76</v>
      </c>
      <c r="E84" s="2">
        <v>39344</v>
      </c>
      <c r="F84" t="s">
        <v>16</v>
      </c>
      <c r="G84" t="s">
        <v>66</v>
      </c>
      <c r="H84" t="s">
        <v>125</v>
      </c>
      <c r="I84" s="3">
        <v>0.125</v>
      </c>
      <c r="J84" s="8" t="s">
        <v>442</v>
      </c>
      <c r="K84" s="8" t="s">
        <v>443</v>
      </c>
      <c r="L84" s="8" t="str">
        <f>IF(Table1346[[#This Row],[Home Team Score]]&gt;Table1346[[#This Row],[Away Team Score]],"Win",IF(Table1346[[#This Row],[Home Team Score]]=Table1346[[#This Row],[Away Team Score]],"Tie","Lose"))</f>
        <v>Win</v>
      </c>
      <c r="M84" t="s">
        <v>38</v>
      </c>
      <c r="N84">
        <v>82</v>
      </c>
      <c r="O84" s="3">
        <v>8.3333333333333329E-2</v>
      </c>
      <c r="P84" t="s">
        <v>31</v>
      </c>
      <c r="Q84" t="s">
        <v>99</v>
      </c>
      <c r="R84" t="e">
        <f>IF([1]!Table13[[#This Row],[Goal_assist]]="",1,0)</f>
        <v>#REF!</v>
      </c>
    </row>
    <row r="85" spans="1:18" x14ac:dyDescent="0.35">
      <c r="A85" t="s">
        <v>64</v>
      </c>
      <c r="B85" s="1">
        <v>45511</v>
      </c>
      <c r="C85" t="s">
        <v>65</v>
      </c>
      <c r="D85">
        <v>4</v>
      </c>
      <c r="E85" s="2">
        <v>39347</v>
      </c>
      <c r="F85" t="s">
        <v>16</v>
      </c>
      <c r="G85" t="s">
        <v>66</v>
      </c>
      <c r="H85" t="s">
        <v>105</v>
      </c>
      <c r="I85" s="3">
        <v>8.4027777777777785E-2</v>
      </c>
      <c r="J85" s="8" t="s">
        <v>445</v>
      </c>
      <c r="K85" s="8" t="s">
        <v>444</v>
      </c>
      <c r="L85" s="8" t="str">
        <f>IF(Table1346[[#This Row],[Home Team Score]]&gt;Table1346[[#This Row],[Away Team Score]],"Win",IF(Table1346[[#This Row],[Home Team Score]]=Table1346[[#This Row],[Away Team Score]],"Tie","Lose"))</f>
        <v>Win</v>
      </c>
      <c r="M85" t="s">
        <v>38</v>
      </c>
      <c r="N85">
        <v>72</v>
      </c>
      <c r="O85" s="3">
        <v>4.1666666666666664E-2</v>
      </c>
      <c r="P85" t="s">
        <v>31</v>
      </c>
      <c r="Q85" t="s">
        <v>126</v>
      </c>
      <c r="R85" t="e">
        <f>IF([1]!Table13[[#This Row],[Goal_assist]]="",1,0)</f>
        <v>#REF!</v>
      </c>
    </row>
    <row r="86" spans="1:18" x14ac:dyDescent="0.35">
      <c r="A86" t="s">
        <v>64</v>
      </c>
      <c r="B86" s="1">
        <v>45511</v>
      </c>
      <c r="C86" t="s">
        <v>65</v>
      </c>
      <c r="D86">
        <v>4</v>
      </c>
      <c r="E86" s="2">
        <v>39347</v>
      </c>
      <c r="F86" t="s">
        <v>16</v>
      </c>
      <c r="G86" t="s">
        <v>66</v>
      </c>
      <c r="H86" t="s">
        <v>105</v>
      </c>
      <c r="I86" s="3">
        <v>8.4027777777777785E-2</v>
      </c>
      <c r="J86" s="8" t="s">
        <v>445</v>
      </c>
      <c r="K86" s="8" t="s">
        <v>444</v>
      </c>
      <c r="L86" s="8" t="str">
        <f>IF(Table1346[[#This Row],[Home Team Score]]&gt;Table1346[[#This Row],[Away Team Score]],"Win",IF(Table1346[[#This Row],[Home Team Score]]=Table1346[[#This Row],[Away Team Score]],"Tie","Lose"))</f>
        <v>Win</v>
      </c>
      <c r="M86" t="s">
        <v>38</v>
      </c>
      <c r="N86">
        <v>79</v>
      </c>
      <c r="O86" s="3">
        <v>8.3333333333333329E-2</v>
      </c>
      <c r="P86" t="s">
        <v>83</v>
      </c>
      <c r="R86" t="e">
        <f>IF([1]!Table13[[#This Row],[Goal_assist]]="",1,0)</f>
        <v>#REF!</v>
      </c>
    </row>
    <row r="87" spans="1:18" x14ac:dyDescent="0.35">
      <c r="A87" t="s">
        <v>64</v>
      </c>
      <c r="B87" s="1">
        <v>45511</v>
      </c>
      <c r="C87" t="s">
        <v>65</v>
      </c>
      <c r="D87">
        <v>5</v>
      </c>
      <c r="E87" s="2">
        <v>39351</v>
      </c>
      <c r="F87" t="s">
        <v>16</v>
      </c>
      <c r="G87" t="s">
        <v>66</v>
      </c>
      <c r="H87" t="s">
        <v>93</v>
      </c>
      <c r="I87" s="3">
        <v>0.1673611111111111</v>
      </c>
      <c r="J87" s="8" t="s">
        <v>446</v>
      </c>
      <c r="K87" s="8" t="s">
        <v>444</v>
      </c>
      <c r="L87" s="8" t="str">
        <f>IF(Table1346[[#This Row],[Home Team Score]]&gt;Table1346[[#This Row],[Away Team Score]],"Win",IF(Table1346[[#This Row],[Home Team Score]]=Table1346[[#This Row],[Away Team Score]],"Tie","Lose"))</f>
        <v>Win</v>
      </c>
      <c r="M87" t="s">
        <v>38</v>
      </c>
      <c r="N87">
        <v>10</v>
      </c>
      <c r="O87" s="3">
        <v>8.4027777777777785E-2</v>
      </c>
      <c r="P87" t="s">
        <v>31</v>
      </c>
      <c r="Q87" t="s">
        <v>104</v>
      </c>
      <c r="R87" t="e">
        <f>IF([1]!Table13[[#This Row],[Goal_assist]]="",1,0)</f>
        <v>#REF!</v>
      </c>
    </row>
    <row r="88" spans="1:18" x14ac:dyDescent="0.35">
      <c r="A88" t="s">
        <v>64</v>
      </c>
      <c r="B88" s="1">
        <v>45511</v>
      </c>
      <c r="C88" t="s">
        <v>65</v>
      </c>
      <c r="D88">
        <v>5</v>
      </c>
      <c r="E88" s="2">
        <v>39351</v>
      </c>
      <c r="F88" t="s">
        <v>16</v>
      </c>
      <c r="G88" t="s">
        <v>66</v>
      </c>
      <c r="H88" t="s">
        <v>93</v>
      </c>
      <c r="I88" s="3">
        <v>0.1673611111111111</v>
      </c>
      <c r="J88" s="8" t="s">
        <v>446</v>
      </c>
      <c r="K88" s="8" t="s">
        <v>444</v>
      </c>
      <c r="L88" s="8" t="str">
        <f>IF(Table1346[[#This Row],[Home Team Score]]&gt;Table1346[[#This Row],[Away Team Score]],"Win",IF(Table1346[[#This Row],[Home Team Score]]=Table1346[[#This Row],[Away Team Score]],"Tie","Lose"))</f>
        <v>Win</v>
      </c>
      <c r="M88" t="s">
        <v>38</v>
      </c>
      <c r="N88">
        <v>5</v>
      </c>
      <c r="O88" s="3">
        <v>4.1666666666666664E-2</v>
      </c>
      <c r="P88" t="s">
        <v>31</v>
      </c>
      <c r="Q88" t="s">
        <v>126</v>
      </c>
      <c r="R88" t="e">
        <f>IF([1]!Table13[[#This Row],[Goal_assist]]="",1,0)</f>
        <v>#REF!</v>
      </c>
    </row>
    <row r="89" spans="1:18" x14ac:dyDescent="0.35">
      <c r="A89" t="s">
        <v>14</v>
      </c>
      <c r="B89" s="1">
        <v>45511</v>
      </c>
      <c r="C89" t="s">
        <v>35</v>
      </c>
      <c r="D89">
        <v>8</v>
      </c>
      <c r="E89" s="2">
        <v>39354</v>
      </c>
      <c r="F89" t="s">
        <v>24</v>
      </c>
      <c r="G89" t="s">
        <v>36</v>
      </c>
      <c r="H89" t="s">
        <v>43</v>
      </c>
      <c r="I89" s="3">
        <v>6.9444444444444447E-4</v>
      </c>
      <c r="J89" s="8" t="s">
        <v>443</v>
      </c>
      <c r="K89" s="8" t="s">
        <v>444</v>
      </c>
      <c r="L89" s="8" t="str">
        <f>IF(Table1346[[#This Row],[Home Team Score]]&gt;Table1346[[#This Row],[Away Team Score]],"Win",IF(Table1346[[#This Row],[Home Team Score]]=Table1346[[#This Row],[Away Team Score]],"Tie","Lose"))</f>
        <v>Lose</v>
      </c>
      <c r="M89" t="s">
        <v>38</v>
      </c>
      <c r="N89">
        <v>51</v>
      </c>
      <c r="O89" s="3">
        <v>6.9444444444444447E-4</v>
      </c>
      <c r="P89" t="str">
        <f>P88</f>
        <v>Left-footed shot</v>
      </c>
      <c r="R89" t="e">
        <f>IF([1]!Table13[[#This Row],[Goal_assist]]="",1,0)</f>
        <v>#REF!</v>
      </c>
    </row>
    <row r="90" spans="1:18" x14ac:dyDescent="0.35">
      <c r="A90" t="s">
        <v>64</v>
      </c>
      <c r="B90" s="1">
        <v>45511</v>
      </c>
      <c r="C90" t="s">
        <v>65</v>
      </c>
      <c r="D90">
        <v>6</v>
      </c>
      <c r="E90" s="2">
        <v>39354</v>
      </c>
      <c r="F90" t="s">
        <v>24</v>
      </c>
      <c r="G90" t="s">
        <v>66</v>
      </c>
      <c r="H90" t="s">
        <v>127</v>
      </c>
      <c r="I90" s="3">
        <v>4.4444444444444446E-2</v>
      </c>
      <c r="J90" s="8" t="s">
        <v>444</v>
      </c>
      <c r="K90" s="8" t="s">
        <v>446</v>
      </c>
      <c r="L90" s="8" t="str">
        <f>IF(Table1346[[#This Row],[Home Team Score]]&gt;Table1346[[#This Row],[Away Team Score]],"Win",IF(Table1346[[#This Row],[Home Team Score]]=Table1346[[#This Row],[Away Team Score]],"Tie","Lose"))</f>
        <v>Lose</v>
      </c>
      <c r="M90" t="s">
        <v>38</v>
      </c>
      <c r="N90">
        <v>50</v>
      </c>
      <c r="O90" s="3">
        <v>2.7777777777777779E-3</v>
      </c>
      <c r="P90" t="s">
        <v>31</v>
      </c>
      <c r="Q90" t="s">
        <v>104</v>
      </c>
      <c r="R90" t="e">
        <f>IF([1]!Table13[[#This Row],[Goal_assist]]="",1,0)</f>
        <v>#REF!</v>
      </c>
    </row>
    <row r="91" spans="1:18" x14ac:dyDescent="0.35">
      <c r="A91" t="s">
        <v>64</v>
      </c>
      <c r="B91" s="1">
        <v>45511</v>
      </c>
      <c r="C91" t="s">
        <v>75</v>
      </c>
      <c r="D91" t="s">
        <v>76</v>
      </c>
      <c r="E91" s="2">
        <v>39357</v>
      </c>
      <c r="F91" t="s">
        <v>24</v>
      </c>
      <c r="G91" t="s">
        <v>66</v>
      </c>
      <c r="H91" t="s">
        <v>128</v>
      </c>
      <c r="I91" s="3">
        <v>1.3888888888888889E-3</v>
      </c>
      <c r="J91" s="8" t="s">
        <v>443</v>
      </c>
      <c r="K91" s="8" t="s">
        <v>445</v>
      </c>
      <c r="L91" s="8" t="str">
        <f>IF(Table1346[[#This Row],[Home Team Score]]&gt;Table1346[[#This Row],[Away Team Score]],"Win",IF(Table1346[[#This Row],[Home Team Score]]=Table1346[[#This Row],[Away Team Score]],"Tie","Lose"))</f>
        <v>Lose</v>
      </c>
      <c r="M91" t="s">
        <v>38</v>
      </c>
      <c r="N91">
        <v>66</v>
      </c>
      <c r="O91" s="3">
        <v>1.3888888888888889E-3</v>
      </c>
      <c r="P91" t="s">
        <v>129</v>
      </c>
      <c r="Q91" t="s">
        <v>126</v>
      </c>
      <c r="R91" t="e">
        <f>IF([1]!Table13[[#This Row],[Goal_assist]]="",1,0)</f>
        <v>#REF!</v>
      </c>
    </row>
    <row r="92" spans="1:18" x14ac:dyDescent="0.35">
      <c r="A92" t="s">
        <v>14</v>
      </c>
      <c r="B92" s="1">
        <v>45511</v>
      </c>
      <c r="C92" t="s">
        <v>35</v>
      </c>
      <c r="D92">
        <v>9</v>
      </c>
      <c r="E92" s="2">
        <v>39361</v>
      </c>
      <c r="F92" t="s">
        <v>16</v>
      </c>
      <c r="G92" t="s">
        <v>36</v>
      </c>
      <c r="H92" t="s">
        <v>96</v>
      </c>
      <c r="I92" s="3">
        <v>0.16666666666666666</v>
      </c>
      <c r="J92" s="8" t="s">
        <v>446</v>
      </c>
      <c r="K92" s="8" t="s">
        <v>443</v>
      </c>
      <c r="L92" s="8" t="str">
        <f>IF(Table1346[[#This Row],[Home Team Score]]&gt;Table1346[[#This Row],[Away Team Score]],"Win",IF(Table1346[[#This Row],[Home Team Score]]=Table1346[[#This Row],[Away Team Score]],"Tie","Lose"))</f>
        <v>Win</v>
      </c>
      <c r="M92" t="s">
        <v>38</v>
      </c>
      <c r="N92">
        <v>76</v>
      </c>
      <c r="O92" s="3">
        <v>0.125</v>
      </c>
      <c r="P92" t="s">
        <v>26</v>
      </c>
      <c r="Q92" t="s">
        <v>85</v>
      </c>
      <c r="R92" t="e">
        <f>IF([1]!Table13[[#This Row],[Goal_assist]]="",1,0)</f>
        <v>#REF!</v>
      </c>
    </row>
    <row r="93" spans="1:18" x14ac:dyDescent="0.35">
      <c r="A93" t="s">
        <v>14</v>
      </c>
      <c r="B93" s="1">
        <v>45511</v>
      </c>
      <c r="C93" t="s">
        <v>35</v>
      </c>
      <c r="D93">
        <v>9</v>
      </c>
      <c r="E93" s="2">
        <v>39361</v>
      </c>
      <c r="F93" t="s">
        <v>16</v>
      </c>
      <c r="G93" t="s">
        <v>36</v>
      </c>
      <c r="H93" t="s">
        <v>96</v>
      </c>
      <c r="I93" s="3">
        <v>0.16666666666666666</v>
      </c>
      <c r="J93" s="8" t="s">
        <v>446</v>
      </c>
      <c r="K93" s="8" t="s">
        <v>443</v>
      </c>
      <c r="L93" s="8" t="str">
        <f>IF(Table1346[[#This Row],[Home Team Score]]&gt;Table1346[[#This Row],[Away Team Score]],"Win",IF(Table1346[[#This Row],[Home Team Score]]=Table1346[[#This Row],[Away Team Score]],"Tie","Lose"))</f>
        <v>Win</v>
      </c>
      <c r="M93" t="s">
        <v>38</v>
      </c>
      <c r="N93">
        <v>59</v>
      </c>
      <c r="O93" s="3">
        <v>8.3333333333333329E-2</v>
      </c>
      <c r="P93" t="s">
        <v>22</v>
      </c>
      <c r="Q93" t="s">
        <v>44</v>
      </c>
      <c r="R93" t="e">
        <f>IF([1]!Table13[[#This Row],[Goal_assist]]="",1,0)</f>
        <v>#REF!</v>
      </c>
    </row>
    <row r="94" spans="1:18" x14ac:dyDescent="0.35">
      <c r="A94" t="s">
        <v>64</v>
      </c>
      <c r="B94" s="1">
        <v>45511</v>
      </c>
      <c r="C94" t="s">
        <v>65</v>
      </c>
      <c r="D94">
        <v>7</v>
      </c>
      <c r="E94" s="2">
        <v>39362</v>
      </c>
      <c r="F94" t="s">
        <v>16</v>
      </c>
      <c r="G94" t="s">
        <v>66</v>
      </c>
      <c r="H94" t="s">
        <v>119</v>
      </c>
      <c r="I94" s="3">
        <v>0.125</v>
      </c>
      <c r="J94" s="8" t="s">
        <v>442</v>
      </c>
      <c r="K94" s="8" t="s">
        <v>443</v>
      </c>
      <c r="L94" s="8" t="str">
        <f>IF(Table1346[[#This Row],[Home Team Score]]&gt;Table1346[[#This Row],[Away Team Score]],"Win",IF(Table1346[[#This Row],[Home Team Score]]=Table1346[[#This Row],[Away Team Score]],"Tie","Lose"))</f>
        <v>Win</v>
      </c>
      <c r="M94" t="s">
        <v>38</v>
      </c>
      <c r="N94">
        <v>19</v>
      </c>
      <c r="O94" s="3">
        <v>8.3333333333333329E-2</v>
      </c>
      <c r="P94" t="s">
        <v>31</v>
      </c>
      <c r="Q94" t="s">
        <v>70</v>
      </c>
      <c r="R94" t="e">
        <f>IF([1]!Table13[[#This Row],[Goal_assist]]="",1,0)</f>
        <v>#REF!</v>
      </c>
    </row>
    <row r="95" spans="1:18" x14ac:dyDescent="0.35">
      <c r="A95" t="s">
        <v>14</v>
      </c>
      <c r="B95" s="1">
        <v>45511</v>
      </c>
      <c r="C95" t="s">
        <v>75</v>
      </c>
      <c r="D95" t="s">
        <v>76</v>
      </c>
      <c r="E95" s="2">
        <v>39378</v>
      </c>
      <c r="F95" t="s">
        <v>24</v>
      </c>
      <c r="G95" t="s">
        <v>36</v>
      </c>
      <c r="H95" t="s">
        <v>130</v>
      </c>
      <c r="I95" s="3">
        <v>8.611111111111111E-2</v>
      </c>
      <c r="J95" s="8" t="s">
        <v>445</v>
      </c>
      <c r="K95" s="8" t="s">
        <v>446</v>
      </c>
      <c r="L95" s="8" t="str">
        <f>IF(Table1346[[#This Row],[Home Team Score]]&gt;Table1346[[#This Row],[Away Team Score]],"Win",IF(Table1346[[#This Row],[Home Team Score]]=Table1346[[#This Row],[Away Team Score]],"Tie","Lose"))</f>
        <v>Lose</v>
      </c>
      <c r="M95" t="s">
        <v>38</v>
      </c>
      <c r="N95">
        <v>41</v>
      </c>
      <c r="O95" s="3">
        <v>4.3749999999999997E-2</v>
      </c>
      <c r="P95" t="s">
        <v>83</v>
      </c>
      <c r="R95" t="e">
        <f>IF([1]!Table13[[#This Row],[Goal_assist]]="",1,0)</f>
        <v>#REF!</v>
      </c>
    </row>
    <row r="96" spans="1:18" x14ac:dyDescent="0.35">
      <c r="A96" t="s">
        <v>14</v>
      </c>
      <c r="B96" s="1">
        <v>45511</v>
      </c>
      <c r="C96" t="s">
        <v>75</v>
      </c>
      <c r="D96" t="s">
        <v>76</v>
      </c>
      <c r="E96" s="2">
        <v>39378</v>
      </c>
      <c r="F96" t="s">
        <v>24</v>
      </c>
      <c r="G96" t="s">
        <v>36</v>
      </c>
      <c r="H96" t="s">
        <v>130</v>
      </c>
      <c r="I96" s="3">
        <v>8.611111111111111E-2</v>
      </c>
      <c r="J96" s="8" t="s">
        <v>445</v>
      </c>
      <c r="K96" s="8" t="s">
        <v>446</v>
      </c>
      <c r="L96" s="8" t="str">
        <f>IF(Table1346[[#This Row],[Home Team Score]]&gt;Table1346[[#This Row],[Away Team Score]],"Win",IF(Table1346[[#This Row],[Home Team Score]]=Table1346[[#This Row],[Away Team Score]],"Tie","Lose"))</f>
        <v>Lose</v>
      </c>
      <c r="M96" t="s">
        <v>38</v>
      </c>
      <c r="N96">
        <v>68</v>
      </c>
      <c r="O96" s="3">
        <v>4.4444444444444446E-2</v>
      </c>
      <c r="P96" t="s">
        <v>22</v>
      </c>
      <c r="Q96" t="s">
        <v>44</v>
      </c>
      <c r="R96" t="e">
        <f>IF([1]!Table13[[#This Row],[Goal_assist]]="",1,0)</f>
        <v>#REF!</v>
      </c>
    </row>
    <row r="97" spans="1:18" x14ac:dyDescent="0.35">
      <c r="A97" t="s">
        <v>64</v>
      </c>
      <c r="B97" s="1">
        <v>45511</v>
      </c>
      <c r="C97" t="s">
        <v>65</v>
      </c>
      <c r="D97">
        <v>9</v>
      </c>
      <c r="E97" s="2">
        <v>39383</v>
      </c>
      <c r="F97" t="s">
        <v>16</v>
      </c>
      <c r="G97" t="s">
        <v>66</v>
      </c>
      <c r="H97" t="s">
        <v>131</v>
      </c>
      <c r="I97" s="3">
        <v>8.3333333333333329E-2</v>
      </c>
      <c r="J97" s="8" t="s">
        <v>445</v>
      </c>
      <c r="K97" s="8" t="s">
        <v>443</v>
      </c>
      <c r="L97" s="8" t="str">
        <f>IF(Table1346[[#This Row],[Home Team Score]]&gt;Table1346[[#This Row],[Away Team Score]],"Win",IF(Table1346[[#This Row],[Home Team Score]]=Table1346[[#This Row],[Away Team Score]],"Tie","Lose"))</f>
        <v>Win</v>
      </c>
      <c r="M97" t="s">
        <v>38</v>
      </c>
      <c r="N97">
        <v>80</v>
      </c>
      <c r="O97" s="3">
        <v>8.3333333333333329E-2</v>
      </c>
      <c r="P97" t="s">
        <v>83</v>
      </c>
      <c r="R97" t="e">
        <f>IF([1]!Table13[[#This Row],[Goal_assist]]="",1,0)</f>
        <v>#REF!</v>
      </c>
    </row>
    <row r="98" spans="1:18" x14ac:dyDescent="0.35">
      <c r="A98" t="s">
        <v>14</v>
      </c>
      <c r="B98" s="1">
        <v>45511</v>
      </c>
      <c r="C98" t="s">
        <v>35</v>
      </c>
      <c r="D98">
        <v>12</v>
      </c>
      <c r="E98" s="2">
        <v>39389</v>
      </c>
      <c r="F98" t="s">
        <v>24</v>
      </c>
      <c r="G98" t="s">
        <v>36</v>
      </c>
      <c r="H98" t="s">
        <v>54</v>
      </c>
      <c r="I98" s="3">
        <v>8.4722222222222227E-2</v>
      </c>
      <c r="J98" s="8" t="s">
        <v>445</v>
      </c>
      <c r="K98" s="8" t="s">
        <v>445</v>
      </c>
      <c r="L98" s="8" t="str">
        <f>IF(Table1346[[#This Row],[Home Team Score]]&gt;Table1346[[#This Row],[Away Team Score]],"Win",IF(Table1346[[#This Row],[Home Team Score]]=Table1346[[#This Row],[Away Team Score]],"Tie","Lose"))</f>
        <v>Tie</v>
      </c>
      <c r="M98" t="s">
        <v>38</v>
      </c>
      <c r="N98">
        <v>82</v>
      </c>
      <c r="O98" s="3">
        <v>4.3055555555555555E-2</v>
      </c>
      <c r="P98" t="str">
        <f>P97</f>
        <v>Penalty</v>
      </c>
      <c r="Q98" t="s">
        <v>132</v>
      </c>
      <c r="R98" t="e">
        <f>IF([1]!Table13[[#This Row],[Goal_assist]]="",1,0)</f>
        <v>#REF!</v>
      </c>
    </row>
    <row r="99" spans="1:18" x14ac:dyDescent="0.35">
      <c r="A99" t="s">
        <v>64</v>
      </c>
      <c r="B99" s="1">
        <v>45511</v>
      </c>
      <c r="C99" t="s">
        <v>75</v>
      </c>
      <c r="D99" t="s">
        <v>76</v>
      </c>
      <c r="E99" s="2">
        <v>39393</v>
      </c>
      <c r="F99" t="s">
        <v>16</v>
      </c>
      <c r="G99" t="s">
        <v>66</v>
      </c>
      <c r="H99" t="s">
        <v>133</v>
      </c>
      <c r="I99" s="3">
        <v>8.3333333333333329E-2</v>
      </c>
      <c r="J99" s="8" t="s">
        <v>445</v>
      </c>
      <c r="K99" s="8" t="s">
        <v>443</v>
      </c>
      <c r="L99" s="8" t="str">
        <f>IF(Table1346[[#This Row],[Home Team Score]]&gt;Table1346[[#This Row],[Away Team Score]],"Win",IF(Table1346[[#This Row],[Home Team Score]]=Table1346[[#This Row],[Away Team Score]],"Tie","Lose"))</f>
        <v>Win</v>
      </c>
      <c r="M99" t="s">
        <v>38</v>
      </c>
      <c r="N99">
        <v>41</v>
      </c>
      <c r="O99" s="3">
        <v>8.3333333333333329E-2</v>
      </c>
      <c r="P99" t="s">
        <v>31</v>
      </c>
      <c r="Q99" t="s">
        <v>70</v>
      </c>
      <c r="R99" t="e">
        <f>IF([1]!Table13[[#This Row],[Goal_assist]]="",1,0)</f>
        <v>#REF!</v>
      </c>
    </row>
    <row r="100" spans="1:18" x14ac:dyDescent="0.35">
      <c r="A100" t="s">
        <v>14</v>
      </c>
      <c r="B100" s="1">
        <v>45511</v>
      </c>
      <c r="C100" t="s">
        <v>75</v>
      </c>
      <c r="D100" t="s">
        <v>76</v>
      </c>
      <c r="E100" s="2">
        <v>39393</v>
      </c>
      <c r="F100" t="s">
        <v>16</v>
      </c>
      <c r="G100" t="s">
        <v>36</v>
      </c>
      <c r="H100" t="s">
        <v>130</v>
      </c>
      <c r="I100" s="3">
        <v>0.16666666666666666</v>
      </c>
      <c r="J100" s="8" t="s">
        <v>446</v>
      </c>
      <c r="K100" s="8" t="s">
        <v>443</v>
      </c>
      <c r="L100" s="8" t="str">
        <f>IF(Table1346[[#This Row],[Home Team Score]]&gt;Table1346[[#This Row],[Away Team Score]],"Win",IF(Table1346[[#This Row],[Home Team Score]]=Table1346[[#This Row],[Away Team Score]],"Tie","Lose"))</f>
        <v>Win</v>
      </c>
      <c r="M100" t="s">
        <v>38</v>
      </c>
      <c r="N100">
        <v>88</v>
      </c>
      <c r="O100" s="3">
        <v>0.16666666666666666</v>
      </c>
      <c r="P100" t="s">
        <v>26</v>
      </c>
      <c r="Q100" t="s">
        <v>132</v>
      </c>
      <c r="R100" t="e">
        <f>IF([1]!Table13[[#This Row],[Goal_assist]]="",1,0)</f>
        <v>#REF!</v>
      </c>
    </row>
    <row r="101" spans="1:18" x14ac:dyDescent="0.35">
      <c r="A101" t="s">
        <v>14</v>
      </c>
      <c r="B101" s="1">
        <v>45511</v>
      </c>
      <c r="C101" t="s">
        <v>35</v>
      </c>
      <c r="D101">
        <v>13</v>
      </c>
      <c r="E101" s="2">
        <v>39397</v>
      </c>
      <c r="F101" t="s">
        <v>16</v>
      </c>
      <c r="G101" t="s">
        <v>36</v>
      </c>
      <c r="H101" t="s">
        <v>134</v>
      </c>
      <c r="I101" s="3">
        <v>8.3333333333333329E-2</v>
      </c>
      <c r="J101" s="8" t="s">
        <v>445</v>
      </c>
      <c r="K101" s="8" t="s">
        <v>443</v>
      </c>
      <c r="L101" s="8" t="str">
        <f>IF(Table1346[[#This Row],[Home Team Score]]&gt;Table1346[[#This Row],[Away Team Score]],"Win",IF(Table1346[[#This Row],[Home Team Score]]=Table1346[[#This Row],[Away Team Score]],"Tie","Lose"))</f>
        <v>Win</v>
      </c>
      <c r="M101" t="s">
        <v>38</v>
      </c>
      <c r="N101">
        <v>34</v>
      </c>
      <c r="O101" s="3">
        <v>4.1666666666666664E-2</v>
      </c>
      <c r="P101" t="s">
        <v>22</v>
      </c>
      <c r="Q101" t="s">
        <v>44</v>
      </c>
      <c r="R101" t="e">
        <f>IF([1]!Table13[[#This Row],[Goal_assist]]="",1,0)</f>
        <v>#REF!</v>
      </c>
    </row>
    <row r="102" spans="1:18" x14ac:dyDescent="0.35">
      <c r="A102" t="s">
        <v>14</v>
      </c>
      <c r="B102" s="1">
        <v>45511</v>
      </c>
      <c r="C102" t="s">
        <v>35</v>
      </c>
      <c r="D102">
        <v>13</v>
      </c>
      <c r="E102" s="2">
        <v>39397</v>
      </c>
      <c r="F102" t="s">
        <v>16</v>
      </c>
      <c r="G102" t="s">
        <v>36</v>
      </c>
      <c r="H102" t="s">
        <v>134</v>
      </c>
      <c r="I102" s="3">
        <v>8.3333333333333329E-2</v>
      </c>
      <c r="J102" s="8" t="s">
        <v>445</v>
      </c>
      <c r="K102" s="8" t="s">
        <v>443</v>
      </c>
      <c r="L102" s="8" t="str">
        <f>IF(Table1346[[#This Row],[Home Team Score]]&gt;Table1346[[#This Row],[Away Team Score]],"Win",IF(Table1346[[#This Row],[Home Team Score]]=Table1346[[#This Row],[Away Team Score]],"Tie","Lose"))</f>
        <v>Win</v>
      </c>
      <c r="M102" t="s">
        <v>38</v>
      </c>
      <c r="N102">
        <v>35</v>
      </c>
      <c r="O102" s="3">
        <v>8.3333333333333329E-2</v>
      </c>
      <c r="P102" t="s">
        <v>26</v>
      </c>
      <c r="Q102" t="s">
        <v>135</v>
      </c>
      <c r="R102" t="e">
        <f>IF([1]!Table13[[#This Row],[Goal_assist]]="",1,0)</f>
        <v>#REF!</v>
      </c>
    </row>
    <row r="103" spans="1:18" x14ac:dyDescent="0.35">
      <c r="A103" t="s">
        <v>64</v>
      </c>
      <c r="B103" s="1">
        <v>45511</v>
      </c>
      <c r="C103" t="s">
        <v>65</v>
      </c>
      <c r="D103">
        <v>13</v>
      </c>
      <c r="E103" s="2">
        <v>39410</v>
      </c>
      <c r="F103" t="s">
        <v>16</v>
      </c>
      <c r="G103" t="s">
        <v>66</v>
      </c>
      <c r="H103" t="s">
        <v>113</v>
      </c>
      <c r="I103" s="3">
        <v>0.125</v>
      </c>
      <c r="J103" s="8" t="s">
        <v>442</v>
      </c>
      <c r="K103" s="8" t="s">
        <v>443</v>
      </c>
      <c r="L103" s="8" t="str">
        <f>IF(Table1346[[#This Row],[Home Team Score]]&gt;Table1346[[#This Row],[Away Team Score]],"Win",IF(Table1346[[#This Row],[Home Team Score]]=Table1346[[#This Row],[Away Team Score]],"Tie","Lose"))</f>
        <v>Win</v>
      </c>
      <c r="M103" t="s">
        <v>38</v>
      </c>
      <c r="N103">
        <v>81</v>
      </c>
      <c r="O103" s="3">
        <v>0.125</v>
      </c>
      <c r="P103" t="s">
        <v>83</v>
      </c>
      <c r="R103" t="e">
        <f>IF([1]!Table13[[#This Row],[Goal_assist]]="",1,0)</f>
        <v>#REF!</v>
      </c>
    </row>
    <row r="104" spans="1:18" x14ac:dyDescent="0.35">
      <c r="A104" t="s">
        <v>64</v>
      </c>
      <c r="B104" s="1">
        <v>45511</v>
      </c>
      <c r="C104" t="s">
        <v>75</v>
      </c>
      <c r="D104" t="s">
        <v>76</v>
      </c>
      <c r="E104" s="2">
        <v>39413</v>
      </c>
      <c r="F104" t="s">
        <v>24</v>
      </c>
      <c r="G104" t="s">
        <v>66</v>
      </c>
      <c r="H104" t="s">
        <v>125</v>
      </c>
      <c r="I104" s="3">
        <v>8.4722222222222227E-2</v>
      </c>
      <c r="J104" s="8" t="s">
        <v>445</v>
      </c>
      <c r="K104" s="8" t="s">
        <v>445</v>
      </c>
      <c r="L104" s="8" t="str">
        <f>IF(Table1346[[#This Row],[Home Team Score]]&gt;Table1346[[#This Row],[Away Team Score]],"Win",IF(Table1346[[#This Row],[Home Team Score]]=Table1346[[#This Row],[Away Team Score]],"Tie","Lose"))</f>
        <v>Tie</v>
      </c>
      <c r="M104" t="s">
        <v>38</v>
      </c>
      <c r="N104">
        <v>58</v>
      </c>
      <c r="O104" s="3">
        <v>4.3055555555555555E-2</v>
      </c>
      <c r="P104" t="s">
        <v>83</v>
      </c>
      <c r="R104" t="e">
        <f>IF([1]!Table13[[#This Row],[Goal_assist]]="",1,0)</f>
        <v>#REF!</v>
      </c>
    </row>
    <row r="105" spans="1:18" x14ac:dyDescent="0.35">
      <c r="A105" t="s">
        <v>14</v>
      </c>
      <c r="B105" s="1">
        <v>45511</v>
      </c>
      <c r="C105" t="s">
        <v>75</v>
      </c>
      <c r="D105" t="s">
        <v>76</v>
      </c>
      <c r="E105" s="2">
        <v>39413</v>
      </c>
      <c r="F105" t="s">
        <v>16</v>
      </c>
      <c r="G105" t="s">
        <v>36</v>
      </c>
      <c r="H105" t="s">
        <v>17</v>
      </c>
      <c r="I105" s="3">
        <v>8.4027777777777785E-2</v>
      </c>
      <c r="J105" s="8" t="s">
        <v>445</v>
      </c>
      <c r="K105" s="8" t="s">
        <v>444</v>
      </c>
      <c r="L105" s="8" t="str">
        <f>IF(Table1346[[#This Row],[Home Team Score]]&gt;Table1346[[#This Row],[Away Team Score]],"Win",IF(Table1346[[#This Row],[Home Team Score]]=Table1346[[#This Row],[Away Team Score]],"Tie","Lose"))</f>
        <v>Win</v>
      </c>
      <c r="M105" t="s">
        <v>38</v>
      </c>
      <c r="N105" t="s">
        <v>136</v>
      </c>
      <c r="O105" s="3">
        <v>8.4027777777777785E-2</v>
      </c>
      <c r="P105" t="s">
        <v>39</v>
      </c>
      <c r="R105" t="e">
        <f>IF([1]!Table13[[#This Row],[Goal_assist]]="",1,0)</f>
        <v>#REF!</v>
      </c>
    </row>
    <row r="106" spans="1:18" x14ac:dyDescent="0.35">
      <c r="A106" t="s">
        <v>14</v>
      </c>
      <c r="B106" s="1">
        <v>45511</v>
      </c>
      <c r="C106" t="s">
        <v>35</v>
      </c>
      <c r="D106">
        <v>15</v>
      </c>
      <c r="E106" s="2">
        <v>39419</v>
      </c>
      <c r="F106" t="s">
        <v>16</v>
      </c>
      <c r="G106" t="s">
        <v>36</v>
      </c>
      <c r="H106" t="s">
        <v>60</v>
      </c>
      <c r="I106" s="3">
        <v>8.3333333333333329E-2</v>
      </c>
      <c r="J106" s="8" t="s">
        <v>445</v>
      </c>
      <c r="K106" s="8" t="s">
        <v>443</v>
      </c>
      <c r="L106" s="8" t="str">
        <f>IF(Table1346[[#This Row],[Home Team Score]]&gt;Table1346[[#This Row],[Away Team Score]],"Win",IF(Table1346[[#This Row],[Home Team Score]]=Table1346[[#This Row],[Away Team Score]],"Tie","Lose"))</f>
        <v>Win</v>
      </c>
      <c r="M106" t="str">
        <f t="shared" ref="M106:M108" si="10">M105</f>
        <v>RW</v>
      </c>
      <c r="N106">
        <v>58</v>
      </c>
      <c r="O106" s="3">
        <v>8.3333333333333329E-2</v>
      </c>
      <c r="P106" t="s">
        <v>22</v>
      </c>
      <c r="Q106" t="s">
        <v>102</v>
      </c>
      <c r="R106" t="e">
        <f>IF([1]!Table13[[#This Row],[Goal_assist]]="",1,0)</f>
        <v>#REF!</v>
      </c>
    </row>
    <row r="107" spans="1:18" x14ac:dyDescent="0.35">
      <c r="A107" t="s">
        <v>14</v>
      </c>
      <c r="B107" s="1">
        <v>45511</v>
      </c>
      <c r="C107" t="s">
        <v>35</v>
      </c>
      <c r="D107">
        <v>15</v>
      </c>
      <c r="E107" s="2">
        <v>39419</v>
      </c>
      <c r="F107" t="s">
        <v>16</v>
      </c>
      <c r="G107" t="s">
        <v>36</v>
      </c>
      <c r="H107" t="s">
        <v>60</v>
      </c>
      <c r="I107" s="3">
        <v>8.3333333333333329E-2</v>
      </c>
      <c r="J107" s="8" t="s">
        <v>445</v>
      </c>
      <c r="K107" s="8" t="s">
        <v>443</v>
      </c>
      <c r="L107" s="8" t="str">
        <f>IF(Table1346[[#This Row],[Home Team Score]]&gt;Table1346[[#This Row],[Away Team Score]],"Win",IF(Table1346[[#This Row],[Home Team Score]]=Table1346[[#This Row],[Away Team Score]],"Tie","Lose"))</f>
        <v>Win</v>
      </c>
      <c r="M107" t="str">
        <f t="shared" si="10"/>
        <v>RW</v>
      </c>
      <c r="N107">
        <v>10</v>
      </c>
      <c r="O107" s="3">
        <v>4.1666666666666664E-2</v>
      </c>
      <c r="P107" t="s">
        <v>26</v>
      </c>
      <c r="Q107" t="s">
        <v>137</v>
      </c>
      <c r="R107" t="e">
        <f>IF([1]!Table13[[#This Row],[Goal_assist]]="",1,0)</f>
        <v>#REF!</v>
      </c>
    </row>
    <row r="108" spans="1:18" x14ac:dyDescent="0.35">
      <c r="A108" t="s">
        <v>14</v>
      </c>
      <c r="B108" s="1">
        <v>45511</v>
      </c>
      <c r="C108" t="s">
        <v>35</v>
      </c>
      <c r="D108">
        <v>16</v>
      </c>
      <c r="E108" s="2">
        <v>39424</v>
      </c>
      <c r="F108" t="s">
        <v>16</v>
      </c>
      <c r="G108" t="s">
        <v>36</v>
      </c>
      <c r="H108" t="s">
        <v>138</v>
      </c>
      <c r="I108" s="3">
        <v>0.1673611111111111</v>
      </c>
      <c r="J108" s="8" t="s">
        <v>446</v>
      </c>
      <c r="K108" s="8" t="s">
        <v>444</v>
      </c>
      <c r="L108" s="8" t="str">
        <f>IF(Table1346[[#This Row],[Home Team Score]]&gt;Table1346[[#This Row],[Away Team Score]],"Win",IF(Table1346[[#This Row],[Home Team Score]]=Table1346[[#This Row],[Away Team Score]],"Tie","Lose"))</f>
        <v>Win</v>
      </c>
      <c r="M108" t="str">
        <f t="shared" si="10"/>
        <v>RW</v>
      </c>
      <c r="N108">
        <v>90</v>
      </c>
      <c r="O108" s="3">
        <v>0.1673611111111111</v>
      </c>
      <c r="P108" t="s">
        <v>83</v>
      </c>
      <c r="R108" t="e">
        <f>IF([1]!Table13[[#This Row],[Goal_assist]]="",1,0)</f>
        <v>#REF!</v>
      </c>
    </row>
    <row r="109" spans="1:18" x14ac:dyDescent="0.35">
      <c r="A109" t="s">
        <v>14</v>
      </c>
      <c r="B109" s="1">
        <v>45511</v>
      </c>
      <c r="C109" t="s">
        <v>35</v>
      </c>
      <c r="D109">
        <v>18</v>
      </c>
      <c r="E109" s="2">
        <v>39439</v>
      </c>
      <c r="F109" t="s">
        <v>16</v>
      </c>
      <c r="G109" t="s">
        <v>36</v>
      </c>
      <c r="H109" t="s">
        <v>56</v>
      </c>
      <c r="I109" s="3">
        <v>8.4027777777777785E-2</v>
      </c>
      <c r="J109" s="8" t="s">
        <v>445</v>
      </c>
      <c r="K109" s="8" t="s">
        <v>444</v>
      </c>
      <c r="L109" s="8" t="str">
        <f>IF(Table1346[[#This Row],[Home Team Score]]&gt;Table1346[[#This Row],[Away Team Score]],"Win",IF(Table1346[[#This Row],[Home Team Score]]=Table1346[[#This Row],[Away Team Score]],"Tie","Lose"))</f>
        <v>Win</v>
      </c>
      <c r="M109" t="s">
        <v>38</v>
      </c>
      <c r="N109">
        <v>87</v>
      </c>
      <c r="O109" s="3">
        <v>8.4027777777777785E-2</v>
      </c>
      <c r="P109" t="s">
        <v>83</v>
      </c>
      <c r="R109" t="e">
        <f>IF([1]!Table13[[#This Row],[Goal_assist]]="",1,0)</f>
        <v>#REF!</v>
      </c>
    </row>
    <row r="110" spans="1:18" x14ac:dyDescent="0.35">
      <c r="A110" t="s">
        <v>14</v>
      </c>
      <c r="B110" s="1">
        <v>45511</v>
      </c>
      <c r="C110" t="s">
        <v>35</v>
      </c>
      <c r="D110">
        <v>18</v>
      </c>
      <c r="E110" s="2">
        <v>39439</v>
      </c>
      <c r="F110" t="s">
        <v>16</v>
      </c>
      <c r="G110" t="s">
        <v>36</v>
      </c>
      <c r="H110" t="s">
        <v>56</v>
      </c>
      <c r="I110" s="3">
        <v>8.4027777777777785E-2</v>
      </c>
      <c r="J110" s="8" t="s">
        <v>445</v>
      </c>
      <c r="K110" s="8" t="s">
        <v>444</v>
      </c>
      <c r="L110" s="8" t="str">
        <f>IF(Table1346[[#This Row],[Home Team Score]]&gt;Table1346[[#This Row],[Away Team Score]],"Win",IF(Table1346[[#This Row],[Home Team Score]]=Table1346[[#This Row],[Away Team Score]],"Tie","Lose"))</f>
        <v>Win</v>
      </c>
      <c r="M110" t="s">
        <v>38</v>
      </c>
      <c r="N110">
        <v>22</v>
      </c>
      <c r="O110" s="3">
        <v>4.1666666666666664E-2</v>
      </c>
      <c r="P110" t="s">
        <v>31</v>
      </c>
      <c r="Q110" t="s">
        <v>135</v>
      </c>
      <c r="R110" t="e">
        <f>IF([1]!Table13[[#This Row],[Goal_assist]]="",1,0)</f>
        <v>#REF!</v>
      </c>
    </row>
    <row r="111" spans="1:18" x14ac:dyDescent="0.35">
      <c r="A111" t="s">
        <v>14</v>
      </c>
      <c r="B111" s="1">
        <v>45511</v>
      </c>
      <c r="C111" t="s">
        <v>35</v>
      </c>
      <c r="D111">
        <v>19</v>
      </c>
      <c r="E111" s="2">
        <v>39442</v>
      </c>
      <c r="F111" t="s">
        <v>24</v>
      </c>
      <c r="G111" t="s">
        <v>36</v>
      </c>
      <c r="H111" t="s">
        <v>139</v>
      </c>
      <c r="I111" s="3">
        <v>2.7777777777777779E-3</v>
      </c>
      <c r="J111" s="8" t="s">
        <v>443</v>
      </c>
      <c r="K111" s="8" t="s">
        <v>446</v>
      </c>
      <c r="L111" s="8" t="str">
        <f>IF(Table1346[[#This Row],[Home Team Score]]&gt;Table1346[[#This Row],[Away Team Score]],"Win",IF(Table1346[[#This Row],[Home Team Score]]=Table1346[[#This Row],[Away Team Score]],"Tie","Lose"))</f>
        <v>Lose</v>
      </c>
      <c r="M111" t="str">
        <f>M110</f>
        <v>RW</v>
      </c>
      <c r="N111">
        <v>45</v>
      </c>
      <c r="O111" s="3">
        <v>2.0833333333333333E-3</v>
      </c>
      <c r="P111" t="s">
        <v>39</v>
      </c>
      <c r="R111" t="e">
        <f>IF([1]!Table13[[#This Row],[Goal_assist]]="",1,0)</f>
        <v>#REF!</v>
      </c>
    </row>
    <row r="112" spans="1:18" x14ac:dyDescent="0.35">
      <c r="A112" t="s">
        <v>14</v>
      </c>
      <c r="B112" s="1">
        <v>45511</v>
      </c>
      <c r="C112" t="s">
        <v>35</v>
      </c>
      <c r="D112">
        <v>20</v>
      </c>
      <c r="E112" s="2">
        <v>39445</v>
      </c>
      <c r="F112" t="s">
        <v>24</v>
      </c>
      <c r="G112" t="s">
        <v>36</v>
      </c>
      <c r="H112" t="s">
        <v>140</v>
      </c>
      <c r="I112" s="3">
        <v>8.4027777777777785E-2</v>
      </c>
      <c r="J112" s="8" t="s">
        <v>445</v>
      </c>
      <c r="K112" s="8" t="s">
        <v>444</v>
      </c>
      <c r="L112" s="8" t="str">
        <f>IF(Table1346[[#This Row],[Home Team Score]]&gt;Table1346[[#This Row],[Away Team Score]],"Win",IF(Table1346[[#This Row],[Home Team Score]]=Table1346[[#This Row],[Away Team Score]],"Tie","Lose"))</f>
        <v>Win</v>
      </c>
      <c r="M112" t="s">
        <v>38</v>
      </c>
      <c r="N112">
        <v>14</v>
      </c>
      <c r="O112" s="3">
        <v>6.9444444444444447E-4</v>
      </c>
      <c r="P112" t="s">
        <v>22</v>
      </c>
      <c r="Q112" t="s">
        <v>44</v>
      </c>
      <c r="R112" t="e">
        <f>IF([1]!Table13[[#This Row],[Goal_assist]]="",1,0)</f>
        <v>#REF!</v>
      </c>
    </row>
    <row r="113" spans="1:18" x14ac:dyDescent="0.35">
      <c r="A113" t="s">
        <v>14</v>
      </c>
      <c r="B113" s="1">
        <v>45511</v>
      </c>
      <c r="C113" t="s">
        <v>40</v>
      </c>
      <c r="D113" t="s">
        <v>50</v>
      </c>
      <c r="E113" s="2">
        <v>39452</v>
      </c>
      <c r="F113" t="s">
        <v>24</v>
      </c>
      <c r="G113" t="s">
        <v>36</v>
      </c>
      <c r="H113" t="s">
        <v>45</v>
      </c>
      <c r="I113" s="3">
        <v>1.3888888888888889E-3</v>
      </c>
      <c r="J113" s="8" t="s">
        <v>443</v>
      </c>
      <c r="K113" s="8" t="s">
        <v>445</v>
      </c>
      <c r="L113" s="8" t="str">
        <f>IF(Table1346[[#This Row],[Home Team Score]]&gt;Table1346[[#This Row],[Away Team Score]],"Win",IF(Table1346[[#This Row],[Home Team Score]]=Table1346[[#This Row],[Away Team Score]],"Tie","Lose"))</f>
        <v>Lose</v>
      </c>
      <c r="M113" t="str">
        <f>M112</f>
        <v>RW</v>
      </c>
      <c r="N113">
        <v>81</v>
      </c>
      <c r="O113" s="3">
        <v>6.9444444444444447E-4</v>
      </c>
      <c r="P113" t="s">
        <v>31</v>
      </c>
      <c r="Q113" t="s">
        <v>44</v>
      </c>
      <c r="R113" t="e">
        <f>IF([1]!Table13[[#This Row],[Goal_assist]]="",1,0)</f>
        <v>#REF!</v>
      </c>
    </row>
    <row r="114" spans="1:18" x14ac:dyDescent="0.35">
      <c r="A114" t="s">
        <v>14</v>
      </c>
      <c r="B114" s="1">
        <v>45511</v>
      </c>
      <c r="C114" t="s">
        <v>35</v>
      </c>
      <c r="D114">
        <v>22</v>
      </c>
      <c r="E114" s="2">
        <v>39459</v>
      </c>
      <c r="F114" t="s">
        <v>16</v>
      </c>
      <c r="G114" t="s">
        <v>36</v>
      </c>
      <c r="H114" t="s">
        <v>63</v>
      </c>
      <c r="I114" s="3">
        <v>0.25</v>
      </c>
      <c r="J114" s="8" t="s">
        <v>450</v>
      </c>
      <c r="K114" s="8" t="s">
        <v>443</v>
      </c>
      <c r="L114" s="8" t="str">
        <f>IF(Table1346[[#This Row],[Home Team Score]]&gt;Table1346[[#This Row],[Away Team Score]],"Win",IF(Table1346[[#This Row],[Home Team Score]]=Table1346[[#This Row],[Away Team Score]],"Tie","Lose"))</f>
        <v>Win</v>
      </c>
      <c r="M114" t="s">
        <v>38</v>
      </c>
      <c r="N114">
        <v>48</v>
      </c>
      <c r="O114" s="3">
        <v>4.1666666666666664E-2</v>
      </c>
      <c r="P114" t="s">
        <v>39</v>
      </c>
      <c r="R114" t="e">
        <f>IF([1]!Table13[[#This Row],[Goal_assist]]="",1,0)</f>
        <v>#REF!</v>
      </c>
    </row>
    <row r="115" spans="1:18" x14ac:dyDescent="0.35">
      <c r="A115" t="s">
        <v>14</v>
      </c>
      <c r="B115" s="1">
        <v>45511</v>
      </c>
      <c r="C115" t="s">
        <v>35</v>
      </c>
      <c r="D115">
        <v>22</v>
      </c>
      <c r="E115" s="2">
        <v>39459</v>
      </c>
      <c r="F115" t="s">
        <v>16</v>
      </c>
      <c r="G115" t="s">
        <v>36</v>
      </c>
      <c r="H115" t="s">
        <v>63</v>
      </c>
      <c r="I115" s="3">
        <v>0.25</v>
      </c>
      <c r="J115" s="8" t="s">
        <v>450</v>
      </c>
      <c r="K115" s="8" t="s">
        <v>443</v>
      </c>
      <c r="L115" s="8" t="str">
        <f>IF(Table1346[[#This Row],[Home Team Score]]&gt;Table1346[[#This Row],[Away Team Score]],"Win",IF(Table1346[[#This Row],[Home Team Score]]=Table1346[[#This Row],[Away Team Score]],"Tie","Lose"))</f>
        <v>Win</v>
      </c>
      <c r="M115" t="s">
        <v>38</v>
      </c>
      <c r="N115">
        <v>70</v>
      </c>
      <c r="O115" s="3">
        <v>0.125</v>
      </c>
      <c r="P115" t="s">
        <v>26</v>
      </c>
      <c r="Q115" t="s">
        <v>135</v>
      </c>
      <c r="R115" t="e">
        <f>IF([1]!Table13[[#This Row],[Goal_assist]]="",1,0)</f>
        <v>#REF!</v>
      </c>
    </row>
    <row r="116" spans="1:18" x14ac:dyDescent="0.35">
      <c r="A116" t="s">
        <v>14</v>
      </c>
      <c r="B116" s="1">
        <v>45511</v>
      </c>
      <c r="C116" t="s">
        <v>35</v>
      </c>
      <c r="D116">
        <v>22</v>
      </c>
      <c r="E116" s="2">
        <v>39459</v>
      </c>
      <c r="F116" t="s">
        <v>16</v>
      </c>
      <c r="G116" t="s">
        <v>36</v>
      </c>
      <c r="H116" t="s">
        <v>63</v>
      </c>
      <c r="I116" s="3">
        <v>0.25</v>
      </c>
      <c r="J116" s="8" t="s">
        <v>450</v>
      </c>
      <c r="K116" s="8" t="s">
        <v>443</v>
      </c>
      <c r="L116" s="8" t="str">
        <f>IF(Table1346[[#This Row],[Home Team Score]]&gt;Table1346[[#This Row],[Away Team Score]],"Win",IF(Table1346[[#This Row],[Home Team Score]]=Table1346[[#This Row],[Away Team Score]],"Tie","Lose"))</f>
        <v>Win</v>
      </c>
      <c r="M116" t="s">
        <v>38</v>
      </c>
      <c r="N116">
        <v>88</v>
      </c>
      <c r="O116" s="3">
        <v>0.20833333333333334</v>
      </c>
      <c r="P116" t="s">
        <v>31</v>
      </c>
      <c r="R116" t="e">
        <f>IF([1]!Table13[[#This Row],[Goal_assist]]="",1,0)</f>
        <v>#REF!</v>
      </c>
    </row>
    <row r="117" spans="1:18" x14ac:dyDescent="0.35">
      <c r="A117" t="s">
        <v>14</v>
      </c>
      <c r="B117" s="1">
        <v>45511</v>
      </c>
      <c r="C117" t="s">
        <v>35</v>
      </c>
      <c r="D117">
        <v>23</v>
      </c>
      <c r="E117" s="2">
        <v>39466</v>
      </c>
      <c r="F117" t="s">
        <v>24</v>
      </c>
      <c r="G117" t="s">
        <v>36</v>
      </c>
      <c r="H117" t="s">
        <v>101</v>
      </c>
      <c r="I117" s="3">
        <v>1.3888888888888889E-3</v>
      </c>
      <c r="J117" s="8" t="s">
        <v>443</v>
      </c>
      <c r="K117" s="8" t="s">
        <v>445</v>
      </c>
      <c r="L117" s="8" t="str">
        <f>IF(Table1346[[#This Row],[Home Team Score]]&gt;Table1346[[#This Row],[Away Team Score]],"Win",IF(Table1346[[#This Row],[Home Team Score]]=Table1346[[#This Row],[Away Team Score]],"Tie","Lose"))</f>
        <v>Lose</v>
      </c>
      <c r="M117" t="s">
        <v>38</v>
      </c>
      <c r="N117" t="s">
        <v>141</v>
      </c>
      <c r="O117" s="3">
        <v>1.3888888888888889E-3</v>
      </c>
      <c r="P117" t="s">
        <v>26</v>
      </c>
      <c r="R117" t="e">
        <f>IF([1]!Table13[[#This Row],[Goal_assist]]="",1,0)</f>
        <v>#REF!</v>
      </c>
    </row>
    <row r="118" spans="1:18" x14ac:dyDescent="0.35">
      <c r="A118" t="s">
        <v>14</v>
      </c>
      <c r="B118" s="1">
        <v>45511</v>
      </c>
      <c r="C118" t="s">
        <v>40</v>
      </c>
      <c r="D118" t="s">
        <v>29</v>
      </c>
      <c r="E118" s="2">
        <v>39474</v>
      </c>
      <c r="F118" t="s">
        <v>16</v>
      </c>
      <c r="G118" t="s">
        <v>36</v>
      </c>
      <c r="H118" t="s">
        <v>42</v>
      </c>
      <c r="I118" s="3">
        <v>0.12569444444444444</v>
      </c>
      <c r="J118" s="8" t="s">
        <v>442</v>
      </c>
      <c r="K118" s="8" t="s">
        <v>444</v>
      </c>
      <c r="L118" s="8" t="str">
        <f>IF(Table1346[[#This Row],[Home Team Score]]&gt;Table1346[[#This Row],[Away Team Score]],"Win",IF(Table1346[[#This Row],[Home Team Score]]=Table1346[[#This Row],[Away Team Score]],"Tie","Lose"))</f>
        <v>Win</v>
      </c>
      <c r="M118" t="s">
        <v>38</v>
      </c>
      <c r="N118">
        <v>69</v>
      </c>
      <c r="O118" s="3">
        <v>8.4027777777777785E-2</v>
      </c>
      <c r="P118" t="s">
        <v>83</v>
      </c>
      <c r="R118" t="e">
        <f>IF([1]!Table13[[#This Row],[Goal_assist]]="",1,0)</f>
        <v>#REF!</v>
      </c>
    </row>
    <row r="119" spans="1:18" x14ac:dyDescent="0.35">
      <c r="A119" t="s">
        <v>14</v>
      </c>
      <c r="B119" s="1">
        <v>45511</v>
      </c>
      <c r="C119" t="s">
        <v>40</v>
      </c>
      <c r="D119" t="s">
        <v>29</v>
      </c>
      <c r="E119" s="2">
        <v>39474</v>
      </c>
      <c r="F119" t="s">
        <v>16</v>
      </c>
      <c r="G119" t="s">
        <v>36</v>
      </c>
      <c r="H119" t="s">
        <v>42</v>
      </c>
      <c r="I119" s="3">
        <v>0.12569444444444444</v>
      </c>
      <c r="J119" s="8" t="s">
        <v>442</v>
      </c>
      <c r="K119" s="8" t="s">
        <v>444</v>
      </c>
      <c r="L119" s="8" t="str">
        <f>IF(Table1346[[#This Row],[Home Team Score]]&gt;Table1346[[#This Row],[Away Team Score]],"Win",IF(Table1346[[#This Row],[Home Team Score]]=Table1346[[#This Row],[Away Team Score]],"Tie","Lose"))</f>
        <v>Win</v>
      </c>
      <c r="M119" t="s">
        <v>38</v>
      </c>
      <c r="N119">
        <v>88</v>
      </c>
      <c r="O119" s="3">
        <v>0.12569444444444444</v>
      </c>
      <c r="P119" t="s">
        <v>26</v>
      </c>
      <c r="Q119" t="s">
        <v>44</v>
      </c>
      <c r="R119" t="e">
        <f>IF([1]!Table13[[#This Row],[Goal_assist]]="",1,0)</f>
        <v>#REF!</v>
      </c>
    </row>
    <row r="120" spans="1:18" x14ac:dyDescent="0.35">
      <c r="A120" t="s">
        <v>14</v>
      </c>
      <c r="B120" s="1">
        <v>45511</v>
      </c>
      <c r="C120" t="s">
        <v>35</v>
      </c>
      <c r="D120">
        <v>24</v>
      </c>
      <c r="E120" s="2">
        <v>39477</v>
      </c>
      <c r="F120" t="s">
        <v>16</v>
      </c>
      <c r="G120" t="s">
        <v>36</v>
      </c>
      <c r="H120" t="s">
        <v>37</v>
      </c>
      <c r="I120" s="3">
        <v>8.3333333333333329E-2</v>
      </c>
      <c r="J120" s="8" t="s">
        <v>445</v>
      </c>
      <c r="K120" s="8" t="s">
        <v>443</v>
      </c>
      <c r="L120" s="8" t="str">
        <f>IF(Table1346[[#This Row],[Home Team Score]]&gt;Table1346[[#This Row],[Away Team Score]],"Win",IF(Table1346[[#This Row],[Home Team Score]]=Table1346[[#This Row],[Away Team Score]],"Tie","Lose"))</f>
        <v>Win</v>
      </c>
      <c r="M120" t="s">
        <v>38</v>
      </c>
      <c r="N120">
        <v>10</v>
      </c>
      <c r="O120" s="3">
        <v>4.1666666666666664E-2</v>
      </c>
      <c r="P120" t="s">
        <v>26</v>
      </c>
      <c r="Q120" t="s">
        <v>142</v>
      </c>
      <c r="R120" t="e">
        <f>IF([1]!Table13[[#This Row],[Goal_assist]]="",1,0)</f>
        <v>#REF!</v>
      </c>
    </row>
    <row r="121" spans="1:18" x14ac:dyDescent="0.35">
      <c r="A121" t="s">
        <v>14</v>
      </c>
      <c r="B121" s="1">
        <v>45511</v>
      </c>
      <c r="C121" t="s">
        <v>35</v>
      </c>
      <c r="D121">
        <v>24</v>
      </c>
      <c r="E121" s="2">
        <v>39477</v>
      </c>
      <c r="F121" t="s">
        <v>16</v>
      </c>
      <c r="G121" t="s">
        <v>36</v>
      </c>
      <c r="H121" t="s">
        <v>37</v>
      </c>
      <c r="I121" s="3">
        <v>8.3333333333333329E-2</v>
      </c>
      <c r="J121" s="8" t="s">
        <v>445</v>
      </c>
      <c r="K121" s="8" t="s">
        <v>443</v>
      </c>
      <c r="L121" s="8" t="str">
        <f>IF(Table1346[[#This Row],[Home Team Score]]&gt;Table1346[[#This Row],[Away Team Score]],"Win",IF(Table1346[[#This Row],[Home Team Score]]=Table1346[[#This Row],[Away Team Score]],"Tie","Lose"))</f>
        <v>Win</v>
      </c>
      <c r="M121" t="s">
        <v>38</v>
      </c>
      <c r="N121">
        <v>12</v>
      </c>
      <c r="O121" s="3">
        <v>8.3333333333333329E-2</v>
      </c>
      <c r="P121" t="s">
        <v>39</v>
      </c>
      <c r="R121" t="e">
        <f>IF([1]!Table13[[#This Row],[Goal_assist]]="",1,0)</f>
        <v>#REF!</v>
      </c>
    </row>
    <row r="122" spans="1:18" x14ac:dyDescent="0.35">
      <c r="A122" t="s">
        <v>64</v>
      </c>
      <c r="B122" s="1">
        <v>45511</v>
      </c>
      <c r="C122" t="s">
        <v>75</v>
      </c>
      <c r="D122" t="s">
        <v>143</v>
      </c>
      <c r="E122" s="2">
        <v>39498</v>
      </c>
      <c r="F122" t="s">
        <v>24</v>
      </c>
      <c r="G122" t="s">
        <v>66</v>
      </c>
      <c r="H122" t="s">
        <v>144</v>
      </c>
      <c r="I122" s="3">
        <v>8.5416666666666669E-2</v>
      </c>
      <c r="J122" s="8" t="s">
        <v>445</v>
      </c>
      <c r="K122" s="8" t="s">
        <v>442</v>
      </c>
      <c r="L122" s="8" t="str">
        <f>IF(Table1346[[#This Row],[Home Team Score]]&gt;Table1346[[#This Row],[Away Team Score]],"Win",IF(Table1346[[#This Row],[Home Team Score]]=Table1346[[#This Row],[Away Team Score]],"Tie","Lose"))</f>
        <v>Lose</v>
      </c>
      <c r="M122" t="s">
        <v>38</v>
      </c>
      <c r="N122">
        <v>18</v>
      </c>
      <c r="O122" s="3">
        <v>4.2361111111111113E-2</v>
      </c>
      <c r="P122" t="s">
        <v>31</v>
      </c>
      <c r="Q122" t="s">
        <v>104</v>
      </c>
      <c r="R122" t="e">
        <f>IF([1]!Table13[[#This Row],[Goal_assist]]="",1,0)</f>
        <v>#REF!</v>
      </c>
    </row>
    <row r="123" spans="1:18" x14ac:dyDescent="0.35">
      <c r="A123" t="s">
        <v>64</v>
      </c>
      <c r="B123" s="1">
        <v>45511</v>
      </c>
      <c r="C123" t="s">
        <v>75</v>
      </c>
      <c r="D123" t="s">
        <v>143</v>
      </c>
      <c r="E123" s="2">
        <v>39498</v>
      </c>
      <c r="F123" t="s">
        <v>24</v>
      </c>
      <c r="G123" t="s">
        <v>66</v>
      </c>
      <c r="H123" t="s">
        <v>144</v>
      </c>
      <c r="I123" s="3">
        <v>8.5416666666666669E-2</v>
      </c>
      <c r="J123" s="8" t="s">
        <v>445</v>
      </c>
      <c r="K123" s="8" t="s">
        <v>442</v>
      </c>
      <c r="L123" s="8" t="str">
        <f>IF(Table1346[[#This Row],[Home Team Score]]&gt;Table1346[[#This Row],[Away Team Score]],"Win",IF(Table1346[[#This Row],[Home Team Score]]=Table1346[[#This Row],[Away Team Score]],"Tie","Lose"))</f>
        <v>Lose</v>
      </c>
      <c r="M123" t="s">
        <v>38</v>
      </c>
      <c r="N123">
        <v>79</v>
      </c>
      <c r="O123" s="3">
        <v>8.5416666666666669E-2</v>
      </c>
      <c r="P123" t="s">
        <v>31</v>
      </c>
      <c r="R123" t="e">
        <f>IF([1]!Table13[[#This Row],[Goal_assist]]="",1,0)</f>
        <v>#REF!</v>
      </c>
    </row>
    <row r="124" spans="1:18" x14ac:dyDescent="0.35">
      <c r="A124" t="s">
        <v>14</v>
      </c>
      <c r="B124" s="1">
        <v>45511</v>
      </c>
      <c r="C124" t="s">
        <v>35</v>
      </c>
      <c r="D124">
        <v>27</v>
      </c>
      <c r="E124" s="2">
        <v>39501</v>
      </c>
      <c r="F124" t="s">
        <v>24</v>
      </c>
      <c r="G124" t="s">
        <v>36</v>
      </c>
      <c r="H124" t="s">
        <v>63</v>
      </c>
      <c r="I124" s="3">
        <v>4.5138888888888888E-2</v>
      </c>
      <c r="J124" s="8" t="s">
        <v>444</v>
      </c>
      <c r="K124" s="8" t="s">
        <v>448</v>
      </c>
      <c r="L124" s="8" t="str">
        <f>IF(Table1346[[#This Row],[Home Team Score]]&gt;Table1346[[#This Row],[Away Team Score]],"Win",IF(Table1346[[#This Row],[Home Team Score]]=Table1346[[#This Row],[Away Team Score]],"Tie","Lose"))</f>
        <v>Lose</v>
      </c>
      <c r="M124" t="s">
        <v>38</v>
      </c>
      <c r="N124">
        <v>56</v>
      </c>
      <c r="O124" s="3">
        <v>2.0833333333333333E-3</v>
      </c>
      <c r="P124" t="s">
        <v>26</v>
      </c>
      <c r="R124" t="e">
        <f>IF([1]!Table13[[#This Row],[Goal_assist]]="",1,0)</f>
        <v>#REF!</v>
      </c>
    </row>
    <row r="125" spans="1:18" x14ac:dyDescent="0.35">
      <c r="A125" t="s">
        <v>14</v>
      </c>
      <c r="B125" s="1">
        <v>45511</v>
      </c>
      <c r="C125" t="s">
        <v>35</v>
      </c>
      <c r="D125">
        <v>27</v>
      </c>
      <c r="E125" s="2">
        <v>39501</v>
      </c>
      <c r="F125" t="s">
        <v>24</v>
      </c>
      <c r="G125" t="s">
        <v>36</v>
      </c>
      <c r="H125" t="s">
        <v>63</v>
      </c>
      <c r="I125" s="3">
        <v>4.5138888888888888E-2</v>
      </c>
      <c r="J125" s="8" t="s">
        <v>444</v>
      </c>
      <c r="K125" s="8" t="s">
        <v>448</v>
      </c>
      <c r="L125" s="8" t="str">
        <f>IF(Table1346[[#This Row],[Home Team Score]]&gt;Table1346[[#This Row],[Away Team Score]],"Win",IF(Table1346[[#This Row],[Home Team Score]]=Table1346[[#This Row],[Away Team Score]],"Tie","Lose"))</f>
        <v>Lose</v>
      </c>
      <c r="M125" t="s">
        <v>38</v>
      </c>
      <c r="N125">
        <v>45</v>
      </c>
      <c r="O125" s="3">
        <v>1.3888888888888889E-3</v>
      </c>
      <c r="P125" t="s">
        <v>26</v>
      </c>
      <c r="Q125" t="s">
        <v>110</v>
      </c>
      <c r="R125" t="e">
        <f>IF([1]!Table13[[#This Row],[Goal_assist]]="",1,0)</f>
        <v>#REF!</v>
      </c>
    </row>
    <row r="126" spans="1:18" x14ac:dyDescent="0.35">
      <c r="A126" t="s">
        <v>64</v>
      </c>
      <c r="B126" s="1">
        <v>45511</v>
      </c>
      <c r="C126" t="s">
        <v>65</v>
      </c>
      <c r="D126">
        <v>25</v>
      </c>
      <c r="E126" s="2">
        <v>39502</v>
      </c>
      <c r="F126" t="s">
        <v>16</v>
      </c>
      <c r="G126" t="s">
        <v>66</v>
      </c>
      <c r="H126" t="s">
        <v>127</v>
      </c>
      <c r="I126" s="3">
        <v>0.20902777777777778</v>
      </c>
      <c r="J126" s="8" t="s">
        <v>448</v>
      </c>
      <c r="K126" s="8" t="s">
        <v>444</v>
      </c>
      <c r="L126" s="8" t="str">
        <f>IF(Table1346[[#This Row],[Home Team Score]]&gt;Table1346[[#This Row],[Away Team Score]],"Win",IF(Table1346[[#This Row],[Home Team Score]]=Table1346[[#This Row],[Away Team Score]],"Tie","Lose"))</f>
        <v>Win</v>
      </c>
      <c r="M126" t="s">
        <v>38</v>
      </c>
      <c r="N126">
        <v>44</v>
      </c>
      <c r="O126" s="3">
        <v>8.4027777777777785E-2</v>
      </c>
      <c r="P126" t="s">
        <v>31</v>
      </c>
      <c r="Q126" t="s">
        <v>106</v>
      </c>
      <c r="R126" t="e">
        <f>IF([1]!Table13[[#This Row],[Goal_assist]]="",1,0)</f>
        <v>#REF!</v>
      </c>
    </row>
    <row r="127" spans="1:18" x14ac:dyDescent="0.35">
      <c r="A127" t="s">
        <v>14</v>
      </c>
      <c r="B127" s="1">
        <v>45511</v>
      </c>
      <c r="C127" t="s">
        <v>75</v>
      </c>
      <c r="D127" t="s">
        <v>143</v>
      </c>
      <c r="E127" s="2">
        <v>39511</v>
      </c>
      <c r="F127" t="s">
        <v>16</v>
      </c>
      <c r="G127" t="s">
        <v>36</v>
      </c>
      <c r="H127" t="s">
        <v>125</v>
      </c>
      <c r="I127" s="3">
        <v>4.1666666666666664E-2</v>
      </c>
      <c r="J127" s="8" t="s">
        <v>444</v>
      </c>
      <c r="K127" s="8" t="s">
        <v>443</v>
      </c>
      <c r="L127" s="8" t="str">
        <f>IF(Table1346[[#This Row],[Home Team Score]]&gt;Table1346[[#This Row],[Away Team Score]],"Win",IF(Table1346[[#This Row],[Home Team Score]]=Table1346[[#This Row],[Away Team Score]],"Tie","Lose"))</f>
        <v>Win</v>
      </c>
      <c r="M127" t="s">
        <v>38</v>
      </c>
      <c r="N127">
        <v>41</v>
      </c>
      <c r="O127" s="3">
        <v>4.1666666666666664E-2</v>
      </c>
      <c r="P127" t="s">
        <v>31</v>
      </c>
      <c r="R127" t="e">
        <f>IF([1]!Table13[[#This Row],[Goal_assist]]="",1,0)</f>
        <v>#REF!</v>
      </c>
    </row>
    <row r="128" spans="1:18" x14ac:dyDescent="0.35">
      <c r="A128" t="s">
        <v>14</v>
      </c>
      <c r="B128" s="1">
        <v>45511</v>
      </c>
      <c r="C128" t="s">
        <v>35</v>
      </c>
      <c r="D128">
        <v>29</v>
      </c>
      <c r="E128" s="2">
        <v>39522</v>
      </c>
      <c r="F128" t="s">
        <v>24</v>
      </c>
      <c r="G128" t="s">
        <v>36</v>
      </c>
      <c r="H128" t="s">
        <v>138</v>
      </c>
      <c r="I128" s="3">
        <v>6.9444444444444447E-4</v>
      </c>
      <c r="J128" s="8" t="s">
        <v>443</v>
      </c>
      <c r="K128" s="8" t="s">
        <v>444</v>
      </c>
      <c r="L128" s="8" t="str">
        <f>IF(Table1346[[#This Row],[Home Team Score]]&gt;Table1346[[#This Row],[Away Team Score]],"Win",IF(Table1346[[#This Row],[Home Team Score]]=Table1346[[#This Row],[Away Team Score]],"Tie","Lose"))</f>
        <v>Lose</v>
      </c>
      <c r="M128" t="str">
        <f t="shared" ref="M128:M130" si="11">M127</f>
        <v>RW</v>
      </c>
      <c r="N128">
        <v>76</v>
      </c>
      <c r="O128" s="3">
        <v>6.9444444444444447E-4</v>
      </c>
      <c r="P128" t="s">
        <v>26</v>
      </c>
      <c r="Q128" t="s">
        <v>85</v>
      </c>
      <c r="R128" t="e">
        <f>IF([1]!Table13[[#This Row],[Goal_assist]]="",1,0)</f>
        <v>#REF!</v>
      </c>
    </row>
    <row r="129" spans="1:18" x14ac:dyDescent="0.35">
      <c r="A129" t="s">
        <v>14</v>
      </c>
      <c r="B129" s="1">
        <v>45511</v>
      </c>
      <c r="C129" t="s">
        <v>35</v>
      </c>
      <c r="D129">
        <v>30</v>
      </c>
      <c r="E129" s="2">
        <v>39526</v>
      </c>
      <c r="F129" t="s">
        <v>16</v>
      </c>
      <c r="G129" t="s">
        <v>36</v>
      </c>
      <c r="H129" t="s">
        <v>84</v>
      </c>
      <c r="I129" s="3">
        <v>8.3333333333333329E-2</v>
      </c>
      <c r="J129" s="8" t="s">
        <v>445</v>
      </c>
      <c r="K129" s="8" t="s">
        <v>443</v>
      </c>
      <c r="L129" s="8" t="str">
        <f>IF(Table1346[[#This Row],[Home Team Score]]&gt;Table1346[[#This Row],[Away Team Score]],"Win",IF(Table1346[[#This Row],[Home Team Score]]=Table1346[[#This Row],[Away Team Score]],"Tie","Lose"))</f>
        <v>Win</v>
      </c>
      <c r="M129" t="str">
        <f t="shared" si="11"/>
        <v>RW</v>
      </c>
      <c r="N129">
        <v>8</v>
      </c>
      <c r="O129" s="3">
        <v>4.1666666666666664E-2</v>
      </c>
      <c r="P129" t="s">
        <v>26</v>
      </c>
      <c r="R129" t="e">
        <f>IF([1]!Table13[[#This Row],[Goal_assist]]="",1,0)</f>
        <v>#REF!</v>
      </c>
    </row>
    <row r="130" spans="1:18" x14ac:dyDescent="0.35">
      <c r="A130" t="s">
        <v>14</v>
      </c>
      <c r="B130" s="1">
        <v>45511</v>
      </c>
      <c r="C130" t="s">
        <v>35</v>
      </c>
      <c r="D130">
        <v>30</v>
      </c>
      <c r="E130" s="2">
        <v>39526</v>
      </c>
      <c r="F130" t="s">
        <v>16</v>
      </c>
      <c r="G130" t="s">
        <v>36</v>
      </c>
      <c r="H130" t="s">
        <v>84</v>
      </c>
      <c r="I130" s="3">
        <v>8.3333333333333329E-2</v>
      </c>
      <c r="J130" s="8" t="s">
        <v>445</v>
      </c>
      <c r="K130" s="8" t="s">
        <v>443</v>
      </c>
      <c r="L130" s="8" t="str">
        <f>IF(Table1346[[#This Row],[Home Team Score]]&gt;Table1346[[#This Row],[Away Team Score]],"Win",IF(Table1346[[#This Row],[Home Team Score]]=Table1346[[#This Row],[Away Team Score]],"Tie","Lose"))</f>
        <v>Win</v>
      </c>
      <c r="M130" t="str">
        <f t="shared" si="11"/>
        <v>RW</v>
      </c>
      <c r="N130">
        <v>19</v>
      </c>
      <c r="O130" s="3">
        <v>8.3333333333333329E-2</v>
      </c>
      <c r="P130" t="s">
        <v>39</v>
      </c>
      <c r="R130" t="e">
        <f>IF([1]!Table13[[#This Row],[Goal_assist]]="",1,0)</f>
        <v>#REF!</v>
      </c>
    </row>
    <row r="131" spans="1:18" x14ac:dyDescent="0.35">
      <c r="A131" t="s">
        <v>14</v>
      </c>
      <c r="B131" s="1">
        <v>45511</v>
      </c>
      <c r="C131" t="s">
        <v>35</v>
      </c>
      <c r="D131">
        <v>31</v>
      </c>
      <c r="E131" s="2">
        <v>39530</v>
      </c>
      <c r="F131" t="s">
        <v>16</v>
      </c>
      <c r="G131" t="s">
        <v>36</v>
      </c>
      <c r="H131" t="s">
        <v>145</v>
      </c>
      <c r="I131" s="3">
        <v>0.125</v>
      </c>
      <c r="J131" s="8" t="s">
        <v>442</v>
      </c>
      <c r="K131" s="8" t="s">
        <v>443</v>
      </c>
      <c r="L131" s="8" t="str">
        <f>IF(Table1346[[#This Row],[Home Team Score]]&gt;Table1346[[#This Row],[Away Team Score]],"Win",IF(Table1346[[#This Row],[Home Team Score]]=Table1346[[#This Row],[Away Team Score]],"Tie","Lose"))</f>
        <v>Win</v>
      </c>
      <c r="M131" t="s">
        <v>38</v>
      </c>
      <c r="N131">
        <v>79</v>
      </c>
      <c r="O131" s="3">
        <v>8.3333333333333329E-2</v>
      </c>
      <c r="P131" t="s">
        <v>22</v>
      </c>
      <c r="Q131" t="s">
        <v>142</v>
      </c>
      <c r="R131" t="e">
        <f>IF([1]!Table13[[#This Row],[Goal_assist]]="",1,0)</f>
        <v>#REF!</v>
      </c>
    </row>
    <row r="132" spans="1:18" x14ac:dyDescent="0.35">
      <c r="A132" t="s">
        <v>14</v>
      </c>
      <c r="B132" s="1">
        <v>45511</v>
      </c>
      <c r="C132" t="s">
        <v>35</v>
      </c>
      <c r="D132">
        <v>32</v>
      </c>
      <c r="E132" s="2">
        <v>39536</v>
      </c>
      <c r="F132" t="s">
        <v>16</v>
      </c>
      <c r="G132" t="s">
        <v>36</v>
      </c>
      <c r="H132" t="s">
        <v>45</v>
      </c>
      <c r="I132" s="3">
        <v>0.16666666666666666</v>
      </c>
      <c r="J132" s="8" t="s">
        <v>446</v>
      </c>
      <c r="K132" s="8" t="s">
        <v>443</v>
      </c>
      <c r="L132" s="8" t="str">
        <f>IF(Table1346[[#This Row],[Home Team Score]]&gt;Table1346[[#This Row],[Away Team Score]],"Win",IF(Table1346[[#This Row],[Home Team Score]]=Table1346[[#This Row],[Away Team Score]],"Tie","Lose"))</f>
        <v>Win</v>
      </c>
      <c r="M132" t="s">
        <v>38</v>
      </c>
      <c r="N132">
        <v>16</v>
      </c>
      <c r="O132" s="3">
        <v>4.1666666666666664E-2</v>
      </c>
      <c r="P132" t="s">
        <v>26</v>
      </c>
      <c r="R132" t="e">
        <f>IF([1]!Table13[[#This Row],[Goal_assist]]="",1,0)</f>
        <v>#REF!</v>
      </c>
    </row>
    <row r="133" spans="1:18" x14ac:dyDescent="0.35">
      <c r="A133" t="s">
        <v>14</v>
      </c>
      <c r="B133" s="1">
        <v>45511</v>
      </c>
      <c r="C133" t="s">
        <v>75</v>
      </c>
      <c r="D133" t="s">
        <v>92</v>
      </c>
      <c r="E133" s="2">
        <v>39539</v>
      </c>
      <c r="F133" t="s">
        <v>24</v>
      </c>
      <c r="G133" t="s">
        <v>36</v>
      </c>
      <c r="H133" t="s">
        <v>116</v>
      </c>
      <c r="I133" s="3">
        <v>1.3888888888888889E-3</v>
      </c>
      <c r="J133" s="8" t="s">
        <v>443</v>
      </c>
      <c r="K133" s="8" t="s">
        <v>445</v>
      </c>
      <c r="L133" s="8" t="str">
        <f>IF(Table1346[[#This Row],[Home Team Score]]&gt;Table1346[[#This Row],[Away Team Score]],"Win",IF(Table1346[[#This Row],[Home Team Score]]=Table1346[[#This Row],[Away Team Score]],"Tie","Lose"))</f>
        <v>Lose</v>
      </c>
      <c r="M133" t="s">
        <v>38</v>
      </c>
      <c r="N133">
        <v>39</v>
      </c>
      <c r="O133" s="3">
        <v>6.9444444444444447E-4</v>
      </c>
      <c r="P133" t="s">
        <v>22</v>
      </c>
      <c r="Q133" t="s">
        <v>52</v>
      </c>
      <c r="R133" t="e">
        <f>IF([1]!Table13[[#This Row],[Goal_assist]]="",1,0)</f>
        <v>#REF!</v>
      </c>
    </row>
    <row r="134" spans="1:18" x14ac:dyDescent="0.35">
      <c r="A134" t="s">
        <v>14</v>
      </c>
      <c r="B134" s="1">
        <v>45511</v>
      </c>
      <c r="C134" t="s">
        <v>35</v>
      </c>
      <c r="D134">
        <v>33</v>
      </c>
      <c r="E134" s="2">
        <v>39544</v>
      </c>
      <c r="F134" t="s">
        <v>24</v>
      </c>
      <c r="G134" t="s">
        <v>36</v>
      </c>
      <c r="H134" t="s">
        <v>74</v>
      </c>
      <c r="I134" s="3">
        <v>8.4722222222222227E-2</v>
      </c>
      <c r="J134" s="8" t="s">
        <v>445</v>
      </c>
      <c r="K134" s="8" t="s">
        <v>445</v>
      </c>
      <c r="L134" s="8" t="str">
        <f>IF(Table1346[[#This Row],[Home Team Score]]&gt;Table1346[[#This Row],[Away Team Score]],"Win",IF(Table1346[[#This Row],[Home Team Score]]=Table1346[[#This Row],[Away Team Score]],"Tie","Lose"))</f>
        <v>Tie</v>
      </c>
      <c r="M134" t="s">
        <v>38</v>
      </c>
      <c r="N134">
        <v>9</v>
      </c>
      <c r="O134" s="3">
        <v>6.9444444444444447E-4</v>
      </c>
      <c r="P134" t="s">
        <v>31</v>
      </c>
      <c r="Q134" t="s">
        <v>110</v>
      </c>
      <c r="R134" t="e">
        <f>IF([1]!Table13[[#This Row],[Goal_assist]]="",1,0)</f>
        <v>#REF!</v>
      </c>
    </row>
    <row r="135" spans="1:18" x14ac:dyDescent="0.35">
      <c r="A135" t="s">
        <v>14</v>
      </c>
      <c r="B135" s="1">
        <v>45511</v>
      </c>
      <c r="C135" t="s">
        <v>35</v>
      </c>
      <c r="D135">
        <v>34</v>
      </c>
      <c r="E135" s="2">
        <v>39551</v>
      </c>
      <c r="F135" t="s">
        <v>16</v>
      </c>
      <c r="G135" t="s">
        <v>36</v>
      </c>
      <c r="H135" t="s">
        <v>54</v>
      </c>
      <c r="I135" s="3">
        <v>8.4027777777777785E-2</v>
      </c>
      <c r="J135" s="8" t="s">
        <v>445</v>
      </c>
      <c r="K135" s="8" t="s">
        <v>444</v>
      </c>
      <c r="L135" s="8" t="str">
        <f>IF(Table1346[[#This Row],[Home Team Score]]&gt;Table1346[[#This Row],[Away Team Score]],"Win",IF(Table1346[[#This Row],[Home Team Score]]=Table1346[[#This Row],[Away Team Score]],"Tie","Lose"))</f>
        <v>Win</v>
      </c>
      <c r="M135" t="s">
        <v>38</v>
      </c>
      <c r="N135">
        <v>53</v>
      </c>
      <c r="O135" s="3">
        <v>4.2361111111111113E-2</v>
      </c>
      <c r="P135" t="s">
        <v>83</v>
      </c>
      <c r="R135" t="e">
        <f>IF([1]!Table13[[#This Row],[Goal_assist]]="",1,0)</f>
        <v>#REF!</v>
      </c>
    </row>
    <row r="136" spans="1:18" x14ac:dyDescent="0.35">
      <c r="A136" t="s">
        <v>14</v>
      </c>
      <c r="B136" s="1">
        <v>45511</v>
      </c>
      <c r="C136" t="s">
        <v>35</v>
      </c>
      <c r="D136">
        <v>37</v>
      </c>
      <c r="E136" s="2">
        <v>39571</v>
      </c>
      <c r="F136" t="s">
        <v>16</v>
      </c>
      <c r="G136" t="s">
        <v>36</v>
      </c>
      <c r="H136" t="s">
        <v>140</v>
      </c>
      <c r="I136" s="3">
        <v>0.1673611111111111</v>
      </c>
      <c r="J136" s="8" t="s">
        <v>446</v>
      </c>
      <c r="K136" s="8" t="s">
        <v>444</v>
      </c>
      <c r="L136" s="8" t="str">
        <f>IF(Table1346[[#This Row],[Home Team Score]]&gt;Table1346[[#This Row],[Away Team Score]],"Win",IF(Table1346[[#This Row],[Home Team Score]]=Table1346[[#This Row],[Away Team Score]],"Tie","Lose"))</f>
        <v>Win</v>
      </c>
      <c r="M136" t="s">
        <v>38</v>
      </c>
      <c r="N136">
        <v>3</v>
      </c>
      <c r="O136" s="3">
        <v>4.1666666666666664E-2</v>
      </c>
      <c r="P136" t="s">
        <v>26</v>
      </c>
      <c r="Q136" t="s">
        <v>146</v>
      </c>
      <c r="R136" t="e">
        <f>IF([1]!Table13[[#This Row],[Goal_assist]]="",1,0)</f>
        <v>#REF!</v>
      </c>
    </row>
    <row r="137" spans="1:18" x14ac:dyDescent="0.35">
      <c r="A137" t="s">
        <v>14</v>
      </c>
      <c r="B137" s="1">
        <v>45511</v>
      </c>
      <c r="C137" t="s">
        <v>35</v>
      </c>
      <c r="D137">
        <v>37</v>
      </c>
      <c r="E137" s="2">
        <v>39571</v>
      </c>
      <c r="F137" t="s">
        <v>16</v>
      </c>
      <c r="G137" t="s">
        <v>36</v>
      </c>
      <c r="H137" t="s">
        <v>140</v>
      </c>
      <c r="I137" s="3">
        <v>0.1673611111111111</v>
      </c>
      <c r="J137" s="8" t="s">
        <v>446</v>
      </c>
      <c r="K137" s="8" t="s">
        <v>444</v>
      </c>
      <c r="L137" s="8" t="str">
        <f>IF(Table1346[[#This Row],[Home Team Score]]&gt;Table1346[[#This Row],[Away Team Score]],"Win",IF(Table1346[[#This Row],[Home Team Score]]=Table1346[[#This Row],[Away Team Score]],"Tie","Lose"))</f>
        <v>Win</v>
      </c>
      <c r="M137" t="s">
        <v>38</v>
      </c>
      <c r="N137">
        <v>24</v>
      </c>
      <c r="O137" s="3">
        <v>8.3333333333333329E-2</v>
      </c>
      <c r="P137" t="s">
        <v>26</v>
      </c>
      <c r="Q137" t="s">
        <v>147</v>
      </c>
      <c r="R137" t="e">
        <f>IF([1]!Table13[[#This Row],[Goal_assist]]="",1,0)</f>
        <v>#REF!</v>
      </c>
    </row>
    <row r="138" spans="1:18" x14ac:dyDescent="0.35">
      <c r="A138" t="s">
        <v>64</v>
      </c>
      <c r="B138" s="1">
        <v>45511</v>
      </c>
      <c r="C138" t="s">
        <v>65</v>
      </c>
      <c r="D138">
        <v>35</v>
      </c>
      <c r="E138" s="2">
        <v>39572</v>
      </c>
      <c r="F138" t="s">
        <v>16</v>
      </c>
      <c r="G138" t="s">
        <v>66</v>
      </c>
      <c r="H138" t="s">
        <v>148</v>
      </c>
      <c r="I138" s="3">
        <v>0.25</v>
      </c>
      <c r="J138" s="8" t="s">
        <v>450</v>
      </c>
      <c r="K138" s="8" t="s">
        <v>443</v>
      </c>
      <c r="L138" s="8" t="str">
        <f>IF(Table1346[[#This Row],[Home Team Score]]&gt;Table1346[[#This Row],[Away Team Score]],"Win",IF(Table1346[[#This Row],[Home Team Score]]=Table1346[[#This Row],[Away Team Score]],"Tie","Lose"))</f>
        <v>Win</v>
      </c>
      <c r="M138" t="s">
        <v>38</v>
      </c>
      <c r="N138">
        <v>5</v>
      </c>
      <c r="O138" s="3">
        <v>4.1666666666666664E-2</v>
      </c>
      <c r="P138" t="s">
        <v>83</v>
      </c>
      <c r="R138" t="e">
        <f>IF([1]!Table13[[#This Row],[Goal_assist]]="",1,0)</f>
        <v>#REF!</v>
      </c>
    </row>
    <row r="139" spans="1:18" x14ac:dyDescent="0.35">
      <c r="A139" t="s">
        <v>14</v>
      </c>
      <c r="B139" s="1">
        <v>45511</v>
      </c>
      <c r="C139" t="s">
        <v>35</v>
      </c>
      <c r="D139">
        <v>38</v>
      </c>
      <c r="E139" s="2">
        <v>39579</v>
      </c>
      <c r="F139" t="s">
        <v>24</v>
      </c>
      <c r="G139" t="s">
        <v>36</v>
      </c>
      <c r="H139" t="s">
        <v>96</v>
      </c>
      <c r="I139" s="3">
        <v>1.3888888888888889E-3</v>
      </c>
      <c r="J139" s="8" t="s">
        <v>443</v>
      </c>
      <c r="K139" s="8" t="s">
        <v>445</v>
      </c>
      <c r="L139" s="8" t="str">
        <f>IF(Table1346[[#This Row],[Home Team Score]]&gt;Table1346[[#This Row],[Away Team Score]],"Win",IF(Table1346[[#This Row],[Home Team Score]]=Table1346[[#This Row],[Away Team Score]],"Tie","Lose"))</f>
        <v>Lose</v>
      </c>
      <c r="M139" t="s">
        <v>38</v>
      </c>
      <c r="N139">
        <v>32</v>
      </c>
      <c r="O139" s="3">
        <v>6.9444444444444447E-4</v>
      </c>
      <c r="P139" t="s">
        <v>83</v>
      </c>
      <c r="R139" t="e">
        <f>IF([1]!Table13[[#This Row],[Goal_assist]]="",1,0)</f>
        <v>#REF!</v>
      </c>
    </row>
    <row r="140" spans="1:18" x14ac:dyDescent="0.35">
      <c r="A140" t="s">
        <v>14</v>
      </c>
      <c r="B140" s="1">
        <v>45511</v>
      </c>
      <c r="C140" t="s">
        <v>75</v>
      </c>
      <c r="D140" t="s">
        <v>46</v>
      </c>
      <c r="E140" s="2">
        <v>39589</v>
      </c>
      <c r="F140" t="s">
        <v>16</v>
      </c>
      <c r="G140" t="s">
        <v>36</v>
      </c>
      <c r="H140" t="s">
        <v>149</v>
      </c>
      <c r="I140" s="3">
        <v>0.25347222222222221</v>
      </c>
      <c r="J140" s="8">
        <v>6</v>
      </c>
      <c r="K140" s="8">
        <v>5</v>
      </c>
      <c r="L140" s="8" t="str">
        <f>IF(Table1346[[#This Row],[Home Team Score]]&gt;Table1346[[#This Row],[Away Team Score]],"Win",IF(Table1346[[#This Row],[Home Team Score]]=Table1346[[#This Row],[Away Team Score]],"Tie","Lose"))</f>
        <v>Win</v>
      </c>
      <c r="M140" t="s">
        <v>19</v>
      </c>
      <c r="N140">
        <v>26</v>
      </c>
      <c r="O140" s="3">
        <v>4.1666666666666664E-2</v>
      </c>
      <c r="P140" t="s">
        <v>22</v>
      </c>
      <c r="Q140" t="s">
        <v>124</v>
      </c>
      <c r="R140" t="e">
        <f>IF([1]!Table13[[#This Row],[Goal_assist]]="",1,0)</f>
        <v>#REF!</v>
      </c>
    </row>
    <row r="141" spans="1:18" x14ac:dyDescent="0.35">
      <c r="A141" t="s">
        <v>64</v>
      </c>
      <c r="B141" s="1">
        <v>45543</v>
      </c>
      <c r="C141" t="s">
        <v>65</v>
      </c>
      <c r="D141">
        <v>2</v>
      </c>
      <c r="E141" s="2">
        <v>39704</v>
      </c>
      <c r="F141" t="s">
        <v>16</v>
      </c>
      <c r="G141" t="s">
        <v>66</v>
      </c>
      <c r="H141" t="s">
        <v>78</v>
      </c>
      <c r="I141" s="3">
        <v>4.2361111111111113E-2</v>
      </c>
      <c r="J141" s="8" t="s">
        <v>444</v>
      </c>
      <c r="K141" s="8" t="s">
        <v>444</v>
      </c>
      <c r="L141" s="8" t="str">
        <f>IF(Table1346[[#This Row],[Home Team Score]]&gt;Table1346[[#This Row],[Away Team Score]],"Win",IF(Table1346[[#This Row],[Home Team Score]]=Table1346[[#This Row],[Away Team Score]],"Tie","Lose"))</f>
        <v>Tie</v>
      </c>
      <c r="M141" t="s">
        <v>38</v>
      </c>
      <c r="N141">
        <v>70</v>
      </c>
      <c r="O141" s="3">
        <v>4.1666666666666664E-2</v>
      </c>
      <c r="P141" t="s">
        <v>83</v>
      </c>
      <c r="R141" t="e">
        <f>IF([1]!Table13[[#This Row],[Goal_assist]]="",1,0)</f>
        <v>#REF!</v>
      </c>
    </row>
    <row r="142" spans="1:18" x14ac:dyDescent="0.35">
      <c r="A142" t="s">
        <v>64</v>
      </c>
      <c r="B142" s="1">
        <v>45543</v>
      </c>
      <c r="C142" t="s">
        <v>65</v>
      </c>
      <c r="D142">
        <v>3</v>
      </c>
      <c r="E142" s="2">
        <v>39712</v>
      </c>
      <c r="F142" t="s">
        <v>24</v>
      </c>
      <c r="G142" t="s">
        <v>66</v>
      </c>
      <c r="H142" t="s">
        <v>151</v>
      </c>
      <c r="I142" s="3">
        <v>4.583333333333333E-2</v>
      </c>
      <c r="J142" s="8" t="s">
        <v>444</v>
      </c>
      <c r="K142" s="8" t="s">
        <v>450</v>
      </c>
      <c r="L142" s="8" t="str">
        <f>IF(Table1346[[#This Row],[Home Team Score]]&gt;Table1346[[#This Row],[Away Team Score]],"Win",IF(Table1346[[#This Row],[Home Team Score]]=Table1346[[#This Row],[Away Team Score]],"Tie","Lose"))</f>
        <v>Lose</v>
      </c>
      <c r="M142" t="s">
        <v>38</v>
      </c>
      <c r="N142">
        <v>85</v>
      </c>
      <c r="O142" s="3">
        <v>4.5138888888888888E-2</v>
      </c>
      <c r="P142" t="s">
        <v>31</v>
      </c>
      <c r="Q142" t="s">
        <v>99</v>
      </c>
      <c r="R142" t="e">
        <f>IF([1]!Table13[[#This Row],[Goal_assist]]="",1,0)</f>
        <v>#REF!</v>
      </c>
    </row>
    <row r="143" spans="1:18" x14ac:dyDescent="0.35">
      <c r="A143" t="s">
        <v>64</v>
      </c>
      <c r="B143" s="1">
        <v>45543</v>
      </c>
      <c r="C143" t="s">
        <v>65</v>
      </c>
      <c r="D143">
        <v>3</v>
      </c>
      <c r="E143" s="2">
        <v>39712</v>
      </c>
      <c r="F143" t="s">
        <v>24</v>
      </c>
      <c r="G143" t="s">
        <v>66</v>
      </c>
      <c r="H143" t="s">
        <v>151</v>
      </c>
      <c r="I143" s="3">
        <v>4.583333333333333E-2</v>
      </c>
      <c r="J143" s="8" t="s">
        <v>444</v>
      </c>
      <c r="K143" s="8" t="s">
        <v>450</v>
      </c>
      <c r="L143" s="8" t="str">
        <f>IF(Table1346[[#This Row],[Home Team Score]]&gt;Table1346[[#This Row],[Away Team Score]],"Win",IF(Table1346[[#This Row],[Home Team Score]]=Table1346[[#This Row],[Away Team Score]],"Tie","Lose"))</f>
        <v>Lose</v>
      </c>
      <c r="M143" t="s">
        <v>38</v>
      </c>
      <c r="N143">
        <v>89</v>
      </c>
      <c r="O143" s="3">
        <v>4.583333333333333E-2</v>
      </c>
      <c r="P143" t="s">
        <v>22</v>
      </c>
      <c r="Q143" t="s">
        <v>106</v>
      </c>
      <c r="R143" t="e">
        <f>IF([1]!Table13[[#This Row],[Goal_assist]]="",1,0)</f>
        <v>#REF!</v>
      </c>
    </row>
    <row r="144" spans="1:18" x14ac:dyDescent="0.35">
      <c r="A144" t="s">
        <v>14</v>
      </c>
      <c r="B144" s="1">
        <v>45543</v>
      </c>
      <c r="C144" t="s">
        <v>80</v>
      </c>
      <c r="D144" t="s">
        <v>50</v>
      </c>
      <c r="E144" s="2">
        <v>39714</v>
      </c>
      <c r="F144" t="s">
        <v>16</v>
      </c>
      <c r="G144" t="s">
        <v>36</v>
      </c>
      <c r="H144" t="s">
        <v>74</v>
      </c>
      <c r="I144" s="3">
        <v>0.12569444444444444</v>
      </c>
      <c r="J144" s="8" t="s">
        <v>442</v>
      </c>
      <c r="K144" s="8" t="s">
        <v>444</v>
      </c>
      <c r="L144" s="8" t="str">
        <f>IF(Table1346[[#This Row],[Home Team Score]]&gt;Table1346[[#This Row],[Away Team Score]],"Win",IF(Table1346[[#This Row],[Home Team Score]]=Table1346[[#This Row],[Away Team Score]],"Tie","Lose"))</f>
        <v>Win</v>
      </c>
      <c r="M144" t="str">
        <f>M143</f>
        <v>RW</v>
      </c>
      <c r="N144">
        <v>25</v>
      </c>
      <c r="O144" s="3">
        <v>4.1666666666666664E-2</v>
      </c>
      <c r="P144" t="s">
        <v>22</v>
      </c>
      <c r="Q144" t="s">
        <v>44</v>
      </c>
      <c r="R144" t="e">
        <f>IF([1]!Table13[[#This Row],[Goal_assist]]="",1,0)</f>
        <v>#REF!</v>
      </c>
    </row>
    <row r="145" spans="1:18" x14ac:dyDescent="0.35">
      <c r="A145" t="s">
        <v>14</v>
      </c>
      <c r="B145" s="1">
        <v>45543</v>
      </c>
      <c r="C145" t="s">
        <v>35</v>
      </c>
      <c r="D145">
        <v>6</v>
      </c>
      <c r="E145" s="2">
        <v>39718</v>
      </c>
      <c r="F145" t="s">
        <v>16</v>
      </c>
      <c r="G145" t="s">
        <v>36</v>
      </c>
      <c r="H145" t="s">
        <v>84</v>
      </c>
      <c r="I145" s="3">
        <v>8.3333333333333329E-2</v>
      </c>
      <c r="J145" s="8" t="s">
        <v>445</v>
      </c>
      <c r="K145" s="8" t="s">
        <v>443</v>
      </c>
      <c r="L145" s="8" t="str">
        <f>IF(Table1346[[#This Row],[Home Team Score]]&gt;Table1346[[#This Row],[Away Team Score]],"Win",IF(Table1346[[#This Row],[Home Team Score]]=Table1346[[#This Row],[Away Team Score]],"Tie","Lose"))</f>
        <v>Win</v>
      </c>
      <c r="M145" t="s">
        <v>38</v>
      </c>
      <c r="N145">
        <v>59</v>
      </c>
      <c r="O145" s="3">
        <v>4.1666666666666664E-2</v>
      </c>
      <c r="P145" t="s">
        <v>83</v>
      </c>
      <c r="R145" t="e">
        <f>IF([1]!Table13[[#This Row],[Goal_assist]]="",1,0)</f>
        <v>#REF!</v>
      </c>
    </row>
    <row r="146" spans="1:18" x14ac:dyDescent="0.35">
      <c r="A146" t="s">
        <v>64</v>
      </c>
      <c r="B146" s="1">
        <v>45543</v>
      </c>
      <c r="C146" t="s">
        <v>65</v>
      </c>
      <c r="D146">
        <v>5</v>
      </c>
      <c r="E146" s="2">
        <v>39718</v>
      </c>
      <c r="F146" t="s">
        <v>24</v>
      </c>
      <c r="G146" t="s">
        <v>66</v>
      </c>
      <c r="H146" t="s">
        <v>121</v>
      </c>
      <c r="I146" s="3">
        <v>4.3055555555555555E-2</v>
      </c>
      <c r="J146" s="8" t="s">
        <v>444</v>
      </c>
      <c r="K146" s="8" t="s">
        <v>445</v>
      </c>
      <c r="L146" s="8" t="str">
        <f>IF(Table1346[[#This Row],[Home Team Score]]&gt;Table1346[[#This Row],[Away Team Score]],"Win",IF(Table1346[[#This Row],[Home Team Score]]=Table1346[[#This Row],[Away Team Score]],"Tie","Lose"))</f>
        <v>Lose</v>
      </c>
      <c r="M146" t="s">
        <v>38</v>
      </c>
      <c r="N146">
        <v>90</v>
      </c>
      <c r="O146" s="3">
        <v>4.3055555555555555E-2</v>
      </c>
      <c r="P146" t="s">
        <v>83</v>
      </c>
      <c r="R146" t="e">
        <f>IF([1]!Table13[[#This Row],[Goal_assist]]="",1,0)</f>
        <v>#REF!</v>
      </c>
    </row>
    <row r="147" spans="1:18" x14ac:dyDescent="0.35">
      <c r="A147" t="s">
        <v>64</v>
      </c>
      <c r="B147" s="1">
        <v>45543</v>
      </c>
      <c r="C147" t="s">
        <v>75</v>
      </c>
      <c r="D147" t="s">
        <v>76</v>
      </c>
      <c r="E147" s="2">
        <v>39722</v>
      </c>
      <c r="F147" t="s">
        <v>24</v>
      </c>
      <c r="G147" t="s">
        <v>66</v>
      </c>
      <c r="H147" t="s">
        <v>152</v>
      </c>
      <c r="I147" s="3">
        <v>4.3055555555555555E-2</v>
      </c>
      <c r="J147" s="8" t="s">
        <v>444</v>
      </c>
      <c r="K147" s="8" t="s">
        <v>445</v>
      </c>
      <c r="L147" s="8" t="str">
        <f>IF(Table1346[[#This Row],[Home Team Score]]&gt;Table1346[[#This Row],[Away Team Score]],"Win",IF(Table1346[[#This Row],[Home Team Score]]=Table1346[[#This Row],[Away Team Score]],"Tie","Lose"))</f>
        <v>Lose</v>
      </c>
      <c r="M147" t="s">
        <v>38</v>
      </c>
      <c r="N147" t="s">
        <v>141</v>
      </c>
      <c r="O147" s="3">
        <v>4.3055555555555555E-2</v>
      </c>
      <c r="P147" t="s">
        <v>31</v>
      </c>
      <c r="Q147" t="s">
        <v>106</v>
      </c>
      <c r="R147" t="e">
        <f>IF([1]!Table13[[#This Row],[Goal_assist]]="",1,0)</f>
        <v>#REF!</v>
      </c>
    </row>
    <row r="148" spans="1:18" x14ac:dyDescent="0.35">
      <c r="A148" t="s">
        <v>64</v>
      </c>
      <c r="B148" s="1">
        <v>45543</v>
      </c>
      <c r="C148" t="s">
        <v>75</v>
      </c>
      <c r="D148" t="s">
        <v>76</v>
      </c>
      <c r="E148" s="2">
        <v>39722</v>
      </c>
      <c r="F148" t="s">
        <v>24</v>
      </c>
      <c r="G148" t="s">
        <v>66</v>
      </c>
      <c r="H148" t="s">
        <v>152</v>
      </c>
      <c r="I148" s="3">
        <v>4.3055555555555555E-2</v>
      </c>
      <c r="J148" s="8" t="s">
        <v>444</v>
      </c>
      <c r="K148" s="8" t="s">
        <v>445</v>
      </c>
      <c r="L148" s="8" t="str">
        <f>IF(Table1346[[#This Row],[Home Team Score]]&gt;Table1346[[#This Row],[Away Team Score]],"Win",IF(Table1346[[#This Row],[Home Team Score]]=Table1346[[#This Row],[Away Team Score]],"Tie","Lose"))</f>
        <v>Lose</v>
      </c>
      <c r="M148" t="s">
        <v>38</v>
      </c>
      <c r="N148">
        <v>87</v>
      </c>
      <c r="O148" s="3">
        <v>4.2361111111111113E-2</v>
      </c>
      <c r="P148" t="s">
        <v>26</v>
      </c>
      <c r="Q148" t="s">
        <v>153</v>
      </c>
      <c r="R148" t="e">
        <f>IF([1]!Table13[[#This Row],[Goal_assist]]="",1,0)</f>
        <v>#REF!</v>
      </c>
    </row>
    <row r="149" spans="1:18" x14ac:dyDescent="0.35">
      <c r="A149" t="s">
        <v>64</v>
      </c>
      <c r="B149" s="1">
        <v>45543</v>
      </c>
      <c r="C149" t="s">
        <v>65</v>
      </c>
      <c r="D149">
        <v>6</v>
      </c>
      <c r="E149" s="2">
        <v>39725</v>
      </c>
      <c r="F149" t="s">
        <v>16</v>
      </c>
      <c r="G149" t="s">
        <v>66</v>
      </c>
      <c r="H149" t="s">
        <v>119</v>
      </c>
      <c r="I149" s="3">
        <v>0.25069444444444444</v>
      </c>
      <c r="J149" s="8" t="s">
        <v>450</v>
      </c>
      <c r="K149" s="8" t="s">
        <v>444</v>
      </c>
      <c r="L149" s="8" t="str">
        <f>IF(Table1346[[#This Row],[Home Team Score]]&gt;Table1346[[#This Row],[Away Team Score]],"Win",IF(Table1346[[#This Row],[Home Team Score]]=Table1346[[#This Row],[Away Team Score]],"Tie","Lose"))</f>
        <v>Win</v>
      </c>
      <c r="M149" t="s">
        <v>38</v>
      </c>
      <c r="N149">
        <v>8</v>
      </c>
      <c r="O149" s="3">
        <v>0.125</v>
      </c>
      <c r="P149" t="s">
        <v>39</v>
      </c>
      <c r="R149" t="e">
        <f>IF([1]!Table13[[#This Row],[Goal_assist]]="",1,0)</f>
        <v>#REF!</v>
      </c>
    </row>
    <row r="150" spans="1:18" x14ac:dyDescent="0.35">
      <c r="A150" t="s">
        <v>14</v>
      </c>
      <c r="B150" s="1">
        <v>45543</v>
      </c>
      <c r="C150" t="s">
        <v>35</v>
      </c>
      <c r="D150">
        <v>8</v>
      </c>
      <c r="E150" s="2">
        <v>39739</v>
      </c>
      <c r="F150" t="s">
        <v>16</v>
      </c>
      <c r="G150" t="s">
        <v>36</v>
      </c>
      <c r="H150" t="s">
        <v>82</v>
      </c>
      <c r="I150" s="3">
        <v>0.16666666666666666</v>
      </c>
      <c r="J150" s="8" t="s">
        <v>446</v>
      </c>
      <c r="K150" s="8" t="s">
        <v>443</v>
      </c>
      <c r="L150" s="8" t="str">
        <f>IF(Table1346[[#This Row],[Home Team Score]]&gt;Table1346[[#This Row],[Away Team Score]],"Win",IF(Table1346[[#This Row],[Home Team Score]]=Table1346[[#This Row],[Away Team Score]],"Tie","Lose"))</f>
        <v>Win</v>
      </c>
      <c r="M150" t="s">
        <v>38</v>
      </c>
      <c r="N150">
        <v>69</v>
      </c>
      <c r="O150" s="3">
        <v>8.3333333333333329E-2</v>
      </c>
      <c r="P150" t="s">
        <v>31</v>
      </c>
      <c r="Q150" t="s">
        <v>85</v>
      </c>
      <c r="R150" t="e">
        <f>IF([1]!Table13[[#This Row],[Goal_assist]]="",1,0)</f>
        <v>#REF!</v>
      </c>
    </row>
    <row r="151" spans="1:18" x14ac:dyDescent="0.35">
      <c r="A151" t="s">
        <v>64</v>
      </c>
      <c r="B151" s="1">
        <v>45543</v>
      </c>
      <c r="C151" t="s">
        <v>75</v>
      </c>
      <c r="D151" t="s">
        <v>76</v>
      </c>
      <c r="E151" s="2">
        <v>39743</v>
      </c>
      <c r="F151" t="s">
        <v>24</v>
      </c>
      <c r="G151" t="s">
        <v>66</v>
      </c>
      <c r="H151" t="s">
        <v>154</v>
      </c>
      <c r="I151" s="3">
        <v>3.472222222222222E-3</v>
      </c>
      <c r="J151" s="8" t="s">
        <v>443</v>
      </c>
      <c r="K151" s="8" t="s">
        <v>448</v>
      </c>
      <c r="L151" s="8" t="str">
        <f>IF(Table1346[[#This Row],[Home Team Score]]&gt;Table1346[[#This Row],[Away Team Score]],"Win",IF(Table1346[[#This Row],[Home Team Score]]=Table1346[[#This Row],[Away Team Score]],"Tie","Lose"))</f>
        <v>Lose</v>
      </c>
      <c r="M151" t="s">
        <v>68</v>
      </c>
      <c r="N151">
        <v>4</v>
      </c>
      <c r="O151" s="3">
        <v>6.9444444444444447E-4</v>
      </c>
      <c r="P151" t="s">
        <v>31</v>
      </c>
      <c r="Q151" t="s">
        <v>155</v>
      </c>
      <c r="R151" t="e">
        <f>IF([1]!Table13[[#This Row],[Goal_assist]]="",1,0)</f>
        <v>#REF!</v>
      </c>
    </row>
    <row r="152" spans="1:18" x14ac:dyDescent="0.35">
      <c r="A152" t="s">
        <v>14</v>
      </c>
      <c r="B152" s="1">
        <v>45543</v>
      </c>
      <c r="C152" t="s">
        <v>35</v>
      </c>
      <c r="D152">
        <v>10</v>
      </c>
      <c r="E152" s="2">
        <v>39750</v>
      </c>
      <c r="F152" t="s">
        <v>16</v>
      </c>
      <c r="G152" t="s">
        <v>36</v>
      </c>
      <c r="H152" t="s">
        <v>140</v>
      </c>
      <c r="I152" s="3">
        <v>8.3333333333333329E-2</v>
      </c>
      <c r="J152" s="8" t="s">
        <v>445</v>
      </c>
      <c r="K152" s="8" t="s">
        <v>443</v>
      </c>
      <c r="L152" s="8" t="str">
        <f>IF(Table1346[[#This Row],[Home Team Score]]&gt;Table1346[[#This Row],[Away Team Score]],"Win",IF(Table1346[[#This Row],[Home Team Score]]=Table1346[[#This Row],[Away Team Score]],"Tie","Lose"))</f>
        <v>Win</v>
      </c>
      <c r="M152" t="s">
        <v>38</v>
      </c>
      <c r="N152">
        <v>30</v>
      </c>
      <c r="O152" s="3">
        <v>8.3333333333333329E-2</v>
      </c>
      <c r="P152" t="s">
        <v>26</v>
      </c>
      <c r="Q152" t="s">
        <v>156</v>
      </c>
      <c r="R152" t="e">
        <f>IF([1]!Table13[[#This Row],[Goal_assist]]="",1,0)</f>
        <v>#REF!</v>
      </c>
    </row>
    <row r="153" spans="1:18" x14ac:dyDescent="0.35">
      <c r="A153" t="s">
        <v>14</v>
      </c>
      <c r="B153" s="1">
        <v>45543</v>
      </c>
      <c r="C153" t="s">
        <v>35</v>
      </c>
      <c r="D153">
        <v>10</v>
      </c>
      <c r="E153" s="2">
        <v>39750</v>
      </c>
      <c r="F153" t="s">
        <v>16</v>
      </c>
      <c r="G153" t="s">
        <v>36</v>
      </c>
      <c r="H153" t="s">
        <v>140</v>
      </c>
      <c r="I153" s="3">
        <v>8.3333333333333329E-2</v>
      </c>
      <c r="J153" s="8" t="s">
        <v>445</v>
      </c>
      <c r="K153" s="8" t="s">
        <v>443</v>
      </c>
      <c r="L153" s="8" t="str">
        <f>IF(Table1346[[#This Row],[Home Team Score]]&gt;Table1346[[#This Row],[Away Team Score]],"Win",IF(Table1346[[#This Row],[Home Team Score]]=Table1346[[#This Row],[Away Team Score]],"Tie","Lose"))</f>
        <v>Win</v>
      </c>
      <c r="M153" t="s">
        <v>38</v>
      </c>
      <c r="N153">
        <v>14</v>
      </c>
      <c r="O153" s="3">
        <v>4.1666666666666664E-2</v>
      </c>
      <c r="P153" t="s">
        <v>31</v>
      </c>
      <c r="Q153" t="s">
        <v>142</v>
      </c>
      <c r="R153" t="e">
        <f>IF([1]!Table13[[#This Row],[Goal_assist]]="",1,0)</f>
        <v>#REF!</v>
      </c>
    </row>
    <row r="154" spans="1:18" x14ac:dyDescent="0.35">
      <c r="A154" t="s">
        <v>64</v>
      </c>
      <c r="B154" s="1">
        <v>45543</v>
      </c>
      <c r="C154" t="s">
        <v>65</v>
      </c>
      <c r="D154">
        <v>9</v>
      </c>
      <c r="E154" s="2">
        <v>39753</v>
      </c>
      <c r="F154" t="s">
        <v>24</v>
      </c>
      <c r="G154" t="s">
        <v>66</v>
      </c>
      <c r="H154" t="s">
        <v>157</v>
      </c>
      <c r="I154" s="3">
        <v>4.4444444444444446E-2</v>
      </c>
      <c r="J154" s="8" t="s">
        <v>444</v>
      </c>
      <c r="K154" s="8" t="s">
        <v>446</v>
      </c>
      <c r="L154" s="8" t="str">
        <f>IF(Table1346[[#This Row],[Home Team Score]]&gt;Table1346[[#This Row],[Away Team Score]],"Win",IF(Table1346[[#This Row],[Home Team Score]]=Table1346[[#This Row],[Away Team Score]],"Tie","Lose"))</f>
        <v>Lose</v>
      </c>
      <c r="M154" t="s">
        <v>38</v>
      </c>
      <c r="N154">
        <v>19</v>
      </c>
      <c r="O154" s="3">
        <v>4.3055555555555555E-2</v>
      </c>
      <c r="P154" t="s">
        <v>31</v>
      </c>
      <c r="R154" t="e">
        <f>IF([1]!Table13[[#This Row],[Goal_assist]]="",1,0)</f>
        <v>#REF!</v>
      </c>
    </row>
    <row r="155" spans="1:18" x14ac:dyDescent="0.35">
      <c r="A155" t="s">
        <v>14</v>
      </c>
      <c r="B155" s="1">
        <v>45543</v>
      </c>
      <c r="C155" t="s">
        <v>35</v>
      </c>
      <c r="D155">
        <v>11</v>
      </c>
      <c r="E155" s="2">
        <v>39753</v>
      </c>
      <c r="F155" t="s">
        <v>16</v>
      </c>
      <c r="G155" t="s">
        <v>36</v>
      </c>
      <c r="H155" t="s">
        <v>158</v>
      </c>
      <c r="I155" s="3">
        <v>0.16875000000000001</v>
      </c>
      <c r="J155" s="8" t="s">
        <v>446</v>
      </c>
      <c r="K155" s="8" t="s">
        <v>442</v>
      </c>
      <c r="L155" s="8" t="str">
        <f>IF(Table1346[[#This Row],[Home Team Score]]&gt;Table1346[[#This Row],[Away Team Score]],"Win",IF(Table1346[[#This Row],[Home Team Score]]=Table1346[[#This Row],[Away Team Score]],"Tie","Lose"))</f>
        <v>Win</v>
      </c>
      <c r="M155" t="s">
        <v>38</v>
      </c>
      <c r="N155">
        <v>43</v>
      </c>
      <c r="O155" s="3">
        <v>0.12569444444444444</v>
      </c>
      <c r="P155" t="s">
        <v>22</v>
      </c>
      <c r="Q155" t="s">
        <v>142</v>
      </c>
      <c r="R155" t="e">
        <f>IF([1]!Table13[[#This Row],[Goal_assist]]="",1,0)</f>
        <v>#REF!</v>
      </c>
    </row>
    <row r="156" spans="1:18" x14ac:dyDescent="0.35">
      <c r="A156" t="s">
        <v>14</v>
      </c>
      <c r="B156" s="1">
        <v>45543</v>
      </c>
      <c r="C156" t="s">
        <v>35</v>
      </c>
      <c r="D156">
        <v>11</v>
      </c>
      <c r="E156" s="2">
        <v>39753</v>
      </c>
      <c r="F156" t="s">
        <v>16</v>
      </c>
      <c r="G156" t="s">
        <v>36</v>
      </c>
      <c r="H156" t="s">
        <v>158</v>
      </c>
      <c r="I156" s="3">
        <v>0.16875000000000001</v>
      </c>
      <c r="J156" s="8" t="s">
        <v>446</v>
      </c>
      <c r="K156" s="8" t="s">
        <v>442</v>
      </c>
      <c r="L156" s="8" t="str">
        <f>IF(Table1346[[#This Row],[Home Team Score]]&gt;Table1346[[#This Row],[Away Team Score]],"Win",IF(Table1346[[#This Row],[Home Team Score]]=Table1346[[#This Row],[Away Team Score]],"Tie","Lose"))</f>
        <v>Win</v>
      </c>
      <c r="M156" t="s">
        <v>38</v>
      </c>
      <c r="N156">
        <v>3</v>
      </c>
      <c r="O156" s="3">
        <v>4.1666666666666664E-2</v>
      </c>
      <c r="P156" t="s">
        <v>31</v>
      </c>
      <c r="Q156" t="s">
        <v>156</v>
      </c>
      <c r="R156" t="e">
        <f>IF([1]!Table13[[#This Row],[Goal_assist]]="",1,0)</f>
        <v>#REF!</v>
      </c>
    </row>
    <row r="157" spans="1:18" x14ac:dyDescent="0.35">
      <c r="A157" t="s">
        <v>64</v>
      </c>
      <c r="B157" s="1">
        <v>45543</v>
      </c>
      <c r="C157" t="s">
        <v>75</v>
      </c>
      <c r="D157" t="s">
        <v>76</v>
      </c>
      <c r="E157" s="2">
        <v>39756</v>
      </c>
      <c r="F157" t="s">
        <v>16</v>
      </c>
      <c r="G157" t="s">
        <v>66</v>
      </c>
      <c r="H157" t="s">
        <v>154</v>
      </c>
      <c r="I157" s="3">
        <v>4.2361111111111113E-2</v>
      </c>
      <c r="J157" s="8" t="s">
        <v>444</v>
      </c>
      <c r="K157" s="8" t="s">
        <v>444</v>
      </c>
      <c r="L157" s="8" t="str">
        <f>IF(Table1346[[#This Row],[Home Team Score]]&gt;Table1346[[#This Row],[Away Team Score]],"Win",IF(Table1346[[#This Row],[Home Team Score]]=Table1346[[#This Row],[Away Team Score]],"Tie","Lose"))</f>
        <v>Tie</v>
      </c>
      <c r="M157" t="s">
        <v>38</v>
      </c>
      <c r="N157">
        <v>61</v>
      </c>
      <c r="O157" s="3">
        <v>4.1666666666666664E-2</v>
      </c>
      <c r="P157" t="s">
        <v>31</v>
      </c>
      <c r="Q157" t="s">
        <v>126</v>
      </c>
      <c r="R157" t="e">
        <f>IF([1]!Table13[[#This Row],[Goal_assist]]="",1,0)</f>
        <v>#REF!</v>
      </c>
    </row>
    <row r="158" spans="1:18" x14ac:dyDescent="0.35">
      <c r="A158" t="s">
        <v>64</v>
      </c>
      <c r="B158" s="1">
        <v>45543</v>
      </c>
      <c r="C158" t="s">
        <v>91</v>
      </c>
      <c r="D158" t="s">
        <v>33</v>
      </c>
      <c r="E158" s="2">
        <v>39764</v>
      </c>
      <c r="F158" t="s">
        <v>16</v>
      </c>
      <c r="G158" t="s">
        <v>66</v>
      </c>
      <c r="H158" t="s">
        <v>159</v>
      </c>
      <c r="I158" s="3">
        <v>4.1666666666666664E-2</v>
      </c>
      <c r="J158" s="8" t="s">
        <v>444</v>
      </c>
      <c r="K158" s="8" t="s">
        <v>443</v>
      </c>
      <c r="L158" s="8" t="str">
        <f>IF(Table1346[[#This Row],[Home Team Score]]&gt;Table1346[[#This Row],[Away Team Score]],"Win",IF(Table1346[[#This Row],[Home Team Score]]=Table1346[[#This Row],[Away Team Score]],"Tie","Lose"))</f>
        <v>Win</v>
      </c>
      <c r="M158" t="s">
        <v>38</v>
      </c>
      <c r="N158">
        <v>86</v>
      </c>
      <c r="O158" s="3">
        <v>4.1666666666666664E-2</v>
      </c>
      <c r="P158" t="s">
        <v>107</v>
      </c>
      <c r="R158" t="e">
        <f>IF([1]!Table13[[#This Row],[Goal_assist]]="",1,0)</f>
        <v>#REF!</v>
      </c>
    </row>
    <row r="159" spans="1:18" x14ac:dyDescent="0.35">
      <c r="A159" t="s">
        <v>14</v>
      </c>
      <c r="B159" s="1">
        <v>45543</v>
      </c>
      <c r="C159" t="s">
        <v>35</v>
      </c>
      <c r="D159">
        <v>13</v>
      </c>
      <c r="E159" s="2">
        <v>39767</v>
      </c>
      <c r="F159" t="s">
        <v>16</v>
      </c>
      <c r="G159" t="s">
        <v>36</v>
      </c>
      <c r="H159" t="s">
        <v>160</v>
      </c>
      <c r="I159" s="3">
        <v>0.20833333333333334</v>
      </c>
      <c r="J159" s="8" t="s">
        <v>448</v>
      </c>
      <c r="K159" s="8" t="s">
        <v>443</v>
      </c>
      <c r="L159" s="8" t="str">
        <f>IF(Table1346[[#This Row],[Home Team Score]]&gt;Table1346[[#This Row],[Away Team Score]],"Win",IF(Table1346[[#This Row],[Home Team Score]]=Table1346[[#This Row],[Away Team Score]],"Tie","Lose"))</f>
        <v>Win</v>
      </c>
      <c r="M159" t="s">
        <v>38</v>
      </c>
      <c r="N159">
        <v>88</v>
      </c>
      <c r="O159" s="3">
        <v>0.20833333333333334</v>
      </c>
      <c r="P159" t="s">
        <v>39</v>
      </c>
      <c r="R159" t="e">
        <f>IF([1]!Table13[[#This Row],[Goal_assist]]="",1,0)</f>
        <v>#REF!</v>
      </c>
    </row>
    <row r="160" spans="1:18" x14ac:dyDescent="0.35">
      <c r="A160" t="s">
        <v>14</v>
      </c>
      <c r="B160" s="1">
        <v>45543</v>
      </c>
      <c r="C160" t="s">
        <v>35</v>
      </c>
      <c r="D160">
        <v>13</v>
      </c>
      <c r="E160" s="2">
        <v>39767</v>
      </c>
      <c r="F160" t="s">
        <v>16</v>
      </c>
      <c r="G160" t="s">
        <v>36</v>
      </c>
      <c r="H160" t="s">
        <v>160</v>
      </c>
      <c r="I160" s="3">
        <v>0.20833333333333334</v>
      </c>
      <c r="J160" s="8" t="s">
        <v>448</v>
      </c>
      <c r="K160" s="8" t="s">
        <v>443</v>
      </c>
      <c r="L160" s="8" t="str">
        <f>IF(Table1346[[#This Row],[Home Team Score]]&gt;Table1346[[#This Row],[Away Team Score]],"Win",IF(Table1346[[#This Row],[Home Team Score]]=Table1346[[#This Row],[Away Team Score]],"Tie","Lose"))</f>
        <v>Win</v>
      </c>
      <c r="M160" t="s">
        <v>38</v>
      </c>
      <c r="N160">
        <v>3</v>
      </c>
      <c r="O160" s="3">
        <v>4.1666666666666664E-2</v>
      </c>
      <c r="P160" t="s">
        <v>39</v>
      </c>
      <c r="R160" t="e">
        <f>IF([1]!Table13[[#This Row],[Goal_assist]]="",1,0)</f>
        <v>#REF!</v>
      </c>
    </row>
    <row r="161" spans="1:18" x14ac:dyDescent="0.35">
      <c r="A161" t="s">
        <v>64</v>
      </c>
      <c r="B161" s="1">
        <v>45543</v>
      </c>
      <c r="C161" t="s">
        <v>65</v>
      </c>
      <c r="D161">
        <v>11</v>
      </c>
      <c r="E161" s="2">
        <v>39768</v>
      </c>
      <c r="F161" t="s">
        <v>24</v>
      </c>
      <c r="G161" t="s">
        <v>66</v>
      </c>
      <c r="H161" t="s">
        <v>113</v>
      </c>
      <c r="I161" s="3">
        <v>1.3888888888888889E-3</v>
      </c>
      <c r="J161" s="8" t="s">
        <v>443</v>
      </c>
      <c r="K161" s="8" t="s">
        <v>445</v>
      </c>
      <c r="L161" s="8" t="str">
        <f>IF(Table1346[[#This Row],[Home Team Score]]&gt;Table1346[[#This Row],[Away Team Score]],"Win",IF(Table1346[[#This Row],[Home Team Score]]=Table1346[[#This Row],[Away Team Score]],"Tie","Lose"))</f>
        <v>Lose</v>
      </c>
      <c r="M161" t="s">
        <v>38</v>
      </c>
      <c r="N161">
        <v>51</v>
      </c>
      <c r="O161" s="3">
        <v>6.9444444444444447E-4</v>
      </c>
      <c r="P161" t="s">
        <v>31</v>
      </c>
      <c r="Q161" t="s">
        <v>106</v>
      </c>
      <c r="R161" t="e">
        <f>IF([1]!Table13[[#This Row],[Goal_assist]]="",1,0)</f>
        <v>#REF!</v>
      </c>
    </row>
    <row r="162" spans="1:18" x14ac:dyDescent="0.35">
      <c r="A162" t="s">
        <v>64</v>
      </c>
      <c r="B162" s="1">
        <v>45543</v>
      </c>
      <c r="C162" t="s">
        <v>75</v>
      </c>
      <c r="D162" t="s">
        <v>76</v>
      </c>
      <c r="E162" s="2">
        <v>39778</v>
      </c>
      <c r="F162" t="s">
        <v>24</v>
      </c>
      <c r="G162" t="s">
        <v>66</v>
      </c>
      <c r="H162" t="s">
        <v>17</v>
      </c>
      <c r="I162" s="3">
        <v>8.6805555555555552E-2</v>
      </c>
      <c r="J162" s="8" t="s">
        <v>445</v>
      </c>
      <c r="K162" s="8" t="s">
        <v>448</v>
      </c>
      <c r="L162" s="8" t="str">
        <f>IF(Table1346[[#This Row],[Home Team Score]]&gt;Table1346[[#This Row],[Away Team Score]],"Win",IF(Table1346[[#This Row],[Home Team Score]]=Table1346[[#This Row],[Away Team Score]],"Tie","Lose"))</f>
        <v>Lose</v>
      </c>
      <c r="M162" t="s">
        <v>38</v>
      </c>
      <c r="N162">
        <v>49</v>
      </c>
      <c r="O162" s="3">
        <v>2.0833333333333333E-3</v>
      </c>
      <c r="P162" t="s">
        <v>31</v>
      </c>
      <c r="Q162" t="s">
        <v>155</v>
      </c>
      <c r="R162" t="e">
        <f>IF([1]!Table13[[#This Row],[Goal_assist]]="",1,0)</f>
        <v>#REF!</v>
      </c>
    </row>
    <row r="163" spans="1:18" x14ac:dyDescent="0.35">
      <c r="A163" t="s">
        <v>64</v>
      </c>
      <c r="B163" s="1">
        <v>45543</v>
      </c>
      <c r="C163" t="s">
        <v>65</v>
      </c>
      <c r="D163">
        <v>13</v>
      </c>
      <c r="E163" s="2">
        <v>39781</v>
      </c>
      <c r="F163" t="s">
        <v>24</v>
      </c>
      <c r="G163" t="s">
        <v>66</v>
      </c>
      <c r="H163" t="s">
        <v>105</v>
      </c>
      <c r="I163" s="3">
        <v>2.0833333333333333E-3</v>
      </c>
      <c r="J163" s="8" t="s">
        <v>443</v>
      </c>
      <c r="K163" s="8" t="s">
        <v>442</v>
      </c>
      <c r="L163" s="8" t="str">
        <f>IF(Table1346[[#This Row],[Home Team Score]]&gt;Table1346[[#This Row],[Away Team Score]],"Win",IF(Table1346[[#This Row],[Home Team Score]]=Table1346[[#This Row],[Away Team Score]],"Tie","Lose"))</f>
        <v>Lose</v>
      </c>
      <c r="M163" t="s">
        <v>38</v>
      </c>
      <c r="N163">
        <v>78</v>
      </c>
      <c r="O163" s="3">
        <v>1.3888888888888889E-3</v>
      </c>
      <c r="P163" t="s">
        <v>31</v>
      </c>
      <c r="Q163" t="s">
        <v>106</v>
      </c>
      <c r="R163" t="e">
        <f>IF([1]!Table13[[#This Row],[Goal_assist]]="",1,0)</f>
        <v>#REF!</v>
      </c>
    </row>
    <row r="164" spans="1:18" x14ac:dyDescent="0.35">
      <c r="A164" t="s">
        <v>64</v>
      </c>
      <c r="B164" s="1">
        <v>45543</v>
      </c>
      <c r="C164" t="s">
        <v>65</v>
      </c>
      <c r="D164">
        <v>13</v>
      </c>
      <c r="E164" s="2">
        <v>39781</v>
      </c>
      <c r="F164" t="s">
        <v>24</v>
      </c>
      <c r="G164" t="s">
        <v>66</v>
      </c>
      <c r="H164" t="s">
        <v>105</v>
      </c>
      <c r="I164" s="3">
        <v>2.0833333333333333E-3</v>
      </c>
      <c r="J164" s="8" t="s">
        <v>443</v>
      </c>
      <c r="K164" s="8" t="s">
        <v>442</v>
      </c>
      <c r="L164" s="8" t="str">
        <f>IF(Table1346[[#This Row],[Home Team Score]]&gt;Table1346[[#This Row],[Away Team Score]],"Win",IF(Table1346[[#This Row],[Home Team Score]]=Table1346[[#This Row],[Away Team Score]],"Tie","Lose"))</f>
        <v>Lose</v>
      </c>
      <c r="M164" t="s">
        <v>38</v>
      </c>
      <c r="N164" t="s">
        <v>141</v>
      </c>
      <c r="O164" s="3">
        <v>2.0833333333333333E-3</v>
      </c>
      <c r="P164" t="s">
        <v>31</v>
      </c>
      <c r="Q164" t="s">
        <v>161</v>
      </c>
      <c r="R164" t="e">
        <f>IF([1]!Table13[[#This Row],[Goal_assist]]="",1,0)</f>
        <v>#REF!</v>
      </c>
    </row>
    <row r="165" spans="1:18" x14ac:dyDescent="0.35">
      <c r="A165" t="s">
        <v>64</v>
      </c>
      <c r="B165" s="1">
        <v>45543</v>
      </c>
      <c r="C165" t="s">
        <v>65</v>
      </c>
      <c r="D165">
        <v>15</v>
      </c>
      <c r="E165" s="2">
        <v>39795</v>
      </c>
      <c r="F165" t="s">
        <v>16</v>
      </c>
      <c r="G165" t="s">
        <v>66</v>
      </c>
      <c r="H165" t="s">
        <v>112</v>
      </c>
      <c r="I165" s="3">
        <v>8.3333333333333329E-2</v>
      </c>
      <c r="J165" s="8" t="s">
        <v>445</v>
      </c>
      <c r="K165" s="8" t="s">
        <v>443</v>
      </c>
      <c r="L165" s="8" t="str">
        <f>IF(Table1346[[#This Row],[Home Team Score]]&gt;Table1346[[#This Row],[Away Team Score]],"Win",IF(Table1346[[#This Row],[Home Team Score]]=Table1346[[#This Row],[Away Team Score]],"Tie","Lose"))</f>
        <v>Win</v>
      </c>
      <c r="M165" t="s">
        <v>38</v>
      </c>
      <c r="N165">
        <v>89</v>
      </c>
      <c r="O165" s="3">
        <v>8.3333333333333329E-2</v>
      </c>
      <c r="P165" t="s">
        <v>162</v>
      </c>
      <c r="Q165" t="s">
        <v>126</v>
      </c>
      <c r="R165" t="e">
        <f>IF([1]!Table13[[#This Row],[Goal_assist]]="",1,0)</f>
        <v>#REF!</v>
      </c>
    </row>
    <row r="166" spans="1:18" x14ac:dyDescent="0.35">
      <c r="A166" t="s">
        <v>14</v>
      </c>
      <c r="B166" s="1">
        <v>45543</v>
      </c>
      <c r="C166" t="s">
        <v>163</v>
      </c>
      <c r="D166" t="s">
        <v>62</v>
      </c>
      <c r="E166" s="2">
        <v>39800</v>
      </c>
      <c r="F166" t="s">
        <v>24</v>
      </c>
      <c r="G166" t="s">
        <v>36</v>
      </c>
      <c r="H166" t="s">
        <v>164</v>
      </c>
      <c r="I166" s="3">
        <v>0.12847222222222221</v>
      </c>
      <c r="J166" s="8" t="s">
        <v>442</v>
      </c>
      <c r="K166" s="8" t="s">
        <v>448</v>
      </c>
      <c r="L166" s="8" t="str">
        <f>IF(Table1346[[#This Row],[Home Team Score]]&gt;Table1346[[#This Row],[Away Team Score]],"Win",IF(Table1346[[#This Row],[Home Team Score]]=Table1346[[#This Row],[Away Team Score]],"Tie","Lose"))</f>
        <v>Lose</v>
      </c>
      <c r="M166" t="s">
        <v>19</v>
      </c>
      <c r="N166" t="s">
        <v>58</v>
      </c>
      <c r="O166" s="3">
        <v>1.3888888888888889E-3</v>
      </c>
      <c r="P166" t="s">
        <v>22</v>
      </c>
      <c r="Q166" t="s">
        <v>44</v>
      </c>
      <c r="R166" t="e">
        <f>IF([1]!Table13[[#This Row],[Goal_assist]]="",1,0)</f>
        <v>#REF!</v>
      </c>
    </row>
    <row r="167" spans="1:18" x14ac:dyDescent="0.35">
      <c r="A167" t="s">
        <v>64</v>
      </c>
      <c r="B167" s="1">
        <v>45543</v>
      </c>
      <c r="C167" t="s">
        <v>91</v>
      </c>
      <c r="D167" t="s">
        <v>81</v>
      </c>
      <c r="E167" s="2">
        <v>39819</v>
      </c>
      <c r="F167" t="s">
        <v>24</v>
      </c>
      <c r="G167" t="s">
        <v>66</v>
      </c>
      <c r="H167" t="s">
        <v>119</v>
      </c>
      <c r="I167" s="3">
        <v>4.3749999999999997E-2</v>
      </c>
      <c r="J167" s="8" t="s">
        <v>444</v>
      </c>
      <c r="K167" s="8" t="s">
        <v>442</v>
      </c>
      <c r="L167" s="8" t="str">
        <f>IF(Table1346[[#This Row],[Home Team Score]]&gt;Table1346[[#This Row],[Away Team Score]],"Win",IF(Table1346[[#This Row],[Home Team Score]]=Table1346[[#This Row],[Away Team Score]],"Tie","Lose"))</f>
        <v>Lose</v>
      </c>
      <c r="M167" t="s">
        <v>38</v>
      </c>
      <c r="N167">
        <v>57</v>
      </c>
      <c r="O167" s="3">
        <v>1.3888888888888889E-3</v>
      </c>
      <c r="P167" t="s">
        <v>83</v>
      </c>
      <c r="R167" t="e">
        <f>IF([1]!Table13[[#This Row],[Goal_assist]]="",1,0)</f>
        <v>#REF!</v>
      </c>
    </row>
    <row r="168" spans="1:18" x14ac:dyDescent="0.35">
      <c r="A168" t="s">
        <v>64</v>
      </c>
      <c r="B168" s="1">
        <v>45543</v>
      </c>
      <c r="C168" t="s">
        <v>91</v>
      </c>
      <c r="D168" t="s">
        <v>81</v>
      </c>
      <c r="E168" s="2">
        <v>39819</v>
      </c>
      <c r="F168" t="s">
        <v>24</v>
      </c>
      <c r="G168" t="s">
        <v>66</v>
      </c>
      <c r="H168" t="s">
        <v>119</v>
      </c>
      <c r="I168" s="3">
        <v>4.3749999999999997E-2</v>
      </c>
      <c r="J168" s="8" t="s">
        <v>444</v>
      </c>
      <c r="K168" s="8" t="s">
        <v>442</v>
      </c>
      <c r="L168" s="8" t="str">
        <f>IF(Table1346[[#This Row],[Home Team Score]]&gt;Table1346[[#This Row],[Away Team Score]],"Win",IF(Table1346[[#This Row],[Home Team Score]]=Table1346[[#This Row],[Away Team Score]],"Tie","Lose"))</f>
        <v>Lose</v>
      </c>
      <c r="M168" t="s">
        <v>38</v>
      </c>
      <c r="N168">
        <v>79</v>
      </c>
      <c r="O168" s="3">
        <v>4.3749999999999997E-2</v>
      </c>
      <c r="P168" t="s">
        <v>26</v>
      </c>
      <c r="Q168" t="s">
        <v>99</v>
      </c>
      <c r="R168" t="e">
        <f>IF([1]!Table13[[#This Row],[Goal_assist]]="",1,0)</f>
        <v>#REF!</v>
      </c>
    </row>
    <row r="169" spans="1:18" x14ac:dyDescent="0.35">
      <c r="A169" t="s">
        <v>64</v>
      </c>
      <c r="B169" s="1">
        <v>45543</v>
      </c>
      <c r="C169" t="s">
        <v>91</v>
      </c>
      <c r="D169" t="s">
        <v>81</v>
      </c>
      <c r="E169" s="2">
        <v>39819</v>
      </c>
      <c r="F169" t="s">
        <v>24</v>
      </c>
      <c r="G169" t="s">
        <v>66</v>
      </c>
      <c r="H169" t="s">
        <v>119</v>
      </c>
      <c r="I169" s="3">
        <v>4.3749999999999997E-2</v>
      </c>
      <c r="J169" s="8" t="s">
        <v>444</v>
      </c>
      <c r="K169" s="8" t="s">
        <v>442</v>
      </c>
      <c r="L169" s="8" t="str">
        <f>IF(Table1346[[#This Row],[Home Team Score]]&gt;Table1346[[#This Row],[Away Team Score]],"Win",IF(Table1346[[#This Row],[Home Team Score]]=Table1346[[#This Row],[Away Team Score]],"Tie","Lose"))</f>
        <v>Lose</v>
      </c>
      <c r="M169" t="s">
        <v>38</v>
      </c>
      <c r="N169">
        <v>11</v>
      </c>
      <c r="O169" s="3">
        <v>6.9444444444444447E-4</v>
      </c>
      <c r="P169" t="s">
        <v>31</v>
      </c>
      <c r="Q169" t="s">
        <v>155</v>
      </c>
      <c r="R169" t="e">
        <f>IF([1]!Table13[[#This Row],[Goal_assist]]="",1,0)</f>
        <v>#REF!</v>
      </c>
    </row>
    <row r="170" spans="1:18" x14ac:dyDescent="0.35">
      <c r="A170" t="s">
        <v>64</v>
      </c>
      <c r="B170" s="1">
        <v>45543</v>
      </c>
      <c r="C170" t="s">
        <v>65</v>
      </c>
      <c r="D170">
        <v>18</v>
      </c>
      <c r="E170" s="2">
        <v>39824</v>
      </c>
      <c r="F170" t="s">
        <v>24</v>
      </c>
      <c r="G170" t="s">
        <v>66</v>
      </c>
      <c r="H170" t="s">
        <v>100</v>
      </c>
      <c r="I170" s="3">
        <v>8.5416666666666669E-2</v>
      </c>
      <c r="J170" s="8" t="s">
        <v>445</v>
      </c>
      <c r="K170" s="8" t="s">
        <v>442</v>
      </c>
      <c r="L170" s="8" t="str">
        <f>IF(Table1346[[#This Row],[Home Team Score]]&gt;Table1346[[#This Row],[Away Team Score]],"Win",IF(Table1346[[#This Row],[Home Team Score]]=Table1346[[#This Row],[Away Team Score]],"Tie","Lose"))</f>
        <v>Lose</v>
      </c>
      <c r="M170" t="s">
        <v>38</v>
      </c>
      <c r="N170">
        <v>84</v>
      </c>
      <c r="O170" s="3">
        <v>8.5416666666666669E-2</v>
      </c>
      <c r="P170" t="s">
        <v>31</v>
      </c>
      <c r="Q170" t="s">
        <v>155</v>
      </c>
      <c r="R170" t="e">
        <f>IF([1]!Table13[[#This Row],[Goal_assist]]="",1,0)</f>
        <v>#REF!</v>
      </c>
    </row>
    <row r="171" spans="1:18" x14ac:dyDescent="0.35">
      <c r="A171" t="s">
        <v>64</v>
      </c>
      <c r="B171" s="1">
        <v>45543</v>
      </c>
      <c r="C171" t="s">
        <v>65</v>
      </c>
      <c r="D171">
        <v>19</v>
      </c>
      <c r="E171" s="2">
        <v>39830</v>
      </c>
      <c r="F171" t="s">
        <v>16</v>
      </c>
      <c r="G171" t="s">
        <v>66</v>
      </c>
      <c r="H171" t="s">
        <v>115</v>
      </c>
      <c r="I171" s="3">
        <v>0.20833333333333334</v>
      </c>
      <c r="J171" s="8" t="s">
        <v>448</v>
      </c>
      <c r="K171" s="8" t="s">
        <v>443</v>
      </c>
      <c r="L171" s="8" t="str">
        <f>IF(Table1346[[#This Row],[Home Team Score]]&gt;Table1346[[#This Row],[Away Team Score]],"Win",IF(Table1346[[#This Row],[Home Team Score]]=Table1346[[#This Row],[Away Team Score]],"Tie","Lose"))</f>
        <v>Win</v>
      </c>
      <c r="M171" t="s">
        <v>38</v>
      </c>
      <c r="N171">
        <v>21</v>
      </c>
      <c r="O171" s="3">
        <v>4.1666666666666664E-2</v>
      </c>
      <c r="P171" t="s">
        <v>31</v>
      </c>
      <c r="R171" t="e">
        <f>IF([1]!Table13[[#This Row],[Goal_assist]]="",1,0)</f>
        <v>#REF!</v>
      </c>
    </row>
    <row r="172" spans="1:18" x14ac:dyDescent="0.35">
      <c r="A172" t="s">
        <v>14</v>
      </c>
      <c r="B172" s="1">
        <v>45543</v>
      </c>
      <c r="C172" t="s">
        <v>80</v>
      </c>
      <c r="D172" t="s">
        <v>62</v>
      </c>
      <c r="E172" s="2">
        <v>39833</v>
      </c>
      <c r="F172" t="s">
        <v>16</v>
      </c>
      <c r="G172" t="s">
        <v>36</v>
      </c>
      <c r="H172" t="s">
        <v>138</v>
      </c>
      <c r="I172" s="3">
        <v>0.16805555555555557</v>
      </c>
      <c r="J172" s="8" t="s">
        <v>446</v>
      </c>
      <c r="K172" s="8" t="s">
        <v>445</v>
      </c>
      <c r="L172" s="8" t="str">
        <f>IF(Table1346[[#This Row],[Home Team Score]]&gt;Table1346[[#This Row],[Away Team Score]],"Win",IF(Table1346[[#This Row],[Home Team Score]]=Table1346[[#This Row],[Away Team Score]],"Tie","Lose"))</f>
        <v>Win</v>
      </c>
      <c r="M172" t="str">
        <f>M171</f>
        <v>RW</v>
      </c>
      <c r="N172">
        <v>89</v>
      </c>
      <c r="O172" s="3">
        <v>0.1673611111111111</v>
      </c>
      <c r="P172" t="s">
        <v>83</v>
      </c>
      <c r="R172" t="e">
        <f>IF([1]!Table13[[#This Row],[Goal_assist]]="",1,0)</f>
        <v>#REF!</v>
      </c>
    </row>
    <row r="173" spans="1:18" x14ac:dyDescent="0.35">
      <c r="A173" t="s">
        <v>64</v>
      </c>
      <c r="B173" s="1">
        <v>45543</v>
      </c>
      <c r="C173" t="s">
        <v>65</v>
      </c>
      <c r="D173">
        <v>20</v>
      </c>
      <c r="E173" s="2">
        <v>39837</v>
      </c>
      <c r="F173" t="s">
        <v>16</v>
      </c>
      <c r="G173" t="s">
        <v>66</v>
      </c>
      <c r="H173" t="s">
        <v>165</v>
      </c>
      <c r="I173" s="3">
        <v>0.1673611111111111</v>
      </c>
      <c r="J173" s="8" t="s">
        <v>446</v>
      </c>
      <c r="K173" s="8" t="s">
        <v>444</v>
      </c>
      <c r="L173" s="8" t="str">
        <f>IF(Table1346[[#This Row],[Home Team Score]]&gt;Table1346[[#This Row],[Away Team Score]],"Win",IF(Table1346[[#This Row],[Home Team Score]]=Table1346[[#This Row],[Away Team Score]],"Tie","Lose"))</f>
        <v>Win</v>
      </c>
      <c r="M173" t="s">
        <v>38</v>
      </c>
      <c r="N173">
        <v>49</v>
      </c>
      <c r="O173" s="3">
        <v>4.1666666666666664E-2</v>
      </c>
      <c r="P173" t="s">
        <v>31</v>
      </c>
      <c r="Q173" t="s">
        <v>155</v>
      </c>
      <c r="R173" t="e">
        <f>IF([1]!Table13[[#This Row],[Goal_assist]]="",1,0)</f>
        <v>#REF!</v>
      </c>
    </row>
    <row r="174" spans="1:18" x14ac:dyDescent="0.35">
      <c r="A174" t="s">
        <v>64</v>
      </c>
      <c r="B174" s="1">
        <v>45543</v>
      </c>
      <c r="C174" t="s">
        <v>65</v>
      </c>
      <c r="D174">
        <v>20</v>
      </c>
      <c r="E174" s="2">
        <v>39837</v>
      </c>
      <c r="F174" t="s">
        <v>16</v>
      </c>
      <c r="G174" t="s">
        <v>66</v>
      </c>
      <c r="H174" t="s">
        <v>165</v>
      </c>
      <c r="I174" s="3">
        <v>0.1673611111111111</v>
      </c>
      <c r="J174" s="8" t="s">
        <v>446</v>
      </c>
      <c r="K174" s="8" t="s">
        <v>444</v>
      </c>
      <c r="L174" s="8" t="str">
        <f>IF(Table1346[[#This Row],[Home Team Score]]&gt;Table1346[[#This Row],[Away Team Score]],"Win",IF(Table1346[[#This Row],[Home Team Score]]=Table1346[[#This Row],[Away Team Score]],"Tie","Lose"))</f>
        <v>Win</v>
      </c>
      <c r="M174" t="s">
        <v>38</v>
      </c>
      <c r="N174">
        <v>76</v>
      </c>
      <c r="O174" s="3">
        <v>0.1673611111111111</v>
      </c>
      <c r="P174" t="s">
        <v>26</v>
      </c>
      <c r="R174" t="e">
        <f>IF([1]!Table13[[#This Row],[Goal_assist]]="",1,0)</f>
        <v>#REF!</v>
      </c>
    </row>
    <row r="175" spans="1:18" x14ac:dyDescent="0.35">
      <c r="A175" t="s">
        <v>14</v>
      </c>
      <c r="B175" s="1">
        <v>45543</v>
      </c>
      <c r="C175" t="s">
        <v>35</v>
      </c>
      <c r="D175">
        <v>23</v>
      </c>
      <c r="E175" s="2">
        <v>39840</v>
      </c>
      <c r="F175" t="s">
        <v>24</v>
      </c>
      <c r="G175" t="s">
        <v>36</v>
      </c>
      <c r="H175" t="s">
        <v>82</v>
      </c>
      <c r="I175" s="3">
        <v>3.472222222222222E-3</v>
      </c>
      <c r="J175" s="8" t="s">
        <v>443</v>
      </c>
      <c r="K175" s="8" t="s">
        <v>448</v>
      </c>
      <c r="L175" s="8" t="str">
        <f>IF(Table1346[[#This Row],[Home Team Score]]&gt;Table1346[[#This Row],[Away Team Score]],"Win",IF(Table1346[[#This Row],[Home Team Score]]=Table1346[[#This Row],[Away Team Score]],"Tie","Lose"))</f>
        <v>Lose</v>
      </c>
      <c r="M175" t="s">
        <v>19</v>
      </c>
      <c r="N175">
        <v>65</v>
      </c>
      <c r="O175" s="3">
        <v>2.7777777777777779E-3</v>
      </c>
      <c r="P175" t="s">
        <v>26</v>
      </c>
      <c r="Q175" t="s">
        <v>44</v>
      </c>
      <c r="R175" t="e">
        <f>IF([1]!Table13[[#This Row],[Goal_assist]]="",1,0)</f>
        <v>#REF!</v>
      </c>
    </row>
    <row r="176" spans="1:18" x14ac:dyDescent="0.35">
      <c r="A176" t="s">
        <v>14</v>
      </c>
      <c r="B176" s="1">
        <v>45543</v>
      </c>
      <c r="C176" t="s">
        <v>35</v>
      </c>
      <c r="D176">
        <v>23</v>
      </c>
      <c r="E176" s="2">
        <v>39840</v>
      </c>
      <c r="F176" t="s">
        <v>24</v>
      </c>
      <c r="G176" t="s">
        <v>36</v>
      </c>
      <c r="H176" t="s">
        <v>82</v>
      </c>
      <c r="I176" s="3">
        <v>3.472222222222222E-3</v>
      </c>
      <c r="J176" s="8" t="s">
        <v>443</v>
      </c>
      <c r="K176" s="8" t="s">
        <v>448</v>
      </c>
      <c r="L176" s="8" t="str">
        <f>IF(Table1346[[#This Row],[Home Team Score]]&gt;Table1346[[#This Row],[Away Team Score]],"Win",IF(Table1346[[#This Row],[Home Team Score]]=Table1346[[#This Row],[Away Team Score]],"Tie","Lose"))</f>
        <v>Lose</v>
      </c>
      <c r="M176" t="s">
        <v>19</v>
      </c>
      <c r="N176">
        <v>73</v>
      </c>
      <c r="O176" s="3">
        <v>3.472222222222222E-3</v>
      </c>
      <c r="P176" t="s">
        <v>26</v>
      </c>
      <c r="Q176" t="s">
        <v>156</v>
      </c>
      <c r="R176" t="e">
        <f>IF([1]!Table13[[#This Row],[Goal_assist]]="",1,0)</f>
        <v>#REF!</v>
      </c>
    </row>
    <row r="177" spans="1:18" x14ac:dyDescent="0.35">
      <c r="A177" t="s">
        <v>14</v>
      </c>
      <c r="B177" s="1">
        <v>45543</v>
      </c>
      <c r="C177" t="s">
        <v>35</v>
      </c>
      <c r="D177">
        <v>24</v>
      </c>
      <c r="E177" s="2">
        <v>39844</v>
      </c>
      <c r="F177" t="s">
        <v>16</v>
      </c>
      <c r="G177" t="s">
        <v>36</v>
      </c>
      <c r="H177" t="s">
        <v>56</v>
      </c>
      <c r="I177" s="3">
        <v>4.1666666666666664E-2</v>
      </c>
      <c r="J177" s="8" t="s">
        <v>444</v>
      </c>
      <c r="K177" s="8" t="s">
        <v>443</v>
      </c>
      <c r="L177" s="8" t="str">
        <f>IF(Table1346[[#This Row],[Home Team Score]]&gt;Table1346[[#This Row],[Away Team Score]],"Win",IF(Table1346[[#This Row],[Home Team Score]]=Table1346[[#This Row],[Away Team Score]],"Tie","Lose"))</f>
        <v>Win</v>
      </c>
      <c r="M177" t="s">
        <v>19</v>
      </c>
      <c r="N177">
        <v>43</v>
      </c>
      <c r="O177" s="3">
        <v>4.1666666666666664E-2</v>
      </c>
      <c r="P177" t="s">
        <v>83</v>
      </c>
      <c r="R177" t="e">
        <f>IF([1]!Table13[[#This Row],[Goal_assist]]="",1,0)</f>
        <v>#REF!</v>
      </c>
    </row>
    <row r="178" spans="1:18" x14ac:dyDescent="0.35">
      <c r="A178" t="s">
        <v>64</v>
      </c>
      <c r="B178" s="1">
        <v>45543</v>
      </c>
      <c r="C178" t="s">
        <v>65</v>
      </c>
      <c r="D178">
        <v>21</v>
      </c>
      <c r="E178" s="2">
        <v>39845</v>
      </c>
      <c r="F178" t="s">
        <v>24</v>
      </c>
      <c r="G178" t="s">
        <v>66</v>
      </c>
      <c r="H178" t="s">
        <v>78</v>
      </c>
      <c r="I178" s="3">
        <v>4.3055555555555555E-2</v>
      </c>
      <c r="J178" s="8" t="s">
        <v>444</v>
      </c>
      <c r="K178" s="8" t="s">
        <v>445</v>
      </c>
      <c r="L178" s="8" t="str">
        <f>IF(Table1346[[#This Row],[Home Team Score]]&gt;Table1346[[#This Row],[Away Team Score]],"Win",IF(Table1346[[#This Row],[Home Team Score]]=Table1346[[#This Row],[Away Team Score]],"Tie","Lose"))</f>
        <v>Lose</v>
      </c>
      <c r="M178" t="s">
        <v>38</v>
      </c>
      <c r="N178">
        <v>65</v>
      </c>
      <c r="O178" s="3">
        <v>4.2361111111111113E-2</v>
      </c>
      <c r="P178" t="s">
        <v>26</v>
      </c>
      <c r="Q178" t="s">
        <v>106</v>
      </c>
      <c r="R178" t="e">
        <f>IF([1]!Table13[[#This Row],[Goal_assist]]="",1,0)</f>
        <v>#REF!</v>
      </c>
    </row>
    <row r="179" spans="1:18" x14ac:dyDescent="0.35">
      <c r="A179" t="s">
        <v>64</v>
      </c>
      <c r="B179" s="1">
        <v>45543</v>
      </c>
      <c r="C179" t="s">
        <v>65</v>
      </c>
      <c r="D179">
        <v>21</v>
      </c>
      <c r="E179" s="2">
        <v>39845</v>
      </c>
      <c r="F179" t="s">
        <v>24</v>
      </c>
      <c r="G179" t="s">
        <v>66</v>
      </c>
      <c r="H179" t="s">
        <v>78</v>
      </c>
      <c r="I179" s="3">
        <v>4.3055555555555555E-2</v>
      </c>
      <c r="J179" s="8" t="s">
        <v>444</v>
      </c>
      <c r="K179" s="8" t="s">
        <v>445</v>
      </c>
      <c r="L179" s="8" t="str">
        <f>IF(Table1346[[#This Row],[Home Team Score]]&gt;Table1346[[#This Row],[Away Team Score]],"Win",IF(Table1346[[#This Row],[Home Team Score]]=Table1346[[#This Row],[Away Team Score]],"Tie","Lose"))</f>
        <v>Lose</v>
      </c>
      <c r="M179" t="s">
        <v>38</v>
      </c>
      <c r="N179">
        <v>81</v>
      </c>
      <c r="O179" s="3">
        <v>4.3055555555555555E-2</v>
      </c>
      <c r="P179" t="s">
        <v>26</v>
      </c>
      <c r="R179" t="e">
        <f>IF([1]!Table13[[#This Row],[Goal_assist]]="",1,0)</f>
        <v>#REF!</v>
      </c>
    </row>
    <row r="180" spans="1:18" x14ac:dyDescent="0.35">
      <c r="A180" t="s">
        <v>14</v>
      </c>
      <c r="B180" s="1">
        <v>45543</v>
      </c>
      <c r="C180" t="s">
        <v>40</v>
      </c>
      <c r="D180" t="s">
        <v>33</v>
      </c>
      <c r="E180" s="2">
        <v>39859</v>
      </c>
      <c r="F180" t="s">
        <v>24</v>
      </c>
      <c r="G180" t="s">
        <v>36</v>
      </c>
      <c r="H180" t="s">
        <v>138</v>
      </c>
      <c r="I180" s="3">
        <v>4.4444444444444446E-2</v>
      </c>
      <c r="J180" s="8" t="s">
        <v>444</v>
      </c>
      <c r="K180" s="8" t="s">
        <v>446</v>
      </c>
      <c r="L180" s="8" t="str">
        <f>IF(Table1346[[#This Row],[Home Team Score]]&gt;Table1346[[#This Row],[Away Team Score]],"Win",IF(Table1346[[#This Row],[Home Team Score]]=Table1346[[#This Row],[Away Team Score]],"Tie","Lose"))</f>
        <v>Lose</v>
      </c>
      <c r="M180" t="s">
        <v>68</v>
      </c>
      <c r="N180">
        <v>68</v>
      </c>
      <c r="O180" s="3">
        <v>4.3749999999999997E-2</v>
      </c>
      <c r="P180" t="s">
        <v>22</v>
      </c>
      <c r="Q180" t="s">
        <v>44</v>
      </c>
      <c r="R180" t="e">
        <f>IF([1]!Table13[[#This Row],[Goal_assist]]="",1,0)</f>
        <v>#REF!</v>
      </c>
    </row>
    <row r="181" spans="1:18" x14ac:dyDescent="0.35">
      <c r="A181" t="s">
        <v>14</v>
      </c>
      <c r="B181" s="1">
        <v>45543</v>
      </c>
      <c r="C181" t="s">
        <v>35</v>
      </c>
      <c r="D181">
        <v>26</v>
      </c>
      <c r="E181" s="2">
        <v>39865</v>
      </c>
      <c r="F181" t="s">
        <v>16</v>
      </c>
      <c r="G181" t="s">
        <v>36</v>
      </c>
      <c r="H181" t="s">
        <v>134</v>
      </c>
      <c r="I181" s="3">
        <v>8.4027777777777785E-2</v>
      </c>
      <c r="J181" s="8" t="s">
        <v>445</v>
      </c>
      <c r="K181" s="8" t="s">
        <v>444</v>
      </c>
      <c r="L181" s="8" t="str">
        <f>IF(Table1346[[#This Row],[Home Team Score]]&gt;Table1346[[#This Row],[Away Team Score]],"Win",IF(Table1346[[#This Row],[Home Team Score]]=Table1346[[#This Row],[Away Team Score]],"Tie","Lose"))</f>
        <v>Win</v>
      </c>
      <c r="M181" t="str">
        <f>M180</f>
        <v>CF</v>
      </c>
      <c r="N181">
        <v>60</v>
      </c>
      <c r="O181" s="3">
        <v>8.4027777777777785E-2</v>
      </c>
      <c r="P181" t="s">
        <v>39</v>
      </c>
      <c r="R181" t="e">
        <f>IF([1]!Table13[[#This Row],[Goal_assist]]="",1,0)</f>
        <v>#REF!</v>
      </c>
    </row>
    <row r="182" spans="1:18" x14ac:dyDescent="0.35">
      <c r="A182" t="s">
        <v>64</v>
      </c>
      <c r="B182" s="1">
        <v>45543</v>
      </c>
      <c r="C182" t="s">
        <v>65</v>
      </c>
      <c r="D182">
        <v>25</v>
      </c>
      <c r="E182" s="2">
        <v>39873</v>
      </c>
      <c r="F182" t="s">
        <v>24</v>
      </c>
      <c r="G182" t="s">
        <v>66</v>
      </c>
      <c r="H182" t="s">
        <v>119</v>
      </c>
      <c r="I182" s="3">
        <v>0.16875000000000001</v>
      </c>
      <c r="J182" s="8" t="s">
        <v>446</v>
      </c>
      <c r="K182" s="8" t="s">
        <v>442</v>
      </c>
      <c r="L182" s="8" t="str">
        <f>IF(Table1346[[#This Row],[Home Team Score]]&gt;Table1346[[#This Row],[Away Team Score]],"Win",IF(Table1346[[#This Row],[Home Team Score]]=Table1346[[#This Row],[Away Team Score]],"Tie","Lose"))</f>
        <v>Win</v>
      </c>
      <c r="M182" t="s">
        <v>38</v>
      </c>
      <c r="N182">
        <v>30</v>
      </c>
      <c r="O182" s="3">
        <v>1.3888888888888889E-3</v>
      </c>
      <c r="P182" t="s">
        <v>31</v>
      </c>
      <c r="R182" t="e">
        <f>IF([1]!Table13[[#This Row],[Goal_assist]]="",1,0)</f>
        <v>#REF!</v>
      </c>
    </row>
    <row r="183" spans="1:18" x14ac:dyDescent="0.35">
      <c r="A183" t="s">
        <v>64</v>
      </c>
      <c r="B183" s="1">
        <v>45543</v>
      </c>
      <c r="C183" t="s">
        <v>91</v>
      </c>
      <c r="D183" t="s">
        <v>62</v>
      </c>
      <c r="E183" s="2">
        <v>39876</v>
      </c>
      <c r="F183" t="s">
        <v>24</v>
      </c>
      <c r="G183" t="s">
        <v>66</v>
      </c>
      <c r="H183" t="s">
        <v>89</v>
      </c>
      <c r="I183" s="3">
        <v>4.2361111111111113E-2</v>
      </c>
      <c r="J183" s="8" t="s">
        <v>444</v>
      </c>
      <c r="K183" s="8" t="s">
        <v>444</v>
      </c>
      <c r="L183" s="8" t="str">
        <f>IF(Table1346[[#This Row],[Home Team Score]]&gt;Table1346[[#This Row],[Away Team Score]],"Win",IF(Table1346[[#This Row],[Home Team Score]]=Table1346[[#This Row],[Away Team Score]],"Tie","Lose"))</f>
        <v>Tie</v>
      </c>
      <c r="M183" t="s">
        <v>38</v>
      </c>
      <c r="N183">
        <v>81</v>
      </c>
      <c r="O183" s="3">
        <v>4.2361111111111113E-2</v>
      </c>
      <c r="P183" t="s">
        <v>31</v>
      </c>
      <c r="Q183" t="s">
        <v>166</v>
      </c>
      <c r="R183" t="e">
        <f>IF([1]!Table13[[#This Row],[Goal_assist]]="",1,0)</f>
        <v>#REF!</v>
      </c>
    </row>
    <row r="184" spans="1:18" x14ac:dyDescent="0.35">
      <c r="A184" t="s">
        <v>64</v>
      </c>
      <c r="B184" s="1">
        <v>45543</v>
      </c>
      <c r="C184" t="s">
        <v>65</v>
      </c>
      <c r="D184">
        <v>26</v>
      </c>
      <c r="E184" s="2">
        <v>39879</v>
      </c>
      <c r="F184" t="s">
        <v>16</v>
      </c>
      <c r="G184" t="s">
        <v>66</v>
      </c>
      <c r="H184" t="s">
        <v>86</v>
      </c>
      <c r="I184" s="3">
        <v>8.3333333333333329E-2</v>
      </c>
      <c r="J184" s="8" t="s">
        <v>445</v>
      </c>
      <c r="K184" s="8" t="s">
        <v>443</v>
      </c>
      <c r="L184" s="8" t="str">
        <f>IF(Table1346[[#This Row],[Home Team Score]]&gt;Table1346[[#This Row],[Away Team Score]],"Win",IF(Table1346[[#This Row],[Home Team Score]]=Table1346[[#This Row],[Away Team Score]],"Tie","Lose"))</f>
        <v>Win</v>
      </c>
      <c r="M184" t="s">
        <v>38</v>
      </c>
      <c r="N184">
        <v>31</v>
      </c>
      <c r="O184" s="3">
        <v>8.3333333333333329E-2</v>
      </c>
      <c r="P184" t="s">
        <v>83</v>
      </c>
      <c r="R184" t="e">
        <f>IF([1]!Table13[[#This Row],[Goal_assist]]="",1,0)</f>
        <v>#REF!</v>
      </c>
    </row>
    <row r="185" spans="1:18" x14ac:dyDescent="0.35">
      <c r="A185" t="s">
        <v>14</v>
      </c>
      <c r="B185" s="1">
        <v>45543</v>
      </c>
      <c r="C185" t="s">
        <v>75</v>
      </c>
      <c r="D185" t="s">
        <v>143</v>
      </c>
      <c r="E185" s="2">
        <v>39883</v>
      </c>
      <c r="F185" t="s">
        <v>16</v>
      </c>
      <c r="G185" t="s">
        <v>36</v>
      </c>
      <c r="H185" t="s">
        <v>167</v>
      </c>
      <c r="I185" s="3">
        <v>8.3333333333333329E-2</v>
      </c>
      <c r="J185" s="8" t="s">
        <v>445</v>
      </c>
      <c r="K185" s="8" t="s">
        <v>443</v>
      </c>
      <c r="L185" s="8" t="str">
        <f>IF(Table1346[[#This Row],[Home Team Score]]&gt;Table1346[[#This Row],[Away Team Score]],"Win",IF(Table1346[[#This Row],[Home Team Score]]=Table1346[[#This Row],[Away Team Score]],"Tie","Lose"))</f>
        <v>Win</v>
      </c>
      <c r="M185" t="s">
        <v>38</v>
      </c>
      <c r="N185">
        <v>49</v>
      </c>
      <c r="O185" s="3">
        <v>8.3333333333333329E-2</v>
      </c>
      <c r="P185" t="s">
        <v>22</v>
      </c>
      <c r="Q185" t="s">
        <v>85</v>
      </c>
      <c r="R185" t="e">
        <f>IF([1]!Table13[[#This Row],[Goal_assist]]="",1,0)</f>
        <v>#REF!</v>
      </c>
    </row>
    <row r="186" spans="1:18" x14ac:dyDescent="0.35">
      <c r="A186" t="s">
        <v>64</v>
      </c>
      <c r="B186" s="1">
        <v>45543</v>
      </c>
      <c r="C186" t="s">
        <v>75</v>
      </c>
      <c r="D186" t="s">
        <v>143</v>
      </c>
      <c r="E186" s="2">
        <v>39883</v>
      </c>
      <c r="F186" t="s">
        <v>16</v>
      </c>
      <c r="G186" t="s">
        <v>66</v>
      </c>
      <c r="H186" t="s">
        <v>125</v>
      </c>
      <c r="I186" s="3">
        <v>0.20972222222222223</v>
      </c>
      <c r="J186" s="8" t="s">
        <v>448</v>
      </c>
      <c r="K186" s="8" t="s">
        <v>445</v>
      </c>
      <c r="L186" s="8" t="str">
        <f>IF(Table1346[[#This Row],[Home Team Score]]&gt;Table1346[[#This Row],[Away Team Score]],"Win",IF(Table1346[[#This Row],[Home Team Score]]=Table1346[[#This Row],[Away Team Score]],"Tie","Lose"))</f>
        <v>Win</v>
      </c>
      <c r="M186" t="s">
        <v>38</v>
      </c>
      <c r="N186">
        <v>40</v>
      </c>
      <c r="O186" s="3">
        <v>0.125</v>
      </c>
      <c r="P186" t="s">
        <v>31</v>
      </c>
      <c r="Q186" t="s">
        <v>79</v>
      </c>
      <c r="R186" t="e">
        <f>IF([1]!Table13[[#This Row],[Goal_assist]]="",1,0)</f>
        <v>#REF!</v>
      </c>
    </row>
    <row r="187" spans="1:18" x14ac:dyDescent="0.35">
      <c r="A187" t="s">
        <v>14</v>
      </c>
      <c r="B187" s="1">
        <v>45543</v>
      </c>
      <c r="C187" t="s">
        <v>35</v>
      </c>
      <c r="D187">
        <v>29</v>
      </c>
      <c r="E187" s="2">
        <v>39886</v>
      </c>
      <c r="F187" t="s">
        <v>16</v>
      </c>
      <c r="G187" t="s">
        <v>36</v>
      </c>
      <c r="H187" t="s">
        <v>145</v>
      </c>
      <c r="I187" s="3">
        <v>4.4444444444444446E-2</v>
      </c>
      <c r="J187" s="8" t="s">
        <v>444</v>
      </c>
      <c r="K187" s="8" t="s">
        <v>446</v>
      </c>
      <c r="L187" s="8" t="str">
        <f>IF(Table1346[[#This Row],[Home Team Score]]&gt;Table1346[[#This Row],[Away Team Score]],"Win",IF(Table1346[[#This Row],[Home Team Score]]=Table1346[[#This Row],[Away Team Score]],"Tie","Lose"))</f>
        <v>Lose</v>
      </c>
      <c r="M187" t="s">
        <v>38</v>
      </c>
      <c r="N187">
        <v>22</v>
      </c>
      <c r="O187" s="3">
        <v>4.1666666666666664E-2</v>
      </c>
      <c r="P187" t="s">
        <v>83</v>
      </c>
      <c r="R187" t="e">
        <f>IF([1]!Table13[[#This Row],[Goal_assist]]="",1,0)</f>
        <v>#REF!</v>
      </c>
    </row>
    <row r="188" spans="1:18" x14ac:dyDescent="0.35">
      <c r="A188" t="s">
        <v>64</v>
      </c>
      <c r="B188" s="1">
        <v>45543</v>
      </c>
      <c r="C188" t="s">
        <v>65</v>
      </c>
      <c r="D188">
        <v>28</v>
      </c>
      <c r="E188" s="2">
        <v>39894</v>
      </c>
      <c r="F188" t="s">
        <v>16</v>
      </c>
      <c r="G188" t="s">
        <v>66</v>
      </c>
      <c r="H188" t="s">
        <v>157</v>
      </c>
      <c r="I188" s="3">
        <v>0.25</v>
      </c>
      <c r="J188" s="8" t="s">
        <v>450</v>
      </c>
      <c r="K188" s="8" t="s">
        <v>443</v>
      </c>
      <c r="L188" s="8" t="str">
        <f>IF(Table1346[[#This Row],[Home Team Score]]&gt;Table1346[[#This Row],[Away Team Score]],"Win",IF(Table1346[[#This Row],[Home Team Score]]=Table1346[[#This Row],[Away Team Score]],"Tie","Lose"))</f>
        <v>Win</v>
      </c>
      <c r="M188" t="s">
        <v>38</v>
      </c>
      <c r="N188">
        <v>26</v>
      </c>
      <c r="O188" s="3">
        <v>8.3333333333333329E-2</v>
      </c>
      <c r="P188" t="s">
        <v>26</v>
      </c>
      <c r="Q188" t="s">
        <v>106</v>
      </c>
      <c r="R188" t="e">
        <f>IF([1]!Table13[[#This Row],[Goal_assist]]="",1,0)</f>
        <v>#REF!</v>
      </c>
    </row>
    <row r="189" spans="1:18" x14ac:dyDescent="0.35">
      <c r="A189" t="s">
        <v>14</v>
      </c>
      <c r="B189" s="1">
        <v>45543</v>
      </c>
      <c r="C189" t="s">
        <v>35</v>
      </c>
      <c r="D189">
        <v>31</v>
      </c>
      <c r="E189" s="2">
        <v>39908</v>
      </c>
      <c r="F189" t="s">
        <v>16</v>
      </c>
      <c r="G189" t="s">
        <v>36</v>
      </c>
      <c r="H189" t="s">
        <v>45</v>
      </c>
      <c r="I189" s="3">
        <v>0.12638888888888888</v>
      </c>
      <c r="J189" s="8" t="s">
        <v>442</v>
      </c>
      <c r="K189" s="8" t="s">
        <v>445</v>
      </c>
      <c r="L189" s="8" t="str">
        <f>IF(Table1346[[#This Row],[Home Team Score]]&gt;Table1346[[#This Row],[Away Team Score]],"Win",IF(Table1346[[#This Row],[Home Team Score]]=Table1346[[#This Row],[Away Team Score]],"Tie","Lose"))</f>
        <v>Win</v>
      </c>
      <c r="M189" t="s">
        <v>38</v>
      </c>
      <c r="N189">
        <v>11</v>
      </c>
      <c r="O189" s="3">
        <v>4.1666666666666664E-2</v>
      </c>
      <c r="P189" t="s">
        <v>39</v>
      </c>
      <c r="R189" t="e">
        <f>IF([1]!Table13[[#This Row],[Goal_assist]]="",1,0)</f>
        <v>#REF!</v>
      </c>
    </row>
    <row r="190" spans="1:18" x14ac:dyDescent="0.35">
      <c r="A190" t="s">
        <v>14</v>
      </c>
      <c r="B190" s="1">
        <v>45543</v>
      </c>
      <c r="C190" t="s">
        <v>35</v>
      </c>
      <c r="D190">
        <v>31</v>
      </c>
      <c r="E190" s="2">
        <v>39908</v>
      </c>
      <c r="F190" t="s">
        <v>16</v>
      </c>
      <c r="G190" t="s">
        <v>36</v>
      </c>
      <c r="H190" t="s">
        <v>45</v>
      </c>
      <c r="I190" s="3">
        <v>0.12638888888888888</v>
      </c>
      <c r="J190" s="8" t="s">
        <v>442</v>
      </c>
      <c r="K190" s="8" t="s">
        <v>445</v>
      </c>
      <c r="L190" s="8" t="str">
        <f>IF(Table1346[[#This Row],[Home Team Score]]&gt;Table1346[[#This Row],[Away Team Score]],"Win",IF(Table1346[[#This Row],[Home Team Score]]=Table1346[[#This Row],[Away Team Score]],"Tie","Lose"))</f>
        <v>Win</v>
      </c>
      <c r="M190" t="s">
        <v>38</v>
      </c>
      <c r="N190">
        <v>80</v>
      </c>
      <c r="O190" s="3">
        <v>8.4722222222222227E-2</v>
      </c>
      <c r="P190" t="s">
        <v>31</v>
      </c>
      <c r="Q190" t="s">
        <v>110</v>
      </c>
      <c r="R190" t="e">
        <f>IF([1]!Table13[[#This Row],[Goal_assist]]="",1,0)</f>
        <v>#REF!</v>
      </c>
    </row>
    <row r="191" spans="1:18" x14ac:dyDescent="0.35">
      <c r="A191" t="s">
        <v>64</v>
      </c>
      <c r="B191" s="1">
        <v>45543</v>
      </c>
      <c r="C191" t="s">
        <v>75</v>
      </c>
      <c r="D191" t="s">
        <v>92</v>
      </c>
      <c r="E191" s="2">
        <v>39911</v>
      </c>
      <c r="F191" t="s">
        <v>16</v>
      </c>
      <c r="G191" t="s">
        <v>66</v>
      </c>
      <c r="H191" t="s">
        <v>168</v>
      </c>
      <c r="I191" s="3">
        <v>0.16666666666666666</v>
      </c>
      <c r="J191" s="8" t="s">
        <v>446</v>
      </c>
      <c r="K191" s="8" t="s">
        <v>443</v>
      </c>
      <c r="L191" s="8" t="str">
        <f>IF(Table1346[[#This Row],[Home Team Score]]&gt;Table1346[[#This Row],[Away Team Score]],"Win",IF(Table1346[[#This Row],[Home Team Score]]=Table1346[[#This Row],[Away Team Score]],"Tie","Lose"))</f>
        <v>Win</v>
      </c>
      <c r="M191" t="s">
        <v>38</v>
      </c>
      <c r="N191">
        <v>9</v>
      </c>
      <c r="O191" s="3">
        <v>4.1666666666666664E-2</v>
      </c>
      <c r="P191" t="s">
        <v>31</v>
      </c>
      <c r="Q191" t="s">
        <v>79</v>
      </c>
      <c r="R191" t="e">
        <f>IF([1]!Table13[[#This Row],[Goal_assist]]="",1,0)</f>
        <v>#REF!</v>
      </c>
    </row>
    <row r="192" spans="1:18" x14ac:dyDescent="0.35">
      <c r="A192" t="s">
        <v>64</v>
      </c>
      <c r="B192" s="1">
        <v>45543</v>
      </c>
      <c r="C192" t="s">
        <v>75</v>
      </c>
      <c r="D192" t="s">
        <v>92</v>
      </c>
      <c r="E192" s="2">
        <v>39911</v>
      </c>
      <c r="F192" t="s">
        <v>16</v>
      </c>
      <c r="G192" t="s">
        <v>66</v>
      </c>
      <c r="H192" t="s">
        <v>168</v>
      </c>
      <c r="I192" s="3">
        <v>0.16666666666666666</v>
      </c>
      <c r="J192" s="8" t="s">
        <v>446</v>
      </c>
      <c r="K192" s="8" t="s">
        <v>443</v>
      </c>
      <c r="L192" s="8" t="str">
        <f>IF(Table1346[[#This Row],[Home Team Score]]&gt;Table1346[[#This Row],[Away Team Score]],"Win",IF(Table1346[[#This Row],[Home Team Score]]=Table1346[[#This Row],[Away Team Score]],"Tie","Lose"))</f>
        <v>Win</v>
      </c>
      <c r="M192" t="s">
        <v>38</v>
      </c>
      <c r="N192">
        <v>38</v>
      </c>
      <c r="O192" s="3">
        <v>0.125</v>
      </c>
      <c r="P192" t="s">
        <v>26</v>
      </c>
      <c r="Q192" t="s">
        <v>126</v>
      </c>
      <c r="R192" t="e">
        <f>IF([1]!Table13[[#This Row],[Goal_assist]]="",1,0)</f>
        <v>#REF!</v>
      </c>
    </row>
    <row r="193" spans="1:18" x14ac:dyDescent="0.35">
      <c r="A193" t="s">
        <v>14</v>
      </c>
      <c r="B193" s="1">
        <v>45543</v>
      </c>
      <c r="C193" t="s">
        <v>75</v>
      </c>
      <c r="D193" t="s">
        <v>92</v>
      </c>
      <c r="E193" s="2">
        <v>39918</v>
      </c>
      <c r="F193" t="s">
        <v>24</v>
      </c>
      <c r="G193" t="s">
        <v>36</v>
      </c>
      <c r="H193" t="s">
        <v>169</v>
      </c>
      <c r="I193" s="3">
        <v>6.9444444444444447E-4</v>
      </c>
      <c r="J193" s="8" t="s">
        <v>443</v>
      </c>
      <c r="K193" s="8" t="s">
        <v>444</v>
      </c>
      <c r="L193" s="8" t="str">
        <f>IF(Table1346[[#This Row],[Home Team Score]]&gt;Table1346[[#This Row],[Away Team Score]],"Win",IF(Table1346[[#This Row],[Home Team Score]]=Table1346[[#This Row],[Away Team Score]],"Tie","Lose"))</f>
        <v>Lose</v>
      </c>
      <c r="M193" t="s">
        <v>38</v>
      </c>
      <c r="N193">
        <v>6</v>
      </c>
      <c r="O193" s="3">
        <v>6.9444444444444447E-4</v>
      </c>
      <c r="P193" t="s">
        <v>170</v>
      </c>
      <c r="Q193" t="s">
        <v>171</v>
      </c>
      <c r="R193" t="e">
        <f>IF([1]!Table13[[#This Row],[Goal_assist]]="",1,0)</f>
        <v>#REF!</v>
      </c>
    </row>
    <row r="194" spans="1:18" x14ac:dyDescent="0.35">
      <c r="A194" t="s">
        <v>64</v>
      </c>
      <c r="B194" s="1">
        <v>45543</v>
      </c>
      <c r="C194" t="s">
        <v>65</v>
      </c>
      <c r="D194">
        <v>31</v>
      </c>
      <c r="E194" s="2">
        <v>39921</v>
      </c>
      <c r="F194" t="s">
        <v>24</v>
      </c>
      <c r="G194" t="s">
        <v>66</v>
      </c>
      <c r="H194" t="s">
        <v>117</v>
      </c>
      <c r="I194" s="3">
        <v>6.9444444444444447E-4</v>
      </c>
      <c r="J194" s="8" t="s">
        <v>443</v>
      </c>
      <c r="K194" s="8" t="s">
        <v>444</v>
      </c>
      <c r="L194" s="8" t="str">
        <f>IF(Table1346[[#This Row],[Home Team Score]]&gt;Table1346[[#This Row],[Away Team Score]],"Win",IF(Table1346[[#This Row],[Home Team Score]]=Table1346[[#This Row],[Away Team Score]],"Tie","Lose"))</f>
        <v>Lose</v>
      </c>
      <c r="M194" t="s">
        <v>38</v>
      </c>
      <c r="N194">
        <v>18</v>
      </c>
      <c r="O194" s="3">
        <v>6.9444444444444447E-4</v>
      </c>
      <c r="P194" t="s">
        <v>31</v>
      </c>
      <c r="Q194" t="s">
        <v>106</v>
      </c>
      <c r="R194" t="e">
        <f>IF([1]!Table13[[#This Row],[Goal_assist]]="",1,0)</f>
        <v>#REF!</v>
      </c>
    </row>
    <row r="195" spans="1:18" x14ac:dyDescent="0.35">
      <c r="A195" t="s">
        <v>14</v>
      </c>
      <c r="B195" s="1">
        <v>45543</v>
      </c>
      <c r="C195" t="s">
        <v>35</v>
      </c>
      <c r="D195">
        <v>34</v>
      </c>
      <c r="E195" s="2">
        <v>39928</v>
      </c>
      <c r="F195" t="s">
        <v>16</v>
      </c>
      <c r="G195" t="s">
        <v>36</v>
      </c>
      <c r="H195" t="s">
        <v>42</v>
      </c>
      <c r="I195" s="3">
        <v>0.20972222222222223</v>
      </c>
      <c r="J195" s="8" t="s">
        <v>448</v>
      </c>
      <c r="K195" s="8" t="s">
        <v>445</v>
      </c>
      <c r="L195" s="8" t="str">
        <f>IF(Table1346[[#This Row],[Home Team Score]]&gt;Table1346[[#This Row],[Away Team Score]],"Win",IF(Table1346[[#This Row],[Home Team Score]]=Table1346[[#This Row],[Away Team Score]],"Tie","Lose"))</f>
        <v>Win</v>
      </c>
      <c r="M195" t="s">
        <v>38</v>
      </c>
      <c r="N195">
        <v>68</v>
      </c>
      <c r="O195" s="3">
        <v>0.12638888888888888</v>
      </c>
      <c r="P195" t="s">
        <v>22</v>
      </c>
      <c r="Q195" t="s">
        <v>85</v>
      </c>
      <c r="R195" t="e">
        <f>IF([1]!Table13[[#This Row],[Goal_assist]]="",1,0)</f>
        <v>#REF!</v>
      </c>
    </row>
    <row r="196" spans="1:18" x14ac:dyDescent="0.35">
      <c r="A196" t="s">
        <v>14</v>
      </c>
      <c r="B196" s="1">
        <v>45543</v>
      </c>
      <c r="C196" t="s">
        <v>35</v>
      </c>
      <c r="D196">
        <v>34</v>
      </c>
      <c r="E196" s="2">
        <v>39928</v>
      </c>
      <c r="F196" t="s">
        <v>16</v>
      </c>
      <c r="G196" t="s">
        <v>36</v>
      </c>
      <c r="H196" t="s">
        <v>42</v>
      </c>
      <c r="I196" s="3">
        <v>0.20972222222222223</v>
      </c>
      <c r="J196" s="8" t="s">
        <v>448</v>
      </c>
      <c r="K196" s="8" t="s">
        <v>445</v>
      </c>
      <c r="L196" s="8" t="str">
        <f>IF(Table1346[[#This Row],[Home Team Score]]&gt;Table1346[[#This Row],[Away Team Score]],"Win",IF(Table1346[[#This Row],[Home Team Score]]=Table1346[[#This Row],[Away Team Score]],"Tie","Lose"))</f>
        <v>Win</v>
      </c>
      <c r="M196" t="s">
        <v>38</v>
      </c>
      <c r="N196">
        <v>57</v>
      </c>
      <c r="O196" s="3">
        <v>4.3055555555555555E-2</v>
      </c>
      <c r="P196" t="s">
        <v>83</v>
      </c>
      <c r="R196" t="e">
        <f>IF([1]!Table13[[#This Row],[Goal_assist]]="",1,0)</f>
        <v>#REF!</v>
      </c>
    </row>
    <row r="197" spans="1:18" x14ac:dyDescent="0.35">
      <c r="A197" t="s">
        <v>64</v>
      </c>
      <c r="B197" s="1">
        <v>45543</v>
      </c>
      <c r="C197" t="s">
        <v>65</v>
      </c>
      <c r="D197">
        <v>33</v>
      </c>
      <c r="E197" s="2">
        <v>39928</v>
      </c>
      <c r="F197" t="s">
        <v>24</v>
      </c>
      <c r="G197" t="s">
        <v>66</v>
      </c>
      <c r="H197" t="s">
        <v>148</v>
      </c>
      <c r="I197" s="3">
        <v>8.4722222222222227E-2</v>
      </c>
      <c r="J197" s="8" t="s">
        <v>445</v>
      </c>
      <c r="K197" s="8" t="s">
        <v>445</v>
      </c>
      <c r="L197" s="8" t="str">
        <f>IF(Table1346[[#This Row],[Home Team Score]]&gt;Table1346[[#This Row],[Away Team Score]],"Win",IF(Table1346[[#This Row],[Home Team Score]]=Table1346[[#This Row],[Away Team Score]],"Tie","Lose"))</f>
        <v>Tie</v>
      </c>
      <c r="M197" t="s">
        <v>38</v>
      </c>
      <c r="N197">
        <v>23</v>
      </c>
      <c r="O197" s="3">
        <v>6.9444444444444447E-4</v>
      </c>
      <c r="P197" t="s">
        <v>31</v>
      </c>
      <c r="Q197" t="s">
        <v>99</v>
      </c>
      <c r="R197" t="e">
        <f>IF([1]!Table13[[#This Row],[Goal_assist]]="",1,0)</f>
        <v>#REF!</v>
      </c>
    </row>
    <row r="198" spans="1:18" x14ac:dyDescent="0.35">
      <c r="A198" t="s">
        <v>64</v>
      </c>
      <c r="B198" s="1">
        <v>45543</v>
      </c>
      <c r="C198" t="s">
        <v>65</v>
      </c>
      <c r="D198">
        <v>34</v>
      </c>
      <c r="E198" s="2">
        <v>39935</v>
      </c>
      <c r="F198" t="s">
        <v>24</v>
      </c>
      <c r="G198" t="s">
        <v>66</v>
      </c>
      <c r="H198" t="s">
        <v>112</v>
      </c>
      <c r="I198" s="3">
        <v>8.7499999999999994E-2</v>
      </c>
      <c r="J198" s="8" t="s">
        <v>445</v>
      </c>
      <c r="K198" s="8" t="s">
        <v>450</v>
      </c>
      <c r="L198" s="8" t="str">
        <f>IF(Table1346[[#This Row],[Home Team Score]]&gt;Table1346[[#This Row],[Away Team Score]],"Win",IF(Table1346[[#This Row],[Home Team Score]]=Table1346[[#This Row],[Away Team Score]],"Tie","Lose"))</f>
        <v>Lose</v>
      </c>
      <c r="M198" t="s">
        <v>68</v>
      </c>
      <c r="N198">
        <v>35</v>
      </c>
      <c r="O198" s="3">
        <v>4.3749999999999997E-2</v>
      </c>
      <c r="P198" t="s">
        <v>31</v>
      </c>
      <c r="Q198" t="s">
        <v>106</v>
      </c>
      <c r="R198" t="e">
        <f>IF([1]!Table13[[#This Row],[Goal_assist]]="",1,0)</f>
        <v>#REF!</v>
      </c>
    </row>
    <row r="199" spans="1:18" x14ac:dyDescent="0.35">
      <c r="A199" t="s">
        <v>64</v>
      </c>
      <c r="B199" s="1">
        <v>45543</v>
      </c>
      <c r="C199" t="s">
        <v>65</v>
      </c>
      <c r="D199">
        <v>34</v>
      </c>
      <c r="E199" s="2">
        <v>39935</v>
      </c>
      <c r="F199" t="s">
        <v>24</v>
      </c>
      <c r="G199" t="s">
        <v>66</v>
      </c>
      <c r="H199" t="s">
        <v>112</v>
      </c>
      <c r="I199" s="3">
        <v>8.7499999999999994E-2</v>
      </c>
      <c r="J199" s="8" t="s">
        <v>445</v>
      </c>
      <c r="K199" s="8" t="s">
        <v>450</v>
      </c>
      <c r="L199" s="8" t="str">
        <f>IF(Table1346[[#This Row],[Home Team Score]]&gt;Table1346[[#This Row],[Away Team Score]],"Win",IF(Table1346[[#This Row],[Home Team Score]]=Table1346[[#This Row],[Away Team Score]],"Tie","Lose"))</f>
        <v>Lose</v>
      </c>
      <c r="M199" t="s">
        <v>68</v>
      </c>
      <c r="N199">
        <v>75</v>
      </c>
      <c r="O199" s="3">
        <v>8.6805555555555552E-2</v>
      </c>
      <c r="P199" t="s">
        <v>31</v>
      </c>
      <c r="Q199" t="s">
        <v>106</v>
      </c>
      <c r="R199" t="e">
        <f>IF([1]!Table13[[#This Row],[Goal_assist]]="",1,0)</f>
        <v>#REF!</v>
      </c>
    </row>
    <row r="200" spans="1:18" x14ac:dyDescent="0.35">
      <c r="A200" t="s">
        <v>14</v>
      </c>
      <c r="B200" s="1">
        <v>45543</v>
      </c>
      <c r="C200" t="s">
        <v>75</v>
      </c>
      <c r="D200" t="s">
        <v>62</v>
      </c>
      <c r="E200" s="2">
        <v>39938</v>
      </c>
      <c r="F200" t="s">
        <v>24</v>
      </c>
      <c r="G200" t="s">
        <v>36</v>
      </c>
      <c r="H200" t="s">
        <v>54</v>
      </c>
      <c r="I200" s="3">
        <v>4.3749999999999997E-2</v>
      </c>
      <c r="J200" s="8" t="s">
        <v>444</v>
      </c>
      <c r="K200" s="8" t="s">
        <v>442</v>
      </c>
      <c r="L200" s="8" t="str">
        <f>IF(Table1346[[#This Row],[Home Team Score]]&gt;Table1346[[#This Row],[Away Team Score]],"Win",IF(Table1346[[#This Row],[Home Team Score]]=Table1346[[#This Row],[Away Team Score]],"Tie","Lose"))</f>
        <v>Lose</v>
      </c>
      <c r="M200" t="s">
        <v>68</v>
      </c>
      <c r="N200">
        <v>11</v>
      </c>
      <c r="O200" s="3">
        <v>1.3888888888888889E-3</v>
      </c>
      <c r="P200" t="s">
        <v>39</v>
      </c>
      <c r="R200" t="e">
        <f>IF([1]!Table13[[#This Row],[Goal_assist]]="",1,0)</f>
        <v>#REF!</v>
      </c>
    </row>
    <row r="201" spans="1:18" x14ac:dyDescent="0.35">
      <c r="A201" t="s">
        <v>14</v>
      </c>
      <c r="B201" s="1">
        <v>45543</v>
      </c>
      <c r="C201" t="s">
        <v>75</v>
      </c>
      <c r="D201" t="s">
        <v>62</v>
      </c>
      <c r="E201" s="2">
        <v>39938</v>
      </c>
      <c r="F201" t="s">
        <v>24</v>
      </c>
      <c r="G201" t="s">
        <v>36</v>
      </c>
      <c r="H201" t="s">
        <v>54</v>
      </c>
      <c r="I201" s="3">
        <v>4.3749999999999997E-2</v>
      </c>
      <c r="J201" s="8" t="s">
        <v>444</v>
      </c>
      <c r="K201" s="8" t="s">
        <v>442</v>
      </c>
      <c r="L201" s="8" t="str">
        <f>IF(Table1346[[#This Row],[Home Team Score]]&gt;Table1346[[#This Row],[Away Team Score]],"Win",IF(Table1346[[#This Row],[Home Team Score]]=Table1346[[#This Row],[Away Team Score]],"Tie","Lose"))</f>
        <v>Lose</v>
      </c>
      <c r="M201" t="s">
        <v>68</v>
      </c>
      <c r="N201">
        <v>61</v>
      </c>
      <c r="O201" s="3">
        <v>2.0833333333333333E-3</v>
      </c>
      <c r="P201" t="s">
        <v>26</v>
      </c>
      <c r="Q201" t="s">
        <v>85</v>
      </c>
      <c r="R201" t="e">
        <f>IF([1]!Table13[[#This Row],[Goal_assist]]="",1,0)</f>
        <v>#REF!</v>
      </c>
    </row>
    <row r="202" spans="1:18" x14ac:dyDescent="0.35">
      <c r="A202" t="s">
        <v>14</v>
      </c>
      <c r="B202" s="1">
        <v>45543</v>
      </c>
      <c r="C202" t="s">
        <v>35</v>
      </c>
      <c r="D202">
        <v>36</v>
      </c>
      <c r="E202" s="2">
        <v>39943</v>
      </c>
      <c r="F202" t="s">
        <v>16</v>
      </c>
      <c r="G202" t="s">
        <v>36</v>
      </c>
      <c r="H202" t="s">
        <v>41</v>
      </c>
      <c r="I202" s="3">
        <v>8.3333333333333329E-2</v>
      </c>
      <c r="J202" s="8" t="s">
        <v>445</v>
      </c>
      <c r="K202" s="8" t="s">
        <v>443</v>
      </c>
      <c r="L202" s="8" t="str">
        <f>IF(Table1346[[#This Row],[Home Team Score]]&gt;Table1346[[#This Row],[Away Team Score]],"Win",IF(Table1346[[#This Row],[Home Team Score]]=Table1346[[#This Row],[Away Team Score]],"Tie","Lose"))</f>
        <v>Win</v>
      </c>
      <c r="M202" t="s">
        <v>38</v>
      </c>
      <c r="N202">
        <v>17</v>
      </c>
      <c r="O202" s="3">
        <v>4.1666666666666664E-2</v>
      </c>
      <c r="P202" t="s">
        <v>39</v>
      </c>
      <c r="R202" t="e">
        <f>IF([1]!Table13[[#This Row],[Goal_assist]]="",1,0)</f>
        <v>#REF!</v>
      </c>
    </row>
    <row r="203" spans="1:18" x14ac:dyDescent="0.35">
      <c r="A203" t="s">
        <v>64</v>
      </c>
      <c r="B203" s="1">
        <v>45543</v>
      </c>
      <c r="C203" t="s">
        <v>91</v>
      </c>
      <c r="D203" t="s">
        <v>46</v>
      </c>
      <c r="E203" s="2">
        <v>39946</v>
      </c>
      <c r="F203" t="s">
        <v>16</v>
      </c>
      <c r="G203" t="s">
        <v>66</v>
      </c>
      <c r="H203" t="s">
        <v>86</v>
      </c>
      <c r="I203" s="3">
        <v>0.1673611111111111</v>
      </c>
      <c r="J203" s="8" t="s">
        <v>446</v>
      </c>
      <c r="K203" s="8" t="s">
        <v>444</v>
      </c>
      <c r="L203" s="8" t="str">
        <f>IF(Table1346[[#This Row],[Home Team Score]]&gt;Table1346[[#This Row],[Away Team Score]],"Win",IF(Table1346[[#This Row],[Home Team Score]]=Table1346[[#This Row],[Away Team Score]],"Tie","Lose"))</f>
        <v>Win</v>
      </c>
      <c r="M203" t="s">
        <v>38</v>
      </c>
      <c r="N203">
        <v>55</v>
      </c>
      <c r="O203" s="3">
        <v>8.4027777777777785E-2</v>
      </c>
      <c r="P203" t="s">
        <v>31</v>
      </c>
      <c r="Q203" t="s">
        <v>79</v>
      </c>
      <c r="R203" t="e">
        <f>IF([1]!Table13[[#This Row],[Goal_assist]]="",1,0)</f>
        <v>#REF!</v>
      </c>
    </row>
    <row r="204" spans="1:18" x14ac:dyDescent="0.35">
      <c r="A204" t="s">
        <v>64</v>
      </c>
      <c r="B204" s="1">
        <v>45543</v>
      </c>
      <c r="C204" t="s">
        <v>75</v>
      </c>
      <c r="D204" t="s">
        <v>46</v>
      </c>
      <c r="E204" s="2">
        <v>39960</v>
      </c>
      <c r="F204" t="s">
        <v>16</v>
      </c>
      <c r="G204" t="s">
        <v>66</v>
      </c>
      <c r="H204" t="s">
        <v>36</v>
      </c>
      <c r="I204" s="3">
        <v>8.3333333333333329E-2</v>
      </c>
      <c r="J204" s="8" t="s">
        <v>445</v>
      </c>
      <c r="K204" s="8" t="s">
        <v>443</v>
      </c>
      <c r="L204" s="8" t="str">
        <f>IF(Table1346[[#This Row],[Home Team Score]]&gt;Table1346[[#This Row],[Away Team Score]],"Win",IF(Table1346[[#This Row],[Home Team Score]]=Table1346[[#This Row],[Away Team Score]],"Tie","Lose"))</f>
        <v>Win</v>
      </c>
      <c r="M204" t="s">
        <v>68</v>
      </c>
      <c r="N204">
        <v>70</v>
      </c>
      <c r="O204" s="3">
        <v>8.3333333333333329E-2</v>
      </c>
      <c r="P204" t="s">
        <v>22</v>
      </c>
      <c r="Q204" t="s">
        <v>106</v>
      </c>
      <c r="R204" t="e">
        <f>IF([1]!Table13[[#This Row],[Goal_assist]]="",1,0)</f>
        <v>#REF!</v>
      </c>
    </row>
    <row r="205" spans="1:18" x14ac:dyDescent="0.35">
      <c r="A205" t="s">
        <v>64</v>
      </c>
      <c r="B205" s="1">
        <v>45574</v>
      </c>
      <c r="C205" t="s">
        <v>172</v>
      </c>
      <c r="D205" t="s">
        <v>173</v>
      </c>
      <c r="E205" s="2">
        <v>40048</v>
      </c>
      <c r="F205" t="s">
        <v>16</v>
      </c>
      <c r="G205" t="s">
        <v>66</v>
      </c>
      <c r="H205" t="s">
        <v>86</v>
      </c>
      <c r="I205" s="3">
        <v>0.125</v>
      </c>
      <c r="J205" s="8" t="s">
        <v>442</v>
      </c>
      <c r="K205" s="8" t="s">
        <v>443</v>
      </c>
      <c r="L205" s="8" t="str">
        <f>IF(Table1346[[#This Row],[Home Team Score]]&gt;Table1346[[#This Row],[Away Team Score]],"Win",IF(Table1346[[#This Row],[Home Team Score]]=Table1346[[#This Row],[Away Team Score]],"Tie","Lose"))</f>
        <v>Win</v>
      </c>
      <c r="M205" t="s">
        <v>38</v>
      </c>
      <c r="N205">
        <v>68</v>
      </c>
      <c r="O205" s="3">
        <v>8.3333333333333329E-2</v>
      </c>
      <c r="P205" t="s">
        <v>83</v>
      </c>
      <c r="R205" t="e">
        <f>IF([1]!Table13[[#This Row],[Goal_assist]]="",1,0)</f>
        <v>#REF!</v>
      </c>
    </row>
    <row r="206" spans="1:18" x14ac:dyDescent="0.35">
      <c r="A206" t="s">
        <v>64</v>
      </c>
      <c r="B206" s="1">
        <v>45574</v>
      </c>
      <c r="C206" t="s">
        <v>172</v>
      </c>
      <c r="D206" t="s">
        <v>173</v>
      </c>
      <c r="E206" s="2">
        <v>40048</v>
      </c>
      <c r="F206" t="s">
        <v>16</v>
      </c>
      <c r="G206" t="s">
        <v>66</v>
      </c>
      <c r="H206" t="s">
        <v>86</v>
      </c>
      <c r="I206" s="3">
        <v>0.125</v>
      </c>
      <c r="J206" s="8" t="s">
        <v>442</v>
      </c>
      <c r="K206" s="8" t="s">
        <v>443</v>
      </c>
      <c r="L206" s="8" t="str">
        <f>IF(Table1346[[#This Row],[Home Team Score]]&gt;Table1346[[#This Row],[Away Team Score]],"Win",IF(Table1346[[#This Row],[Home Team Score]]=Table1346[[#This Row],[Away Team Score]],"Tie","Lose"))</f>
        <v>Win</v>
      </c>
      <c r="M206" t="s">
        <v>38</v>
      </c>
      <c r="N206">
        <v>50</v>
      </c>
      <c r="O206" s="3">
        <v>4.1666666666666664E-2</v>
      </c>
      <c r="P206" t="s">
        <v>26</v>
      </c>
      <c r="Q206" t="s">
        <v>174</v>
      </c>
      <c r="R206" t="e">
        <f>IF([1]!Table13[[#This Row],[Goal_assist]]="",1,0)</f>
        <v>#REF!</v>
      </c>
    </row>
    <row r="207" spans="1:18" x14ac:dyDescent="0.35">
      <c r="A207" t="s">
        <v>14</v>
      </c>
      <c r="B207" s="1">
        <v>45574</v>
      </c>
      <c r="C207" t="s">
        <v>65</v>
      </c>
      <c r="D207">
        <v>1</v>
      </c>
      <c r="E207" s="2">
        <v>40054</v>
      </c>
      <c r="F207" t="s">
        <v>16</v>
      </c>
      <c r="G207" t="s">
        <v>112</v>
      </c>
      <c r="H207" t="s">
        <v>175</v>
      </c>
      <c r="I207" s="3">
        <v>0.12638888888888888</v>
      </c>
      <c r="J207" s="8" t="s">
        <v>442</v>
      </c>
      <c r="K207" s="8" t="s">
        <v>445</v>
      </c>
      <c r="L207" s="8" t="str">
        <f>IF(Table1346[[#This Row],[Home Team Score]]&gt;Table1346[[#This Row],[Away Team Score]],"Win",IF(Table1346[[#This Row],[Home Team Score]]=Table1346[[#This Row],[Away Team Score]],"Tie","Lose"))</f>
        <v>Win</v>
      </c>
      <c r="M207" t="s">
        <v>38</v>
      </c>
      <c r="N207">
        <v>35</v>
      </c>
      <c r="O207" s="3">
        <v>8.4027777777777785E-2</v>
      </c>
      <c r="P207" t="s">
        <v>83</v>
      </c>
      <c r="R207" t="e">
        <f>IF([1]!Table13[[#This Row],[Goal_assist]]="",1,0)</f>
        <v>#REF!</v>
      </c>
    </row>
    <row r="208" spans="1:18" x14ac:dyDescent="0.35">
      <c r="A208" t="s">
        <v>64</v>
      </c>
      <c r="B208" s="1">
        <v>45574</v>
      </c>
      <c r="C208" t="s">
        <v>65</v>
      </c>
      <c r="D208">
        <v>2</v>
      </c>
      <c r="E208" s="2">
        <v>40068</v>
      </c>
      <c r="F208" t="s">
        <v>24</v>
      </c>
      <c r="G208" t="s">
        <v>66</v>
      </c>
      <c r="H208" t="s">
        <v>117</v>
      </c>
      <c r="I208" s="3">
        <v>1.3888888888888889E-3</v>
      </c>
      <c r="J208" s="8" t="s">
        <v>443</v>
      </c>
      <c r="K208" s="8" t="s">
        <v>445</v>
      </c>
      <c r="L208" s="8" t="str">
        <f>IF(Table1346[[#This Row],[Home Team Score]]&gt;Table1346[[#This Row],[Away Team Score]],"Win",IF(Table1346[[#This Row],[Home Team Score]]=Table1346[[#This Row],[Away Team Score]],"Tie","Lose"))</f>
        <v>Lose</v>
      </c>
      <c r="M208" t="s">
        <v>38</v>
      </c>
      <c r="N208">
        <v>78</v>
      </c>
      <c r="O208" s="3">
        <v>1.3888888888888889E-3</v>
      </c>
      <c r="P208" t="s">
        <v>22</v>
      </c>
      <c r="Q208" t="s">
        <v>174</v>
      </c>
      <c r="R208" t="e">
        <f>IF([1]!Table13[[#This Row],[Goal_assist]]="",1,0)</f>
        <v>#REF!</v>
      </c>
    </row>
    <row r="209" spans="1:18" x14ac:dyDescent="0.35">
      <c r="A209" t="s">
        <v>14</v>
      </c>
      <c r="B209" s="1">
        <v>45574</v>
      </c>
      <c r="C209" t="s">
        <v>65</v>
      </c>
      <c r="D209">
        <v>2</v>
      </c>
      <c r="E209" s="2">
        <v>40068</v>
      </c>
      <c r="F209" t="s">
        <v>24</v>
      </c>
      <c r="G209" t="s">
        <v>112</v>
      </c>
      <c r="H209" t="s">
        <v>121</v>
      </c>
      <c r="I209" s="3">
        <v>2.0833333333333333E-3</v>
      </c>
      <c r="J209" s="8" t="s">
        <v>443</v>
      </c>
      <c r="K209" s="8" t="s">
        <v>442</v>
      </c>
      <c r="L209" s="8" t="str">
        <f>IF(Table1346[[#This Row],[Home Team Score]]&gt;Table1346[[#This Row],[Away Team Score]],"Win",IF(Table1346[[#This Row],[Home Team Score]]=Table1346[[#This Row],[Away Team Score]],"Tie","Lose"))</f>
        <v>Lose</v>
      </c>
      <c r="M209" t="str">
        <f>M208</f>
        <v>RW</v>
      </c>
      <c r="N209">
        <v>90</v>
      </c>
      <c r="O209" s="3">
        <v>2.0833333333333333E-3</v>
      </c>
      <c r="P209" t="s">
        <v>26</v>
      </c>
      <c r="Q209" t="s">
        <v>176</v>
      </c>
      <c r="R209" t="e">
        <f>IF([1]!Table13[[#This Row],[Goal_assist]]="",1,0)</f>
        <v>#REF!</v>
      </c>
    </row>
    <row r="210" spans="1:18" x14ac:dyDescent="0.35">
      <c r="A210" t="s">
        <v>14</v>
      </c>
      <c r="B210" s="1">
        <v>45574</v>
      </c>
      <c r="C210" t="s">
        <v>75</v>
      </c>
      <c r="D210" t="s">
        <v>76</v>
      </c>
      <c r="E210" s="2">
        <v>40071</v>
      </c>
      <c r="F210" t="s">
        <v>24</v>
      </c>
      <c r="G210" t="s">
        <v>112</v>
      </c>
      <c r="H210" t="s">
        <v>177</v>
      </c>
      <c r="I210" s="3">
        <v>8.6805555555555552E-2</v>
      </c>
      <c r="J210" s="8" t="s">
        <v>445</v>
      </c>
      <c r="K210" s="8" t="s">
        <v>448</v>
      </c>
      <c r="L210" s="8" t="str">
        <f>IF(Table1346[[#This Row],[Home Team Score]]&gt;Table1346[[#This Row],[Away Team Score]],"Win",IF(Table1346[[#This Row],[Home Team Score]]=Table1346[[#This Row],[Away Team Score]],"Tie","Lose"))</f>
        <v>Lose</v>
      </c>
      <c r="M210" t="s">
        <v>68</v>
      </c>
      <c r="N210">
        <v>89</v>
      </c>
      <c r="O210" s="3">
        <v>8.611111111111111E-2</v>
      </c>
      <c r="P210" t="s">
        <v>39</v>
      </c>
      <c r="R210" t="e">
        <f>IF([1]!Table13[[#This Row],[Goal_assist]]="",1,0)</f>
        <v>#REF!</v>
      </c>
    </row>
    <row r="211" spans="1:18" x14ac:dyDescent="0.35">
      <c r="A211" t="s">
        <v>14</v>
      </c>
      <c r="B211" s="1">
        <v>45574</v>
      </c>
      <c r="C211" t="s">
        <v>75</v>
      </c>
      <c r="D211" t="s">
        <v>76</v>
      </c>
      <c r="E211" s="2">
        <v>40071</v>
      </c>
      <c r="F211" t="s">
        <v>24</v>
      </c>
      <c r="G211" t="s">
        <v>112</v>
      </c>
      <c r="H211" t="s">
        <v>177</v>
      </c>
      <c r="I211" s="3">
        <v>8.6805555555555552E-2</v>
      </c>
      <c r="J211" s="8" t="s">
        <v>445</v>
      </c>
      <c r="K211" s="8" t="s">
        <v>448</v>
      </c>
      <c r="L211" s="8" t="str">
        <f>IF(Table1346[[#This Row],[Home Team Score]]&gt;Table1346[[#This Row],[Away Team Score]],"Win",IF(Table1346[[#This Row],[Home Team Score]]=Table1346[[#This Row],[Away Team Score]],"Tie","Lose"))</f>
        <v>Lose</v>
      </c>
      <c r="M211" t="s">
        <v>68</v>
      </c>
      <c r="N211">
        <v>27</v>
      </c>
      <c r="O211" s="3">
        <v>6.9444444444444447E-4</v>
      </c>
      <c r="P211" t="s">
        <v>39</v>
      </c>
      <c r="R211" t="e">
        <f>IF([1]!Table13[[#This Row],[Goal_assist]]="",1,0)</f>
        <v>#REF!</v>
      </c>
    </row>
    <row r="212" spans="1:18" x14ac:dyDescent="0.35">
      <c r="A212" t="s">
        <v>64</v>
      </c>
      <c r="B212" s="1">
        <v>45574</v>
      </c>
      <c r="C212" t="s">
        <v>65</v>
      </c>
      <c r="D212">
        <v>3</v>
      </c>
      <c r="E212" s="2">
        <v>40075</v>
      </c>
      <c r="F212" t="s">
        <v>16</v>
      </c>
      <c r="G212" t="s">
        <v>66</v>
      </c>
      <c r="H212" t="s">
        <v>119</v>
      </c>
      <c r="I212" s="3">
        <v>0.20972222222222223</v>
      </c>
      <c r="J212" s="8" t="s">
        <v>448</v>
      </c>
      <c r="K212" s="8" t="s">
        <v>445</v>
      </c>
      <c r="L212" s="8" t="str">
        <f>IF(Table1346[[#This Row],[Home Team Score]]&gt;Table1346[[#This Row],[Away Team Score]],"Win",IF(Table1346[[#This Row],[Home Team Score]]=Table1346[[#This Row],[Away Team Score]],"Tie","Lose"))</f>
        <v>Win</v>
      </c>
      <c r="M212" t="s">
        <v>38</v>
      </c>
      <c r="N212">
        <v>15</v>
      </c>
      <c r="O212" s="3">
        <v>8.3333333333333329E-2</v>
      </c>
      <c r="P212" t="s">
        <v>31</v>
      </c>
      <c r="Q212" t="s">
        <v>106</v>
      </c>
      <c r="R212" t="e">
        <f>IF([1]!Table13[[#This Row],[Goal_assist]]="",1,0)</f>
        <v>#REF!</v>
      </c>
    </row>
    <row r="213" spans="1:18" x14ac:dyDescent="0.35">
      <c r="A213" t="s">
        <v>64</v>
      </c>
      <c r="B213" s="1">
        <v>45574</v>
      </c>
      <c r="C213" t="s">
        <v>65</v>
      </c>
      <c r="D213">
        <v>3</v>
      </c>
      <c r="E213" s="2">
        <v>40075</v>
      </c>
      <c r="F213" t="s">
        <v>16</v>
      </c>
      <c r="G213" t="s">
        <v>66</v>
      </c>
      <c r="H213" t="s">
        <v>119</v>
      </c>
      <c r="I213" s="3">
        <v>0.20972222222222223</v>
      </c>
      <c r="J213" s="8" t="s">
        <v>448</v>
      </c>
      <c r="K213" s="8" t="s">
        <v>445</v>
      </c>
      <c r="L213" s="8" t="str">
        <f>IF(Table1346[[#This Row],[Home Team Score]]&gt;Table1346[[#This Row],[Away Team Score]],"Win",IF(Table1346[[#This Row],[Home Team Score]]=Table1346[[#This Row],[Away Team Score]],"Tie","Lose"))</f>
        <v>Win</v>
      </c>
      <c r="M213" t="s">
        <v>38</v>
      </c>
      <c r="N213" t="s">
        <v>136</v>
      </c>
      <c r="O213" s="3">
        <v>0.20972222222222223</v>
      </c>
      <c r="P213" t="s">
        <v>26</v>
      </c>
      <c r="Q213" t="s">
        <v>155</v>
      </c>
      <c r="R213" t="e">
        <f>IF([1]!Table13[[#This Row],[Goal_assist]]="",1,0)</f>
        <v>#REF!</v>
      </c>
    </row>
    <row r="214" spans="1:18" x14ac:dyDescent="0.35">
      <c r="A214" t="s">
        <v>14</v>
      </c>
      <c r="B214" s="1">
        <v>45574</v>
      </c>
      <c r="C214" t="s">
        <v>65</v>
      </c>
      <c r="D214">
        <v>3</v>
      </c>
      <c r="E214" s="2">
        <v>40076</v>
      </c>
      <c r="F214" t="s">
        <v>16</v>
      </c>
      <c r="G214" t="s">
        <v>112</v>
      </c>
      <c r="H214" t="s">
        <v>178</v>
      </c>
      <c r="I214" s="3">
        <v>0.20833333333333334</v>
      </c>
      <c r="J214" s="8" t="s">
        <v>448</v>
      </c>
      <c r="K214" s="8" t="s">
        <v>443</v>
      </c>
      <c r="L214" s="8" t="str">
        <f>IF(Table1346[[#This Row],[Home Team Score]]&gt;Table1346[[#This Row],[Away Team Score]],"Win",IF(Table1346[[#This Row],[Home Team Score]]=Table1346[[#This Row],[Away Team Score]],"Tie","Lose"))</f>
        <v>Win</v>
      </c>
      <c r="M214" t="s">
        <v>38</v>
      </c>
      <c r="N214">
        <v>75</v>
      </c>
      <c r="O214" s="3">
        <v>8.3333333333333329E-2</v>
      </c>
      <c r="P214" t="s">
        <v>22</v>
      </c>
      <c r="Q214" t="s">
        <v>179</v>
      </c>
      <c r="R214" t="e">
        <f>IF([1]!Table13[[#This Row],[Goal_assist]]="",1,0)</f>
        <v>#REF!</v>
      </c>
    </row>
    <row r="215" spans="1:18" x14ac:dyDescent="0.35">
      <c r="A215" t="s">
        <v>14</v>
      </c>
      <c r="B215" s="1">
        <v>45574</v>
      </c>
      <c r="C215" t="s">
        <v>65</v>
      </c>
      <c r="D215">
        <v>3</v>
      </c>
      <c r="E215" s="2">
        <v>40076</v>
      </c>
      <c r="F215" t="s">
        <v>16</v>
      </c>
      <c r="G215" t="s">
        <v>112</v>
      </c>
      <c r="H215" t="s">
        <v>178</v>
      </c>
      <c r="I215" s="3">
        <v>0.20833333333333334</v>
      </c>
      <c r="J215" s="8" t="s">
        <v>448</v>
      </c>
      <c r="K215" s="8" t="s">
        <v>443</v>
      </c>
      <c r="L215" s="8" t="str">
        <f>IF(Table1346[[#This Row],[Home Team Score]]&gt;Table1346[[#This Row],[Away Team Score]],"Win",IF(Table1346[[#This Row],[Home Team Score]]=Table1346[[#This Row],[Away Team Score]],"Tie","Lose"))</f>
        <v>Win</v>
      </c>
      <c r="M215" t="s">
        <v>38</v>
      </c>
      <c r="N215">
        <v>1</v>
      </c>
      <c r="O215" s="3">
        <v>4.1666666666666664E-2</v>
      </c>
      <c r="P215" t="s">
        <v>26</v>
      </c>
      <c r="R215" t="e">
        <f>IF([1]!Table13[[#This Row],[Goal_assist]]="",1,0)</f>
        <v>#REF!</v>
      </c>
    </row>
    <row r="216" spans="1:18" x14ac:dyDescent="0.35">
      <c r="A216" t="s">
        <v>64</v>
      </c>
      <c r="B216" s="1">
        <v>45574</v>
      </c>
      <c r="C216" t="s">
        <v>65</v>
      </c>
      <c r="D216">
        <v>4</v>
      </c>
      <c r="E216" s="2">
        <v>40078</v>
      </c>
      <c r="F216" t="s">
        <v>24</v>
      </c>
      <c r="G216" t="s">
        <v>66</v>
      </c>
      <c r="H216" t="s">
        <v>78</v>
      </c>
      <c r="I216" s="3">
        <v>4.4444444444444446E-2</v>
      </c>
      <c r="J216" s="8" t="s">
        <v>444</v>
      </c>
      <c r="K216" s="8" t="s">
        <v>446</v>
      </c>
      <c r="L216" s="8" t="str">
        <f>IF(Table1346[[#This Row],[Home Team Score]]&gt;Table1346[[#This Row],[Away Team Score]],"Win",IF(Table1346[[#This Row],[Home Team Score]]=Table1346[[#This Row],[Away Team Score]],"Tie","Lose"))</f>
        <v>Lose</v>
      </c>
      <c r="M216" t="s">
        <v>38</v>
      </c>
      <c r="N216">
        <v>63</v>
      </c>
      <c r="O216" s="3">
        <v>2.7777777777777779E-3</v>
      </c>
      <c r="P216" t="s">
        <v>31</v>
      </c>
      <c r="Q216" t="s">
        <v>106</v>
      </c>
      <c r="R216" t="e">
        <f>IF([1]!Table13[[#This Row],[Goal_assist]]="",1,0)</f>
        <v>#REF!</v>
      </c>
    </row>
    <row r="217" spans="1:18" x14ac:dyDescent="0.35">
      <c r="A217" t="s">
        <v>64</v>
      </c>
      <c r="B217" s="1">
        <v>45574</v>
      </c>
      <c r="C217" t="s">
        <v>65</v>
      </c>
      <c r="D217">
        <v>4</v>
      </c>
      <c r="E217" s="2">
        <v>40078</v>
      </c>
      <c r="F217" t="s">
        <v>24</v>
      </c>
      <c r="G217" t="s">
        <v>66</v>
      </c>
      <c r="H217" t="s">
        <v>78</v>
      </c>
      <c r="I217" s="3">
        <v>4.4444444444444446E-2</v>
      </c>
      <c r="J217" s="8" t="s">
        <v>444</v>
      </c>
      <c r="K217" s="8" t="s">
        <v>446</v>
      </c>
      <c r="L217" s="8" t="str">
        <f>IF(Table1346[[#This Row],[Home Team Score]]&gt;Table1346[[#This Row],[Away Team Score]],"Win",IF(Table1346[[#This Row],[Home Team Score]]=Table1346[[#This Row],[Away Team Score]],"Tie","Lose"))</f>
        <v>Lose</v>
      </c>
      <c r="M217" t="s">
        <v>38</v>
      </c>
      <c r="N217">
        <v>23</v>
      </c>
      <c r="O217" s="3">
        <v>1.3888888888888889E-3</v>
      </c>
      <c r="P217" t="s">
        <v>31</v>
      </c>
      <c r="Q217" t="s">
        <v>106</v>
      </c>
      <c r="R217" t="e">
        <f>IF([1]!Table13[[#This Row],[Goal_assist]]="",1,0)</f>
        <v>#REF!</v>
      </c>
    </row>
    <row r="218" spans="1:18" x14ac:dyDescent="0.35">
      <c r="A218" t="s">
        <v>14</v>
      </c>
      <c r="B218" s="1">
        <v>45574</v>
      </c>
      <c r="C218" t="s">
        <v>65</v>
      </c>
      <c r="D218">
        <v>4</v>
      </c>
      <c r="E218" s="2">
        <v>40079</v>
      </c>
      <c r="F218" t="s">
        <v>24</v>
      </c>
      <c r="G218" t="s">
        <v>112</v>
      </c>
      <c r="H218" t="s">
        <v>180</v>
      </c>
      <c r="I218" s="3">
        <v>1.3888888888888889E-3</v>
      </c>
      <c r="J218" s="8" t="s">
        <v>443</v>
      </c>
      <c r="K218" s="8" t="s">
        <v>445</v>
      </c>
      <c r="L218" s="8" t="str">
        <f>IF(Table1346[[#This Row],[Home Team Score]]&gt;Table1346[[#This Row],[Away Team Score]],"Win",IF(Table1346[[#This Row],[Home Team Score]]=Table1346[[#This Row],[Away Team Score]],"Tie","Lose"))</f>
        <v>Lose</v>
      </c>
      <c r="M218" t="s">
        <v>68</v>
      </c>
      <c r="N218">
        <v>2</v>
      </c>
      <c r="O218" s="3">
        <v>6.9444444444444447E-4</v>
      </c>
      <c r="P218" t="s">
        <v>26</v>
      </c>
      <c r="R218" t="e">
        <f>IF([1]!Table13[[#This Row],[Goal_assist]]="",1,0)</f>
        <v>#REF!</v>
      </c>
    </row>
    <row r="219" spans="1:18" x14ac:dyDescent="0.35">
      <c r="A219" t="s">
        <v>64</v>
      </c>
      <c r="B219" s="1">
        <v>45574</v>
      </c>
      <c r="C219" t="s">
        <v>75</v>
      </c>
      <c r="D219" t="s">
        <v>76</v>
      </c>
      <c r="E219" s="2">
        <v>40085</v>
      </c>
      <c r="F219" t="s">
        <v>16</v>
      </c>
      <c r="G219" t="s">
        <v>66</v>
      </c>
      <c r="H219" t="s">
        <v>130</v>
      </c>
      <c r="I219" s="3">
        <v>8.3333333333333329E-2</v>
      </c>
      <c r="J219" s="8" t="s">
        <v>445</v>
      </c>
      <c r="K219" s="8" t="s">
        <v>443</v>
      </c>
      <c r="L219" s="8" t="str">
        <f>IF(Table1346[[#This Row],[Home Team Score]]&gt;Table1346[[#This Row],[Away Team Score]],"Win",IF(Table1346[[#This Row],[Home Team Score]]=Table1346[[#This Row],[Away Team Score]],"Tie","Lose"))</f>
        <v>Win</v>
      </c>
      <c r="M219" t="s">
        <v>38</v>
      </c>
      <c r="N219">
        <v>25</v>
      </c>
      <c r="O219" s="3">
        <v>4.1666666666666664E-2</v>
      </c>
      <c r="P219" t="s">
        <v>31</v>
      </c>
      <c r="Q219" t="s">
        <v>99</v>
      </c>
      <c r="R219" t="e">
        <f>IF([1]!Table13[[#This Row],[Goal_assist]]="",1,0)</f>
        <v>#REF!</v>
      </c>
    </row>
    <row r="220" spans="1:18" x14ac:dyDescent="0.35">
      <c r="A220" t="s">
        <v>14</v>
      </c>
      <c r="B220" s="1">
        <v>45574</v>
      </c>
      <c r="C220" t="s">
        <v>75</v>
      </c>
      <c r="D220" t="s">
        <v>76</v>
      </c>
      <c r="E220" s="2">
        <v>40086</v>
      </c>
      <c r="F220" t="s">
        <v>16</v>
      </c>
      <c r="G220" t="s">
        <v>112</v>
      </c>
      <c r="H220" t="s">
        <v>181</v>
      </c>
      <c r="I220" s="3">
        <v>0.125</v>
      </c>
      <c r="J220" s="8" t="s">
        <v>442</v>
      </c>
      <c r="K220" s="8" t="s">
        <v>443</v>
      </c>
      <c r="L220" s="8" t="str">
        <f>IF(Table1346[[#This Row],[Home Team Score]]&gt;Table1346[[#This Row],[Away Team Score]],"Win",IF(Table1346[[#This Row],[Home Team Score]]=Table1346[[#This Row],[Away Team Score]],"Tie","Lose"))</f>
        <v>Win</v>
      </c>
      <c r="M220" t="s">
        <v>68</v>
      </c>
      <c r="N220">
        <v>58</v>
      </c>
      <c r="O220" s="3">
        <v>4.1666666666666664E-2</v>
      </c>
      <c r="P220" t="s">
        <v>31</v>
      </c>
      <c r="Q220" t="s">
        <v>182</v>
      </c>
      <c r="R220" t="e">
        <f>IF([1]!Table13[[#This Row],[Goal_assist]]="",1,0)</f>
        <v>#REF!</v>
      </c>
    </row>
    <row r="221" spans="1:18" x14ac:dyDescent="0.35">
      <c r="A221" t="s">
        <v>14</v>
      </c>
      <c r="B221" s="1">
        <v>45574</v>
      </c>
      <c r="C221" t="s">
        <v>75</v>
      </c>
      <c r="D221" t="s">
        <v>76</v>
      </c>
      <c r="E221" s="2">
        <v>40086</v>
      </c>
      <c r="F221" t="s">
        <v>16</v>
      </c>
      <c r="G221" t="s">
        <v>112</v>
      </c>
      <c r="H221" t="s">
        <v>181</v>
      </c>
      <c r="I221" s="3">
        <v>0.125</v>
      </c>
      <c r="J221" s="8" t="s">
        <v>442</v>
      </c>
      <c r="K221" s="8" t="s">
        <v>443</v>
      </c>
      <c r="L221" s="8" t="str">
        <f>IF(Table1346[[#This Row],[Home Team Score]]&gt;Table1346[[#This Row],[Away Team Score]],"Win",IF(Table1346[[#This Row],[Home Team Score]]=Table1346[[#This Row],[Away Team Score]],"Tie","Lose"))</f>
        <v>Win</v>
      </c>
      <c r="M221" t="s">
        <v>68</v>
      </c>
      <c r="N221">
        <v>64</v>
      </c>
      <c r="O221" s="3">
        <v>0.125</v>
      </c>
      <c r="P221" t="s">
        <v>26</v>
      </c>
      <c r="Q221" t="s">
        <v>183</v>
      </c>
      <c r="R221" t="e">
        <f>IF([1]!Table13[[#This Row],[Goal_assist]]="",1,0)</f>
        <v>#REF!</v>
      </c>
    </row>
    <row r="222" spans="1:18" x14ac:dyDescent="0.35">
      <c r="A222" t="s">
        <v>64</v>
      </c>
      <c r="B222" s="1">
        <v>45574</v>
      </c>
      <c r="C222" t="s">
        <v>65</v>
      </c>
      <c r="D222">
        <v>8</v>
      </c>
      <c r="E222" s="2">
        <v>40111</v>
      </c>
      <c r="F222" t="s">
        <v>16</v>
      </c>
      <c r="G222" t="s">
        <v>66</v>
      </c>
      <c r="H222" t="s">
        <v>93</v>
      </c>
      <c r="I222" s="3">
        <v>0.25069444444444444</v>
      </c>
      <c r="J222" s="8" t="s">
        <v>450</v>
      </c>
      <c r="K222" s="8" t="s">
        <v>444</v>
      </c>
      <c r="L222" s="8" t="str">
        <f>IF(Table1346[[#This Row],[Home Team Score]]&gt;Table1346[[#This Row],[Away Team Score]],"Win",IF(Table1346[[#This Row],[Home Team Score]]=Table1346[[#This Row],[Away Team Score]],"Tie","Lose"))</f>
        <v>Win</v>
      </c>
      <c r="M222" t="s">
        <v>38</v>
      </c>
      <c r="N222">
        <v>80</v>
      </c>
      <c r="O222" s="3">
        <v>0.20902777777777778</v>
      </c>
      <c r="P222" t="s">
        <v>31</v>
      </c>
      <c r="Q222" t="s">
        <v>99</v>
      </c>
      <c r="R222" t="e">
        <f>IF([1]!Table13[[#This Row],[Goal_assist]]="",1,0)</f>
        <v>#REF!</v>
      </c>
    </row>
    <row r="223" spans="1:18" x14ac:dyDescent="0.35">
      <c r="A223" t="s">
        <v>64</v>
      </c>
      <c r="B223" s="1">
        <v>45574</v>
      </c>
      <c r="C223" t="s">
        <v>65</v>
      </c>
      <c r="D223">
        <v>10</v>
      </c>
      <c r="E223" s="2">
        <v>40124</v>
      </c>
      <c r="F223" t="s">
        <v>16</v>
      </c>
      <c r="G223" t="s">
        <v>66</v>
      </c>
      <c r="H223" t="s">
        <v>89</v>
      </c>
      <c r="I223" s="3">
        <v>0.16805555555555557</v>
      </c>
      <c r="J223" s="8" t="s">
        <v>446</v>
      </c>
      <c r="K223" s="8" t="s">
        <v>445</v>
      </c>
      <c r="L223" s="8" t="str">
        <f>IF(Table1346[[#This Row],[Home Team Score]]&gt;Table1346[[#This Row],[Away Team Score]],"Win",IF(Table1346[[#This Row],[Home Team Score]]=Table1346[[#This Row],[Away Team Score]],"Tie","Lose"))</f>
        <v>Win</v>
      </c>
      <c r="M223" t="s">
        <v>38</v>
      </c>
      <c r="N223">
        <v>86</v>
      </c>
      <c r="O223" s="3">
        <v>0.1673611111111111</v>
      </c>
      <c r="P223" t="s">
        <v>83</v>
      </c>
      <c r="R223" t="e">
        <f>IF([1]!Table13[[#This Row],[Goal_assist]]="",1,0)</f>
        <v>#REF!</v>
      </c>
    </row>
    <row r="224" spans="1:18" x14ac:dyDescent="0.35">
      <c r="A224" t="s">
        <v>64</v>
      </c>
      <c r="B224" s="1">
        <v>45574</v>
      </c>
      <c r="C224" t="s">
        <v>91</v>
      </c>
      <c r="D224" t="s">
        <v>184</v>
      </c>
      <c r="E224" s="2">
        <v>40127</v>
      </c>
      <c r="F224" t="s">
        <v>16</v>
      </c>
      <c r="G224" t="s">
        <v>66</v>
      </c>
      <c r="H224" t="s">
        <v>185</v>
      </c>
      <c r="I224" s="3">
        <v>0.20833333333333334</v>
      </c>
      <c r="J224" s="8" t="s">
        <v>448</v>
      </c>
      <c r="K224" s="8" t="s">
        <v>443</v>
      </c>
      <c r="L224" s="8" t="str">
        <f>IF(Table1346[[#This Row],[Home Team Score]]&gt;Table1346[[#This Row],[Away Team Score]],"Win",IF(Table1346[[#This Row],[Home Team Score]]=Table1346[[#This Row],[Away Team Score]],"Tie","Lose"))</f>
        <v>Win</v>
      </c>
      <c r="M224" t="s">
        <v>38</v>
      </c>
      <c r="N224">
        <v>64</v>
      </c>
      <c r="O224" s="3">
        <v>0.16666666666666666</v>
      </c>
      <c r="P224" t="s">
        <v>31</v>
      </c>
      <c r="Q224" t="s">
        <v>186</v>
      </c>
      <c r="R224" t="e">
        <f>IF([1]!Table13[[#This Row],[Goal_assist]]="",1,0)</f>
        <v>#REF!</v>
      </c>
    </row>
    <row r="225" spans="1:18" x14ac:dyDescent="0.35">
      <c r="A225" t="s">
        <v>64</v>
      </c>
      <c r="B225" s="1">
        <v>45574</v>
      </c>
      <c r="C225" t="s">
        <v>65</v>
      </c>
      <c r="D225">
        <v>13</v>
      </c>
      <c r="E225" s="2">
        <v>40152</v>
      </c>
      <c r="F225" t="s">
        <v>24</v>
      </c>
      <c r="G225" t="s">
        <v>66</v>
      </c>
      <c r="H225" t="s">
        <v>115</v>
      </c>
      <c r="I225" s="3">
        <v>4.3749999999999997E-2</v>
      </c>
      <c r="J225" s="8" t="s">
        <v>444</v>
      </c>
      <c r="K225" s="8" t="s">
        <v>442</v>
      </c>
      <c r="L225" s="8" t="str">
        <f>IF(Table1346[[#This Row],[Home Team Score]]&gt;Table1346[[#This Row],[Away Team Score]],"Win",IF(Table1346[[#This Row],[Home Team Score]]=Table1346[[#This Row],[Away Team Score]],"Tie","Lose"))</f>
        <v>Lose</v>
      </c>
      <c r="M225" t="s">
        <v>38</v>
      </c>
      <c r="N225">
        <v>80</v>
      </c>
      <c r="O225" s="3">
        <v>4.3055555555555555E-2</v>
      </c>
      <c r="P225" t="s">
        <v>22</v>
      </c>
      <c r="Q225" t="s">
        <v>186</v>
      </c>
      <c r="R225" t="e">
        <f>IF([1]!Table13[[#This Row],[Goal_assist]]="",1,0)</f>
        <v>#REF!</v>
      </c>
    </row>
    <row r="226" spans="1:18" x14ac:dyDescent="0.35">
      <c r="A226" t="s">
        <v>64</v>
      </c>
      <c r="B226" s="1">
        <v>45574</v>
      </c>
      <c r="C226" t="s">
        <v>65</v>
      </c>
      <c r="D226">
        <v>13</v>
      </c>
      <c r="E226" s="2">
        <v>40152</v>
      </c>
      <c r="F226" t="s">
        <v>24</v>
      </c>
      <c r="G226" t="s">
        <v>66</v>
      </c>
      <c r="H226" t="s">
        <v>115</v>
      </c>
      <c r="I226" s="3">
        <v>4.3749999999999997E-2</v>
      </c>
      <c r="J226" s="8" t="s">
        <v>444</v>
      </c>
      <c r="K226" s="8" t="s">
        <v>442</v>
      </c>
      <c r="L226" s="8" t="str">
        <f>IF(Table1346[[#This Row],[Home Team Score]]&gt;Table1346[[#This Row],[Away Team Score]],"Win",IF(Table1346[[#This Row],[Home Team Score]]=Table1346[[#This Row],[Away Team Score]],"Tie","Lose"))</f>
        <v>Lose</v>
      </c>
      <c r="M226" t="s">
        <v>38</v>
      </c>
      <c r="N226">
        <v>26</v>
      </c>
      <c r="O226" s="3">
        <v>6.9444444444444447E-4</v>
      </c>
      <c r="P226" t="s">
        <v>31</v>
      </c>
      <c r="Q226" t="s">
        <v>155</v>
      </c>
      <c r="R226" t="e">
        <f>IF([1]!Table13[[#This Row],[Goal_assist]]="",1,0)</f>
        <v>#REF!</v>
      </c>
    </row>
    <row r="227" spans="1:18" x14ac:dyDescent="0.35">
      <c r="A227" t="s">
        <v>14</v>
      </c>
      <c r="B227" s="1">
        <v>45574</v>
      </c>
      <c r="C227" t="s">
        <v>65</v>
      </c>
      <c r="D227">
        <v>13</v>
      </c>
      <c r="E227" s="2">
        <v>40152</v>
      </c>
      <c r="F227" t="s">
        <v>16</v>
      </c>
      <c r="G227" t="s">
        <v>112</v>
      </c>
      <c r="H227" t="s">
        <v>187</v>
      </c>
      <c r="I227" s="3">
        <v>0.16805555555555557</v>
      </c>
      <c r="J227" s="8" t="s">
        <v>446</v>
      </c>
      <c r="K227" s="8" t="s">
        <v>445</v>
      </c>
      <c r="L227" s="8" t="str">
        <f>IF(Table1346[[#This Row],[Home Team Score]]&gt;Table1346[[#This Row],[Away Team Score]],"Win",IF(Table1346[[#This Row],[Home Team Score]]=Table1346[[#This Row],[Away Team Score]],"Tie","Lose"))</f>
        <v>Win</v>
      </c>
      <c r="M227" t="s">
        <v>68</v>
      </c>
      <c r="N227">
        <v>84</v>
      </c>
      <c r="O227" s="3">
        <v>0.16805555555555557</v>
      </c>
      <c r="P227" t="s">
        <v>26</v>
      </c>
      <c r="Q227" t="s">
        <v>188</v>
      </c>
      <c r="R227" t="e">
        <f>IF([1]!Table13[[#This Row],[Goal_assist]]="",1,0)</f>
        <v>#REF!</v>
      </c>
    </row>
    <row r="228" spans="1:18" x14ac:dyDescent="0.35">
      <c r="A228" t="s">
        <v>14</v>
      </c>
      <c r="B228" s="1">
        <v>45574</v>
      </c>
      <c r="C228" t="s">
        <v>75</v>
      </c>
      <c r="D228" t="s">
        <v>76</v>
      </c>
      <c r="E228" s="2">
        <v>40155</v>
      </c>
      <c r="F228" t="s">
        <v>24</v>
      </c>
      <c r="G228" t="s">
        <v>112</v>
      </c>
      <c r="H228" t="s">
        <v>181</v>
      </c>
      <c r="I228" s="3">
        <v>4.3749999999999997E-2</v>
      </c>
      <c r="J228" s="8" t="s">
        <v>444</v>
      </c>
      <c r="K228" s="8" t="s">
        <v>442</v>
      </c>
      <c r="L228" s="8" t="str">
        <f>IF(Table1346[[#This Row],[Home Team Score]]&gt;Table1346[[#This Row],[Away Team Score]],"Win",IF(Table1346[[#This Row],[Home Team Score]]=Table1346[[#This Row],[Away Team Score]],"Tie","Lose"))</f>
        <v>Lose</v>
      </c>
      <c r="M228" t="s">
        <v>68</v>
      </c>
      <c r="N228">
        <v>5</v>
      </c>
      <c r="O228" s="3">
        <v>6.9444444444444447E-4</v>
      </c>
      <c r="P228" t="s">
        <v>39</v>
      </c>
      <c r="R228" t="e">
        <f>IF([1]!Table13[[#This Row],[Goal_assist]]="",1,0)</f>
        <v>#REF!</v>
      </c>
    </row>
    <row r="229" spans="1:18" x14ac:dyDescent="0.35">
      <c r="A229" t="s">
        <v>14</v>
      </c>
      <c r="B229" s="1">
        <v>45574</v>
      </c>
      <c r="C229" t="s">
        <v>75</v>
      </c>
      <c r="D229" t="s">
        <v>76</v>
      </c>
      <c r="E229" s="2">
        <v>40155</v>
      </c>
      <c r="F229" t="s">
        <v>24</v>
      </c>
      <c r="G229" t="s">
        <v>112</v>
      </c>
      <c r="H229" t="s">
        <v>181</v>
      </c>
      <c r="I229" s="3">
        <v>4.3749999999999997E-2</v>
      </c>
      <c r="J229" s="8" t="s">
        <v>444</v>
      </c>
      <c r="K229" s="8" t="s">
        <v>442</v>
      </c>
      <c r="L229" s="8" t="str">
        <f>IF(Table1346[[#This Row],[Home Team Score]]&gt;Table1346[[#This Row],[Away Team Score]],"Win",IF(Table1346[[#This Row],[Home Team Score]]=Table1346[[#This Row],[Away Team Score]],"Tie","Lose"))</f>
        <v>Lose</v>
      </c>
      <c r="M229" t="s">
        <v>68</v>
      </c>
      <c r="N229">
        <v>80</v>
      </c>
      <c r="O229" s="3">
        <v>4.3749999999999997E-2</v>
      </c>
      <c r="P229" t="s">
        <v>26</v>
      </c>
      <c r="Q229" t="s">
        <v>189</v>
      </c>
      <c r="R229" t="e">
        <f>IF([1]!Table13[[#This Row],[Goal_assist]]="",1,0)</f>
        <v>#REF!</v>
      </c>
    </row>
    <row r="230" spans="1:18" x14ac:dyDescent="0.35">
      <c r="A230" t="s">
        <v>64</v>
      </c>
      <c r="B230" s="1">
        <v>45574</v>
      </c>
      <c r="C230" t="s">
        <v>75</v>
      </c>
      <c r="D230" t="s">
        <v>76</v>
      </c>
      <c r="E230" s="2">
        <v>40156</v>
      </c>
      <c r="F230" t="s">
        <v>24</v>
      </c>
      <c r="G230" t="s">
        <v>66</v>
      </c>
      <c r="H230" t="s">
        <v>130</v>
      </c>
      <c r="I230" s="3">
        <v>4.3055555555555555E-2</v>
      </c>
      <c r="J230" s="8" t="s">
        <v>444</v>
      </c>
      <c r="K230" s="8" t="s">
        <v>445</v>
      </c>
      <c r="L230" s="8" t="str">
        <f>IF(Table1346[[#This Row],[Home Team Score]]&gt;Table1346[[#This Row],[Away Team Score]],"Win",IF(Table1346[[#This Row],[Home Team Score]]=Table1346[[#This Row],[Away Team Score]],"Tie","Lose"))</f>
        <v>Lose</v>
      </c>
      <c r="M230" t="s">
        <v>38</v>
      </c>
      <c r="N230">
        <v>86</v>
      </c>
      <c r="O230" s="3">
        <v>4.3055555555555555E-2</v>
      </c>
      <c r="P230" t="s">
        <v>39</v>
      </c>
      <c r="R230" t="e">
        <f>IF([1]!Table13[[#This Row],[Goal_assist]]="",1,0)</f>
        <v>#REF!</v>
      </c>
    </row>
    <row r="231" spans="1:18" x14ac:dyDescent="0.35">
      <c r="A231" t="s">
        <v>64</v>
      </c>
      <c r="B231" s="1">
        <v>45574</v>
      </c>
      <c r="C231" t="s">
        <v>163</v>
      </c>
      <c r="D231" t="s">
        <v>62</v>
      </c>
      <c r="E231" s="2">
        <v>40163</v>
      </c>
      <c r="F231" t="s">
        <v>24</v>
      </c>
      <c r="G231" t="s">
        <v>66</v>
      </c>
      <c r="H231" t="s">
        <v>190</v>
      </c>
      <c r="I231" s="3">
        <v>4.3749999999999997E-2</v>
      </c>
      <c r="J231" s="8" t="s">
        <v>444</v>
      </c>
      <c r="K231" s="8" t="s">
        <v>442</v>
      </c>
      <c r="L231" s="8" t="str">
        <f>IF(Table1346[[#This Row],[Home Team Score]]&gt;Table1346[[#This Row],[Away Team Score]],"Win",IF(Table1346[[#This Row],[Home Team Score]]=Table1346[[#This Row],[Away Team Score]],"Tie","Lose"))</f>
        <v>Lose</v>
      </c>
      <c r="M231" t="s">
        <v>38</v>
      </c>
      <c r="N231">
        <v>55</v>
      </c>
      <c r="O231" s="3">
        <v>4.3055555555555555E-2</v>
      </c>
      <c r="P231" t="s">
        <v>31</v>
      </c>
      <c r="Q231" t="s">
        <v>174</v>
      </c>
      <c r="R231" t="e">
        <f>IF([1]!Table13[[#This Row],[Goal_assist]]="",1,0)</f>
        <v>#REF!</v>
      </c>
    </row>
    <row r="232" spans="1:18" x14ac:dyDescent="0.35">
      <c r="A232" t="s">
        <v>64</v>
      </c>
      <c r="B232" s="1">
        <v>45574</v>
      </c>
      <c r="C232" t="s">
        <v>163</v>
      </c>
      <c r="D232" t="s">
        <v>46</v>
      </c>
      <c r="E232" s="2">
        <v>40166</v>
      </c>
      <c r="F232" t="s">
        <v>24</v>
      </c>
      <c r="G232" t="s">
        <v>66</v>
      </c>
      <c r="H232" t="s">
        <v>191</v>
      </c>
      <c r="I232" s="3">
        <v>4.3055555555555555E-2</v>
      </c>
      <c r="J232" s="8">
        <v>1</v>
      </c>
      <c r="K232" s="8">
        <v>2</v>
      </c>
      <c r="L232" s="8" t="str">
        <f>IF(Table1346[[#This Row],[Home Team Score]]&gt;Table1346[[#This Row],[Away Team Score]],"Win",IF(Table1346[[#This Row],[Home Team Score]]=Table1346[[#This Row],[Away Team Score]],"Tie","Lose"))</f>
        <v>Lose</v>
      </c>
      <c r="M232" t="s">
        <v>38</v>
      </c>
      <c r="N232">
        <v>110</v>
      </c>
      <c r="O232" s="3">
        <v>4.3055555555555555E-2</v>
      </c>
      <c r="P232" t="s">
        <v>193</v>
      </c>
      <c r="Q232" t="s">
        <v>155</v>
      </c>
      <c r="R232" t="e">
        <f>IF([1]!Table13[[#This Row],[Goal_assist]]="",1,0)</f>
        <v>#REF!</v>
      </c>
    </row>
    <row r="233" spans="1:18" x14ac:dyDescent="0.35">
      <c r="A233" t="s">
        <v>14</v>
      </c>
      <c r="B233" s="1">
        <v>45574</v>
      </c>
      <c r="C233" t="s">
        <v>65</v>
      </c>
      <c r="D233">
        <v>15</v>
      </c>
      <c r="E233" s="2">
        <v>40166</v>
      </c>
      <c r="F233" t="s">
        <v>16</v>
      </c>
      <c r="G233" t="s">
        <v>112</v>
      </c>
      <c r="H233" t="s">
        <v>93</v>
      </c>
      <c r="I233" s="3">
        <v>0.25</v>
      </c>
      <c r="J233" s="8" t="s">
        <v>450</v>
      </c>
      <c r="K233" s="8" t="s">
        <v>443</v>
      </c>
      <c r="L233" s="8" t="str">
        <f>IF(Table1346[[#This Row],[Home Team Score]]&gt;Table1346[[#This Row],[Away Team Score]],"Win",IF(Table1346[[#This Row],[Home Team Score]]=Table1346[[#This Row],[Away Team Score]],"Tie","Lose"))</f>
        <v>Win</v>
      </c>
      <c r="M233" t="s">
        <v>68</v>
      </c>
      <c r="N233">
        <v>50</v>
      </c>
      <c r="O233" s="3">
        <v>0.20833333333333334</v>
      </c>
      <c r="P233" t="s">
        <v>31</v>
      </c>
      <c r="Q233" t="s">
        <v>194</v>
      </c>
      <c r="R233" t="e">
        <f>IF([1]!Table13[[#This Row],[Goal_assist]]="",1,0)</f>
        <v>#REF!</v>
      </c>
    </row>
    <row r="234" spans="1:18" x14ac:dyDescent="0.35">
      <c r="A234" t="s">
        <v>64</v>
      </c>
      <c r="B234" s="1">
        <v>45574</v>
      </c>
      <c r="C234" t="s">
        <v>65</v>
      </c>
      <c r="D234">
        <v>17</v>
      </c>
      <c r="E234" s="2">
        <v>40188</v>
      </c>
      <c r="F234" t="s">
        <v>24</v>
      </c>
      <c r="G234" t="s">
        <v>66</v>
      </c>
      <c r="H234" t="s">
        <v>195</v>
      </c>
      <c r="I234" s="3">
        <v>3.472222222222222E-3</v>
      </c>
      <c r="J234" s="8" t="s">
        <v>443</v>
      </c>
      <c r="K234" s="8" t="s">
        <v>448</v>
      </c>
      <c r="L234" s="8" t="str">
        <f>IF(Table1346[[#This Row],[Home Team Score]]&gt;Table1346[[#This Row],[Away Team Score]],"Win",IF(Table1346[[#This Row],[Home Team Score]]=Table1346[[#This Row],[Away Team Score]],"Tie","Lose"))</f>
        <v>Lose</v>
      </c>
      <c r="M234" t="s">
        <v>38</v>
      </c>
      <c r="N234">
        <v>75</v>
      </c>
      <c r="O234" s="3">
        <v>2.7777777777777779E-3</v>
      </c>
      <c r="P234" t="s">
        <v>31</v>
      </c>
      <c r="Q234" t="s">
        <v>153</v>
      </c>
      <c r="R234" t="e">
        <f>IF([1]!Table13[[#This Row],[Goal_assist]]="",1,0)</f>
        <v>#REF!</v>
      </c>
    </row>
    <row r="235" spans="1:18" x14ac:dyDescent="0.35">
      <c r="A235" t="s">
        <v>64</v>
      </c>
      <c r="B235" s="1">
        <v>45574</v>
      </c>
      <c r="C235" t="s">
        <v>65</v>
      </c>
      <c r="D235">
        <v>17</v>
      </c>
      <c r="E235" s="2">
        <v>40188</v>
      </c>
      <c r="F235" t="s">
        <v>24</v>
      </c>
      <c r="G235" t="s">
        <v>66</v>
      </c>
      <c r="H235" t="s">
        <v>195</v>
      </c>
      <c r="I235" s="3">
        <v>3.472222222222222E-3</v>
      </c>
      <c r="J235" s="8" t="s">
        <v>443</v>
      </c>
      <c r="K235" s="8" t="s">
        <v>448</v>
      </c>
      <c r="L235" s="8" t="str">
        <f>IF(Table1346[[#This Row],[Home Team Score]]&gt;Table1346[[#This Row],[Away Team Score]],"Win",IF(Table1346[[#This Row],[Home Team Score]]=Table1346[[#This Row],[Away Team Score]],"Tie","Lose"))</f>
        <v>Lose</v>
      </c>
      <c r="M235" t="s">
        <v>38</v>
      </c>
      <c r="N235">
        <v>45</v>
      </c>
      <c r="O235" s="3">
        <v>2.0833333333333333E-3</v>
      </c>
      <c r="P235" t="s">
        <v>26</v>
      </c>
      <c r="Q235" t="s">
        <v>153</v>
      </c>
      <c r="R235" t="e">
        <f>IF([1]!Table13[[#This Row],[Goal_assist]]="",1,0)</f>
        <v>#REF!</v>
      </c>
    </row>
    <row r="236" spans="1:18" x14ac:dyDescent="0.35">
      <c r="A236" t="s">
        <v>64</v>
      </c>
      <c r="B236" s="1">
        <v>45574</v>
      </c>
      <c r="C236" t="s">
        <v>65</v>
      </c>
      <c r="D236">
        <v>17</v>
      </c>
      <c r="E236" s="2">
        <v>40188</v>
      </c>
      <c r="F236" t="s">
        <v>24</v>
      </c>
      <c r="G236" t="s">
        <v>66</v>
      </c>
      <c r="H236" t="s">
        <v>195</v>
      </c>
      <c r="I236" s="3">
        <v>3.472222222222222E-3</v>
      </c>
      <c r="J236" s="8" t="s">
        <v>443</v>
      </c>
      <c r="K236" s="8" t="s">
        <v>448</v>
      </c>
      <c r="L236" s="8" t="str">
        <f>IF(Table1346[[#This Row],[Home Team Score]]&gt;Table1346[[#This Row],[Away Team Score]],"Win",IF(Table1346[[#This Row],[Home Team Score]]=Table1346[[#This Row],[Away Team Score]],"Tie","Lose"))</f>
        <v>Lose</v>
      </c>
      <c r="M236" t="s">
        <v>38</v>
      </c>
      <c r="N236">
        <v>36</v>
      </c>
      <c r="O236" s="3">
        <v>6.9444444444444447E-4</v>
      </c>
      <c r="P236" t="s">
        <v>31</v>
      </c>
      <c r="Q236" t="s">
        <v>153</v>
      </c>
      <c r="R236" t="e">
        <f>IF([1]!Table13[[#This Row],[Goal_assist]]="",1,0)</f>
        <v>#REF!</v>
      </c>
    </row>
    <row r="237" spans="1:18" x14ac:dyDescent="0.35">
      <c r="A237" t="s">
        <v>64</v>
      </c>
      <c r="B237" s="1">
        <v>45574</v>
      </c>
      <c r="C237" t="s">
        <v>65</v>
      </c>
      <c r="D237">
        <v>18</v>
      </c>
      <c r="E237" s="2">
        <v>40194</v>
      </c>
      <c r="F237" t="s">
        <v>16</v>
      </c>
      <c r="G237" t="s">
        <v>66</v>
      </c>
      <c r="H237" t="s">
        <v>105</v>
      </c>
      <c r="I237" s="3">
        <v>0.16666666666666666</v>
      </c>
      <c r="J237" s="8" t="s">
        <v>446</v>
      </c>
      <c r="K237" s="8" t="s">
        <v>443</v>
      </c>
      <c r="L237" s="8" t="str">
        <f>IF(Table1346[[#This Row],[Home Team Score]]&gt;Table1346[[#This Row],[Away Team Score]],"Win",IF(Table1346[[#This Row],[Home Team Score]]=Table1346[[#This Row],[Away Team Score]],"Tie","Lose"))</f>
        <v>Win</v>
      </c>
      <c r="M237" t="s">
        <v>38</v>
      </c>
      <c r="N237" t="s">
        <v>69</v>
      </c>
      <c r="O237" s="3">
        <v>0.16666666666666666</v>
      </c>
      <c r="P237" t="s">
        <v>31</v>
      </c>
      <c r="Q237" t="s">
        <v>196</v>
      </c>
      <c r="R237" t="e">
        <f>IF([1]!Table13[[#This Row],[Goal_assist]]="",1,0)</f>
        <v>#REF!</v>
      </c>
    </row>
    <row r="238" spans="1:18" x14ac:dyDescent="0.35">
      <c r="A238" t="s">
        <v>64</v>
      </c>
      <c r="B238" s="1">
        <v>45574</v>
      </c>
      <c r="C238" t="s">
        <v>65</v>
      </c>
      <c r="D238">
        <v>18</v>
      </c>
      <c r="E238" s="2">
        <v>40194</v>
      </c>
      <c r="F238" t="s">
        <v>16</v>
      </c>
      <c r="G238" t="s">
        <v>66</v>
      </c>
      <c r="H238" t="s">
        <v>105</v>
      </c>
      <c r="I238" s="3">
        <v>0.16666666666666666</v>
      </c>
      <c r="J238" s="8" t="s">
        <v>446</v>
      </c>
      <c r="K238" s="8" t="s">
        <v>443</v>
      </c>
      <c r="L238" s="8" t="str">
        <f>IF(Table1346[[#This Row],[Home Team Score]]&gt;Table1346[[#This Row],[Away Team Score]],"Win",IF(Table1346[[#This Row],[Home Team Score]]=Table1346[[#This Row],[Away Team Score]],"Tie","Lose"))</f>
        <v>Win</v>
      </c>
      <c r="M238" t="s">
        <v>38</v>
      </c>
      <c r="N238">
        <v>85</v>
      </c>
      <c r="O238" s="3">
        <v>0.125</v>
      </c>
      <c r="P238" t="s">
        <v>31</v>
      </c>
      <c r="Q238" t="s">
        <v>155</v>
      </c>
      <c r="R238" t="e">
        <f>IF([1]!Table13[[#This Row],[Goal_assist]]="",1,0)</f>
        <v>#REF!</v>
      </c>
    </row>
    <row r="239" spans="1:18" x14ac:dyDescent="0.35">
      <c r="A239" t="s">
        <v>64</v>
      </c>
      <c r="B239" s="1">
        <v>45574</v>
      </c>
      <c r="C239" t="s">
        <v>65</v>
      </c>
      <c r="D239">
        <v>19</v>
      </c>
      <c r="E239" s="2">
        <v>40201</v>
      </c>
      <c r="F239" t="s">
        <v>24</v>
      </c>
      <c r="G239" t="s">
        <v>66</v>
      </c>
      <c r="H239" t="s">
        <v>197</v>
      </c>
      <c r="I239" s="3">
        <v>2.0833333333333333E-3</v>
      </c>
      <c r="J239" s="8" t="s">
        <v>443</v>
      </c>
      <c r="K239" s="8" t="s">
        <v>442</v>
      </c>
      <c r="L239" s="8" t="str">
        <f>IF(Table1346[[#This Row],[Home Team Score]]&gt;Table1346[[#This Row],[Away Team Score]],"Win",IF(Table1346[[#This Row],[Home Team Score]]=Table1346[[#This Row],[Away Team Score]],"Tie","Lose"))</f>
        <v>Lose</v>
      </c>
      <c r="M239" t="s">
        <v>38</v>
      </c>
      <c r="N239">
        <v>54</v>
      </c>
      <c r="O239" s="3">
        <v>2.0833333333333333E-3</v>
      </c>
      <c r="P239" t="s">
        <v>31</v>
      </c>
      <c r="Q239" t="s">
        <v>174</v>
      </c>
      <c r="R239" t="e">
        <f>IF([1]!Table13[[#This Row],[Goal_assist]]="",1,0)</f>
        <v>#REF!</v>
      </c>
    </row>
    <row r="240" spans="1:18" x14ac:dyDescent="0.35">
      <c r="A240" t="s">
        <v>14</v>
      </c>
      <c r="B240" s="1">
        <v>45574</v>
      </c>
      <c r="C240" t="s">
        <v>65</v>
      </c>
      <c r="D240">
        <v>19</v>
      </c>
      <c r="E240" s="2">
        <v>40202</v>
      </c>
      <c r="F240" t="s">
        <v>16</v>
      </c>
      <c r="G240" t="s">
        <v>112</v>
      </c>
      <c r="H240" t="s">
        <v>157</v>
      </c>
      <c r="I240" s="3">
        <v>8.3333333333333329E-2</v>
      </c>
      <c r="J240" s="8" t="s">
        <v>445</v>
      </c>
      <c r="K240" s="8" t="s">
        <v>443</v>
      </c>
      <c r="L240" s="8" t="str">
        <f>IF(Table1346[[#This Row],[Home Team Score]]&gt;Table1346[[#This Row],[Away Team Score]],"Win",IF(Table1346[[#This Row],[Home Team Score]]=Table1346[[#This Row],[Away Team Score]],"Tie","Lose"))</f>
        <v>Win</v>
      </c>
      <c r="M240" t="s">
        <v>38</v>
      </c>
      <c r="N240">
        <v>35</v>
      </c>
      <c r="O240" s="3">
        <v>4.1666666666666664E-2</v>
      </c>
      <c r="P240" t="s">
        <v>26</v>
      </c>
      <c r="Q240" t="s">
        <v>198</v>
      </c>
      <c r="R240" t="e">
        <f>IF([1]!Table13[[#This Row],[Goal_assist]]="",1,0)</f>
        <v>#REF!</v>
      </c>
    </row>
    <row r="241" spans="1:18" x14ac:dyDescent="0.35">
      <c r="A241" t="s">
        <v>14</v>
      </c>
      <c r="B241" s="1">
        <v>45574</v>
      </c>
      <c r="C241" t="s">
        <v>65</v>
      </c>
      <c r="D241">
        <v>19</v>
      </c>
      <c r="E241" s="2">
        <v>40202</v>
      </c>
      <c r="F241" t="s">
        <v>16</v>
      </c>
      <c r="G241" t="s">
        <v>112</v>
      </c>
      <c r="H241" t="s">
        <v>157</v>
      </c>
      <c r="I241" s="3">
        <v>8.3333333333333329E-2</v>
      </c>
      <c r="J241" s="8" t="s">
        <v>445</v>
      </c>
      <c r="K241" s="8" t="s">
        <v>443</v>
      </c>
      <c r="L241" s="8" t="str">
        <f>IF(Table1346[[#This Row],[Home Team Score]]&gt;Table1346[[#This Row],[Away Team Score]],"Win",IF(Table1346[[#This Row],[Home Team Score]]=Table1346[[#This Row],[Away Team Score]],"Tie","Lose"))</f>
        <v>Win</v>
      </c>
      <c r="M241" t="s">
        <v>38</v>
      </c>
      <c r="N241">
        <v>39</v>
      </c>
      <c r="O241" s="3">
        <v>8.3333333333333329E-2</v>
      </c>
      <c r="P241" t="s">
        <v>26</v>
      </c>
      <c r="Q241" t="s">
        <v>176</v>
      </c>
      <c r="R241" t="e">
        <f>IF([1]!Table13[[#This Row],[Goal_assist]]="",1,0)</f>
        <v>#REF!</v>
      </c>
    </row>
    <row r="242" spans="1:18" x14ac:dyDescent="0.35">
      <c r="A242" t="s">
        <v>64</v>
      </c>
      <c r="B242" s="1">
        <v>45574</v>
      </c>
      <c r="C242" t="s">
        <v>65</v>
      </c>
      <c r="D242">
        <v>21</v>
      </c>
      <c r="E242" s="2">
        <v>40215</v>
      </c>
      <c r="F242" t="s">
        <v>16</v>
      </c>
      <c r="G242" t="s">
        <v>66</v>
      </c>
      <c r="H242" t="s">
        <v>117</v>
      </c>
      <c r="I242" s="3">
        <v>8.4027777777777785E-2</v>
      </c>
      <c r="J242" s="8" t="s">
        <v>445</v>
      </c>
      <c r="K242" s="8" t="s">
        <v>444</v>
      </c>
      <c r="L242" s="8" t="str">
        <f>IF(Table1346[[#This Row],[Home Team Score]]&gt;Table1346[[#This Row],[Away Team Score]],"Win",IF(Table1346[[#This Row],[Home Team Score]]=Table1346[[#This Row],[Away Team Score]],"Tie","Lose"))</f>
        <v>Win</v>
      </c>
      <c r="M242" t="s">
        <v>38</v>
      </c>
      <c r="N242">
        <v>7</v>
      </c>
      <c r="O242" s="3">
        <v>4.1666666666666664E-2</v>
      </c>
      <c r="P242" t="s">
        <v>31</v>
      </c>
      <c r="Q242" t="s">
        <v>199</v>
      </c>
      <c r="R242" t="e">
        <f>IF([1]!Table13[[#This Row],[Goal_assist]]="",1,0)</f>
        <v>#REF!</v>
      </c>
    </row>
    <row r="243" spans="1:18" x14ac:dyDescent="0.35">
      <c r="A243" t="s">
        <v>14</v>
      </c>
      <c r="B243" s="1">
        <v>45574</v>
      </c>
      <c r="C243" t="s">
        <v>65</v>
      </c>
      <c r="D243">
        <v>22</v>
      </c>
      <c r="E243" s="2">
        <v>40222</v>
      </c>
      <c r="F243" t="s">
        <v>24</v>
      </c>
      <c r="G243" t="s">
        <v>112</v>
      </c>
      <c r="H243" t="s">
        <v>178</v>
      </c>
      <c r="I243" s="3">
        <v>2.0833333333333333E-3</v>
      </c>
      <c r="J243" s="8" t="s">
        <v>443</v>
      </c>
      <c r="K243" s="8" t="s">
        <v>442</v>
      </c>
      <c r="L243" s="8" t="str">
        <f>IF(Table1346[[#This Row],[Home Team Score]]&gt;Table1346[[#This Row],[Away Team Score]],"Win",IF(Table1346[[#This Row],[Home Team Score]]=Table1346[[#This Row],[Away Team Score]],"Tie","Lose"))</f>
        <v>Lose</v>
      </c>
      <c r="M243" t="str">
        <f t="shared" ref="M243:M246" si="12">M242</f>
        <v>RW</v>
      </c>
      <c r="N243">
        <v>71</v>
      </c>
      <c r="O243" s="3">
        <v>2.0833333333333333E-3</v>
      </c>
      <c r="P243" t="s">
        <v>31</v>
      </c>
      <c r="Q243" t="s">
        <v>198</v>
      </c>
      <c r="R243" t="e">
        <f>IF([1]!Table13[[#This Row],[Goal_assist]]="",1,0)</f>
        <v>#REF!</v>
      </c>
    </row>
    <row r="244" spans="1:18" x14ac:dyDescent="0.35">
      <c r="A244" t="s">
        <v>14</v>
      </c>
      <c r="B244" s="1">
        <v>45574</v>
      </c>
      <c r="C244" t="s">
        <v>65</v>
      </c>
      <c r="D244">
        <v>22</v>
      </c>
      <c r="E244" s="2">
        <v>40222</v>
      </c>
      <c r="F244" t="s">
        <v>24</v>
      </c>
      <c r="G244" t="s">
        <v>112</v>
      </c>
      <c r="H244" t="s">
        <v>178</v>
      </c>
      <c r="I244" s="3">
        <v>2.0833333333333333E-3</v>
      </c>
      <c r="J244" s="8" t="s">
        <v>443</v>
      </c>
      <c r="K244" s="8" t="s">
        <v>442</v>
      </c>
      <c r="L244" s="8" t="str">
        <f>IF(Table1346[[#This Row],[Home Team Score]]&gt;Table1346[[#This Row],[Away Team Score]],"Win",IF(Table1346[[#This Row],[Home Team Score]]=Table1346[[#This Row],[Away Team Score]],"Tie","Lose"))</f>
        <v>Lose</v>
      </c>
      <c r="M244" t="str">
        <f t="shared" si="12"/>
        <v>RW</v>
      </c>
      <c r="N244">
        <v>69</v>
      </c>
      <c r="O244" s="3">
        <v>1.3888888888888889E-3</v>
      </c>
      <c r="P244" t="s">
        <v>22</v>
      </c>
      <c r="Q244" t="s">
        <v>198</v>
      </c>
      <c r="R244" t="e">
        <f>IF([1]!Table13[[#This Row],[Goal_assist]]="",1,0)</f>
        <v>#REF!</v>
      </c>
    </row>
    <row r="245" spans="1:18" x14ac:dyDescent="0.35">
      <c r="A245" t="s">
        <v>14</v>
      </c>
      <c r="B245" s="1">
        <v>45574</v>
      </c>
      <c r="C245" t="s">
        <v>65</v>
      </c>
      <c r="D245">
        <v>23</v>
      </c>
      <c r="E245" s="2">
        <v>40230</v>
      </c>
      <c r="F245" t="s">
        <v>16</v>
      </c>
      <c r="G245" t="s">
        <v>112</v>
      </c>
      <c r="H245" t="s">
        <v>180</v>
      </c>
      <c r="I245" s="3">
        <v>0.25138888888888888</v>
      </c>
      <c r="J245" s="8" t="s">
        <v>450</v>
      </c>
      <c r="K245" s="8" t="s">
        <v>445</v>
      </c>
      <c r="L245" s="8" t="str">
        <f>IF(Table1346[[#This Row],[Home Team Score]]&gt;Table1346[[#This Row],[Away Team Score]],"Win",IF(Table1346[[#This Row],[Home Team Score]]=Table1346[[#This Row],[Away Team Score]],"Tie","Lose"))</f>
        <v>Win</v>
      </c>
      <c r="M245" t="str">
        <f t="shared" si="12"/>
        <v>RW</v>
      </c>
      <c r="N245">
        <v>18</v>
      </c>
      <c r="O245" s="3">
        <v>4.1666666666666664E-2</v>
      </c>
      <c r="P245" t="s">
        <v>39</v>
      </c>
      <c r="R245" t="e">
        <f>IF([1]!Table13[[#This Row],[Goal_assist]]="",1,0)</f>
        <v>#REF!</v>
      </c>
    </row>
    <row r="246" spans="1:18" x14ac:dyDescent="0.35">
      <c r="A246" t="s">
        <v>14</v>
      </c>
      <c r="B246" s="1">
        <v>45574</v>
      </c>
      <c r="C246" t="s">
        <v>65</v>
      </c>
      <c r="D246">
        <v>24</v>
      </c>
      <c r="E246" s="2">
        <v>40236</v>
      </c>
      <c r="F246" t="s">
        <v>24</v>
      </c>
      <c r="G246" t="s">
        <v>112</v>
      </c>
      <c r="H246" t="s">
        <v>195</v>
      </c>
      <c r="I246" s="3">
        <v>4.5138888888888888E-2</v>
      </c>
      <c r="J246" s="8" t="s">
        <v>444</v>
      </c>
      <c r="K246" s="8" t="s">
        <v>448</v>
      </c>
      <c r="L246" s="8" t="str">
        <f>IF(Table1346[[#This Row],[Home Team Score]]&gt;Table1346[[#This Row],[Away Team Score]],"Win",IF(Table1346[[#This Row],[Home Team Score]]=Table1346[[#This Row],[Away Team Score]],"Tie","Lose"))</f>
        <v>Lose</v>
      </c>
      <c r="M246" t="str">
        <f t="shared" si="12"/>
        <v>RW</v>
      </c>
      <c r="N246">
        <v>78</v>
      </c>
      <c r="O246" s="3">
        <v>4.4444444444444446E-2</v>
      </c>
      <c r="P246" t="s">
        <v>83</v>
      </c>
      <c r="R246" t="e">
        <f>IF([1]!Table13[[#This Row],[Goal_assist]]="",1,0)</f>
        <v>#REF!</v>
      </c>
    </row>
    <row r="247" spans="1:18" x14ac:dyDescent="0.35">
      <c r="A247" t="s">
        <v>64</v>
      </c>
      <c r="B247" s="1">
        <v>45574</v>
      </c>
      <c r="C247" t="s">
        <v>65</v>
      </c>
      <c r="D247">
        <v>24</v>
      </c>
      <c r="E247" s="2">
        <v>40236</v>
      </c>
      <c r="F247" t="s">
        <v>16</v>
      </c>
      <c r="G247" t="s">
        <v>66</v>
      </c>
      <c r="H247" t="s">
        <v>157</v>
      </c>
      <c r="I247" s="3">
        <v>8.4027777777777785E-2</v>
      </c>
      <c r="J247" s="8" t="s">
        <v>445</v>
      </c>
      <c r="K247" s="8" t="s">
        <v>444</v>
      </c>
      <c r="L247" s="8" t="str">
        <f>IF(Table1346[[#This Row],[Home Team Score]]&gt;Table1346[[#This Row],[Away Team Score]],"Win",IF(Table1346[[#This Row],[Home Team Score]]=Table1346[[#This Row],[Away Team Score]],"Tie","Lose"))</f>
        <v>Win</v>
      </c>
      <c r="M247" t="s">
        <v>38</v>
      </c>
      <c r="N247">
        <v>84</v>
      </c>
      <c r="O247" s="3">
        <v>8.4027777777777785E-2</v>
      </c>
      <c r="P247" t="s">
        <v>26</v>
      </c>
      <c r="Q247" t="s">
        <v>155</v>
      </c>
      <c r="R247" t="e">
        <f>IF([1]!Table13[[#This Row],[Goal_assist]]="",1,0)</f>
        <v>#REF!</v>
      </c>
    </row>
    <row r="248" spans="1:18" x14ac:dyDescent="0.35">
      <c r="A248" t="s">
        <v>64</v>
      </c>
      <c r="B248" s="1">
        <v>45574</v>
      </c>
      <c r="C248" t="s">
        <v>65</v>
      </c>
      <c r="D248">
        <v>25</v>
      </c>
      <c r="E248" s="2">
        <v>40243</v>
      </c>
      <c r="F248" t="s">
        <v>24</v>
      </c>
      <c r="G248" t="s">
        <v>66</v>
      </c>
      <c r="H248" t="s">
        <v>131</v>
      </c>
      <c r="I248" s="3">
        <v>8.4722222222222227E-2</v>
      </c>
      <c r="J248" s="8" t="s">
        <v>445</v>
      </c>
      <c r="K248" s="8" t="s">
        <v>445</v>
      </c>
      <c r="L248" s="8" t="str">
        <f>IF(Table1346[[#This Row],[Home Team Score]]&gt;Table1346[[#This Row],[Away Team Score]],"Win",IF(Table1346[[#This Row],[Home Team Score]]=Table1346[[#This Row],[Away Team Score]],"Tie","Lose"))</f>
        <v>Tie</v>
      </c>
      <c r="M248" t="s">
        <v>38</v>
      </c>
      <c r="N248">
        <v>66</v>
      </c>
      <c r="O248" s="3">
        <v>8.4722222222222227E-2</v>
      </c>
      <c r="P248" t="s">
        <v>31</v>
      </c>
      <c r="R248" t="e">
        <f>IF([1]!Table13[[#This Row],[Goal_assist]]="",1,0)</f>
        <v>#REF!</v>
      </c>
    </row>
    <row r="249" spans="1:18" x14ac:dyDescent="0.35">
      <c r="A249" t="s">
        <v>64</v>
      </c>
      <c r="B249" s="1">
        <v>45574</v>
      </c>
      <c r="C249" t="s">
        <v>65</v>
      </c>
      <c r="D249">
        <v>25</v>
      </c>
      <c r="E249" s="2">
        <v>40243</v>
      </c>
      <c r="F249" t="s">
        <v>24</v>
      </c>
      <c r="G249" t="s">
        <v>66</v>
      </c>
      <c r="H249" t="s">
        <v>131</v>
      </c>
      <c r="I249" s="3">
        <v>8.4722222222222227E-2</v>
      </c>
      <c r="J249" s="8" t="s">
        <v>445</v>
      </c>
      <c r="K249" s="8" t="s">
        <v>445</v>
      </c>
      <c r="L249" s="8" t="str">
        <f>IF(Table1346[[#This Row],[Home Team Score]]&gt;Table1346[[#This Row],[Away Team Score]],"Win",IF(Table1346[[#This Row],[Home Team Score]]=Table1346[[#This Row],[Away Team Score]],"Tie","Lose"))</f>
        <v>Tie</v>
      </c>
      <c r="M249" t="s">
        <v>38</v>
      </c>
      <c r="N249">
        <v>42</v>
      </c>
      <c r="O249" s="3">
        <v>4.2361111111111113E-2</v>
      </c>
      <c r="P249" t="s">
        <v>39</v>
      </c>
      <c r="R249" t="e">
        <f>IF([1]!Table13[[#This Row],[Goal_assist]]="",1,0)</f>
        <v>#REF!</v>
      </c>
    </row>
    <row r="250" spans="1:18" x14ac:dyDescent="0.35">
      <c r="A250" t="s">
        <v>14</v>
      </c>
      <c r="B250" s="1">
        <v>45574</v>
      </c>
      <c r="C250" t="s">
        <v>65</v>
      </c>
      <c r="D250">
        <v>25</v>
      </c>
      <c r="E250" s="2">
        <v>40243</v>
      </c>
      <c r="F250" t="s">
        <v>16</v>
      </c>
      <c r="G250" t="s">
        <v>112</v>
      </c>
      <c r="H250" t="s">
        <v>105</v>
      </c>
      <c r="I250" s="3">
        <v>0.12638888888888888</v>
      </c>
      <c r="J250" s="8" t="s">
        <v>442</v>
      </c>
      <c r="K250" s="8" t="s">
        <v>445</v>
      </c>
      <c r="L250" s="8" t="str">
        <f>IF(Table1346[[#This Row],[Home Team Score]]&gt;Table1346[[#This Row],[Away Team Score]],"Win",IF(Table1346[[#This Row],[Home Team Score]]=Table1346[[#This Row],[Away Team Score]],"Tie","Lose"))</f>
        <v>Win</v>
      </c>
      <c r="M250" t="s">
        <v>68</v>
      </c>
      <c r="N250">
        <v>59</v>
      </c>
      <c r="O250" s="3">
        <v>4.3055555555555555E-2</v>
      </c>
      <c r="P250" t="s">
        <v>31</v>
      </c>
      <c r="R250" t="e">
        <f>IF([1]!Table13[[#This Row],[Goal_assist]]="",1,0)</f>
        <v>#REF!</v>
      </c>
    </row>
    <row r="251" spans="1:18" x14ac:dyDescent="0.35">
      <c r="A251" t="s">
        <v>14</v>
      </c>
      <c r="B251" s="1">
        <v>45574</v>
      </c>
      <c r="C251" t="s">
        <v>75</v>
      </c>
      <c r="D251" t="s">
        <v>143</v>
      </c>
      <c r="E251" s="2">
        <v>40247</v>
      </c>
      <c r="F251" t="s">
        <v>16</v>
      </c>
      <c r="G251" t="s">
        <v>112</v>
      </c>
      <c r="H251" t="s">
        <v>125</v>
      </c>
      <c r="I251" s="3">
        <v>4.2361111111111113E-2</v>
      </c>
      <c r="J251" s="8" t="s">
        <v>444</v>
      </c>
      <c r="K251" s="8" t="s">
        <v>444</v>
      </c>
      <c r="L251" s="8" t="str">
        <f>IF(Table1346[[#This Row],[Home Team Score]]&gt;Table1346[[#This Row],[Away Team Score]],"Win",IF(Table1346[[#This Row],[Home Team Score]]=Table1346[[#This Row],[Away Team Score]],"Tie","Lose"))</f>
        <v>Tie</v>
      </c>
      <c r="M251" t="s">
        <v>19</v>
      </c>
      <c r="N251">
        <v>6</v>
      </c>
      <c r="O251" s="3">
        <v>4.1666666666666664E-2</v>
      </c>
      <c r="P251" t="s">
        <v>31</v>
      </c>
      <c r="Q251" t="s">
        <v>176</v>
      </c>
      <c r="R251" t="e">
        <f>IF([1]!Table13[[#This Row],[Goal_assist]]="",1,0)</f>
        <v>#REF!</v>
      </c>
    </row>
    <row r="252" spans="1:18" x14ac:dyDescent="0.35">
      <c r="A252" t="s">
        <v>64</v>
      </c>
      <c r="B252" s="1">
        <v>45574</v>
      </c>
      <c r="C252" t="s">
        <v>65</v>
      </c>
      <c r="D252">
        <v>26</v>
      </c>
      <c r="E252" s="2">
        <v>40251</v>
      </c>
      <c r="F252" t="s">
        <v>16</v>
      </c>
      <c r="G252" t="s">
        <v>66</v>
      </c>
      <c r="H252" t="s">
        <v>148</v>
      </c>
      <c r="I252" s="3">
        <v>0.125</v>
      </c>
      <c r="J252" s="8" t="s">
        <v>442</v>
      </c>
      <c r="K252" s="8" t="s">
        <v>443</v>
      </c>
      <c r="L252" s="8" t="str">
        <f>IF(Table1346[[#This Row],[Home Team Score]]&gt;Table1346[[#This Row],[Away Team Score]],"Win",IF(Table1346[[#This Row],[Home Team Score]]=Table1346[[#This Row],[Away Team Score]],"Tie","Lose"))</f>
        <v>Win</v>
      </c>
      <c r="M252" t="s">
        <v>68</v>
      </c>
      <c r="N252">
        <v>56</v>
      </c>
      <c r="O252" s="3">
        <v>4.1666666666666664E-2</v>
      </c>
      <c r="P252" t="s">
        <v>31</v>
      </c>
      <c r="Q252" t="s">
        <v>106</v>
      </c>
      <c r="R252" t="e">
        <f>IF([1]!Table13[[#This Row],[Goal_assist]]="",1,0)</f>
        <v>#REF!</v>
      </c>
    </row>
    <row r="253" spans="1:18" x14ac:dyDescent="0.35">
      <c r="A253" t="s">
        <v>64</v>
      </c>
      <c r="B253" s="1">
        <v>45574</v>
      </c>
      <c r="C253" t="s">
        <v>65</v>
      </c>
      <c r="D253">
        <v>26</v>
      </c>
      <c r="E253" s="2">
        <v>40251</v>
      </c>
      <c r="F253" t="s">
        <v>16</v>
      </c>
      <c r="G253" t="s">
        <v>66</v>
      </c>
      <c r="H253" t="s">
        <v>148</v>
      </c>
      <c r="I253" s="3">
        <v>0.125</v>
      </c>
      <c r="J253" s="8" t="s">
        <v>442</v>
      </c>
      <c r="K253" s="8" t="s">
        <v>443</v>
      </c>
      <c r="L253" s="8" t="str">
        <f>IF(Table1346[[#This Row],[Home Team Score]]&gt;Table1346[[#This Row],[Away Team Score]],"Win",IF(Table1346[[#This Row],[Home Team Score]]=Table1346[[#This Row],[Away Team Score]],"Tie","Lose"))</f>
        <v>Win</v>
      </c>
      <c r="M253" t="s">
        <v>68</v>
      </c>
      <c r="N253">
        <v>80</v>
      </c>
      <c r="O253" s="3">
        <v>8.3333333333333329E-2</v>
      </c>
      <c r="P253" t="s">
        <v>31</v>
      </c>
      <c r="Q253" t="s">
        <v>126</v>
      </c>
      <c r="R253" t="e">
        <f>IF([1]!Table13[[#This Row],[Goal_assist]]="",1,0)</f>
        <v>#REF!</v>
      </c>
    </row>
    <row r="254" spans="1:18" x14ac:dyDescent="0.35">
      <c r="A254" t="s">
        <v>64</v>
      </c>
      <c r="B254" s="1">
        <v>45574</v>
      </c>
      <c r="C254" t="s">
        <v>65</v>
      </c>
      <c r="D254">
        <v>26</v>
      </c>
      <c r="E254" s="2">
        <v>40251</v>
      </c>
      <c r="F254" t="s">
        <v>16</v>
      </c>
      <c r="G254" t="s">
        <v>66</v>
      </c>
      <c r="H254" t="s">
        <v>148</v>
      </c>
      <c r="I254" s="3">
        <v>0.125</v>
      </c>
      <c r="J254" s="8" t="s">
        <v>442</v>
      </c>
      <c r="K254" s="8" t="s">
        <v>443</v>
      </c>
      <c r="L254" s="8" t="str">
        <f>IF(Table1346[[#This Row],[Home Team Score]]&gt;Table1346[[#This Row],[Away Team Score]],"Win",IF(Table1346[[#This Row],[Home Team Score]]=Table1346[[#This Row],[Away Team Score]],"Tie","Lose"))</f>
        <v>Win</v>
      </c>
      <c r="M254" t="s">
        <v>68</v>
      </c>
      <c r="N254">
        <v>82</v>
      </c>
      <c r="O254" s="3">
        <v>0.125</v>
      </c>
      <c r="P254" t="s">
        <v>26</v>
      </c>
      <c r="Q254" t="s">
        <v>126</v>
      </c>
      <c r="R254" t="e">
        <f>IF([1]!Table13[[#This Row],[Goal_assist]]="",1,0)</f>
        <v>#REF!</v>
      </c>
    </row>
    <row r="255" spans="1:18" x14ac:dyDescent="0.35">
      <c r="A255" t="s">
        <v>14</v>
      </c>
      <c r="B255" s="1">
        <v>45574</v>
      </c>
      <c r="C255" t="s">
        <v>65</v>
      </c>
      <c r="D255">
        <v>26</v>
      </c>
      <c r="E255" s="2">
        <v>40251</v>
      </c>
      <c r="F255" t="s">
        <v>24</v>
      </c>
      <c r="G255" t="s">
        <v>112</v>
      </c>
      <c r="H255" t="s">
        <v>197</v>
      </c>
      <c r="I255" s="3">
        <v>4.4444444444444446E-2</v>
      </c>
      <c r="J255" s="8" t="s">
        <v>444</v>
      </c>
      <c r="K255" s="8" t="s">
        <v>446</v>
      </c>
      <c r="L255" s="8" t="str">
        <f>IF(Table1346[[#This Row],[Home Team Score]]&gt;Table1346[[#This Row],[Away Team Score]],"Win",IF(Table1346[[#This Row],[Home Team Score]]=Table1346[[#This Row],[Away Team Score]],"Tie","Lose"))</f>
        <v>Lose</v>
      </c>
      <c r="M255" t="s">
        <v>68</v>
      </c>
      <c r="N255">
        <v>29</v>
      </c>
      <c r="O255" s="3">
        <v>6.9444444444444447E-4</v>
      </c>
      <c r="P255" t="s">
        <v>39</v>
      </c>
      <c r="R255" t="e">
        <f>IF([1]!Table13[[#This Row],[Goal_assist]]="",1,0)</f>
        <v>#REF!</v>
      </c>
    </row>
    <row r="256" spans="1:18" x14ac:dyDescent="0.35">
      <c r="A256" t="s">
        <v>64</v>
      </c>
      <c r="B256" s="1">
        <v>45574</v>
      </c>
      <c r="C256" t="s">
        <v>75</v>
      </c>
      <c r="D256" t="s">
        <v>143</v>
      </c>
      <c r="E256" s="2">
        <v>40254</v>
      </c>
      <c r="F256" t="s">
        <v>16</v>
      </c>
      <c r="G256" t="s">
        <v>66</v>
      </c>
      <c r="H256" t="s">
        <v>128</v>
      </c>
      <c r="I256" s="3">
        <v>0.16666666666666666</v>
      </c>
      <c r="J256" s="8" t="s">
        <v>446</v>
      </c>
      <c r="K256" s="8" t="s">
        <v>443</v>
      </c>
      <c r="L256" s="8" t="str">
        <f>IF(Table1346[[#This Row],[Home Team Score]]&gt;Table1346[[#This Row],[Away Team Score]],"Win",IF(Table1346[[#This Row],[Home Team Score]]=Table1346[[#This Row],[Away Team Score]],"Tie","Lose"))</f>
        <v>Win</v>
      </c>
      <c r="M256" t="s">
        <v>68</v>
      </c>
      <c r="N256">
        <v>13</v>
      </c>
      <c r="O256" s="3">
        <v>4.1666666666666664E-2</v>
      </c>
      <c r="P256" t="s">
        <v>31</v>
      </c>
      <c r="Q256" t="s">
        <v>199</v>
      </c>
      <c r="R256" t="e">
        <f>IF([1]!Table13[[#This Row],[Goal_assist]]="",1,0)</f>
        <v>#REF!</v>
      </c>
    </row>
    <row r="257" spans="1:18" x14ac:dyDescent="0.35">
      <c r="A257" t="s">
        <v>64</v>
      </c>
      <c r="B257" s="1">
        <v>45574</v>
      </c>
      <c r="C257" t="s">
        <v>75</v>
      </c>
      <c r="D257" t="s">
        <v>143</v>
      </c>
      <c r="E257" s="2">
        <v>40254</v>
      </c>
      <c r="F257" t="s">
        <v>16</v>
      </c>
      <c r="G257" t="s">
        <v>66</v>
      </c>
      <c r="H257" t="s">
        <v>128</v>
      </c>
      <c r="I257" s="3">
        <v>0.16666666666666666</v>
      </c>
      <c r="J257" s="8" t="s">
        <v>446</v>
      </c>
      <c r="K257" s="8" t="s">
        <v>443</v>
      </c>
      <c r="L257" s="8" t="str">
        <f>IF(Table1346[[#This Row],[Home Team Score]]&gt;Table1346[[#This Row],[Away Team Score]],"Win",IF(Table1346[[#This Row],[Home Team Score]]=Table1346[[#This Row],[Away Team Score]],"Tie","Lose"))</f>
        <v>Win</v>
      </c>
      <c r="M257" t="s">
        <v>68</v>
      </c>
      <c r="N257">
        <v>56</v>
      </c>
      <c r="O257" s="3">
        <v>0.125</v>
      </c>
      <c r="P257" t="s">
        <v>31</v>
      </c>
      <c r="Q257" t="s">
        <v>155</v>
      </c>
      <c r="R257" t="e">
        <f>IF([1]!Table13[[#This Row],[Goal_assist]]="",1,0)</f>
        <v>#REF!</v>
      </c>
    </row>
    <row r="258" spans="1:18" x14ac:dyDescent="0.35">
      <c r="A258" t="s">
        <v>64</v>
      </c>
      <c r="B258" s="1">
        <v>45574</v>
      </c>
      <c r="C258" t="s">
        <v>65</v>
      </c>
      <c r="D258">
        <v>27</v>
      </c>
      <c r="E258" s="2">
        <v>40258</v>
      </c>
      <c r="F258" t="s">
        <v>24</v>
      </c>
      <c r="G258" t="s">
        <v>66</v>
      </c>
      <c r="H258" t="s">
        <v>93</v>
      </c>
      <c r="I258" s="3">
        <v>8.611111111111111E-2</v>
      </c>
      <c r="J258" s="8" t="s">
        <v>445</v>
      </c>
      <c r="K258" s="8" t="s">
        <v>446</v>
      </c>
      <c r="L258" s="8" t="str">
        <f>IF(Table1346[[#This Row],[Home Team Score]]&gt;Table1346[[#This Row],[Away Team Score]],"Win",IF(Table1346[[#This Row],[Home Team Score]]=Table1346[[#This Row],[Away Team Score]],"Tie","Lose"))</f>
        <v>Lose</v>
      </c>
      <c r="M258" t="s">
        <v>38</v>
      </c>
      <c r="N258">
        <v>4</v>
      </c>
      <c r="O258" s="3">
        <v>6.9444444444444447E-4</v>
      </c>
      <c r="P258" t="s">
        <v>22</v>
      </c>
      <c r="Q258" t="s">
        <v>186</v>
      </c>
      <c r="R258" t="e">
        <f>IF([1]!Table13[[#This Row],[Goal_assist]]="",1,0)</f>
        <v>#REF!</v>
      </c>
    </row>
    <row r="259" spans="1:18" x14ac:dyDescent="0.35">
      <c r="A259" t="s">
        <v>64</v>
      </c>
      <c r="B259" s="1">
        <v>45574</v>
      </c>
      <c r="C259" t="s">
        <v>65</v>
      </c>
      <c r="D259">
        <v>27</v>
      </c>
      <c r="E259" s="2">
        <v>40258</v>
      </c>
      <c r="F259" t="s">
        <v>24</v>
      </c>
      <c r="G259" t="s">
        <v>66</v>
      </c>
      <c r="H259" t="s">
        <v>93</v>
      </c>
      <c r="I259" s="3">
        <v>8.611111111111111E-2</v>
      </c>
      <c r="J259" s="8" t="s">
        <v>445</v>
      </c>
      <c r="K259" s="8" t="s">
        <v>446</v>
      </c>
      <c r="L259" s="8" t="str">
        <f>IF(Table1346[[#This Row],[Home Team Score]]&gt;Table1346[[#This Row],[Away Team Score]],"Win",IF(Table1346[[#This Row],[Home Team Score]]=Table1346[[#This Row],[Away Team Score]],"Tie","Lose"))</f>
        <v>Lose</v>
      </c>
      <c r="M259" t="s">
        <v>38</v>
      </c>
      <c r="N259">
        <v>65</v>
      </c>
      <c r="O259" s="3">
        <v>1.3888888888888889E-3</v>
      </c>
      <c r="P259" t="s">
        <v>31</v>
      </c>
      <c r="R259" t="e">
        <f>IF([1]!Table13[[#This Row],[Goal_assist]]="",1,0)</f>
        <v>#REF!</v>
      </c>
    </row>
    <row r="260" spans="1:18" x14ac:dyDescent="0.35">
      <c r="A260" t="s">
        <v>64</v>
      </c>
      <c r="B260" s="1">
        <v>45574</v>
      </c>
      <c r="C260" t="s">
        <v>65</v>
      </c>
      <c r="D260">
        <v>27</v>
      </c>
      <c r="E260" s="2">
        <v>40258</v>
      </c>
      <c r="F260" t="s">
        <v>24</v>
      </c>
      <c r="G260" t="s">
        <v>66</v>
      </c>
      <c r="H260" t="s">
        <v>93</v>
      </c>
      <c r="I260" s="3">
        <v>8.611111111111111E-2</v>
      </c>
      <c r="J260" s="8" t="s">
        <v>445</v>
      </c>
      <c r="K260" s="8" t="s">
        <v>446</v>
      </c>
      <c r="L260" s="8" t="str">
        <f>IF(Table1346[[#This Row],[Home Team Score]]&gt;Table1346[[#This Row],[Away Team Score]],"Win",IF(Table1346[[#This Row],[Home Team Score]]=Table1346[[#This Row],[Away Team Score]],"Tie","Lose"))</f>
        <v>Lose</v>
      </c>
      <c r="M260" t="s">
        <v>38</v>
      </c>
      <c r="N260">
        <v>78</v>
      </c>
      <c r="O260" s="3">
        <v>2.0833333333333333E-3</v>
      </c>
      <c r="P260" t="s">
        <v>31</v>
      </c>
      <c r="Q260" t="s">
        <v>99</v>
      </c>
      <c r="R260" t="e">
        <f>IF([1]!Table13[[#This Row],[Goal_assist]]="",1,0)</f>
        <v>#REF!</v>
      </c>
    </row>
    <row r="261" spans="1:18" x14ac:dyDescent="0.35">
      <c r="A261" t="s">
        <v>14</v>
      </c>
      <c r="B261" s="1">
        <v>45574</v>
      </c>
      <c r="C261" t="s">
        <v>65</v>
      </c>
      <c r="D261">
        <v>28</v>
      </c>
      <c r="E261" s="2">
        <v>40262</v>
      </c>
      <c r="F261" t="s">
        <v>24</v>
      </c>
      <c r="G261" t="s">
        <v>112</v>
      </c>
      <c r="H261" t="s">
        <v>117</v>
      </c>
      <c r="I261" s="3">
        <v>8.611111111111111E-2</v>
      </c>
      <c r="J261" s="8" t="s">
        <v>445</v>
      </c>
      <c r="K261" s="8" t="s">
        <v>446</v>
      </c>
      <c r="L261" s="8" t="str">
        <f>IF(Table1346[[#This Row],[Home Team Score]]&gt;Table1346[[#This Row],[Away Team Score]],"Win",IF(Table1346[[#This Row],[Home Team Score]]=Table1346[[#This Row],[Away Team Score]],"Tie","Lose"))</f>
        <v>Lose</v>
      </c>
      <c r="M261" t="str">
        <f t="shared" ref="M261:M262" si="13">M260</f>
        <v>RW</v>
      </c>
      <c r="N261">
        <v>13</v>
      </c>
      <c r="O261" s="3">
        <v>6.9444444444444447E-4</v>
      </c>
      <c r="P261" t="s">
        <v>39</v>
      </c>
      <c r="R261" t="e">
        <f>IF([1]!Table13[[#This Row],[Goal_assist]]="",1,0)</f>
        <v>#REF!</v>
      </c>
    </row>
    <row r="262" spans="1:18" x14ac:dyDescent="0.35">
      <c r="A262" t="s">
        <v>14</v>
      </c>
      <c r="B262" s="1">
        <v>45574</v>
      </c>
      <c r="C262" t="s">
        <v>65</v>
      </c>
      <c r="D262">
        <v>28</v>
      </c>
      <c r="E262" s="2">
        <v>40262</v>
      </c>
      <c r="F262" t="s">
        <v>24</v>
      </c>
      <c r="G262" t="s">
        <v>112</v>
      </c>
      <c r="H262" t="s">
        <v>117</v>
      </c>
      <c r="I262" s="3">
        <v>8.611111111111111E-2</v>
      </c>
      <c r="J262" s="8" t="s">
        <v>445</v>
      </c>
      <c r="K262" s="8" t="s">
        <v>446</v>
      </c>
      <c r="L262" s="8" t="str">
        <f>IF(Table1346[[#This Row],[Home Team Score]]&gt;Table1346[[#This Row],[Away Team Score]],"Win",IF(Table1346[[#This Row],[Home Team Score]]=Table1346[[#This Row],[Away Team Score]],"Tie","Lose"))</f>
        <v>Lose</v>
      </c>
      <c r="M262" t="str">
        <f t="shared" si="13"/>
        <v>RW</v>
      </c>
      <c r="N262">
        <v>36</v>
      </c>
      <c r="O262" s="3">
        <v>2.7777777777777779E-3</v>
      </c>
      <c r="P262" t="s">
        <v>26</v>
      </c>
      <c r="R262" t="e">
        <f>IF([1]!Table13[[#This Row],[Goal_assist]]="",1,0)</f>
        <v>#REF!</v>
      </c>
    </row>
    <row r="263" spans="1:18" x14ac:dyDescent="0.35">
      <c r="A263" t="s">
        <v>64</v>
      </c>
      <c r="B263" s="1">
        <v>45574</v>
      </c>
      <c r="C263" t="s">
        <v>65</v>
      </c>
      <c r="D263">
        <v>30</v>
      </c>
      <c r="E263" s="2">
        <v>40271</v>
      </c>
      <c r="F263" t="s">
        <v>16</v>
      </c>
      <c r="G263" t="s">
        <v>66</v>
      </c>
      <c r="H263" t="s">
        <v>86</v>
      </c>
      <c r="I263" s="3">
        <v>0.1673611111111111</v>
      </c>
      <c r="J263" s="8" t="s">
        <v>446</v>
      </c>
      <c r="K263" s="8" t="s">
        <v>444</v>
      </c>
      <c r="L263" s="8" t="str">
        <f>IF(Table1346[[#This Row],[Home Team Score]]&gt;Table1346[[#This Row],[Away Team Score]],"Win",IF(Table1346[[#This Row],[Home Team Score]]=Table1346[[#This Row],[Away Team Score]],"Tie","Lose"))</f>
        <v>Win</v>
      </c>
      <c r="M263" t="s">
        <v>68</v>
      </c>
      <c r="N263">
        <v>67</v>
      </c>
      <c r="O263" s="3">
        <v>0.16666666666666666</v>
      </c>
      <c r="P263" t="s">
        <v>31</v>
      </c>
      <c r="Q263" t="s">
        <v>186</v>
      </c>
      <c r="R263" t="e">
        <f>IF([1]!Table13[[#This Row],[Goal_assist]]="",1,0)</f>
        <v>#REF!</v>
      </c>
    </row>
    <row r="264" spans="1:18" x14ac:dyDescent="0.35">
      <c r="A264" t="s">
        <v>14</v>
      </c>
      <c r="B264" s="1">
        <v>45574</v>
      </c>
      <c r="C264" t="s">
        <v>65</v>
      </c>
      <c r="D264">
        <v>30</v>
      </c>
      <c r="E264" s="2">
        <v>40272</v>
      </c>
      <c r="F264" t="s">
        <v>24</v>
      </c>
      <c r="G264" t="s">
        <v>112</v>
      </c>
      <c r="H264" t="s">
        <v>78</v>
      </c>
      <c r="I264" s="3">
        <v>1.3888888888888889E-3</v>
      </c>
      <c r="J264" s="8" t="s">
        <v>443</v>
      </c>
      <c r="K264" s="8" t="s">
        <v>445</v>
      </c>
      <c r="L264" s="8" t="str">
        <f>IF(Table1346[[#This Row],[Home Team Score]]&gt;Table1346[[#This Row],[Away Team Score]],"Win",IF(Table1346[[#This Row],[Home Team Score]]=Table1346[[#This Row],[Away Team Score]],"Tie","Lose"))</f>
        <v>Lose</v>
      </c>
      <c r="M264" t="str">
        <f>M263</f>
        <v>CF</v>
      </c>
      <c r="N264">
        <v>23</v>
      </c>
      <c r="O264" s="3">
        <v>6.9444444444444447E-4</v>
      </c>
      <c r="P264" t="s">
        <v>83</v>
      </c>
      <c r="R264" t="e">
        <f>IF([1]!Table13[[#This Row],[Goal_assist]]="",1,0)</f>
        <v>#REF!</v>
      </c>
    </row>
    <row r="265" spans="1:18" x14ac:dyDescent="0.35">
      <c r="A265" t="s">
        <v>64</v>
      </c>
      <c r="B265" s="1">
        <v>45574</v>
      </c>
      <c r="C265" t="s">
        <v>75</v>
      </c>
      <c r="D265" t="s">
        <v>92</v>
      </c>
      <c r="E265" s="2">
        <v>40274</v>
      </c>
      <c r="F265" t="s">
        <v>16</v>
      </c>
      <c r="G265" t="s">
        <v>66</v>
      </c>
      <c r="H265" t="s">
        <v>54</v>
      </c>
      <c r="I265" s="3">
        <v>0.1673611111111111</v>
      </c>
      <c r="J265" s="8" t="s">
        <v>446</v>
      </c>
      <c r="K265" s="8" t="s">
        <v>444</v>
      </c>
      <c r="L265" s="8" t="str">
        <f>IF(Table1346[[#This Row],[Home Team Score]]&gt;Table1346[[#This Row],[Away Team Score]],"Win",IF(Table1346[[#This Row],[Home Team Score]]=Table1346[[#This Row],[Away Team Score]],"Tie","Lose"))</f>
        <v>Win</v>
      </c>
      <c r="M265" t="s">
        <v>68</v>
      </c>
      <c r="N265">
        <v>88</v>
      </c>
      <c r="O265" s="3">
        <v>0.1673611111111111</v>
      </c>
      <c r="P265" t="s">
        <v>31</v>
      </c>
      <c r="Q265" t="s">
        <v>106</v>
      </c>
      <c r="R265" t="e">
        <f>IF([1]!Table13[[#This Row],[Goal_assist]]="",1,0)</f>
        <v>#REF!</v>
      </c>
    </row>
    <row r="266" spans="1:18" x14ac:dyDescent="0.35">
      <c r="A266" t="s">
        <v>64</v>
      </c>
      <c r="B266" s="1">
        <v>45574</v>
      </c>
      <c r="C266" t="s">
        <v>75</v>
      </c>
      <c r="D266" t="s">
        <v>92</v>
      </c>
      <c r="E266" s="2">
        <v>40274</v>
      </c>
      <c r="F266" t="s">
        <v>16</v>
      </c>
      <c r="G266" t="s">
        <v>66</v>
      </c>
      <c r="H266" t="s">
        <v>54</v>
      </c>
      <c r="I266" s="3">
        <v>0.1673611111111111</v>
      </c>
      <c r="J266" s="8" t="s">
        <v>446</v>
      </c>
      <c r="K266" s="8" t="s">
        <v>444</v>
      </c>
      <c r="L266" s="8" t="str">
        <f>IF(Table1346[[#This Row],[Home Team Score]]&gt;Table1346[[#This Row],[Away Team Score]],"Win",IF(Table1346[[#This Row],[Home Team Score]]=Table1346[[#This Row],[Away Team Score]],"Tie","Lose"))</f>
        <v>Win</v>
      </c>
      <c r="M266" t="s">
        <v>68</v>
      </c>
      <c r="N266">
        <v>21</v>
      </c>
      <c r="O266" s="3">
        <v>4.2361111111111113E-2</v>
      </c>
      <c r="P266" t="s">
        <v>31</v>
      </c>
      <c r="R266" t="e">
        <f>IF([1]!Table13[[#This Row],[Goal_assist]]="",1,0)</f>
        <v>#REF!</v>
      </c>
    </row>
    <row r="267" spans="1:18" x14ac:dyDescent="0.35">
      <c r="A267" t="s">
        <v>64</v>
      </c>
      <c r="B267" s="1">
        <v>45574</v>
      </c>
      <c r="C267" t="s">
        <v>75</v>
      </c>
      <c r="D267" t="s">
        <v>92</v>
      </c>
      <c r="E267" s="2">
        <v>40274</v>
      </c>
      <c r="F267" t="s">
        <v>16</v>
      </c>
      <c r="G267" t="s">
        <v>66</v>
      </c>
      <c r="H267" t="s">
        <v>54</v>
      </c>
      <c r="I267" s="3">
        <v>0.1673611111111111</v>
      </c>
      <c r="J267" s="8" t="s">
        <v>446</v>
      </c>
      <c r="K267" s="8" t="s">
        <v>444</v>
      </c>
      <c r="L267" s="8" t="str">
        <f>IF(Table1346[[#This Row],[Home Team Score]]&gt;Table1346[[#This Row],[Away Team Score]],"Win",IF(Table1346[[#This Row],[Home Team Score]]=Table1346[[#This Row],[Away Team Score]],"Tie","Lose"))</f>
        <v>Win</v>
      </c>
      <c r="M267" t="s">
        <v>68</v>
      </c>
      <c r="N267">
        <v>42</v>
      </c>
      <c r="O267" s="3">
        <v>0.12569444444444444</v>
      </c>
      <c r="P267" t="s">
        <v>31</v>
      </c>
      <c r="Q267" t="s">
        <v>200</v>
      </c>
      <c r="R267" t="e">
        <f>IF([1]!Table13[[#This Row],[Goal_assist]]="",1,0)</f>
        <v>#REF!</v>
      </c>
    </row>
    <row r="268" spans="1:18" x14ac:dyDescent="0.35">
      <c r="A268" t="s">
        <v>64</v>
      </c>
      <c r="B268" s="1">
        <v>45574</v>
      </c>
      <c r="C268" t="s">
        <v>75</v>
      </c>
      <c r="D268" t="s">
        <v>92</v>
      </c>
      <c r="E268" s="2">
        <v>40274</v>
      </c>
      <c r="F268" t="s">
        <v>16</v>
      </c>
      <c r="G268" t="s">
        <v>66</v>
      </c>
      <c r="H268" t="s">
        <v>54</v>
      </c>
      <c r="I268" s="3">
        <v>0.1673611111111111</v>
      </c>
      <c r="J268" s="8" t="s">
        <v>446</v>
      </c>
      <c r="K268" s="8" t="s">
        <v>444</v>
      </c>
      <c r="L268" s="8" t="str">
        <f>IF(Table1346[[#This Row],[Home Team Score]]&gt;Table1346[[#This Row],[Away Team Score]],"Win",IF(Table1346[[#This Row],[Home Team Score]]=Table1346[[#This Row],[Away Team Score]],"Tie","Lose"))</f>
        <v>Win</v>
      </c>
      <c r="M268" t="s">
        <v>68</v>
      </c>
      <c r="N268">
        <v>37</v>
      </c>
      <c r="O268" s="3">
        <v>8.4027777777777785E-2</v>
      </c>
      <c r="P268" t="s">
        <v>26</v>
      </c>
      <c r="Q268" t="s">
        <v>186</v>
      </c>
      <c r="R268" t="e">
        <f>IF([1]!Table13[[#This Row],[Goal_assist]]="",1,0)</f>
        <v>#REF!</v>
      </c>
    </row>
    <row r="269" spans="1:18" x14ac:dyDescent="0.35">
      <c r="A269" t="s">
        <v>64</v>
      </c>
      <c r="B269" s="1">
        <v>45574</v>
      </c>
      <c r="C269" t="s">
        <v>65</v>
      </c>
      <c r="D269">
        <v>31</v>
      </c>
      <c r="E269" s="2">
        <v>40278</v>
      </c>
      <c r="F269" t="s">
        <v>24</v>
      </c>
      <c r="G269" t="s">
        <v>66</v>
      </c>
      <c r="H269" t="s">
        <v>112</v>
      </c>
      <c r="I269" s="3">
        <v>1.3888888888888889E-3</v>
      </c>
      <c r="J269" s="8" t="s">
        <v>443</v>
      </c>
      <c r="K269" s="8" t="s">
        <v>445</v>
      </c>
      <c r="L269" s="8" t="str">
        <f>IF(Table1346[[#This Row],[Home Team Score]]&gt;Table1346[[#This Row],[Away Team Score]],"Win",IF(Table1346[[#This Row],[Home Team Score]]=Table1346[[#This Row],[Away Team Score]],"Tie","Lose"))</f>
        <v>Lose</v>
      </c>
      <c r="M269" t="s">
        <v>68</v>
      </c>
      <c r="N269">
        <v>32</v>
      </c>
      <c r="O269" s="3">
        <v>6.9444444444444447E-4</v>
      </c>
      <c r="P269" t="s">
        <v>26</v>
      </c>
      <c r="Q269" t="s">
        <v>106</v>
      </c>
      <c r="R269" t="e">
        <f>IF([1]!Table13[[#This Row],[Goal_assist]]="",1,0)</f>
        <v>#REF!</v>
      </c>
    </row>
    <row r="270" spans="1:18" x14ac:dyDescent="0.35">
      <c r="A270" t="s">
        <v>14</v>
      </c>
      <c r="B270" s="1">
        <v>45574</v>
      </c>
      <c r="C270" t="s">
        <v>65</v>
      </c>
      <c r="D270">
        <v>32</v>
      </c>
      <c r="E270" s="2">
        <v>40283</v>
      </c>
      <c r="F270" t="s">
        <v>24</v>
      </c>
      <c r="G270" t="s">
        <v>112</v>
      </c>
      <c r="H270" t="s">
        <v>187</v>
      </c>
      <c r="I270" s="3">
        <v>4.3055555555555555E-2</v>
      </c>
      <c r="J270" s="8" t="s">
        <v>444</v>
      </c>
      <c r="K270" s="8" t="s">
        <v>445</v>
      </c>
      <c r="L270" s="8" t="str">
        <f>IF(Table1346[[#This Row],[Home Team Score]]&gt;Table1346[[#This Row],[Away Team Score]],"Win",IF(Table1346[[#This Row],[Home Team Score]]=Table1346[[#This Row],[Away Team Score]],"Tie","Lose"))</f>
        <v>Lose</v>
      </c>
      <c r="M270" t="str">
        <f>M269</f>
        <v>CF</v>
      </c>
      <c r="N270">
        <v>26</v>
      </c>
      <c r="O270" s="3">
        <v>4.2361111111111113E-2</v>
      </c>
      <c r="P270" t="s">
        <v>31</v>
      </c>
      <c r="R270" t="e">
        <f>IF([1]!Table13[[#This Row],[Goal_assist]]="",1,0)</f>
        <v>#REF!</v>
      </c>
    </row>
    <row r="271" spans="1:18" x14ac:dyDescent="0.35">
      <c r="A271" t="s">
        <v>14</v>
      </c>
      <c r="B271" s="1">
        <v>45574</v>
      </c>
      <c r="C271" t="s">
        <v>65</v>
      </c>
      <c r="D271">
        <v>33</v>
      </c>
      <c r="E271" s="2">
        <v>40286</v>
      </c>
      <c r="F271" t="s">
        <v>16</v>
      </c>
      <c r="G271" t="s">
        <v>112</v>
      </c>
      <c r="H271" t="s">
        <v>148</v>
      </c>
      <c r="I271" s="3">
        <v>8.3333333333333329E-2</v>
      </c>
      <c r="J271" s="8" t="s">
        <v>445</v>
      </c>
      <c r="K271" s="8" t="s">
        <v>443</v>
      </c>
      <c r="L271" s="8" t="str">
        <f>IF(Table1346[[#This Row],[Home Team Score]]&gt;Table1346[[#This Row],[Away Team Score]],"Win",IF(Table1346[[#This Row],[Home Team Score]]=Table1346[[#This Row],[Away Team Score]],"Tie","Lose"))</f>
        <v>Win</v>
      </c>
      <c r="M271" t="s">
        <v>68</v>
      </c>
      <c r="N271">
        <v>77</v>
      </c>
      <c r="O271" s="3">
        <v>8.3333333333333329E-2</v>
      </c>
      <c r="P271" t="s">
        <v>26</v>
      </c>
      <c r="Q271" t="s">
        <v>201</v>
      </c>
      <c r="R271" t="e">
        <f>IF([1]!Table13[[#This Row],[Goal_assist]]="",1,0)</f>
        <v>#REF!</v>
      </c>
    </row>
    <row r="272" spans="1:18" x14ac:dyDescent="0.35">
      <c r="A272" t="s">
        <v>64</v>
      </c>
      <c r="B272" s="1">
        <v>45574</v>
      </c>
      <c r="C272" t="s">
        <v>65</v>
      </c>
      <c r="D272">
        <v>35</v>
      </c>
      <c r="E272" s="2">
        <v>40299</v>
      </c>
      <c r="F272" t="s">
        <v>24</v>
      </c>
      <c r="G272" t="s">
        <v>66</v>
      </c>
      <c r="H272" t="s">
        <v>180</v>
      </c>
      <c r="I272" s="3">
        <v>4.4444444444444446E-2</v>
      </c>
      <c r="J272" s="8" t="s">
        <v>444</v>
      </c>
      <c r="K272" s="8" t="s">
        <v>446</v>
      </c>
      <c r="L272" s="8" t="str">
        <f>IF(Table1346[[#This Row],[Home Team Score]]&gt;Table1346[[#This Row],[Away Team Score]],"Win",IF(Table1346[[#This Row],[Home Team Score]]=Table1346[[#This Row],[Away Team Score]],"Tie","Lose"))</f>
        <v>Lose</v>
      </c>
      <c r="M272" t="s">
        <v>38</v>
      </c>
      <c r="N272">
        <v>18</v>
      </c>
      <c r="O272" s="3">
        <v>6.9444444444444447E-4</v>
      </c>
      <c r="P272" t="s">
        <v>31</v>
      </c>
      <c r="Q272" t="s">
        <v>106</v>
      </c>
      <c r="R272" t="e">
        <f>IF([1]!Table13[[#This Row],[Goal_assist]]="",1,0)</f>
        <v>#REF!</v>
      </c>
    </row>
    <row r="273" spans="1:18" x14ac:dyDescent="0.35">
      <c r="A273" t="s">
        <v>64</v>
      </c>
      <c r="B273" s="1">
        <v>45574</v>
      </c>
      <c r="C273" t="s">
        <v>65</v>
      </c>
      <c r="D273">
        <v>35</v>
      </c>
      <c r="E273" s="2">
        <v>40299</v>
      </c>
      <c r="F273" t="s">
        <v>24</v>
      </c>
      <c r="G273" t="s">
        <v>66</v>
      </c>
      <c r="H273" t="s">
        <v>180</v>
      </c>
      <c r="I273" s="3">
        <v>4.4444444444444446E-2</v>
      </c>
      <c r="J273" s="8" t="s">
        <v>444</v>
      </c>
      <c r="K273" s="8" t="s">
        <v>446</v>
      </c>
      <c r="L273" s="8" t="str">
        <f>IF(Table1346[[#This Row],[Home Team Score]]&gt;Table1346[[#This Row],[Away Team Score]],"Win",IF(Table1346[[#This Row],[Home Team Score]]=Table1346[[#This Row],[Away Team Score]],"Tie","Lose"))</f>
        <v>Lose</v>
      </c>
      <c r="M273" t="s">
        <v>38</v>
      </c>
      <c r="N273">
        <v>87</v>
      </c>
      <c r="O273" s="3">
        <v>4.4444444444444446E-2</v>
      </c>
      <c r="P273" t="s">
        <v>31</v>
      </c>
      <c r="Q273" t="s">
        <v>155</v>
      </c>
      <c r="R273" t="e">
        <f>IF([1]!Table13[[#This Row],[Goal_assist]]="",1,0)</f>
        <v>#REF!</v>
      </c>
    </row>
    <row r="274" spans="1:18" x14ac:dyDescent="0.35">
      <c r="A274" t="s">
        <v>14</v>
      </c>
      <c r="B274" s="1">
        <v>45574</v>
      </c>
      <c r="C274" t="s">
        <v>65</v>
      </c>
      <c r="D274">
        <v>35</v>
      </c>
      <c r="E274" s="2">
        <v>40300</v>
      </c>
      <c r="F274" t="s">
        <v>16</v>
      </c>
      <c r="G274" t="s">
        <v>112</v>
      </c>
      <c r="H274" t="s">
        <v>100</v>
      </c>
      <c r="I274" s="3">
        <v>0.12638888888888888</v>
      </c>
      <c r="J274" s="8" t="s">
        <v>442</v>
      </c>
      <c r="K274" s="8" t="s">
        <v>445</v>
      </c>
      <c r="L274" s="8" t="str">
        <f>IF(Table1346[[#This Row],[Home Team Score]]&gt;Table1346[[#This Row],[Away Team Score]],"Win",IF(Table1346[[#This Row],[Home Team Score]]=Table1346[[#This Row],[Away Team Score]],"Tie","Lose"))</f>
        <v>Win</v>
      </c>
      <c r="M274" t="str">
        <f t="shared" ref="M274:M275" si="14">M273</f>
        <v>RW</v>
      </c>
      <c r="N274">
        <v>89</v>
      </c>
      <c r="O274" s="3">
        <v>0.12638888888888888</v>
      </c>
      <c r="P274" t="s">
        <v>22</v>
      </c>
      <c r="Q274" t="s">
        <v>188</v>
      </c>
      <c r="R274" t="e">
        <f>IF([1]!Table13[[#This Row],[Goal_assist]]="",1,0)</f>
        <v>#REF!</v>
      </c>
    </row>
    <row r="275" spans="1:18" x14ac:dyDescent="0.35">
      <c r="A275" t="s">
        <v>14</v>
      </c>
      <c r="B275" s="1">
        <v>45574</v>
      </c>
      <c r="C275" t="s">
        <v>65</v>
      </c>
      <c r="D275">
        <v>35</v>
      </c>
      <c r="E275" s="2">
        <v>40300</v>
      </c>
      <c r="F275" t="s">
        <v>16</v>
      </c>
      <c r="G275" t="s">
        <v>112</v>
      </c>
      <c r="H275" t="s">
        <v>100</v>
      </c>
      <c r="I275" s="3">
        <v>0.12638888888888888</v>
      </c>
      <c r="J275" s="8" t="s">
        <v>442</v>
      </c>
      <c r="K275" s="8" t="s">
        <v>445</v>
      </c>
      <c r="L275" s="8" t="str">
        <f>IF(Table1346[[#This Row],[Home Team Score]]&gt;Table1346[[#This Row],[Away Team Score]],"Win",IF(Table1346[[#This Row],[Home Team Score]]=Table1346[[#This Row],[Away Team Score]],"Tie","Lose"))</f>
        <v>Win</v>
      </c>
      <c r="M275" t="str">
        <f t="shared" si="14"/>
        <v>RW</v>
      </c>
      <c r="N275">
        <v>25</v>
      </c>
      <c r="O275" s="3">
        <v>4.2361111111111113E-2</v>
      </c>
      <c r="P275" t="s">
        <v>26</v>
      </c>
      <c r="R275" t="e">
        <f>IF([1]!Table13[[#This Row],[Goal_assist]]="",1,0)</f>
        <v>#REF!</v>
      </c>
    </row>
    <row r="276" spans="1:18" x14ac:dyDescent="0.35">
      <c r="A276" t="s">
        <v>64</v>
      </c>
      <c r="B276" s="1">
        <v>45574</v>
      </c>
      <c r="C276" t="s">
        <v>65</v>
      </c>
      <c r="D276">
        <v>36</v>
      </c>
      <c r="E276" s="2">
        <v>40302</v>
      </c>
      <c r="F276" t="s">
        <v>16</v>
      </c>
      <c r="G276" t="s">
        <v>66</v>
      </c>
      <c r="H276" t="s">
        <v>195</v>
      </c>
      <c r="I276" s="3">
        <v>0.1673611111111111</v>
      </c>
      <c r="J276" s="8" t="s">
        <v>446</v>
      </c>
      <c r="K276" s="8" t="s">
        <v>444</v>
      </c>
      <c r="L276" s="8" t="str">
        <f>IF(Table1346[[#This Row],[Home Team Score]]&gt;Table1346[[#This Row],[Away Team Score]],"Win",IF(Table1346[[#This Row],[Home Team Score]]=Table1346[[#This Row],[Away Team Score]],"Tie","Lose"))</f>
        <v>Win</v>
      </c>
      <c r="M276" t="s">
        <v>38</v>
      </c>
      <c r="N276" t="s">
        <v>136</v>
      </c>
      <c r="O276" s="3">
        <v>0.1673611111111111</v>
      </c>
      <c r="P276" t="s">
        <v>26</v>
      </c>
      <c r="Q276" t="s">
        <v>155</v>
      </c>
      <c r="R276" t="e">
        <f>IF([1]!Table13[[#This Row],[Goal_assist]]="",1,0)</f>
        <v>#REF!</v>
      </c>
    </row>
    <row r="277" spans="1:18" x14ac:dyDescent="0.35">
      <c r="A277" t="s">
        <v>64</v>
      </c>
      <c r="B277" s="1">
        <v>45574</v>
      </c>
      <c r="C277" t="s">
        <v>65</v>
      </c>
      <c r="D277">
        <v>36</v>
      </c>
      <c r="E277" s="2">
        <v>40302</v>
      </c>
      <c r="F277" t="s">
        <v>16</v>
      </c>
      <c r="G277" t="s">
        <v>66</v>
      </c>
      <c r="H277" t="s">
        <v>195</v>
      </c>
      <c r="I277" s="3">
        <v>0.1673611111111111</v>
      </c>
      <c r="J277" s="8" t="s">
        <v>446</v>
      </c>
      <c r="K277" s="8" t="s">
        <v>444</v>
      </c>
      <c r="L277" s="8" t="str">
        <f>IF(Table1346[[#This Row],[Home Team Score]]&gt;Table1346[[#This Row],[Away Team Score]],"Win",IF(Table1346[[#This Row],[Home Team Score]]=Table1346[[#This Row],[Away Team Score]],"Tie","Lose"))</f>
        <v>Win</v>
      </c>
      <c r="M277" t="s">
        <v>38</v>
      </c>
      <c r="N277">
        <v>16</v>
      </c>
      <c r="O277" s="3">
        <v>4.1666666666666664E-2</v>
      </c>
      <c r="P277" t="s">
        <v>26</v>
      </c>
      <c r="Q277" t="s">
        <v>174</v>
      </c>
      <c r="R277" t="e">
        <f>IF([1]!Table13[[#This Row],[Goal_assist]]="",1,0)</f>
        <v>#REF!</v>
      </c>
    </row>
    <row r="278" spans="1:18" x14ac:dyDescent="0.35">
      <c r="A278" t="s">
        <v>14</v>
      </c>
      <c r="B278" s="1">
        <v>45574</v>
      </c>
      <c r="C278" t="s">
        <v>65</v>
      </c>
      <c r="D278">
        <v>36</v>
      </c>
      <c r="E278" s="2">
        <v>40303</v>
      </c>
      <c r="F278" t="s">
        <v>24</v>
      </c>
      <c r="G278" t="s">
        <v>112</v>
      </c>
      <c r="H278" t="s">
        <v>89</v>
      </c>
      <c r="I278" s="3">
        <v>4.4444444444444446E-2</v>
      </c>
      <c r="J278" s="8" t="s">
        <v>444</v>
      </c>
      <c r="K278" s="8" t="s">
        <v>446</v>
      </c>
      <c r="L278" s="8" t="str">
        <f>IF(Table1346[[#This Row],[Home Team Score]]&gt;Table1346[[#This Row],[Away Team Score]],"Win",IF(Table1346[[#This Row],[Home Team Score]]=Table1346[[#This Row],[Away Team Score]],"Tie","Lose"))</f>
        <v>Lose</v>
      </c>
      <c r="M278" t="str">
        <f t="shared" ref="M278:M280" si="15">M277</f>
        <v>RW</v>
      </c>
      <c r="N278">
        <v>71</v>
      </c>
      <c r="O278" s="3">
        <v>4.3749999999999997E-2</v>
      </c>
      <c r="P278" t="s">
        <v>26</v>
      </c>
      <c r="R278" t="e">
        <f>IF([1]!Table13[[#This Row],[Goal_assist]]="",1,0)</f>
        <v>#REF!</v>
      </c>
    </row>
    <row r="279" spans="1:18" x14ac:dyDescent="0.35">
      <c r="A279" t="s">
        <v>14</v>
      </c>
      <c r="B279" s="1">
        <v>45574</v>
      </c>
      <c r="C279" t="s">
        <v>65</v>
      </c>
      <c r="D279">
        <v>36</v>
      </c>
      <c r="E279" s="2">
        <v>40303</v>
      </c>
      <c r="F279" t="s">
        <v>24</v>
      </c>
      <c r="G279" t="s">
        <v>112</v>
      </c>
      <c r="H279" t="s">
        <v>89</v>
      </c>
      <c r="I279" s="3">
        <v>4.4444444444444446E-2</v>
      </c>
      <c r="J279" s="8" t="s">
        <v>444</v>
      </c>
      <c r="K279" s="8" t="s">
        <v>446</v>
      </c>
      <c r="L279" s="8" t="str">
        <f>IF(Table1346[[#This Row],[Home Team Score]]&gt;Table1346[[#This Row],[Away Team Score]],"Win",IF(Table1346[[#This Row],[Home Team Score]]=Table1346[[#This Row],[Away Team Score]],"Tie","Lose"))</f>
        <v>Lose</v>
      </c>
      <c r="M279" t="str">
        <f t="shared" si="15"/>
        <v>RW</v>
      </c>
      <c r="N279">
        <v>26</v>
      </c>
      <c r="O279" s="3">
        <v>4.2361111111111113E-2</v>
      </c>
      <c r="P279" t="s">
        <v>26</v>
      </c>
      <c r="Q279" t="s">
        <v>202</v>
      </c>
      <c r="R279" t="e">
        <f>IF([1]!Table13[[#This Row],[Goal_assist]]="",1,0)</f>
        <v>#REF!</v>
      </c>
    </row>
    <row r="280" spans="1:18" x14ac:dyDescent="0.35">
      <c r="A280" t="s">
        <v>14</v>
      </c>
      <c r="B280" s="1">
        <v>45574</v>
      </c>
      <c r="C280" t="s">
        <v>65</v>
      </c>
      <c r="D280">
        <v>36</v>
      </c>
      <c r="E280" s="2">
        <v>40303</v>
      </c>
      <c r="F280" t="s">
        <v>24</v>
      </c>
      <c r="G280" t="s">
        <v>112</v>
      </c>
      <c r="H280" t="s">
        <v>89</v>
      </c>
      <c r="I280" s="3">
        <v>4.4444444444444446E-2</v>
      </c>
      <c r="J280" s="8" t="s">
        <v>444</v>
      </c>
      <c r="K280" s="8" t="s">
        <v>446</v>
      </c>
      <c r="L280" s="8" t="str">
        <f>IF(Table1346[[#This Row],[Home Team Score]]&gt;Table1346[[#This Row],[Away Team Score]],"Win",IF(Table1346[[#This Row],[Home Team Score]]=Table1346[[#This Row],[Away Team Score]],"Tie","Lose"))</f>
        <v>Lose</v>
      </c>
      <c r="M280" t="str">
        <f t="shared" si="15"/>
        <v>RW</v>
      </c>
      <c r="N280">
        <v>56</v>
      </c>
      <c r="O280" s="3">
        <v>4.3055555555555555E-2</v>
      </c>
      <c r="P280" t="s">
        <v>26</v>
      </c>
      <c r="Q280" t="s">
        <v>202</v>
      </c>
      <c r="R280" t="e">
        <f>IF([1]!Table13[[#This Row],[Goal_assist]]="",1,0)</f>
        <v>#REF!</v>
      </c>
    </row>
    <row r="281" spans="1:18" x14ac:dyDescent="0.35">
      <c r="A281" t="s">
        <v>64</v>
      </c>
      <c r="B281" s="1">
        <v>45574</v>
      </c>
      <c r="C281" t="s">
        <v>65</v>
      </c>
      <c r="D281">
        <v>37</v>
      </c>
      <c r="E281" s="2">
        <v>40306</v>
      </c>
      <c r="F281" t="s">
        <v>24</v>
      </c>
      <c r="G281" t="s">
        <v>66</v>
      </c>
      <c r="H281" t="s">
        <v>105</v>
      </c>
      <c r="I281" s="3">
        <v>8.5416666666666669E-2</v>
      </c>
      <c r="J281" s="8" t="s">
        <v>445</v>
      </c>
      <c r="K281" s="8" t="s">
        <v>442</v>
      </c>
      <c r="L281" s="8" t="str">
        <f>IF(Table1346[[#This Row],[Home Team Score]]&gt;Table1346[[#This Row],[Away Team Score]],"Win",IF(Table1346[[#This Row],[Home Team Score]]=Table1346[[#This Row],[Away Team Score]],"Tie","Lose"))</f>
        <v>Lose</v>
      </c>
      <c r="M281" t="s">
        <v>38</v>
      </c>
      <c r="N281">
        <v>5</v>
      </c>
      <c r="O281" s="3">
        <v>6.9444444444444447E-4</v>
      </c>
      <c r="P281" t="s">
        <v>31</v>
      </c>
      <c r="Q281" t="s">
        <v>203</v>
      </c>
      <c r="R281" t="e">
        <f>IF([1]!Table13[[#This Row],[Goal_assist]]="",1,0)</f>
        <v>#REF!</v>
      </c>
    </row>
    <row r="282" spans="1:18" x14ac:dyDescent="0.35">
      <c r="A282" t="s">
        <v>14</v>
      </c>
      <c r="B282" s="1">
        <v>45574</v>
      </c>
      <c r="C282" t="s">
        <v>65</v>
      </c>
      <c r="D282">
        <v>37</v>
      </c>
      <c r="E282" s="2">
        <v>40306</v>
      </c>
      <c r="F282" t="s">
        <v>16</v>
      </c>
      <c r="G282" t="s">
        <v>112</v>
      </c>
      <c r="H282" t="s">
        <v>86</v>
      </c>
      <c r="I282" s="3">
        <v>0.20902777777777778</v>
      </c>
      <c r="J282" s="8" t="s">
        <v>448</v>
      </c>
      <c r="K282" s="8" t="s">
        <v>444</v>
      </c>
      <c r="L282" s="8" t="str">
        <f>IF(Table1346[[#This Row],[Home Team Score]]&gt;Table1346[[#This Row],[Away Team Score]],"Win",IF(Table1346[[#This Row],[Home Team Score]]=Table1346[[#This Row],[Away Team Score]],"Tie","Lose"))</f>
        <v>Win</v>
      </c>
      <c r="M282" t="s">
        <v>68</v>
      </c>
      <c r="N282">
        <v>21</v>
      </c>
      <c r="O282" s="3">
        <v>4.1666666666666664E-2</v>
      </c>
      <c r="P282" t="s">
        <v>83</v>
      </c>
      <c r="R282" t="e">
        <f>IF([1]!Table13[[#This Row],[Goal_assist]]="",1,0)</f>
        <v>#REF!</v>
      </c>
    </row>
    <row r="283" spans="1:18" x14ac:dyDescent="0.35">
      <c r="A283" t="s">
        <v>64</v>
      </c>
      <c r="B283" s="1">
        <v>45574</v>
      </c>
      <c r="C283" t="s">
        <v>65</v>
      </c>
      <c r="D283">
        <v>38</v>
      </c>
      <c r="E283" s="2">
        <v>40314</v>
      </c>
      <c r="F283" t="s">
        <v>16</v>
      </c>
      <c r="G283" t="s">
        <v>66</v>
      </c>
      <c r="H283" t="s">
        <v>197</v>
      </c>
      <c r="I283" s="3">
        <v>0.16666666666666666</v>
      </c>
      <c r="J283" s="8" t="s">
        <v>446</v>
      </c>
      <c r="K283" s="8" t="s">
        <v>443</v>
      </c>
      <c r="L283" s="8" t="str">
        <f>IF(Table1346[[#This Row],[Home Team Score]]&gt;Table1346[[#This Row],[Away Team Score]],"Win",IF(Table1346[[#This Row],[Home Team Score]]=Table1346[[#This Row],[Away Team Score]],"Tie","Lose"))</f>
        <v>Win</v>
      </c>
      <c r="M283" t="s">
        <v>38</v>
      </c>
      <c r="N283">
        <v>74</v>
      </c>
      <c r="O283" s="3">
        <v>0.16666666666666666</v>
      </c>
      <c r="P283" t="s">
        <v>31</v>
      </c>
      <c r="Q283" t="s">
        <v>199</v>
      </c>
      <c r="R283" t="e">
        <f>IF([1]!Table13[[#This Row],[Goal_assist]]="",1,0)</f>
        <v>#REF!</v>
      </c>
    </row>
    <row r="284" spans="1:18" x14ac:dyDescent="0.35">
      <c r="A284" t="s">
        <v>64</v>
      </c>
      <c r="B284" s="1">
        <v>45574</v>
      </c>
      <c r="C284" t="s">
        <v>65</v>
      </c>
      <c r="D284">
        <v>38</v>
      </c>
      <c r="E284" s="2">
        <v>40314</v>
      </c>
      <c r="F284" t="s">
        <v>16</v>
      </c>
      <c r="G284" t="s">
        <v>66</v>
      </c>
      <c r="H284" t="s">
        <v>197</v>
      </c>
      <c r="I284" s="3">
        <v>0.16666666666666666</v>
      </c>
      <c r="J284" s="8" t="s">
        <v>446</v>
      </c>
      <c r="K284" s="8" t="s">
        <v>443</v>
      </c>
      <c r="L284" s="8" t="str">
        <f>IF(Table1346[[#This Row],[Home Team Score]]&gt;Table1346[[#This Row],[Away Team Score]],"Win",IF(Table1346[[#This Row],[Home Team Score]]=Table1346[[#This Row],[Away Team Score]],"Tie","Lose"))</f>
        <v>Win</v>
      </c>
      <c r="M284" t="s">
        <v>38</v>
      </c>
      <c r="N284">
        <v>61</v>
      </c>
      <c r="O284" s="3">
        <v>0.125</v>
      </c>
      <c r="P284" t="s">
        <v>26</v>
      </c>
      <c r="Q284" t="s">
        <v>199</v>
      </c>
      <c r="R284" t="e">
        <f>IF([1]!Table13[[#This Row],[Goal_assist]]="",1,0)</f>
        <v>#REF!</v>
      </c>
    </row>
    <row r="285" spans="1:18" x14ac:dyDescent="0.35">
      <c r="A285" t="s">
        <v>64</v>
      </c>
      <c r="B285" s="1">
        <v>45606</v>
      </c>
      <c r="C285" t="s">
        <v>172</v>
      </c>
      <c r="D285" t="s">
        <v>173</v>
      </c>
      <c r="E285" s="2">
        <v>40411</v>
      </c>
      <c r="F285" t="s">
        <v>16</v>
      </c>
      <c r="G285" t="s">
        <v>66</v>
      </c>
      <c r="H285" t="s">
        <v>105</v>
      </c>
      <c r="I285" s="3">
        <v>0.16666666666666666</v>
      </c>
      <c r="J285" s="8" t="s">
        <v>446</v>
      </c>
      <c r="K285" s="8" t="s">
        <v>443</v>
      </c>
      <c r="L285" s="8" t="str">
        <f>IF(Table1346[[#This Row],[Home Team Score]]&gt;Table1346[[#This Row],[Away Team Score]],"Win",IF(Table1346[[#This Row],[Home Team Score]]=Table1346[[#This Row],[Away Team Score]],"Tie","Lose"))</f>
        <v>Win</v>
      </c>
      <c r="M285" t="s">
        <v>38</v>
      </c>
      <c r="N285" t="s">
        <v>69</v>
      </c>
      <c r="O285" s="3">
        <v>0.16666666666666666</v>
      </c>
      <c r="P285" t="s">
        <v>31</v>
      </c>
      <c r="Q285" t="s">
        <v>99</v>
      </c>
      <c r="R285" t="e">
        <f>IF([1]!Table13[[#This Row],[Goal_assist]]="",1,0)</f>
        <v>#REF!</v>
      </c>
    </row>
    <row r="286" spans="1:18" x14ac:dyDescent="0.35">
      <c r="A286" t="s">
        <v>64</v>
      </c>
      <c r="B286" s="1">
        <v>45606</v>
      </c>
      <c r="C286" t="s">
        <v>172</v>
      </c>
      <c r="D286" t="s">
        <v>173</v>
      </c>
      <c r="E286" s="2">
        <v>40411</v>
      </c>
      <c r="F286" t="s">
        <v>16</v>
      </c>
      <c r="G286" t="s">
        <v>66</v>
      </c>
      <c r="H286" t="s">
        <v>105</v>
      </c>
      <c r="I286" s="3">
        <v>0.16666666666666666</v>
      </c>
      <c r="J286" s="8" t="s">
        <v>446</v>
      </c>
      <c r="K286" s="8" t="s">
        <v>443</v>
      </c>
      <c r="L286" s="8" t="str">
        <f>IF(Table1346[[#This Row],[Home Team Score]]&gt;Table1346[[#This Row],[Away Team Score]],"Win",IF(Table1346[[#This Row],[Home Team Score]]=Table1346[[#This Row],[Away Team Score]],"Tie","Lose"))</f>
        <v>Win</v>
      </c>
      <c r="M286" t="s">
        <v>38</v>
      </c>
      <c r="N286">
        <v>25</v>
      </c>
      <c r="O286" s="3">
        <v>8.3333333333333329E-2</v>
      </c>
      <c r="P286" t="s">
        <v>31</v>
      </c>
      <c r="Q286" t="s">
        <v>106</v>
      </c>
      <c r="R286" t="e">
        <f>IF([1]!Table13[[#This Row],[Goal_assist]]="",1,0)</f>
        <v>#REF!</v>
      </c>
    </row>
    <row r="287" spans="1:18" x14ac:dyDescent="0.35">
      <c r="A287" t="s">
        <v>64</v>
      </c>
      <c r="B287" s="1">
        <v>45606</v>
      </c>
      <c r="C287" t="s">
        <v>172</v>
      </c>
      <c r="D287" t="s">
        <v>173</v>
      </c>
      <c r="E287" s="2">
        <v>40411</v>
      </c>
      <c r="F287" t="s">
        <v>16</v>
      </c>
      <c r="G287" t="s">
        <v>66</v>
      </c>
      <c r="H287" t="s">
        <v>105</v>
      </c>
      <c r="I287" s="3">
        <v>0.16666666666666666</v>
      </c>
      <c r="J287" s="8" t="s">
        <v>446</v>
      </c>
      <c r="K287" s="8" t="s">
        <v>443</v>
      </c>
      <c r="L287" s="8" t="str">
        <f>IF(Table1346[[#This Row],[Home Team Score]]&gt;Table1346[[#This Row],[Away Team Score]],"Win",IF(Table1346[[#This Row],[Home Team Score]]=Table1346[[#This Row],[Away Team Score]],"Tie","Lose"))</f>
        <v>Win</v>
      </c>
      <c r="M287" t="s">
        <v>38</v>
      </c>
      <c r="N287">
        <v>43</v>
      </c>
      <c r="O287" s="3">
        <v>0.125</v>
      </c>
      <c r="P287" t="s">
        <v>26</v>
      </c>
      <c r="Q287" t="s">
        <v>155</v>
      </c>
      <c r="R287" t="e">
        <f>IF([1]!Table13[[#This Row],[Goal_assist]]="",1,0)</f>
        <v>#REF!</v>
      </c>
    </row>
    <row r="288" spans="1:18" x14ac:dyDescent="0.35">
      <c r="A288" t="s">
        <v>64</v>
      </c>
      <c r="B288" s="1">
        <v>45606</v>
      </c>
      <c r="C288" t="s">
        <v>65</v>
      </c>
      <c r="D288">
        <v>1</v>
      </c>
      <c r="E288" s="2">
        <v>40419</v>
      </c>
      <c r="F288" t="s">
        <v>24</v>
      </c>
      <c r="G288" t="s">
        <v>66</v>
      </c>
      <c r="H288" t="s">
        <v>78</v>
      </c>
      <c r="I288" s="3">
        <v>2.0833333333333333E-3</v>
      </c>
      <c r="J288" s="8" t="s">
        <v>443</v>
      </c>
      <c r="K288" s="8" t="s">
        <v>442</v>
      </c>
      <c r="L288" s="8" t="str">
        <f>IF(Table1346[[#This Row],[Home Team Score]]&gt;Table1346[[#This Row],[Away Team Score]],"Win",IF(Table1346[[#This Row],[Home Team Score]]=Table1346[[#This Row],[Away Team Score]],"Tie","Lose"))</f>
        <v>Lose</v>
      </c>
      <c r="M288" t="s">
        <v>38</v>
      </c>
      <c r="N288">
        <v>3</v>
      </c>
      <c r="O288" s="3">
        <v>6.9444444444444447E-4</v>
      </c>
      <c r="P288" t="s">
        <v>31</v>
      </c>
      <c r="Q288" t="s">
        <v>99</v>
      </c>
      <c r="R288" t="e">
        <f>IF([1]!Table13[[#This Row],[Goal_assist]]="",1,0)</f>
        <v>#REF!</v>
      </c>
    </row>
    <row r="289" spans="1:18" x14ac:dyDescent="0.35">
      <c r="A289" t="s">
        <v>64</v>
      </c>
      <c r="B289" s="1">
        <v>45606</v>
      </c>
      <c r="C289" t="s">
        <v>75</v>
      </c>
      <c r="D289" t="s">
        <v>76</v>
      </c>
      <c r="E289" s="2">
        <v>40435</v>
      </c>
      <c r="F289" t="s">
        <v>16</v>
      </c>
      <c r="G289" t="s">
        <v>66</v>
      </c>
      <c r="H289" t="s">
        <v>77</v>
      </c>
      <c r="I289" s="3">
        <v>0.20902777777777778</v>
      </c>
      <c r="J289" s="8" t="s">
        <v>448</v>
      </c>
      <c r="K289" s="8" t="s">
        <v>444</v>
      </c>
      <c r="L289" s="8" t="str">
        <f>IF(Table1346[[#This Row],[Home Team Score]]&gt;Table1346[[#This Row],[Away Team Score]],"Win",IF(Table1346[[#This Row],[Home Team Score]]=Table1346[[#This Row],[Away Team Score]],"Tie","Lose"))</f>
        <v>Win</v>
      </c>
      <c r="M289" t="s">
        <v>68</v>
      </c>
      <c r="N289">
        <v>45</v>
      </c>
      <c r="O289" s="3">
        <v>0.12569444444444444</v>
      </c>
      <c r="P289" t="s">
        <v>31</v>
      </c>
      <c r="Q289" t="s">
        <v>186</v>
      </c>
      <c r="R289" t="e">
        <f>IF([1]!Table13[[#This Row],[Goal_assist]]="",1,0)</f>
        <v>#REF!</v>
      </c>
    </row>
    <row r="290" spans="1:18" x14ac:dyDescent="0.35">
      <c r="A290" t="s">
        <v>64</v>
      </c>
      <c r="B290" s="1">
        <v>45606</v>
      </c>
      <c r="C290" t="s">
        <v>75</v>
      </c>
      <c r="D290" t="s">
        <v>76</v>
      </c>
      <c r="E290" s="2">
        <v>40435</v>
      </c>
      <c r="F290" t="s">
        <v>16</v>
      </c>
      <c r="G290" t="s">
        <v>66</v>
      </c>
      <c r="H290" t="s">
        <v>77</v>
      </c>
      <c r="I290" s="3">
        <v>0.20902777777777778</v>
      </c>
      <c r="J290" s="8" t="s">
        <v>448</v>
      </c>
      <c r="K290" s="8" t="s">
        <v>444</v>
      </c>
      <c r="L290" s="8" t="str">
        <f>IF(Table1346[[#This Row],[Home Team Score]]&gt;Table1346[[#This Row],[Away Team Score]],"Win",IF(Table1346[[#This Row],[Home Team Score]]=Table1346[[#This Row],[Away Team Score]],"Tie","Lose"))</f>
        <v>Win</v>
      </c>
      <c r="M290" t="s">
        <v>68</v>
      </c>
      <c r="N290">
        <v>22</v>
      </c>
      <c r="O290" s="3">
        <v>4.2361111111111113E-2</v>
      </c>
      <c r="P290" t="s">
        <v>31</v>
      </c>
      <c r="Q290" t="s">
        <v>106</v>
      </c>
      <c r="R290" t="e">
        <f>IF([1]!Table13[[#This Row],[Goal_assist]]="",1,0)</f>
        <v>#REF!</v>
      </c>
    </row>
    <row r="291" spans="1:18" x14ac:dyDescent="0.35">
      <c r="A291" t="s">
        <v>64</v>
      </c>
      <c r="B291" s="1">
        <v>45606</v>
      </c>
      <c r="C291" t="s">
        <v>65</v>
      </c>
      <c r="D291">
        <v>3</v>
      </c>
      <c r="E291" s="2">
        <v>40440</v>
      </c>
      <c r="F291" t="s">
        <v>24</v>
      </c>
      <c r="G291" t="s">
        <v>66</v>
      </c>
      <c r="H291" t="s">
        <v>119</v>
      </c>
      <c r="I291" s="3">
        <v>4.3055555555555555E-2</v>
      </c>
      <c r="J291" s="8" t="s">
        <v>444</v>
      </c>
      <c r="K291" s="8" t="s">
        <v>445</v>
      </c>
      <c r="L291" s="8" t="str">
        <f>IF(Table1346[[#This Row],[Home Team Score]]&gt;Table1346[[#This Row],[Away Team Score]],"Win",IF(Table1346[[#This Row],[Home Team Score]]=Table1346[[#This Row],[Away Team Score]],"Tie","Lose"))</f>
        <v>Lose</v>
      </c>
      <c r="M291" t="s">
        <v>68</v>
      </c>
      <c r="N291">
        <v>12</v>
      </c>
      <c r="O291" s="3">
        <v>6.9444444444444447E-4</v>
      </c>
      <c r="P291" t="s">
        <v>31</v>
      </c>
      <c r="Q291" t="s">
        <v>186</v>
      </c>
      <c r="R291" t="e">
        <f>IF([1]!Table13[[#This Row],[Goal_assist]]="",1,0)</f>
        <v>#REF!</v>
      </c>
    </row>
    <row r="292" spans="1:18" x14ac:dyDescent="0.35">
      <c r="A292" t="s">
        <v>14</v>
      </c>
      <c r="B292" s="1">
        <v>45606</v>
      </c>
      <c r="C292" t="s">
        <v>65</v>
      </c>
      <c r="D292">
        <v>4</v>
      </c>
      <c r="E292" s="2">
        <v>40442</v>
      </c>
      <c r="F292" t="s">
        <v>16</v>
      </c>
      <c r="G292" t="s">
        <v>112</v>
      </c>
      <c r="H292" t="s">
        <v>121</v>
      </c>
      <c r="I292" s="3">
        <v>0.125</v>
      </c>
      <c r="J292" s="8" t="s">
        <v>442</v>
      </c>
      <c r="K292" s="8" t="s">
        <v>443</v>
      </c>
      <c r="L292" s="8" t="str">
        <f>IF(Table1346[[#This Row],[Home Team Score]]&gt;Table1346[[#This Row],[Away Team Score]],"Win",IF(Table1346[[#This Row],[Home Team Score]]=Table1346[[#This Row],[Away Team Score]],"Tie","Lose"))</f>
        <v>Win</v>
      </c>
      <c r="M292" t="s">
        <v>19</v>
      </c>
      <c r="N292">
        <v>28</v>
      </c>
      <c r="O292" s="3">
        <v>4.1666666666666664E-2</v>
      </c>
      <c r="P292" t="s">
        <v>83</v>
      </c>
      <c r="R292" t="e">
        <f>IF([1]!Table13[[#This Row],[Goal_assist]]="",1,0)</f>
        <v>#REF!</v>
      </c>
    </row>
    <row r="293" spans="1:18" x14ac:dyDescent="0.35">
      <c r="A293" t="s">
        <v>14</v>
      </c>
      <c r="B293" s="1">
        <v>45606</v>
      </c>
      <c r="C293" t="s">
        <v>65</v>
      </c>
      <c r="D293">
        <v>6</v>
      </c>
      <c r="E293" s="2">
        <v>40454</v>
      </c>
      <c r="F293" t="s">
        <v>16</v>
      </c>
      <c r="G293" t="s">
        <v>112</v>
      </c>
      <c r="H293" t="s">
        <v>175</v>
      </c>
      <c r="I293" s="3">
        <v>0.25069444444444444</v>
      </c>
      <c r="J293" s="8" t="s">
        <v>450</v>
      </c>
      <c r="K293" s="8" t="s">
        <v>444</v>
      </c>
      <c r="L293" s="8" t="str">
        <f>IF(Table1346[[#This Row],[Home Team Score]]&gt;Table1346[[#This Row],[Away Team Score]],"Win",IF(Table1346[[#This Row],[Home Team Score]]=Table1346[[#This Row],[Away Team Score]],"Tie","Lose"))</f>
        <v>Win</v>
      </c>
      <c r="M293" t="s">
        <v>19</v>
      </c>
      <c r="N293">
        <v>4</v>
      </c>
      <c r="O293" s="3">
        <v>4.1666666666666664E-2</v>
      </c>
      <c r="P293" t="s">
        <v>22</v>
      </c>
      <c r="Q293" t="s">
        <v>204</v>
      </c>
      <c r="R293" t="e">
        <f>IF([1]!Table13[[#This Row],[Goal_assist]]="",1,0)</f>
        <v>#REF!</v>
      </c>
    </row>
    <row r="294" spans="1:18" x14ac:dyDescent="0.35">
      <c r="A294" t="s">
        <v>14</v>
      </c>
      <c r="B294" s="1">
        <v>45606</v>
      </c>
      <c r="C294" t="s">
        <v>65</v>
      </c>
      <c r="D294">
        <v>6</v>
      </c>
      <c r="E294" s="2">
        <v>40454</v>
      </c>
      <c r="F294" t="s">
        <v>16</v>
      </c>
      <c r="G294" t="s">
        <v>112</v>
      </c>
      <c r="H294" t="s">
        <v>175</v>
      </c>
      <c r="I294" s="3">
        <v>0.25069444444444444</v>
      </c>
      <c r="J294" s="8" t="s">
        <v>450</v>
      </c>
      <c r="K294" s="8" t="s">
        <v>444</v>
      </c>
      <c r="L294" s="8" t="str">
        <f>IF(Table1346[[#This Row],[Home Team Score]]&gt;Table1346[[#This Row],[Away Team Score]],"Win",IF(Table1346[[#This Row],[Home Team Score]]=Table1346[[#This Row],[Away Team Score]],"Tie","Lose"))</f>
        <v>Win</v>
      </c>
      <c r="M294" t="s">
        <v>19</v>
      </c>
      <c r="N294">
        <v>89</v>
      </c>
      <c r="O294" s="3">
        <v>0.25069444444444444</v>
      </c>
      <c r="P294" t="s">
        <v>31</v>
      </c>
      <c r="Q294" t="s">
        <v>205</v>
      </c>
      <c r="R294" t="e">
        <f>IF([1]!Table13[[#This Row],[Goal_assist]]="",1,0)</f>
        <v>#REF!</v>
      </c>
    </row>
    <row r="295" spans="1:18" x14ac:dyDescent="0.35">
      <c r="A295" t="s">
        <v>64</v>
      </c>
      <c r="B295" s="1">
        <v>45606</v>
      </c>
      <c r="C295" t="s">
        <v>65</v>
      </c>
      <c r="D295">
        <v>6</v>
      </c>
      <c r="E295" s="2">
        <v>40454</v>
      </c>
      <c r="F295" t="s">
        <v>16</v>
      </c>
      <c r="G295" t="s">
        <v>66</v>
      </c>
      <c r="H295" t="s">
        <v>89</v>
      </c>
      <c r="I295" s="3">
        <v>4.2361111111111113E-2</v>
      </c>
      <c r="J295" s="8" t="s">
        <v>444</v>
      </c>
      <c r="K295" s="8" t="s">
        <v>444</v>
      </c>
      <c r="L295" s="8" t="str">
        <f>IF(Table1346[[#This Row],[Home Team Score]]&gt;Table1346[[#This Row],[Away Team Score]],"Win",IF(Table1346[[#This Row],[Home Team Score]]=Table1346[[#This Row],[Away Team Score]],"Tie","Lose"))</f>
        <v>Tie</v>
      </c>
      <c r="M295" t="s">
        <v>68</v>
      </c>
      <c r="N295">
        <v>20</v>
      </c>
      <c r="O295" s="3">
        <v>4.1666666666666664E-2</v>
      </c>
      <c r="P295" t="s">
        <v>31</v>
      </c>
      <c r="Q295" t="s">
        <v>186</v>
      </c>
      <c r="R295" t="e">
        <f>IF([1]!Table13[[#This Row],[Goal_assist]]="",1,0)</f>
        <v>#REF!</v>
      </c>
    </row>
    <row r="296" spans="1:18" x14ac:dyDescent="0.35">
      <c r="A296" t="s">
        <v>14</v>
      </c>
      <c r="B296" s="1">
        <v>45606</v>
      </c>
      <c r="C296" t="s">
        <v>65</v>
      </c>
      <c r="D296">
        <v>7</v>
      </c>
      <c r="E296" s="2">
        <v>40467</v>
      </c>
      <c r="F296" t="s">
        <v>24</v>
      </c>
      <c r="G296" t="s">
        <v>112</v>
      </c>
      <c r="H296" t="s">
        <v>157</v>
      </c>
      <c r="I296" s="3">
        <v>4.4444444444444446E-2</v>
      </c>
      <c r="J296" s="8" t="s">
        <v>444</v>
      </c>
      <c r="K296" s="8" t="s">
        <v>446</v>
      </c>
      <c r="L296" s="8" t="str">
        <f>IF(Table1346[[#This Row],[Home Team Score]]&gt;Table1346[[#This Row],[Away Team Score]],"Win",IF(Table1346[[#This Row],[Home Team Score]]=Table1346[[#This Row],[Away Team Score]],"Tie","Lose"))</f>
        <v>Lose</v>
      </c>
      <c r="M296" t="s">
        <v>19</v>
      </c>
      <c r="N296">
        <v>45</v>
      </c>
      <c r="O296" s="3">
        <v>1.3888888888888889E-3</v>
      </c>
      <c r="P296" t="s">
        <v>26</v>
      </c>
      <c r="Q296" t="s">
        <v>204</v>
      </c>
      <c r="R296" t="e">
        <f>IF([1]!Table13[[#This Row],[Goal_assist]]="",1,0)</f>
        <v>#REF!</v>
      </c>
    </row>
    <row r="297" spans="1:18" x14ac:dyDescent="0.35">
      <c r="A297" t="s">
        <v>14</v>
      </c>
      <c r="B297" s="1">
        <v>45606</v>
      </c>
      <c r="C297" t="s">
        <v>65</v>
      </c>
      <c r="D297">
        <v>7</v>
      </c>
      <c r="E297" s="2">
        <v>40467</v>
      </c>
      <c r="F297" t="s">
        <v>24</v>
      </c>
      <c r="G297" t="s">
        <v>112</v>
      </c>
      <c r="H297" t="s">
        <v>157</v>
      </c>
      <c r="I297" s="3">
        <v>4.4444444444444446E-2</v>
      </c>
      <c r="J297" s="8" t="s">
        <v>444</v>
      </c>
      <c r="K297" s="8" t="s">
        <v>446</v>
      </c>
      <c r="L297" s="8" t="str">
        <f>IF(Table1346[[#This Row],[Home Team Score]]&gt;Table1346[[#This Row],[Away Team Score]],"Win",IF(Table1346[[#This Row],[Home Team Score]]=Table1346[[#This Row],[Away Team Score]],"Tie","Lose"))</f>
        <v>Lose</v>
      </c>
      <c r="M297" t="s">
        <v>19</v>
      </c>
      <c r="N297">
        <v>50</v>
      </c>
      <c r="O297" s="3">
        <v>2.0833333333333333E-3</v>
      </c>
      <c r="P297" t="s">
        <v>83</v>
      </c>
      <c r="R297" t="e">
        <f>IF([1]!Table13[[#This Row],[Goal_assist]]="",1,0)</f>
        <v>#REF!</v>
      </c>
    </row>
    <row r="298" spans="1:18" x14ac:dyDescent="0.35">
      <c r="A298" t="s">
        <v>14</v>
      </c>
      <c r="B298" s="1">
        <v>45606</v>
      </c>
      <c r="C298" t="s">
        <v>75</v>
      </c>
      <c r="D298" t="s">
        <v>76</v>
      </c>
      <c r="E298" s="2">
        <v>40470</v>
      </c>
      <c r="F298" t="s">
        <v>16</v>
      </c>
      <c r="G298" t="s">
        <v>112</v>
      </c>
      <c r="H298" t="s">
        <v>118</v>
      </c>
      <c r="I298" s="3">
        <v>8.3333333333333329E-2</v>
      </c>
      <c r="J298" s="8" t="s">
        <v>445</v>
      </c>
      <c r="K298" s="8" t="s">
        <v>443</v>
      </c>
      <c r="L298" s="8" t="str">
        <f>IF(Table1346[[#This Row],[Home Team Score]]&gt;Table1346[[#This Row],[Away Team Score]],"Win",IF(Table1346[[#This Row],[Home Team Score]]=Table1346[[#This Row],[Away Team Score]],"Tie","Lose"))</f>
        <v>Win</v>
      </c>
      <c r="M298" t="s">
        <v>19</v>
      </c>
      <c r="N298">
        <v>13</v>
      </c>
      <c r="O298" s="3">
        <v>4.1666666666666664E-2</v>
      </c>
      <c r="P298" t="s">
        <v>39</v>
      </c>
      <c r="R298" t="e">
        <f>IF([1]!Table13[[#This Row],[Goal_assist]]="",1,0)</f>
        <v>#REF!</v>
      </c>
    </row>
    <row r="299" spans="1:18" x14ac:dyDescent="0.35">
      <c r="A299" t="s">
        <v>64</v>
      </c>
      <c r="B299" s="1">
        <v>45606</v>
      </c>
      <c r="C299" t="s">
        <v>75</v>
      </c>
      <c r="D299" t="s">
        <v>76</v>
      </c>
      <c r="E299" s="2">
        <v>40471</v>
      </c>
      <c r="F299" t="s">
        <v>16</v>
      </c>
      <c r="G299" t="s">
        <v>66</v>
      </c>
      <c r="H299" t="s">
        <v>206</v>
      </c>
      <c r="I299" s="3">
        <v>8.3333333333333329E-2</v>
      </c>
      <c r="J299" s="8" t="s">
        <v>445</v>
      </c>
      <c r="K299" s="8" t="s">
        <v>443</v>
      </c>
      <c r="L299" s="8" t="str">
        <f>IF(Table1346[[#This Row],[Home Team Score]]&gt;Table1346[[#This Row],[Away Team Score]],"Win",IF(Table1346[[#This Row],[Home Team Score]]=Table1346[[#This Row],[Away Team Score]],"Tie","Lose"))</f>
        <v>Win</v>
      </c>
      <c r="M299" t="s">
        <v>68</v>
      </c>
      <c r="N299" t="s">
        <v>69</v>
      </c>
      <c r="O299" s="3">
        <v>8.3333333333333329E-2</v>
      </c>
      <c r="P299" t="s">
        <v>31</v>
      </c>
      <c r="Q299" t="s">
        <v>196</v>
      </c>
      <c r="R299" t="e">
        <f>IF([1]!Table13[[#This Row],[Goal_assist]]="",1,0)</f>
        <v>#REF!</v>
      </c>
    </row>
    <row r="300" spans="1:18" x14ac:dyDescent="0.35">
      <c r="A300" t="s">
        <v>64</v>
      </c>
      <c r="B300" s="1">
        <v>45606</v>
      </c>
      <c r="C300" t="s">
        <v>75</v>
      </c>
      <c r="D300" t="s">
        <v>76</v>
      </c>
      <c r="E300" s="2">
        <v>40471</v>
      </c>
      <c r="F300" t="s">
        <v>16</v>
      </c>
      <c r="G300" t="s">
        <v>66</v>
      </c>
      <c r="H300" t="s">
        <v>206</v>
      </c>
      <c r="I300" s="3">
        <v>8.3333333333333329E-2</v>
      </c>
      <c r="J300" s="8" t="s">
        <v>445</v>
      </c>
      <c r="K300" s="8" t="s">
        <v>443</v>
      </c>
      <c r="L300" s="8" t="str">
        <f>IF(Table1346[[#This Row],[Home Team Score]]&gt;Table1346[[#This Row],[Away Team Score]],"Win",IF(Table1346[[#This Row],[Home Team Score]]=Table1346[[#This Row],[Away Team Score]],"Tie","Lose"))</f>
        <v>Win</v>
      </c>
      <c r="M300" t="s">
        <v>68</v>
      </c>
      <c r="N300">
        <v>18</v>
      </c>
      <c r="O300" s="3">
        <v>4.1666666666666664E-2</v>
      </c>
      <c r="P300" t="s">
        <v>31</v>
      </c>
      <c r="Q300" t="s">
        <v>99</v>
      </c>
      <c r="R300" t="e">
        <f>IF([1]!Table13[[#This Row],[Goal_assist]]="",1,0)</f>
        <v>#REF!</v>
      </c>
    </row>
    <row r="301" spans="1:18" x14ac:dyDescent="0.35">
      <c r="A301" t="s">
        <v>14</v>
      </c>
      <c r="B301" s="1">
        <v>45606</v>
      </c>
      <c r="C301" t="s">
        <v>65</v>
      </c>
      <c r="D301">
        <v>8</v>
      </c>
      <c r="E301" s="2">
        <v>40474</v>
      </c>
      <c r="F301" t="s">
        <v>16</v>
      </c>
      <c r="G301" t="s">
        <v>112</v>
      </c>
      <c r="H301" t="s">
        <v>78</v>
      </c>
      <c r="I301" s="3">
        <v>0.25069444444444444</v>
      </c>
      <c r="J301" s="8" t="s">
        <v>450</v>
      </c>
      <c r="K301" s="8" t="s">
        <v>444</v>
      </c>
      <c r="L301" s="8" t="str">
        <f>IF(Table1346[[#This Row],[Home Team Score]]&gt;Table1346[[#This Row],[Away Team Score]],"Win",IF(Table1346[[#This Row],[Home Team Score]]=Table1346[[#This Row],[Away Team Score]],"Tie","Lose"))</f>
        <v>Win</v>
      </c>
      <c r="M301" t="s">
        <v>19</v>
      </c>
      <c r="N301">
        <v>55</v>
      </c>
      <c r="O301" s="3">
        <v>0.20833333333333334</v>
      </c>
      <c r="P301" t="s">
        <v>83</v>
      </c>
      <c r="R301" t="e">
        <f>IF([1]!Table13[[#This Row],[Goal_assist]]="",1,0)</f>
        <v>#REF!</v>
      </c>
    </row>
    <row r="302" spans="1:18" x14ac:dyDescent="0.35">
      <c r="A302" t="s">
        <v>14</v>
      </c>
      <c r="B302" s="1">
        <v>45606</v>
      </c>
      <c r="C302" t="s">
        <v>65</v>
      </c>
      <c r="D302">
        <v>8</v>
      </c>
      <c r="E302" s="2">
        <v>40474</v>
      </c>
      <c r="F302" t="s">
        <v>16</v>
      </c>
      <c r="G302" t="s">
        <v>112</v>
      </c>
      <c r="H302" t="s">
        <v>78</v>
      </c>
      <c r="I302" s="3">
        <v>0.25069444444444444</v>
      </c>
      <c r="J302" s="8" t="s">
        <v>450</v>
      </c>
      <c r="K302" s="8" t="s">
        <v>444</v>
      </c>
      <c r="L302" s="8" t="str">
        <f>IF(Table1346[[#This Row],[Home Team Score]]&gt;Table1346[[#This Row],[Away Team Score]],"Win",IF(Table1346[[#This Row],[Home Team Score]]=Table1346[[#This Row],[Away Team Score]],"Tie","Lose"))</f>
        <v>Win</v>
      </c>
      <c r="M302" t="s">
        <v>19</v>
      </c>
      <c r="N302">
        <v>26</v>
      </c>
      <c r="O302" s="3">
        <v>0.125</v>
      </c>
      <c r="P302" t="s">
        <v>31</v>
      </c>
      <c r="Q302" t="s">
        <v>204</v>
      </c>
      <c r="R302" t="e">
        <f>IF([1]!Table13[[#This Row],[Goal_assist]]="",1,0)</f>
        <v>#REF!</v>
      </c>
    </row>
    <row r="303" spans="1:18" x14ac:dyDescent="0.35">
      <c r="A303" t="s">
        <v>14</v>
      </c>
      <c r="B303" s="1">
        <v>45606</v>
      </c>
      <c r="C303" t="s">
        <v>65</v>
      </c>
      <c r="D303">
        <v>8</v>
      </c>
      <c r="E303" s="2">
        <v>40474</v>
      </c>
      <c r="F303" t="s">
        <v>16</v>
      </c>
      <c r="G303" t="s">
        <v>112</v>
      </c>
      <c r="H303" t="s">
        <v>78</v>
      </c>
      <c r="I303" s="3">
        <v>0.25069444444444444</v>
      </c>
      <c r="J303" s="8" t="s">
        <v>450</v>
      </c>
      <c r="K303" s="8" t="s">
        <v>444</v>
      </c>
      <c r="L303" s="8" t="str">
        <f>IF(Table1346[[#This Row],[Home Team Score]]&gt;Table1346[[#This Row],[Away Team Score]],"Win",IF(Table1346[[#This Row],[Home Team Score]]=Table1346[[#This Row],[Away Team Score]],"Tie","Lose"))</f>
        <v>Win</v>
      </c>
      <c r="M303" t="s">
        <v>19</v>
      </c>
      <c r="N303">
        <v>15</v>
      </c>
      <c r="O303" s="3">
        <v>8.3333333333333329E-2</v>
      </c>
      <c r="P303" t="s">
        <v>26</v>
      </c>
      <c r="Q303" t="s">
        <v>188</v>
      </c>
      <c r="R303" t="e">
        <f>IF([1]!Table13[[#This Row],[Goal_assist]]="",1,0)</f>
        <v>#REF!</v>
      </c>
    </row>
    <row r="304" spans="1:18" x14ac:dyDescent="0.35">
      <c r="A304" t="s">
        <v>14</v>
      </c>
      <c r="B304" s="1">
        <v>45606</v>
      </c>
      <c r="C304" t="s">
        <v>65</v>
      </c>
      <c r="D304">
        <v>8</v>
      </c>
      <c r="E304" s="2">
        <v>40474</v>
      </c>
      <c r="F304" t="s">
        <v>16</v>
      </c>
      <c r="G304" t="s">
        <v>112</v>
      </c>
      <c r="H304" t="s">
        <v>78</v>
      </c>
      <c r="I304" s="3">
        <v>0.25069444444444444</v>
      </c>
      <c r="J304" s="8" t="s">
        <v>450</v>
      </c>
      <c r="K304" s="8" t="s">
        <v>444</v>
      </c>
      <c r="L304" s="8" t="str">
        <f>IF(Table1346[[#This Row],[Home Team Score]]&gt;Table1346[[#This Row],[Away Team Score]],"Win",IF(Table1346[[#This Row],[Home Team Score]]=Table1346[[#This Row],[Away Team Score]],"Tie","Lose"))</f>
        <v>Win</v>
      </c>
      <c r="M304" t="s">
        <v>19</v>
      </c>
      <c r="N304">
        <v>47</v>
      </c>
      <c r="O304" s="3">
        <v>0.16666666666666666</v>
      </c>
      <c r="P304" t="s">
        <v>26</v>
      </c>
      <c r="Q304" t="s">
        <v>207</v>
      </c>
      <c r="R304" t="e">
        <f>IF([1]!Table13[[#This Row],[Goal_assist]]="",1,0)</f>
        <v>#REF!</v>
      </c>
    </row>
    <row r="305" spans="1:18" x14ac:dyDescent="0.35">
      <c r="A305" t="s">
        <v>64</v>
      </c>
      <c r="B305" s="1">
        <v>45606</v>
      </c>
      <c r="C305" t="s">
        <v>65</v>
      </c>
      <c r="D305">
        <v>8</v>
      </c>
      <c r="E305" s="2">
        <v>40474</v>
      </c>
      <c r="F305" t="s">
        <v>24</v>
      </c>
      <c r="G305" t="s">
        <v>66</v>
      </c>
      <c r="H305" t="s">
        <v>93</v>
      </c>
      <c r="I305" s="3">
        <v>1.3888888888888889E-3</v>
      </c>
      <c r="J305" s="8" t="s">
        <v>443</v>
      </c>
      <c r="K305" s="8" t="s">
        <v>445</v>
      </c>
      <c r="L305" s="8" t="str">
        <f>IF(Table1346[[#This Row],[Home Team Score]]&gt;Table1346[[#This Row],[Away Team Score]],"Win",IF(Table1346[[#This Row],[Home Team Score]]=Table1346[[#This Row],[Away Team Score]],"Tie","Lose"))</f>
        <v>Lose</v>
      </c>
      <c r="M305" t="s">
        <v>68</v>
      </c>
      <c r="N305">
        <v>41</v>
      </c>
      <c r="O305" s="3">
        <v>6.9444444444444447E-4</v>
      </c>
      <c r="P305" t="s">
        <v>31</v>
      </c>
      <c r="Q305" t="s">
        <v>208</v>
      </c>
      <c r="R305" t="e">
        <f>IF([1]!Table13[[#This Row],[Goal_assist]]="",1,0)</f>
        <v>#REF!</v>
      </c>
    </row>
    <row r="306" spans="1:18" x14ac:dyDescent="0.35">
      <c r="A306" t="s">
        <v>64</v>
      </c>
      <c r="B306" s="1">
        <v>45606</v>
      </c>
      <c r="C306" t="s">
        <v>65</v>
      </c>
      <c r="D306">
        <v>8</v>
      </c>
      <c r="E306" s="2">
        <v>40474</v>
      </c>
      <c r="F306" t="s">
        <v>24</v>
      </c>
      <c r="G306" t="s">
        <v>66</v>
      </c>
      <c r="H306" t="s">
        <v>93</v>
      </c>
      <c r="I306" s="3">
        <v>1.3888888888888889E-3</v>
      </c>
      <c r="J306" s="8" t="s">
        <v>443</v>
      </c>
      <c r="K306" s="8" t="s">
        <v>445</v>
      </c>
      <c r="L306" s="8" t="str">
        <f>IF(Table1346[[#This Row],[Home Team Score]]&gt;Table1346[[#This Row],[Away Team Score]],"Win",IF(Table1346[[#This Row],[Home Team Score]]=Table1346[[#This Row],[Away Team Score]],"Tie","Lose"))</f>
        <v>Lose</v>
      </c>
      <c r="M306" t="s">
        <v>68</v>
      </c>
      <c r="N306">
        <v>65</v>
      </c>
      <c r="O306" s="3">
        <v>1.3888888888888889E-3</v>
      </c>
      <c r="P306" t="s">
        <v>31</v>
      </c>
      <c r="R306" t="e">
        <f>IF([1]!Table13[[#This Row],[Goal_assist]]="",1,0)</f>
        <v>#REF!</v>
      </c>
    </row>
    <row r="307" spans="1:18" x14ac:dyDescent="0.35">
      <c r="A307" t="s">
        <v>14</v>
      </c>
      <c r="B307" s="1">
        <v>45606</v>
      </c>
      <c r="C307" t="s">
        <v>65</v>
      </c>
      <c r="D307">
        <v>9</v>
      </c>
      <c r="E307" s="2">
        <v>40481</v>
      </c>
      <c r="F307" t="s">
        <v>24</v>
      </c>
      <c r="G307" t="s">
        <v>112</v>
      </c>
      <c r="H307" t="s">
        <v>209</v>
      </c>
      <c r="I307" s="3">
        <v>4.3749999999999997E-2</v>
      </c>
      <c r="J307" s="8" t="s">
        <v>444</v>
      </c>
      <c r="K307" s="8" t="s">
        <v>442</v>
      </c>
      <c r="L307" s="8" t="str">
        <f>IF(Table1346[[#This Row],[Home Team Score]]&gt;Table1346[[#This Row],[Away Team Score]],"Win",IF(Table1346[[#This Row],[Home Team Score]]=Table1346[[#This Row],[Away Team Score]],"Tie","Lose"))</f>
        <v>Lose</v>
      </c>
      <c r="M307" t="s">
        <v>19</v>
      </c>
      <c r="N307">
        <v>86</v>
      </c>
      <c r="O307" s="3">
        <v>4.3749999999999997E-2</v>
      </c>
      <c r="P307" t="s">
        <v>26</v>
      </c>
      <c r="Q307" t="s">
        <v>183</v>
      </c>
      <c r="R307" t="e">
        <f>IF([1]!Table13[[#This Row],[Goal_assist]]="",1,0)</f>
        <v>#REF!</v>
      </c>
    </row>
    <row r="308" spans="1:18" x14ac:dyDescent="0.35">
      <c r="A308" t="s">
        <v>14</v>
      </c>
      <c r="B308" s="1">
        <v>45606</v>
      </c>
      <c r="C308" t="s">
        <v>65</v>
      </c>
      <c r="D308">
        <v>9</v>
      </c>
      <c r="E308" s="2">
        <v>40481</v>
      </c>
      <c r="F308" t="s">
        <v>24</v>
      </c>
      <c r="G308" t="s">
        <v>112</v>
      </c>
      <c r="H308" t="s">
        <v>209</v>
      </c>
      <c r="I308" s="3">
        <v>4.3749999999999997E-2</v>
      </c>
      <c r="J308" s="8" t="s">
        <v>444</v>
      </c>
      <c r="K308" s="8" t="s">
        <v>442</v>
      </c>
      <c r="L308" s="8" t="str">
        <f>IF(Table1346[[#This Row],[Home Team Score]]&gt;Table1346[[#This Row],[Away Team Score]],"Win",IF(Table1346[[#This Row],[Home Team Score]]=Table1346[[#This Row],[Away Team Score]],"Tie","Lose"))</f>
        <v>Lose</v>
      </c>
      <c r="M308" t="s">
        <v>19</v>
      </c>
      <c r="N308">
        <v>82</v>
      </c>
      <c r="O308" s="3">
        <v>4.3055555555555555E-2</v>
      </c>
      <c r="P308" t="s">
        <v>26</v>
      </c>
      <c r="Q308" t="s">
        <v>183</v>
      </c>
      <c r="R308" t="e">
        <f>IF([1]!Table13[[#This Row],[Goal_assist]]="",1,0)</f>
        <v>#REF!</v>
      </c>
    </row>
    <row r="309" spans="1:18" x14ac:dyDescent="0.35">
      <c r="A309" t="s">
        <v>64</v>
      </c>
      <c r="B309" s="1">
        <v>45606</v>
      </c>
      <c r="C309" t="s">
        <v>65</v>
      </c>
      <c r="D309">
        <v>9</v>
      </c>
      <c r="E309" s="2">
        <v>40481</v>
      </c>
      <c r="F309" t="s">
        <v>16</v>
      </c>
      <c r="G309" t="s">
        <v>66</v>
      </c>
      <c r="H309" t="s">
        <v>105</v>
      </c>
      <c r="I309" s="3">
        <v>0.20833333333333334</v>
      </c>
      <c r="J309" s="8" t="s">
        <v>448</v>
      </c>
      <c r="K309" s="8" t="s">
        <v>443</v>
      </c>
      <c r="L309" s="8" t="str">
        <f>IF(Table1346[[#This Row],[Home Team Score]]&gt;Table1346[[#This Row],[Away Team Score]],"Win",IF(Table1346[[#This Row],[Home Team Score]]=Table1346[[#This Row],[Away Team Score]],"Tie","Lose"))</f>
        <v>Win</v>
      </c>
      <c r="M309" t="s">
        <v>38</v>
      </c>
      <c r="N309">
        <v>63</v>
      </c>
      <c r="O309" s="3">
        <v>0.16666666666666666</v>
      </c>
      <c r="P309" t="s">
        <v>31</v>
      </c>
      <c r="R309" t="e">
        <f>IF([1]!Table13[[#This Row],[Goal_assist]]="",1,0)</f>
        <v>#REF!</v>
      </c>
    </row>
    <row r="310" spans="1:18" x14ac:dyDescent="0.35">
      <c r="A310" t="s">
        <v>64</v>
      </c>
      <c r="B310" s="1">
        <v>45606</v>
      </c>
      <c r="C310" t="s">
        <v>65</v>
      </c>
      <c r="D310">
        <v>9</v>
      </c>
      <c r="E310" s="2">
        <v>40481</v>
      </c>
      <c r="F310" t="s">
        <v>16</v>
      </c>
      <c r="G310" t="s">
        <v>66</v>
      </c>
      <c r="H310" t="s">
        <v>105</v>
      </c>
      <c r="I310" s="3">
        <v>0.20833333333333334</v>
      </c>
      <c r="J310" s="8" t="s">
        <v>448</v>
      </c>
      <c r="K310" s="8" t="s">
        <v>443</v>
      </c>
      <c r="L310" s="8" t="str">
        <f>IF(Table1346[[#This Row],[Home Team Score]]&gt;Table1346[[#This Row],[Away Team Score]],"Win",IF(Table1346[[#This Row],[Home Team Score]]=Table1346[[#This Row],[Away Team Score]],"Tie","Lose"))</f>
        <v>Win</v>
      </c>
      <c r="M310" t="s">
        <v>38</v>
      </c>
      <c r="N310">
        <v>4</v>
      </c>
      <c r="O310" s="3">
        <v>4.1666666666666664E-2</v>
      </c>
      <c r="P310" t="s">
        <v>31</v>
      </c>
      <c r="R310" t="e">
        <f>IF([1]!Table13[[#This Row],[Goal_assist]]="",1,0)</f>
        <v>#REF!</v>
      </c>
    </row>
    <row r="311" spans="1:18" x14ac:dyDescent="0.35">
      <c r="A311" t="s">
        <v>64</v>
      </c>
      <c r="B311" s="1">
        <v>45606</v>
      </c>
      <c r="C311" t="s">
        <v>75</v>
      </c>
      <c r="D311" t="s">
        <v>76</v>
      </c>
      <c r="E311" s="2">
        <v>40484</v>
      </c>
      <c r="F311" t="s">
        <v>24</v>
      </c>
      <c r="G311" t="s">
        <v>66</v>
      </c>
      <c r="H311" t="s">
        <v>206</v>
      </c>
      <c r="I311" s="3">
        <v>4.2361111111111113E-2</v>
      </c>
      <c r="J311" s="8" t="s">
        <v>444</v>
      </c>
      <c r="K311" s="8" t="s">
        <v>444</v>
      </c>
      <c r="L311" s="8" t="str">
        <f>IF(Table1346[[#This Row],[Home Team Score]]&gt;Table1346[[#This Row],[Away Team Score]],"Win",IF(Table1346[[#This Row],[Home Team Score]]=Table1346[[#This Row],[Away Team Score]],"Tie","Lose"))</f>
        <v>Tie</v>
      </c>
      <c r="M311" t="s">
        <v>68</v>
      </c>
      <c r="N311">
        <v>31</v>
      </c>
      <c r="O311" s="3">
        <v>6.9444444444444447E-4</v>
      </c>
      <c r="P311" t="s">
        <v>26</v>
      </c>
      <c r="R311" t="e">
        <f>IF([1]!Table13[[#This Row],[Goal_assist]]="",1,0)</f>
        <v>#REF!</v>
      </c>
    </row>
    <row r="312" spans="1:18" x14ac:dyDescent="0.35">
      <c r="A312" t="s">
        <v>64</v>
      </c>
      <c r="B312" s="1">
        <v>45606</v>
      </c>
      <c r="C312" t="s">
        <v>65</v>
      </c>
      <c r="D312">
        <v>10</v>
      </c>
      <c r="E312" s="2">
        <v>40489</v>
      </c>
      <c r="F312" t="s">
        <v>24</v>
      </c>
      <c r="G312" t="s">
        <v>66</v>
      </c>
      <c r="H312" t="s">
        <v>117</v>
      </c>
      <c r="I312" s="3">
        <v>4.3749999999999997E-2</v>
      </c>
      <c r="J312" s="8" t="s">
        <v>444</v>
      </c>
      <c r="K312" s="8" t="s">
        <v>442</v>
      </c>
      <c r="L312" s="8" t="str">
        <f>IF(Table1346[[#This Row],[Home Team Score]]&gt;Table1346[[#This Row],[Away Team Score]],"Win",IF(Table1346[[#This Row],[Home Team Score]]=Table1346[[#This Row],[Away Team Score]],"Tie","Lose"))</f>
        <v>Lose</v>
      </c>
      <c r="M312" t="s">
        <v>68</v>
      </c>
      <c r="N312">
        <v>23</v>
      </c>
      <c r="O312" s="3">
        <v>6.9444444444444447E-4</v>
      </c>
      <c r="P312" t="s">
        <v>31</v>
      </c>
      <c r="Q312" t="s">
        <v>208</v>
      </c>
      <c r="R312" t="e">
        <f>IF([1]!Table13[[#This Row],[Goal_assist]]="",1,0)</f>
        <v>#REF!</v>
      </c>
    </row>
    <row r="313" spans="1:18" x14ac:dyDescent="0.35">
      <c r="A313" t="s">
        <v>14</v>
      </c>
      <c r="B313" s="1">
        <v>45606</v>
      </c>
      <c r="C313" t="s">
        <v>91</v>
      </c>
      <c r="D313" t="s">
        <v>210</v>
      </c>
      <c r="E313" s="2">
        <v>40492</v>
      </c>
      <c r="F313" t="s">
        <v>16</v>
      </c>
      <c r="G313" t="s">
        <v>112</v>
      </c>
      <c r="H313" t="s">
        <v>211</v>
      </c>
      <c r="I313" s="3">
        <v>0.20902777777777778</v>
      </c>
      <c r="J313" s="8" t="s">
        <v>448</v>
      </c>
      <c r="K313" s="8" t="s">
        <v>444</v>
      </c>
      <c r="L313" s="8" t="str">
        <f>IF(Table1346[[#This Row],[Home Team Score]]&gt;Table1346[[#This Row],[Away Team Score]],"Win",IF(Table1346[[#This Row],[Home Team Score]]=Table1346[[#This Row],[Away Team Score]],"Tie","Lose"))</f>
        <v>Win</v>
      </c>
      <c r="M313" t="str">
        <f>M312</f>
        <v>CF</v>
      </c>
      <c r="N313">
        <v>76</v>
      </c>
      <c r="O313" s="3">
        <v>0.125</v>
      </c>
      <c r="P313" t="s">
        <v>31</v>
      </c>
      <c r="Q313" t="s">
        <v>207</v>
      </c>
      <c r="R313" t="e">
        <f>IF([1]!Table13[[#This Row],[Goal_assist]]="",1,0)</f>
        <v>#REF!</v>
      </c>
    </row>
    <row r="314" spans="1:18" x14ac:dyDescent="0.35">
      <c r="A314" t="s">
        <v>64</v>
      </c>
      <c r="B314" s="1">
        <v>45606</v>
      </c>
      <c r="C314" t="s">
        <v>91</v>
      </c>
      <c r="D314" t="s">
        <v>210</v>
      </c>
      <c r="E314" s="2">
        <v>40492</v>
      </c>
      <c r="F314" t="s">
        <v>16</v>
      </c>
      <c r="G314" t="s">
        <v>66</v>
      </c>
      <c r="H314" t="s">
        <v>212</v>
      </c>
      <c r="I314" s="3">
        <v>0.20902777777777778</v>
      </c>
      <c r="J314" s="8" t="s">
        <v>448</v>
      </c>
      <c r="K314" s="8" t="s">
        <v>444</v>
      </c>
      <c r="L314" s="8" t="str">
        <f>IF(Table1346[[#This Row],[Home Team Score]]&gt;Table1346[[#This Row],[Away Team Score]],"Win",IF(Table1346[[#This Row],[Home Team Score]]=Table1346[[#This Row],[Away Team Score]],"Tie","Lose"))</f>
        <v>Win</v>
      </c>
      <c r="M314" t="s">
        <v>38</v>
      </c>
      <c r="N314">
        <v>67</v>
      </c>
      <c r="O314" s="3">
        <v>0.20902777777777778</v>
      </c>
      <c r="P314" t="s">
        <v>31</v>
      </c>
      <c r="Q314" t="s">
        <v>213</v>
      </c>
      <c r="R314" t="e">
        <f>IF([1]!Table13[[#This Row],[Goal_assist]]="",1,0)</f>
        <v>#REF!</v>
      </c>
    </row>
    <row r="315" spans="1:18" x14ac:dyDescent="0.35">
      <c r="A315" t="s">
        <v>64</v>
      </c>
      <c r="B315" s="1">
        <v>45606</v>
      </c>
      <c r="C315" t="s">
        <v>65</v>
      </c>
      <c r="D315">
        <v>11</v>
      </c>
      <c r="E315" s="2">
        <v>40495</v>
      </c>
      <c r="F315" t="s">
        <v>16</v>
      </c>
      <c r="G315" t="s">
        <v>66</v>
      </c>
      <c r="H315" t="s">
        <v>180</v>
      </c>
      <c r="I315" s="3">
        <v>0.12569444444444444</v>
      </c>
      <c r="J315" s="8" t="s">
        <v>442</v>
      </c>
      <c r="K315" s="8" t="s">
        <v>444</v>
      </c>
      <c r="L315" s="8" t="str">
        <f>IF(Table1346[[#This Row],[Home Team Score]]&gt;Table1346[[#This Row],[Away Team Score]],"Win",IF(Table1346[[#This Row],[Home Team Score]]=Table1346[[#This Row],[Away Team Score]],"Tie","Lose"))</f>
        <v>Win</v>
      </c>
      <c r="M315" t="s">
        <v>68</v>
      </c>
      <c r="N315">
        <v>58</v>
      </c>
      <c r="O315" s="3">
        <v>8.4027777777777785E-2</v>
      </c>
      <c r="P315" t="s">
        <v>26</v>
      </c>
      <c r="Q315" t="s">
        <v>186</v>
      </c>
      <c r="R315" t="e">
        <f>IF([1]!Table13[[#This Row],[Goal_assist]]="",1,0)</f>
        <v>#REF!</v>
      </c>
    </row>
    <row r="316" spans="1:18" x14ac:dyDescent="0.35">
      <c r="A316" t="s">
        <v>64</v>
      </c>
      <c r="B316" s="1">
        <v>45606</v>
      </c>
      <c r="C316" t="s">
        <v>65</v>
      </c>
      <c r="D316">
        <v>11</v>
      </c>
      <c r="E316" s="2">
        <v>40495</v>
      </c>
      <c r="F316" t="s">
        <v>16</v>
      </c>
      <c r="G316" t="s">
        <v>66</v>
      </c>
      <c r="H316" t="s">
        <v>180</v>
      </c>
      <c r="I316" s="3">
        <v>0.12569444444444444</v>
      </c>
      <c r="J316" s="8" t="s">
        <v>442</v>
      </c>
      <c r="K316" s="8" t="s">
        <v>444</v>
      </c>
      <c r="L316" s="8" t="str">
        <f>IF(Table1346[[#This Row],[Home Team Score]]&gt;Table1346[[#This Row],[Away Team Score]],"Win",IF(Table1346[[#This Row],[Home Team Score]]=Table1346[[#This Row],[Away Team Score]],"Tie","Lose"))</f>
        <v>Win</v>
      </c>
      <c r="M316" t="s">
        <v>68</v>
      </c>
      <c r="N316">
        <v>83</v>
      </c>
      <c r="O316" s="3">
        <v>0.12569444444444444</v>
      </c>
      <c r="P316" t="s">
        <v>31</v>
      </c>
      <c r="Q316" t="s">
        <v>186</v>
      </c>
      <c r="R316" t="e">
        <f>IF([1]!Table13[[#This Row],[Goal_assist]]="",1,0)</f>
        <v>#REF!</v>
      </c>
    </row>
    <row r="317" spans="1:18" x14ac:dyDescent="0.35">
      <c r="A317" t="s">
        <v>14</v>
      </c>
      <c r="B317" s="1">
        <v>45606</v>
      </c>
      <c r="C317" t="s">
        <v>65</v>
      </c>
      <c r="D317">
        <v>12</v>
      </c>
      <c r="E317" s="2">
        <v>40502</v>
      </c>
      <c r="F317" t="s">
        <v>16</v>
      </c>
      <c r="G317" t="s">
        <v>112</v>
      </c>
      <c r="H317" t="s">
        <v>86</v>
      </c>
      <c r="I317" s="3">
        <v>0.20902777777777778</v>
      </c>
      <c r="J317" s="8" t="s">
        <v>448</v>
      </c>
      <c r="K317" s="8" t="s">
        <v>444</v>
      </c>
      <c r="L317" s="8" t="str">
        <f>IF(Table1346[[#This Row],[Home Team Score]]&gt;Table1346[[#This Row],[Away Team Score]],"Win",IF(Table1346[[#This Row],[Home Team Score]]=Table1346[[#This Row],[Away Team Score]],"Tie","Lose"))</f>
        <v>Win</v>
      </c>
      <c r="M317" t="s">
        <v>19</v>
      </c>
      <c r="N317">
        <v>30</v>
      </c>
      <c r="O317" s="3">
        <v>8.3333333333333329E-2</v>
      </c>
      <c r="P317" t="s">
        <v>31</v>
      </c>
      <c r="Q317" t="s">
        <v>204</v>
      </c>
      <c r="R317" t="e">
        <f>IF([1]!Table13[[#This Row],[Goal_assist]]="",1,0)</f>
        <v>#REF!</v>
      </c>
    </row>
    <row r="318" spans="1:18" x14ac:dyDescent="0.35">
      <c r="A318" t="s">
        <v>14</v>
      </c>
      <c r="B318" s="1">
        <v>45606</v>
      </c>
      <c r="C318" t="s">
        <v>65</v>
      </c>
      <c r="D318">
        <v>12</v>
      </c>
      <c r="E318" s="2">
        <v>40502</v>
      </c>
      <c r="F318" t="s">
        <v>16</v>
      </c>
      <c r="G318" t="s">
        <v>112</v>
      </c>
      <c r="H318" t="s">
        <v>86</v>
      </c>
      <c r="I318" s="3">
        <v>0.20902777777777778</v>
      </c>
      <c r="J318" s="8" t="s">
        <v>448</v>
      </c>
      <c r="K318" s="8" t="s">
        <v>444</v>
      </c>
      <c r="L318" s="8" t="str">
        <f>IF(Table1346[[#This Row],[Home Team Score]]&gt;Table1346[[#This Row],[Away Team Score]],"Win",IF(Table1346[[#This Row],[Home Team Score]]=Table1346[[#This Row],[Away Team Score]],"Tie","Lose"))</f>
        <v>Win</v>
      </c>
      <c r="M318" t="s">
        <v>19</v>
      </c>
      <c r="N318">
        <v>62</v>
      </c>
      <c r="O318" s="3">
        <v>0.1673611111111111</v>
      </c>
      <c r="P318" t="s">
        <v>39</v>
      </c>
      <c r="R318" t="e">
        <f>IF([1]!Table13[[#This Row],[Goal_assist]]="",1,0)</f>
        <v>#REF!</v>
      </c>
    </row>
    <row r="319" spans="1:18" x14ac:dyDescent="0.35">
      <c r="A319" t="s">
        <v>14</v>
      </c>
      <c r="B319" s="1">
        <v>45606</v>
      </c>
      <c r="C319" t="s">
        <v>65</v>
      </c>
      <c r="D319">
        <v>12</v>
      </c>
      <c r="E319" s="2">
        <v>40502</v>
      </c>
      <c r="F319" t="s">
        <v>16</v>
      </c>
      <c r="G319" t="s">
        <v>112</v>
      </c>
      <c r="H319" t="s">
        <v>86</v>
      </c>
      <c r="I319" s="3">
        <v>0.20902777777777778</v>
      </c>
      <c r="J319" s="8" t="s">
        <v>448</v>
      </c>
      <c r="K319" s="8" t="s">
        <v>444</v>
      </c>
      <c r="L319" s="8" t="str">
        <f>IF(Table1346[[#This Row],[Home Team Score]]&gt;Table1346[[#This Row],[Away Team Score]],"Win",IF(Table1346[[#This Row],[Home Team Score]]=Table1346[[#This Row],[Away Team Score]],"Tie","Lose"))</f>
        <v>Win</v>
      </c>
      <c r="M319" t="s">
        <v>19</v>
      </c>
      <c r="N319" t="s">
        <v>69</v>
      </c>
      <c r="O319" s="3">
        <v>0.20902777777777778</v>
      </c>
      <c r="P319" t="s">
        <v>83</v>
      </c>
      <c r="R319" t="e">
        <f>IF([1]!Table13[[#This Row],[Goal_assist]]="",1,0)</f>
        <v>#REF!</v>
      </c>
    </row>
    <row r="320" spans="1:18" x14ac:dyDescent="0.35">
      <c r="A320" t="s">
        <v>64</v>
      </c>
      <c r="B320" s="1">
        <v>45606</v>
      </c>
      <c r="C320" t="s">
        <v>65</v>
      </c>
      <c r="D320">
        <v>12</v>
      </c>
      <c r="E320" s="2">
        <v>40502</v>
      </c>
      <c r="F320" t="s">
        <v>24</v>
      </c>
      <c r="G320" t="s">
        <v>66</v>
      </c>
      <c r="H320" t="s">
        <v>131</v>
      </c>
      <c r="I320" s="3">
        <v>5.5555555555555558E-3</v>
      </c>
      <c r="J320" s="8" t="s">
        <v>443</v>
      </c>
      <c r="K320" s="8" t="s">
        <v>447</v>
      </c>
      <c r="L320" s="8" t="str">
        <f>IF(Table1346[[#This Row],[Home Team Score]]&gt;Table1346[[#This Row],[Away Team Score]],"Win",IF(Table1346[[#This Row],[Home Team Score]]=Table1346[[#This Row],[Away Team Score]],"Tie","Lose"))</f>
        <v>Lose</v>
      </c>
      <c r="M320" t="s">
        <v>68</v>
      </c>
      <c r="N320">
        <v>16</v>
      </c>
      <c r="O320" s="3">
        <v>6.9444444444444447E-4</v>
      </c>
      <c r="P320" t="s">
        <v>31</v>
      </c>
      <c r="Q320" t="s">
        <v>208</v>
      </c>
      <c r="R320" t="e">
        <f>IF([1]!Table13[[#This Row],[Goal_assist]]="",1,0)</f>
        <v>#REF!</v>
      </c>
    </row>
    <row r="321" spans="1:18" x14ac:dyDescent="0.35">
      <c r="A321" t="s">
        <v>64</v>
      </c>
      <c r="B321" s="1">
        <v>45606</v>
      </c>
      <c r="C321" t="s">
        <v>65</v>
      </c>
      <c r="D321">
        <v>12</v>
      </c>
      <c r="E321" s="2">
        <v>40502</v>
      </c>
      <c r="F321" t="s">
        <v>24</v>
      </c>
      <c r="G321" t="s">
        <v>66</v>
      </c>
      <c r="H321" t="s">
        <v>131</v>
      </c>
      <c r="I321" s="3">
        <v>5.5555555555555558E-3</v>
      </c>
      <c r="J321" s="8" t="s">
        <v>443</v>
      </c>
      <c r="K321" s="8" t="s">
        <v>447</v>
      </c>
      <c r="L321" s="8" t="str">
        <f>IF(Table1346[[#This Row],[Home Team Score]]&gt;Table1346[[#This Row],[Away Team Score]],"Win",IF(Table1346[[#This Row],[Home Team Score]]=Table1346[[#This Row],[Away Team Score]],"Tie","Lose"))</f>
        <v>Lose</v>
      </c>
      <c r="M321" t="s">
        <v>68</v>
      </c>
      <c r="N321">
        <v>67</v>
      </c>
      <c r="O321" s="3">
        <v>4.8611111111111112E-3</v>
      </c>
      <c r="P321" t="s">
        <v>55</v>
      </c>
      <c r="Q321" t="s">
        <v>208</v>
      </c>
      <c r="R321" t="e">
        <f>IF([1]!Table13[[#This Row],[Goal_assist]]="",1,0)</f>
        <v>#REF!</v>
      </c>
    </row>
    <row r="322" spans="1:18" x14ac:dyDescent="0.35">
      <c r="A322" t="s">
        <v>64</v>
      </c>
      <c r="B322" s="1">
        <v>45606</v>
      </c>
      <c r="C322" t="s">
        <v>65</v>
      </c>
      <c r="D322">
        <v>12</v>
      </c>
      <c r="E322" s="2">
        <v>40502</v>
      </c>
      <c r="F322" t="s">
        <v>24</v>
      </c>
      <c r="G322" t="s">
        <v>66</v>
      </c>
      <c r="H322" t="s">
        <v>131</v>
      </c>
      <c r="I322" s="3">
        <v>5.5555555555555558E-3</v>
      </c>
      <c r="J322" s="8" t="s">
        <v>443</v>
      </c>
      <c r="K322" s="8" t="s">
        <v>447</v>
      </c>
      <c r="L322" s="8" t="str">
        <f>IF(Table1346[[#This Row],[Home Team Score]]&gt;Table1346[[#This Row],[Away Team Score]],"Win",IF(Table1346[[#This Row],[Home Team Score]]=Table1346[[#This Row],[Away Team Score]],"Tie","Lose"))</f>
        <v>Lose</v>
      </c>
      <c r="M322" t="s">
        <v>68</v>
      </c>
      <c r="N322">
        <v>36</v>
      </c>
      <c r="O322" s="3">
        <v>3.472222222222222E-3</v>
      </c>
      <c r="P322" t="s">
        <v>55</v>
      </c>
      <c r="R322" t="e">
        <f>IF([1]!Table13[[#This Row],[Goal_assist]]="",1,0)</f>
        <v>#REF!</v>
      </c>
    </row>
    <row r="323" spans="1:18" x14ac:dyDescent="0.35">
      <c r="A323" t="s">
        <v>14</v>
      </c>
      <c r="B323" s="1">
        <v>45606</v>
      </c>
      <c r="C323" t="s">
        <v>75</v>
      </c>
      <c r="D323" t="s">
        <v>76</v>
      </c>
      <c r="E323" s="2">
        <v>40505</v>
      </c>
      <c r="F323" t="s">
        <v>24</v>
      </c>
      <c r="G323" t="s">
        <v>112</v>
      </c>
      <c r="H323" t="s">
        <v>214</v>
      </c>
      <c r="I323" s="3">
        <v>2.7777777777777779E-3</v>
      </c>
      <c r="J323" s="8" t="s">
        <v>443</v>
      </c>
      <c r="K323" s="8" t="s">
        <v>446</v>
      </c>
      <c r="L323" s="8" t="str">
        <f>IF(Table1346[[#This Row],[Home Team Score]]&gt;Table1346[[#This Row],[Away Team Score]],"Win",IF(Table1346[[#This Row],[Home Team Score]]=Table1346[[#This Row],[Away Team Score]],"Tie","Lose"))</f>
        <v>Lose</v>
      </c>
      <c r="M323" t="s">
        <v>19</v>
      </c>
      <c r="N323">
        <v>70</v>
      </c>
      <c r="O323" s="3">
        <v>2.0833333333333333E-3</v>
      </c>
      <c r="P323" t="s">
        <v>31</v>
      </c>
      <c r="Q323" t="s">
        <v>207</v>
      </c>
      <c r="R323" t="e">
        <f>IF([1]!Table13[[#This Row],[Goal_assist]]="",1,0)</f>
        <v>#REF!</v>
      </c>
    </row>
    <row r="324" spans="1:18" x14ac:dyDescent="0.35">
      <c r="A324" t="s">
        <v>14</v>
      </c>
      <c r="B324" s="1">
        <v>45606</v>
      </c>
      <c r="C324" t="s">
        <v>75</v>
      </c>
      <c r="D324" t="s">
        <v>76</v>
      </c>
      <c r="E324" s="2">
        <v>40505</v>
      </c>
      <c r="F324" t="s">
        <v>24</v>
      </c>
      <c r="G324" t="s">
        <v>112</v>
      </c>
      <c r="H324" t="s">
        <v>214</v>
      </c>
      <c r="I324" s="3">
        <v>2.7777777777777779E-3</v>
      </c>
      <c r="J324" s="8" t="s">
        <v>443</v>
      </c>
      <c r="K324" s="8" t="s">
        <v>446</v>
      </c>
      <c r="L324" s="8" t="str">
        <f>IF(Table1346[[#This Row],[Home Team Score]]&gt;Table1346[[#This Row],[Away Team Score]],"Win",IF(Table1346[[#This Row],[Home Team Score]]=Table1346[[#This Row],[Away Team Score]],"Tie","Lose"))</f>
        <v>Lose</v>
      </c>
      <c r="M324" t="s">
        <v>19</v>
      </c>
      <c r="N324">
        <v>81</v>
      </c>
      <c r="O324" s="3">
        <v>2.7777777777777779E-3</v>
      </c>
      <c r="P324" t="s">
        <v>83</v>
      </c>
      <c r="R324" t="e">
        <f>IF([1]!Table13[[#This Row],[Goal_assist]]="",1,0)</f>
        <v>#REF!</v>
      </c>
    </row>
    <row r="325" spans="1:18" x14ac:dyDescent="0.35">
      <c r="A325" t="s">
        <v>64</v>
      </c>
      <c r="B325" s="1">
        <v>45606</v>
      </c>
      <c r="C325" t="s">
        <v>75</v>
      </c>
      <c r="D325" t="s">
        <v>76</v>
      </c>
      <c r="E325" s="2">
        <v>40506</v>
      </c>
      <c r="F325" t="s">
        <v>24</v>
      </c>
      <c r="G325" t="s">
        <v>66</v>
      </c>
      <c r="H325" t="s">
        <v>77</v>
      </c>
      <c r="I325" s="3">
        <v>2.0833333333333333E-3</v>
      </c>
      <c r="J325" s="8" t="s">
        <v>443</v>
      </c>
      <c r="K325" s="8" t="s">
        <v>442</v>
      </c>
      <c r="L325" s="8" t="str">
        <f>IF(Table1346[[#This Row],[Home Team Score]]&gt;Table1346[[#This Row],[Away Team Score]],"Win",IF(Table1346[[#This Row],[Home Team Score]]=Table1346[[#This Row],[Away Team Score]],"Tie","Lose"))</f>
        <v>Lose</v>
      </c>
      <c r="M325" t="s">
        <v>68</v>
      </c>
      <c r="N325">
        <v>63</v>
      </c>
      <c r="O325" s="3">
        <v>1.3888888888888889E-3</v>
      </c>
      <c r="P325" t="s">
        <v>31</v>
      </c>
      <c r="Q325" t="s">
        <v>215</v>
      </c>
      <c r="R325" t="e">
        <f>IF([1]!Table13[[#This Row],[Goal_assist]]="",1,0)</f>
        <v>#REF!</v>
      </c>
    </row>
    <row r="326" spans="1:18" x14ac:dyDescent="0.35">
      <c r="A326" t="s">
        <v>64</v>
      </c>
      <c r="B326" s="1">
        <v>45606</v>
      </c>
      <c r="C326" t="s">
        <v>65</v>
      </c>
      <c r="D326">
        <v>14</v>
      </c>
      <c r="E326" s="2">
        <v>40516</v>
      </c>
      <c r="F326" t="s">
        <v>24</v>
      </c>
      <c r="G326" t="s">
        <v>66</v>
      </c>
      <c r="H326" t="s">
        <v>100</v>
      </c>
      <c r="I326" s="3">
        <v>2.0833333333333333E-3</v>
      </c>
      <c r="J326" s="8" t="s">
        <v>443</v>
      </c>
      <c r="K326" s="8" t="s">
        <v>442</v>
      </c>
      <c r="L326" s="8" t="str">
        <f>IF(Table1346[[#This Row],[Home Team Score]]&gt;Table1346[[#This Row],[Away Team Score]],"Win",IF(Table1346[[#This Row],[Home Team Score]]=Table1346[[#This Row],[Away Team Score]],"Tie","Lose"))</f>
        <v>Lose</v>
      </c>
      <c r="M326" t="s">
        <v>68</v>
      </c>
      <c r="N326">
        <v>64</v>
      </c>
      <c r="O326" s="3">
        <v>1.3888888888888889E-3</v>
      </c>
      <c r="P326" t="s">
        <v>31</v>
      </c>
      <c r="Q326" t="s">
        <v>208</v>
      </c>
      <c r="R326" t="e">
        <f>IF([1]!Table13[[#This Row],[Goal_assist]]="",1,0)</f>
        <v>#REF!</v>
      </c>
    </row>
    <row r="327" spans="1:18" x14ac:dyDescent="0.35">
      <c r="A327" t="s">
        <v>64</v>
      </c>
      <c r="B327" s="1">
        <v>45606</v>
      </c>
      <c r="C327" t="s">
        <v>65</v>
      </c>
      <c r="D327">
        <v>14</v>
      </c>
      <c r="E327" s="2">
        <v>40516</v>
      </c>
      <c r="F327" t="s">
        <v>24</v>
      </c>
      <c r="G327" t="s">
        <v>66</v>
      </c>
      <c r="H327" t="s">
        <v>100</v>
      </c>
      <c r="I327" s="3">
        <v>2.0833333333333333E-3</v>
      </c>
      <c r="J327" s="8" t="s">
        <v>443</v>
      </c>
      <c r="K327" s="8" t="s">
        <v>442</v>
      </c>
      <c r="L327" s="8" t="str">
        <f>IF(Table1346[[#This Row],[Home Team Score]]&gt;Table1346[[#This Row],[Away Team Score]],"Win",IF(Table1346[[#This Row],[Home Team Score]]=Table1346[[#This Row],[Away Team Score]],"Tie","Lose"))</f>
        <v>Lose</v>
      </c>
      <c r="M327" t="s">
        <v>68</v>
      </c>
      <c r="N327">
        <v>82</v>
      </c>
      <c r="O327" s="3">
        <v>2.0833333333333333E-3</v>
      </c>
      <c r="P327" t="s">
        <v>83</v>
      </c>
      <c r="R327" t="e">
        <f>IF([1]!Table13[[#This Row],[Goal_assist]]="",1,0)</f>
        <v>#REF!</v>
      </c>
    </row>
    <row r="328" spans="1:18" x14ac:dyDescent="0.35">
      <c r="A328" t="s">
        <v>14</v>
      </c>
      <c r="B328" s="1">
        <v>45606</v>
      </c>
      <c r="C328" t="s">
        <v>65</v>
      </c>
      <c r="D328">
        <v>14</v>
      </c>
      <c r="E328" s="2">
        <v>40516</v>
      </c>
      <c r="F328" t="s">
        <v>16</v>
      </c>
      <c r="G328" t="s">
        <v>112</v>
      </c>
      <c r="H328" t="s">
        <v>148</v>
      </c>
      <c r="I328" s="3">
        <v>8.3333333333333329E-2</v>
      </c>
      <c r="J328" s="8" t="s">
        <v>445</v>
      </c>
      <c r="K328" s="8" t="s">
        <v>443</v>
      </c>
      <c r="L328" s="8" t="str">
        <f>IF(Table1346[[#This Row],[Home Team Score]]&gt;Table1346[[#This Row],[Away Team Score]],"Win",IF(Table1346[[#This Row],[Home Team Score]]=Table1346[[#This Row],[Away Team Score]],"Tie","Lose"))</f>
        <v>Win</v>
      </c>
      <c r="M328" t="s">
        <v>19</v>
      </c>
      <c r="N328">
        <v>72</v>
      </c>
      <c r="O328" s="3">
        <v>4.1666666666666664E-2</v>
      </c>
      <c r="P328" t="s">
        <v>31</v>
      </c>
      <c r="Q328" t="s">
        <v>204</v>
      </c>
      <c r="R328" t="e">
        <f>IF([1]!Table13[[#This Row],[Goal_assist]]="",1,0)</f>
        <v>#REF!</v>
      </c>
    </row>
    <row r="329" spans="1:18" x14ac:dyDescent="0.35">
      <c r="A329" t="s">
        <v>14</v>
      </c>
      <c r="B329" s="1">
        <v>45606</v>
      </c>
      <c r="C329" t="s">
        <v>65</v>
      </c>
      <c r="D329">
        <v>14</v>
      </c>
      <c r="E329" s="2">
        <v>40516</v>
      </c>
      <c r="F329" t="s">
        <v>16</v>
      </c>
      <c r="G329" t="s">
        <v>112</v>
      </c>
      <c r="H329" t="s">
        <v>148</v>
      </c>
      <c r="I329" s="3">
        <v>8.3333333333333329E-2</v>
      </c>
      <c r="J329" s="8" t="s">
        <v>445</v>
      </c>
      <c r="K329" s="8" t="s">
        <v>443</v>
      </c>
      <c r="L329" s="8" t="str">
        <f>IF(Table1346[[#This Row],[Home Team Score]]&gt;Table1346[[#This Row],[Away Team Score]],"Win",IF(Table1346[[#This Row],[Home Team Score]]=Table1346[[#This Row],[Away Team Score]],"Tie","Lose"))</f>
        <v>Win</v>
      </c>
      <c r="M329" t="s">
        <v>19</v>
      </c>
      <c r="N329">
        <v>86</v>
      </c>
      <c r="O329" s="3">
        <v>8.3333333333333329E-2</v>
      </c>
      <c r="P329" t="s">
        <v>26</v>
      </c>
      <c r="R329" t="e">
        <f>IF([1]!Table13[[#This Row],[Goal_assist]]="",1,0)</f>
        <v>#REF!</v>
      </c>
    </row>
    <row r="330" spans="1:18" x14ac:dyDescent="0.35">
      <c r="A330" t="s">
        <v>14</v>
      </c>
      <c r="B330" s="1">
        <v>45606</v>
      </c>
      <c r="C330" t="s">
        <v>75</v>
      </c>
      <c r="D330" t="s">
        <v>76</v>
      </c>
      <c r="E330" s="2">
        <v>40520</v>
      </c>
      <c r="F330" t="s">
        <v>16</v>
      </c>
      <c r="G330" t="s">
        <v>112</v>
      </c>
      <c r="H330" t="s">
        <v>216</v>
      </c>
      <c r="I330" s="3">
        <v>0.16666666666666666</v>
      </c>
      <c r="J330" s="8" t="s">
        <v>446</v>
      </c>
      <c r="K330" s="8" t="s">
        <v>443</v>
      </c>
      <c r="L330" s="8" t="str">
        <f>IF(Table1346[[#This Row],[Home Team Score]]&gt;Table1346[[#This Row],[Away Team Score]],"Win",IF(Table1346[[#This Row],[Home Team Score]]=Table1346[[#This Row],[Away Team Score]],"Tie","Lose"))</f>
        <v>Win</v>
      </c>
      <c r="M330" t="s">
        <v>19</v>
      </c>
      <c r="N330">
        <v>49</v>
      </c>
      <c r="O330" s="3">
        <v>8.3333333333333329E-2</v>
      </c>
      <c r="P330" t="s">
        <v>26</v>
      </c>
      <c r="Q330" t="s">
        <v>201</v>
      </c>
      <c r="R330" t="e">
        <f>IF([1]!Table13[[#This Row],[Goal_assist]]="",1,0)</f>
        <v>#REF!</v>
      </c>
    </row>
    <row r="331" spans="1:18" x14ac:dyDescent="0.35">
      <c r="A331" t="s">
        <v>64</v>
      </c>
      <c r="B331" s="1">
        <v>45606</v>
      </c>
      <c r="C331" t="s">
        <v>65</v>
      </c>
      <c r="D331">
        <v>15</v>
      </c>
      <c r="E331" s="2">
        <v>40524</v>
      </c>
      <c r="F331" t="s">
        <v>16</v>
      </c>
      <c r="G331" t="s">
        <v>66</v>
      </c>
      <c r="H331" t="s">
        <v>217</v>
      </c>
      <c r="I331" s="3">
        <v>0.20833333333333334</v>
      </c>
      <c r="J331" s="8" t="s">
        <v>448</v>
      </c>
      <c r="K331" s="8" t="s">
        <v>443</v>
      </c>
      <c r="L331" s="8" t="str">
        <f>IF(Table1346[[#This Row],[Home Team Score]]&gt;Table1346[[#This Row],[Away Team Score]],"Win",IF(Table1346[[#This Row],[Home Team Score]]=Table1346[[#This Row],[Away Team Score]],"Tie","Lose"))</f>
        <v>Win</v>
      </c>
      <c r="M331" t="s">
        <v>68</v>
      </c>
      <c r="N331">
        <v>46</v>
      </c>
      <c r="O331" s="3">
        <v>0.125</v>
      </c>
      <c r="P331" t="s">
        <v>31</v>
      </c>
      <c r="Q331" t="s">
        <v>155</v>
      </c>
      <c r="R331" t="e">
        <f>IF([1]!Table13[[#This Row],[Goal_assist]]="",1,0)</f>
        <v>#REF!</v>
      </c>
    </row>
    <row r="332" spans="1:18" x14ac:dyDescent="0.35">
      <c r="A332" t="s">
        <v>64</v>
      </c>
      <c r="B332" s="1">
        <v>45606</v>
      </c>
      <c r="C332" t="s">
        <v>65</v>
      </c>
      <c r="D332">
        <v>15</v>
      </c>
      <c r="E332" s="2">
        <v>40524</v>
      </c>
      <c r="F332" t="s">
        <v>16</v>
      </c>
      <c r="G332" t="s">
        <v>66</v>
      </c>
      <c r="H332" t="s">
        <v>217</v>
      </c>
      <c r="I332" s="3">
        <v>0.20833333333333334</v>
      </c>
      <c r="J332" s="8" t="s">
        <v>448</v>
      </c>
      <c r="K332" s="8" t="s">
        <v>443</v>
      </c>
      <c r="L332" s="8" t="str">
        <f>IF(Table1346[[#This Row],[Home Team Score]]&gt;Table1346[[#This Row],[Away Team Score]],"Win",IF(Table1346[[#This Row],[Home Team Score]]=Table1346[[#This Row],[Away Team Score]],"Tie","Lose"))</f>
        <v>Win</v>
      </c>
      <c r="M332" t="s">
        <v>68</v>
      </c>
      <c r="N332">
        <v>86</v>
      </c>
      <c r="O332" s="3">
        <v>0.16666666666666666</v>
      </c>
      <c r="P332" t="s">
        <v>31</v>
      </c>
      <c r="Q332" t="s">
        <v>153</v>
      </c>
      <c r="R332" t="e">
        <f>IF([1]!Table13[[#This Row],[Goal_assist]]="",1,0)</f>
        <v>#REF!</v>
      </c>
    </row>
    <row r="333" spans="1:18" x14ac:dyDescent="0.35">
      <c r="A333" t="s">
        <v>14</v>
      </c>
      <c r="B333" s="1">
        <v>45606</v>
      </c>
      <c r="C333" t="s">
        <v>65</v>
      </c>
      <c r="D333">
        <v>15</v>
      </c>
      <c r="E333" s="2">
        <v>40524</v>
      </c>
      <c r="F333" t="s">
        <v>24</v>
      </c>
      <c r="G333" t="s">
        <v>112</v>
      </c>
      <c r="H333" t="s">
        <v>93</v>
      </c>
      <c r="I333" s="3">
        <v>4.3749999999999997E-2</v>
      </c>
      <c r="J333" s="8" t="s">
        <v>444</v>
      </c>
      <c r="K333" s="8" t="s">
        <v>442</v>
      </c>
      <c r="L333" s="8" t="str">
        <f>IF(Table1346[[#This Row],[Home Team Score]]&gt;Table1346[[#This Row],[Away Team Score]],"Win",IF(Table1346[[#This Row],[Home Team Score]]=Table1346[[#This Row],[Away Team Score]],"Tie","Lose"))</f>
        <v>Lose</v>
      </c>
      <c r="M333" t="s">
        <v>19</v>
      </c>
      <c r="N333">
        <v>43</v>
      </c>
      <c r="O333" s="3">
        <v>1.3888888888888889E-3</v>
      </c>
      <c r="P333" t="s">
        <v>39</v>
      </c>
      <c r="R333" t="e">
        <f>IF([1]!Table13[[#This Row],[Goal_assist]]="",1,0)</f>
        <v>#REF!</v>
      </c>
    </row>
    <row r="334" spans="1:18" x14ac:dyDescent="0.35">
      <c r="A334" t="s">
        <v>14</v>
      </c>
      <c r="B334" s="1">
        <v>45606</v>
      </c>
      <c r="C334" t="s">
        <v>91</v>
      </c>
      <c r="D334" t="s">
        <v>143</v>
      </c>
      <c r="E334" s="2">
        <v>40534</v>
      </c>
      <c r="F334" t="s">
        <v>16</v>
      </c>
      <c r="G334" t="s">
        <v>112</v>
      </c>
      <c r="H334" t="s">
        <v>127</v>
      </c>
      <c r="I334" s="3">
        <v>0.33333333333333331</v>
      </c>
      <c r="J334" s="8" t="s">
        <v>447</v>
      </c>
      <c r="K334" s="8" t="s">
        <v>443</v>
      </c>
      <c r="L334" s="8" t="str">
        <f>IF(Table1346[[#This Row],[Home Team Score]]&gt;Table1346[[#This Row],[Away Team Score]],"Win",IF(Table1346[[#This Row],[Home Team Score]]=Table1346[[#This Row],[Away Team Score]],"Tie","Lose"))</f>
        <v>Win</v>
      </c>
      <c r="M334" t="s">
        <v>19</v>
      </c>
      <c r="N334">
        <v>73</v>
      </c>
      <c r="O334" s="3">
        <v>0.29166666666666669</v>
      </c>
      <c r="P334" t="s">
        <v>26</v>
      </c>
      <c r="Q334" t="s">
        <v>183</v>
      </c>
      <c r="R334" t="e">
        <f>IF([1]!Table13[[#This Row],[Goal_assist]]="",1,0)</f>
        <v>#REF!</v>
      </c>
    </row>
    <row r="335" spans="1:18" x14ac:dyDescent="0.35">
      <c r="A335" t="s">
        <v>14</v>
      </c>
      <c r="B335" s="1">
        <v>45606</v>
      </c>
      <c r="C335" t="s">
        <v>91</v>
      </c>
      <c r="D335" t="s">
        <v>143</v>
      </c>
      <c r="E335" s="2">
        <v>40534</v>
      </c>
      <c r="F335" t="s">
        <v>16</v>
      </c>
      <c r="G335" t="s">
        <v>112</v>
      </c>
      <c r="H335" t="s">
        <v>127</v>
      </c>
      <c r="I335" s="3">
        <v>0.33333333333333331</v>
      </c>
      <c r="J335" s="8" t="s">
        <v>447</v>
      </c>
      <c r="K335" s="8" t="s">
        <v>443</v>
      </c>
      <c r="L335" s="8" t="str">
        <f>IF(Table1346[[#This Row],[Home Team Score]]&gt;Table1346[[#This Row],[Away Team Score]],"Win",IF(Table1346[[#This Row],[Home Team Score]]=Table1346[[#This Row],[Away Team Score]],"Tie","Lose"))</f>
        <v>Win</v>
      </c>
      <c r="M335" t="s">
        <v>19</v>
      </c>
      <c r="N335">
        <v>71</v>
      </c>
      <c r="O335" s="3">
        <v>0.25</v>
      </c>
      <c r="P335" t="s">
        <v>26</v>
      </c>
      <c r="Q335" t="s">
        <v>207</v>
      </c>
      <c r="R335" t="e">
        <f>IF([1]!Table13[[#This Row],[Goal_assist]]="",1,0)</f>
        <v>#REF!</v>
      </c>
    </row>
    <row r="336" spans="1:18" x14ac:dyDescent="0.35">
      <c r="A336" t="s">
        <v>14</v>
      </c>
      <c r="B336" s="1">
        <v>45606</v>
      </c>
      <c r="C336" t="s">
        <v>91</v>
      </c>
      <c r="D336" t="s">
        <v>143</v>
      </c>
      <c r="E336" s="2">
        <v>40534</v>
      </c>
      <c r="F336" t="s">
        <v>16</v>
      </c>
      <c r="G336" t="s">
        <v>112</v>
      </c>
      <c r="H336" t="s">
        <v>127</v>
      </c>
      <c r="I336" s="3">
        <v>0.33333333333333331</v>
      </c>
      <c r="J336" s="8" t="s">
        <v>447</v>
      </c>
      <c r="K336" s="8" t="s">
        <v>443</v>
      </c>
      <c r="L336" s="8" t="str">
        <f>IF(Table1346[[#This Row],[Home Team Score]]&gt;Table1346[[#This Row],[Away Team Score]],"Win",IF(Table1346[[#This Row],[Home Team Score]]=Table1346[[#This Row],[Away Team Score]],"Tie","Lose"))</f>
        <v>Win</v>
      </c>
      <c r="M336" t="s">
        <v>19</v>
      </c>
      <c r="N336">
        <v>44</v>
      </c>
      <c r="O336" s="3">
        <v>0.16666666666666666</v>
      </c>
      <c r="P336" t="s">
        <v>26</v>
      </c>
      <c r="Q336" t="s">
        <v>183</v>
      </c>
      <c r="R336" t="e">
        <f>IF([1]!Table13[[#This Row],[Goal_assist]]="",1,0)</f>
        <v>#REF!</v>
      </c>
    </row>
    <row r="337" spans="1:18" x14ac:dyDescent="0.35">
      <c r="A337" t="s">
        <v>14</v>
      </c>
      <c r="B337" s="1">
        <v>45606</v>
      </c>
      <c r="C337" t="s">
        <v>65</v>
      </c>
      <c r="D337">
        <v>17</v>
      </c>
      <c r="E337" s="2">
        <v>40546</v>
      </c>
      <c r="F337" t="s">
        <v>24</v>
      </c>
      <c r="G337" t="s">
        <v>112</v>
      </c>
      <c r="H337" t="s">
        <v>117</v>
      </c>
      <c r="I337" s="3">
        <v>8.5416666666666669E-2</v>
      </c>
      <c r="J337" s="8" t="s">
        <v>445</v>
      </c>
      <c r="K337" s="8" t="s">
        <v>442</v>
      </c>
      <c r="L337" s="8" t="str">
        <f>IF(Table1346[[#This Row],[Home Team Score]]&gt;Table1346[[#This Row],[Away Team Score]],"Win",IF(Table1346[[#This Row],[Home Team Score]]=Table1346[[#This Row],[Away Team Score]],"Tie","Lose"))</f>
        <v>Lose</v>
      </c>
      <c r="M337" t="s">
        <v>19</v>
      </c>
      <c r="N337">
        <v>11</v>
      </c>
      <c r="O337" s="3">
        <v>6.9444444444444447E-4</v>
      </c>
      <c r="P337" t="s">
        <v>83</v>
      </c>
      <c r="R337" t="e">
        <f>IF([1]!Table13[[#This Row],[Goal_assist]]="",1,0)</f>
        <v>#REF!</v>
      </c>
    </row>
    <row r="338" spans="1:18" x14ac:dyDescent="0.35">
      <c r="A338" t="s">
        <v>14</v>
      </c>
      <c r="B338" s="1">
        <v>45606</v>
      </c>
      <c r="C338" t="s">
        <v>65</v>
      </c>
      <c r="D338">
        <v>17</v>
      </c>
      <c r="E338" s="2">
        <v>40546</v>
      </c>
      <c r="F338" t="s">
        <v>24</v>
      </c>
      <c r="G338" t="s">
        <v>112</v>
      </c>
      <c r="H338" t="s">
        <v>117</v>
      </c>
      <c r="I338" s="3">
        <v>8.5416666666666669E-2</v>
      </c>
      <c r="J338" s="8" t="s">
        <v>445</v>
      </c>
      <c r="K338" s="8" t="s">
        <v>442</v>
      </c>
      <c r="L338" s="8" t="str">
        <f>IF(Table1346[[#This Row],[Home Team Score]]&gt;Table1346[[#This Row],[Away Team Score]],"Win",IF(Table1346[[#This Row],[Home Team Score]]=Table1346[[#This Row],[Away Team Score]],"Tie","Lose"))</f>
        <v>Lose</v>
      </c>
      <c r="M338" t="s">
        <v>19</v>
      </c>
      <c r="N338">
        <v>57</v>
      </c>
      <c r="O338" s="3">
        <v>4.3749999999999997E-2</v>
      </c>
      <c r="P338" t="s">
        <v>26</v>
      </c>
      <c r="Q338" t="s">
        <v>183</v>
      </c>
      <c r="R338" t="e">
        <f>IF([1]!Table13[[#This Row],[Goal_assist]]="",1,0)</f>
        <v>#REF!</v>
      </c>
    </row>
    <row r="339" spans="1:18" x14ac:dyDescent="0.35">
      <c r="A339" t="s">
        <v>64</v>
      </c>
      <c r="B339" s="1">
        <v>45606</v>
      </c>
      <c r="C339" t="s">
        <v>65</v>
      </c>
      <c r="D339">
        <v>18</v>
      </c>
      <c r="E339" s="2">
        <v>40551</v>
      </c>
      <c r="F339" t="s">
        <v>24</v>
      </c>
      <c r="G339" t="s">
        <v>66</v>
      </c>
      <c r="H339" t="s">
        <v>115</v>
      </c>
      <c r="I339" s="3">
        <v>2.7777777777777779E-3</v>
      </c>
      <c r="J339" s="8" t="s">
        <v>443</v>
      </c>
      <c r="K339" s="8" t="s">
        <v>446</v>
      </c>
      <c r="L339" s="8" t="str">
        <f>IF(Table1346[[#This Row],[Home Team Score]]&gt;Table1346[[#This Row],[Away Team Score]],"Win",IF(Table1346[[#This Row],[Home Team Score]]=Table1346[[#This Row],[Away Team Score]],"Tie","Lose"))</f>
        <v>Lose</v>
      </c>
      <c r="M339" t="s">
        <v>68</v>
      </c>
      <c r="N339">
        <v>51</v>
      </c>
      <c r="O339" s="3">
        <v>1.3888888888888889E-3</v>
      </c>
      <c r="P339" t="s">
        <v>39</v>
      </c>
      <c r="R339" t="e">
        <f>IF([1]!Table13[[#This Row],[Goal_assist]]="",1,0)</f>
        <v>#REF!</v>
      </c>
    </row>
    <row r="340" spans="1:18" x14ac:dyDescent="0.35">
      <c r="A340" t="s">
        <v>14</v>
      </c>
      <c r="B340" s="1">
        <v>45606</v>
      </c>
      <c r="C340" t="s">
        <v>65</v>
      </c>
      <c r="D340">
        <v>18</v>
      </c>
      <c r="E340" s="2">
        <v>40552</v>
      </c>
      <c r="F340" t="s">
        <v>16</v>
      </c>
      <c r="G340" t="s">
        <v>112</v>
      </c>
      <c r="H340" t="s">
        <v>180</v>
      </c>
      <c r="I340" s="3">
        <v>0.16805555555555557</v>
      </c>
      <c r="J340" s="8" t="s">
        <v>446</v>
      </c>
      <c r="K340" s="8" t="s">
        <v>445</v>
      </c>
      <c r="L340" s="8" t="str">
        <f>IF(Table1346[[#This Row],[Home Team Score]]&gt;Table1346[[#This Row],[Away Team Score]],"Win",IF(Table1346[[#This Row],[Home Team Score]]=Table1346[[#This Row],[Away Team Score]],"Tie","Lose"))</f>
        <v>Win</v>
      </c>
      <c r="M340" t="s">
        <v>19</v>
      </c>
      <c r="N340">
        <v>10</v>
      </c>
      <c r="O340" s="3">
        <v>4.2361111111111113E-2</v>
      </c>
      <c r="P340" t="s">
        <v>26</v>
      </c>
      <c r="Q340" t="s">
        <v>204</v>
      </c>
      <c r="R340" t="e">
        <f>IF([1]!Table13[[#This Row],[Goal_assist]]="",1,0)</f>
        <v>#REF!</v>
      </c>
    </row>
    <row r="341" spans="1:18" x14ac:dyDescent="0.35">
      <c r="A341" t="s">
        <v>14</v>
      </c>
      <c r="B341" s="1">
        <v>45606</v>
      </c>
      <c r="C341" t="s">
        <v>65</v>
      </c>
      <c r="D341">
        <v>18</v>
      </c>
      <c r="E341" s="2">
        <v>40552</v>
      </c>
      <c r="F341" t="s">
        <v>16</v>
      </c>
      <c r="G341" t="s">
        <v>112</v>
      </c>
      <c r="H341" t="s">
        <v>180</v>
      </c>
      <c r="I341" s="3">
        <v>0.16805555555555557</v>
      </c>
      <c r="J341" s="8" t="s">
        <v>446</v>
      </c>
      <c r="K341" s="8" t="s">
        <v>445</v>
      </c>
      <c r="L341" s="8" t="str">
        <f>IF(Table1346[[#This Row],[Home Team Score]]&gt;Table1346[[#This Row],[Away Team Score]],"Win",IF(Table1346[[#This Row],[Home Team Score]]=Table1346[[#This Row],[Away Team Score]],"Tie","Lose"))</f>
        <v>Win</v>
      </c>
      <c r="M341" t="s">
        <v>19</v>
      </c>
      <c r="N341">
        <v>45</v>
      </c>
      <c r="O341" s="3">
        <v>8.4722222222222227E-2</v>
      </c>
      <c r="P341" t="s">
        <v>22</v>
      </c>
      <c r="Q341" t="s">
        <v>205</v>
      </c>
      <c r="R341" t="e">
        <f>IF([1]!Table13[[#This Row],[Goal_assist]]="",1,0)</f>
        <v>#REF!</v>
      </c>
    </row>
    <row r="342" spans="1:18" x14ac:dyDescent="0.35">
      <c r="A342" t="s">
        <v>14</v>
      </c>
      <c r="B342" s="1">
        <v>45606</v>
      </c>
      <c r="C342" t="s">
        <v>65</v>
      </c>
      <c r="D342">
        <v>18</v>
      </c>
      <c r="E342" s="2">
        <v>40552</v>
      </c>
      <c r="F342" t="s">
        <v>16</v>
      </c>
      <c r="G342" t="s">
        <v>112</v>
      </c>
      <c r="H342" t="s">
        <v>180</v>
      </c>
      <c r="I342" s="3">
        <v>0.16805555555555557</v>
      </c>
      <c r="J342" s="8" t="s">
        <v>446</v>
      </c>
      <c r="K342" s="8" t="s">
        <v>445</v>
      </c>
      <c r="L342" s="8" t="str">
        <f>IF(Table1346[[#This Row],[Home Team Score]]&gt;Table1346[[#This Row],[Away Team Score]],"Win",IF(Table1346[[#This Row],[Home Team Score]]=Table1346[[#This Row],[Away Team Score]],"Tie","Lose"))</f>
        <v>Win</v>
      </c>
      <c r="M342" t="s">
        <v>19</v>
      </c>
      <c r="N342">
        <v>79</v>
      </c>
      <c r="O342" s="3">
        <v>0.12638888888888888</v>
      </c>
      <c r="P342" t="s">
        <v>31</v>
      </c>
      <c r="Q342" t="s">
        <v>198</v>
      </c>
      <c r="R342" t="e">
        <f>IF([1]!Table13[[#This Row],[Goal_assist]]="",1,0)</f>
        <v>#REF!</v>
      </c>
    </row>
    <row r="343" spans="1:18" x14ac:dyDescent="0.35">
      <c r="A343" t="s">
        <v>64</v>
      </c>
      <c r="B343" s="1">
        <v>45606</v>
      </c>
      <c r="C343" t="s">
        <v>91</v>
      </c>
      <c r="D343" t="s">
        <v>92</v>
      </c>
      <c r="E343" s="2">
        <v>40555</v>
      </c>
      <c r="F343" t="s">
        <v>16</v>
      </c>
      <c r="G343" t="s">
        <v>66</v>
      </c>
      <c r="H343" t="s">
        <v>95</v>
      </c>
      <c r="I343" s="3">
        <v>0.20833333333333334</v>
      </c>
      <c r="J343" s="8" t="s">
        <v>448</v>
      </c>
      <c r="K343" s="8" t="s">
        <v>443</v>
      </c>
      <c r="L343" s="8" t="str">
        <f>IF(Table1346[[#This Row],[Home Team Score]]&gt;Table1346[[#This Row],[Away Team Score]],"Win",IF(Table1346[[#This Row],[Home Team Score]]=Table1346[[#This Row],[Away Team Score]],"Tie","Lose"))</f>
        <v>Win</v>
      </c>
      <c r="M343" t="s">
        <v>68</v>
      </c>
      <c r="N343">
        <v>63</v>
      </c>
      <c r="O343" s="3">
        <v>8.3333333333333329E-2</v>
      </c>
      <c r="P343" t="s">
        <v>31</v>
      </c>
      <c r="R343" t="e">
        <f>IF([1]!Table13[[#This Row],[Goal_assist]]="",1,0)</f>
        <v>#REF!</v>
      </c>
    </row>
    <row r="344" spans="1:18" x14ac:dyDescent="0.35">
      <c r="A344" t="s">
        <v>64</v>
      </c>
      <c r="B344" s="1">
        <v>45606</v>
      </c>
      <c r="C344" t="s">
        <v>91</v>
      </c>
      <c r="D344" t="s">
        <v>92</v>
      </c>
      <c r="E344" s="2">
        <v>40555</v>
      </c>
      <c r="F344" t="s">
        <v>16</v>
      </c>
      <c r="G344" t="s">
        <v>66</v>
      </c>
      <c r="H344" t="s">
        <v>95</v>
      </c>
      <c r="I344" s="3">
        <v>0.20833333333333334</v>
      </c>
      <c r="J344" s="8" t="s">
        <v>448</v>
      </c>
      <c r="K344" s="8" t="s">
        <v>443</v>
      </c>
      <c r="L344" s="8" t="str">
        <f>IF(Table1346[[#This Row],[Home Team Score]]&gt;Table1346[[#This Row],[Away Team Score]],"Win",IF(Table1346[[#This Row],[Home Team Score]]=Table1346[[#This Row],[Away Team Score]],"Tie","Lose"))</f>
        <v>Win</v>
      </c>
      <c r="M344" t="s">
        <v>68</v>
      </c>
      <c r="N344">
        <v>44</v>
      </c>
      <c r="O344" s="3">
        <v>4.1666666666666664E-2</v>
      </c>
      <c r="P344" t="s">
        <v>31</v>
      </c>
      <c r="Q344" t="s">
        <v>99</v>
      </c>
      <c r="R344" t="e">
        <f>IF([1]!Table13[[#This Row],[Goal_assist]]="",1,0)</f>
        <v>#REF!</v>
      </c>
    </row>
    <row r="345" spans="1:18" x14ac:dyDescent="0.35">
      <c r="A345" t="s">
        <v>64</v>
      </c>
      <c r="B345" s="1">
        <v>45606</v>
      </c>
      <c r="C345" t="s">
        <v>91</v>
      </c>
      <c r="D345" t="s">
        <v>92</v>
      </c>
      <c r="E345" s="2">
        <v>40555</v>
      </c>
      <c r="F345" t="s">
        <v>16</v>
      </c>
      <c r="G345" t="s">
        <v>66</v>
      </c>
      <c r="H345" t="s">
        <v>95</v>
      </c>
      <c r="I345" s="3">
        <v>0.20833333333333334</v>
      </c>
      <c r="J345" s="8" t="s">
        <v>448</v>
      </c>
      <c r="K345" s="8" t="s">
        <v>443</v>
      </c>
      <c r="L345" s="8" t="str">
        <f>IF(Table1346[[#This Row],[Home Team Score]]&gt;Table1346[[#This Row],[Away Team Score]],"Win",IF(Table1346[[#This Row],[Home Team Score]]=Table1346[[#This Row],[Away Team Score]],"Tie","Lose"))</f>
        <v>Win</v>
      </c>
      <c r="M345" t="s">
        <v>68</v>
      </c>
      <c r="N345">
        <v>73</v>
      </c>
      <c r="O345" s="3">
        <v>0.125</v>
      </c>
      <c r="P345" t="s">
        <v>31</v>
      </c>
      <c r="Q345" t="s">
        <v>106</v>
      </c>
      <c r="R345" t="e">
        <f>IF([1]!Table13[[#This Row],[Goal_assist]]="",1,0)</f>
        <v>#REF!</v>
      </c>
    </row>
    <row r="346" spans="1:18" x14ac:dyDescent="0.35">
      <c r="A346" t="s">
        <v>14</v>
      </c>
      <c r="B346" s="1">
        <v>45606</v>
      </c>
      <c r="C346" t="s">
        <v>91</v>
      </c>
      <c r="D346" t="s">
        <v>92</v>
      </c>
      <c r="E346" s="2">
        <v>40556</v>
      </c>
      <c r="F346" t="s">
        <v>16</v>
      </c>
      <c r="G346" t="s">
        <v>112</v>
      </c>
      <c r="H346" t="s">
        <v>119</v>
      </c>
      <c r="I346" s="3">
        <v>0.12569444444444444</v>
      </c>
      <c r="J346" s="8" t="s">
        <v>442</v>
      </c>
      <c r="K346" s="8" t="s">
        <v>444</v>
      </c>
      <c r="L346" s="8" t="str">
        <f>IF(Table1346[[#This Row],[Home Team Score]]&gt;Table1346[[#This Row],[Away Team Score]],"Win",IF(Table1346[[#This Row],[Home Team Score]]=Table1346[[#This Row],[Away Team Score]],"Tie","Lose"))</f>
        <v>Win</v>
      </c>
      <c r="M346" t="s">
        <v>19</v>
      </c>
      <c r="N346">
        <v>60</v>
      </c>
      <c r="O346" s="3">
        <v>8.4027777777777785E-2</v>
      </c>
      <c r="P346" t="s">
        <v>26</v>
      </c>
      <c r="Q346" t="s">
        <v>204</v>
      </c>
      <c r="R346" t="e">
        <f>IF([1]!Table13[[#This Row],[Goal_assist]]="",1,0)</f>
        <v>#REF!</v>
      </c>
    </row>
    <row r="347" spans="1:18" x14ac:dyDescent="0.35">
      <c r="A347" t="s">
        <v>64</v>
      </c>
      <c r="B347" s="1">
        <v>45606</v>
      </c>
      <c r="C347" t="s">
        <v>91</v>
      </c>
      <c r="D347" t="s">
        <v>92</v>
      </c>
      <c r="E347" s="2">
        <v>40562</v>
      </c>
      <c r="F347" t="s">
        <v>24</v>
      </c>
      <c r="G347" t="s">
        <v>66</v>
      </c>
      <c r="H347" t="s">
        <v>95</v>
      </c>
      <c r="I347" s="3">
        <v>0.12569444444444444</v>
      </c>
      <c r="J347" s="8" t="s">
        <v>442</v>
      </c>
      <c r="K347" s="8" t="s">
        <v>444</v>
      </c>
      <c r="L347" s="8" t="str">
        <f>IF(Table1346[[#This Row],[Home Team Score]]&gt;Table1346[[#This Row],[Away Team Score]],"Win",IF(Table1346[[#This Row],[Home Team Score]]=Table1346[[#This Row],[Away Team Score]],"Tie","Lose"))</f>
        <v>Win</v>
      </c>
      <c r="M347" t="s">
        <v>38</v>
      </c>
      <c r="N347">
        <v>37</v>
      </c>
      <c r="O347" s="3">
        <v>8.4027777777777785E-2</v>
      </c>
      <c r="P347" t="s">
        <v>31</v>
      </c>
      <c r="Q347" t="s">
        <v>106</v>
      </c>
      <c r="R347" t="e">
        <f>IF([1]!Table13[[#This Row],[Goal_assist]]="",1,0)</f>
        <v>#REF!</v>
      </c>
    </row>
    <row r="348" spans="1:18" x14ac:dyDescent="0.35">
      <c r="A348" t="s">
        <v>14</v>
      </c>
      <c r="B348" s="1">
        <v>45606</v>
      </c>
      <c r="C348" t="s">
        <v>91</v>
      </c>
      <c r="D348" t="s">
        <v>92</v>
      </c>
      <c r="E348" s="2">
        <v>40563</v>
      </c>
      <c r="F348" t="s">
        <v>24</v>
      </c>
      <c r="G348" t="s">
        <v>112</v>
      </c>
      <c r="H348" t="s">
        <v>119</v>
      </c>
      <c r="I348" s="3">
        <v>6.9444444444444447E-4</v>
      </c>
      <c r="J348" s="8" t="s">
        <v>443</v>
      </c>
      <c r="K348" s="8" t="s">
        <v>444</v>
      </c>
      <c r="L348" s="8" t="str">
        <f>IF(Table1346[[#This Row],[Home Team Score]]&gt;Table1346[[#This Row],[Away Team Score]],"Win",IF(Table1346[[#This Row],[Home Team Score]]=Table1346[[#This Row],[Away Team Score]],"Tie","Lose"))</f>
        <v>Lose</v>
      </c>
      <c r="M348" t="s">
        <v>68</v>
      </c>
      <c r="N348">
        <v>22</v>
      </c>
      <c r="O348" s="3">
        <v>6.9444444444444447E-4</v>
      </c>
      <c r="P348" t="s">
        <v>26</v>
      </c>
      <c r="Q348" t="s">
        <v>202</v>
      </c>
      <c r="R348" t="e">
        <f>IF([1]!Table13[[#This Row],[Goal_assist]]="",1,0)</f>
        <v>#REF!</v>
      </c>
    </row>
    <row r="349" spans="1:18" x14ac:dyDescent="0.35">
      <c r="A349" t="s">
        <v>64</v>
      </c>
      <c r="B349" s="1">
        <v>45606</v>
      </c>
      <c r="C349" t="s">
        <v>65</v>
      </c>
      <c r="D349">
        <v>20</v>
      </c>
      <c r="E349" s="2">
        <v>40565</v>
      </c>
      <c r="F349" t="s">
        <v>16</v>
      </c>
      <c r="G349" t="s">
        <v>66</v>
      </c>
      <c r="H349" t="s">
        <v>78</v>
      </c>
      <c r="I349" s="3">
        <v>0.125</v>
      </c>
      <c r="J349" s="8" t="s">
        <v>442</v>
      </c>
      <c r="K349" s="8" t="s">
        <v>443</v>
      </c>
      <c r="L349" s="8" t="str">
        <f>IF(Table1346[[#This Row],[Home Team Score]]&gt;Table1346[[#This Row],[Away Team Score]],"Win",IF(Table1346[[#This Row],[Home Team Score]]=Table1346[[#This Row],[Away Team Score]],"Tie","Lose"))</f>
        <v>Win</v>
      </c>
      <c r="M349" t="s">
        <v>68</v>
      </c>
      <c r="N349">
        <v>33</v>
      </c>
      <c r="O349" s="3">
        <v>8.3333333333333329E-2</v>
      </c>
      <c r="P349" t="s">
        <v>83</v>
      </c>
      <c r="R349" t="e">
        <f>IF([1]!Table13[[#This Row],[Goal_assist]]="",1,0)</f>
        <v>#REF!</v>
      </c>
    </row>
    <row r="350" spans="1:18" x14ac:dyDescent="0.35">
      <c r="A350" t="s">
        <v>64</v>
      </c>
      <c r="B350" s="1">
        <v>45606</v>
      </c>
      <c r="C350" t="s">
        <v>91</v>
      </c>
      <c r="D350" t="s">
        <v>62</v>
      </c>
      <c r="E350" s="2">
        <v>40569</v>
      </c>
      <c r="F350" t="s">
        <v>16</v>
      </c>
      <c r="G350" t="s">
        <v>66</v>
      </c>
      <c r="H350" t="s">
        <v>131</v>
      </c>
      <c r="I350" s="3">
        <v>0.20833333333333334</v>
      </c>
      <c r="J350" s="8" t="s">
        <v>448</v>
      </c>
      <c r="K350" s="8" t="s">
        <v>443</v>
      </c>
      <c r="L350" s="8" t="str">
        <f>IF(Table1346[[#This Row],[Home Team Score]]&gt;Table1346[[#This Row],[Away Team Score]],"Win",IF(Table1346[[#This Row],[Home Team Score]]=Table1346[[#This Row],[Away Team Score]],"Tie","Lose"))</f>
        <v>Win</v>
      </c>
      <c r="M350" t="s">
        <v>68</v>
      </c>
      <c r="N350">
        <v>15</v>
      </c>
      <c r="O350" s="3">
        <v>0.125</v>
      </c>
      <c r="P350" t="s">
        <v>31</v>
      </c>
      <c r="Q350" t="s">
        <v>99</v>
      </c>
      <c r="R350" t="e">
        <f>IF([1]!Table13[[#This Row],[Goal_assist]]="",1,0)</f>
        <v>#REF!</v>
      </c>
    </row>
    <row r="351" spans="1:18" x14ac:dyDescent="0.35">
      <c r="A351" t="s">
        <v>64</v>
      </c>
      <c r="B351" s="1">
        <v>45606</v>
      </c>
      <c r="C351" t="s">
        <v>91</v>
      </c>
      <c r="D351" t="s">
        <v>62</v>
      </c>
      <c r="E351" s="2">
        <v>40569</v>
      </c>
      <c r="F351" t="s">
        <v>16</v>
      </c>
      <c r="G351" t="s">
        <v>66</v>
      </c>
      <c r="H351" t="s">
        <v>131</v>
      </c>
      <c r="I351" s="3">
        <v>0.20833333333333334</v>
      </c>
      <c r="J351" s="8" t="s">
        <v>448</v>
      </c>
      <c r="K351" s="8" t="s">
        <v>443</v>
      </c>
      <c r="L351" s="8" t="str">
        <f>IF(Table1346[[#This Row],[Home Team Score]]&gt;Table1346[[#This Row],[Away Team Score]],"Win",IF(Table1346[[#This Row],[Home Team Score]]=Table1346[[#This Row],[Away Team Score]],"Tie","Lose"))</f>
        <v>Win</v>
      </c>
      <c r="M351" t="s">
        <v>68</v>
      </c>
      <c r="N351">
        <v>9</v>
      </c>
      <c r="O351" s="3">
        <v>4.1666666666666664E-2</v>
      </c>
      <c r="P351" t="s">
        <v>31</v>
      </c>
      <c r="Q351" t="s">
        <v>186</v>
      </c>
      <c r="R351" t="e">
        <f>IF([1]!Table13[[#This Row],[Goal_assist]]="",1,0)</f>
        <v>#REF!</v>
      </c>
    </row>
    <row r="352" spans="1:18" x14ac:dyDescent="0.35">
      <c r="A352" t="s">
        <v>64</v>
      </c>
      <c r="B352" s="1">
        <v>45606</v>
      </c>
      <c r="C352" t="s">
        <v>65</v>
      </c>
      <c r="D352">
        <v>21</v>
      </c>
      <c r="E352" s="2">
        <v>40572</v>
      </c>
      <c r="F352" t="s">
        <v>24</v>
      </c>
      <c r="G352" t="s">
        <v>66</v>
      </c>
      <c r="H352" t="s">
        <v>209</v>
      </c>
      <c r="I352" s="3">
        <v>2.0833333333333333E-3</v>
      </c>
      <c r="J352" s="8" t="s">
        <v>443</v>
      </c>
      <c r="K352" s="8" t="s">
        <v>442</v>
      </c>
      <c r="L352" s="8" t="str">
        <f>IF(Table1346[[#This Row],[Home Team Score]]&gt;Table1346[[#This Row],[Away Team Score]],"Win",IF(Table1346[[#This Row],[Home Team Score]]=Table1346[[#This Row],[Away Team Score]],"Tie","Lose"))</f>
        <v>Lose</v>
      </c>
      <c r="M352" t="s">
        <v>68</v>
      </c>
      <c r="N352">
        <v>89</v>
      </c>
      <c r="O352" s="3">
        <v>2.0833333333333333E-3</v>
      </c>
      <c r="P352" t="s">
        <v>31</v>
      </c>
      <c r="Q352" t="s">
        <v>155</v>
      </c>
      <c r="R352" t="e">
        <f>IF([1]!Table13[[#This Row],[Goal_assist]]="",1,0)</f>
        <v>#REF!</v>
      </c>
    </row>
    <row r="353" spans="1:18" x14ac:dyDescent="0.35">
      <c r="A353" t="s">
        <v>64</v>
      </c>
      <c r="B353" s="1">
        <v>45606</v>
      </c>
      <c r="C353" t="s">
        <v>65</v>
      </c>
      <c r="D353">
        <v>21</v>
      </c>
      <c r="E353" s="2">
        <v>40572</v>
      </c>
      <c r="F353" t="s">
        <v>24</v>
      </c>
      <c r="G353" t="s">
        <v>66</v>
      </c>
      <c r="H353" t="s">
        <v>209</v>
      </c>
      <c r="I353" s="3">
        <v>2.0833333333333333E-3</v>
      </c>
      <c r="J353" s="8" t="s">
        <v>443</v>
      </c>
      <c r="K353" s="8" t="s">
        <v>442</v>
      </c>
      <c r="L353" s="8" t="str">
        <f>IF(Table1346[[#This Row],[Home Team Score]]&gt;Table1346[[#This Row],[Away Team Score]],"Win",IF(Table1346[[#This Row],[Home Team Score]]=Table1346[[#This Row],[Away Team Score]],"Tie","Lose"))</f>
        <v>Lose</v>
      </c>
      <c r="M353" t="s">
        <v>68</v>
      </c>
      <c r="N353">
        <v>87</v>
      </c>
      <c r="O353" s="3">
        <v>1.3888888888888889E-3</v>
      </c>
      <c r="P353" t="s">
        <v>31</v>
      </c>
      <c r="Q353" t="s">
        <v>155</v>
      </c>
      <c r="R353" t="e">
        <f>IF([1]!Table13[[#This Row],[Goal_assist]]="",1,0)</f>
        <v>#REF!</v>
      </c>
    </row>
    <row r="354" spans="1:18" x14ac:dyDescent="0.35">
      <c r="A354" t="s">
        <v>64</v>
      </c>
      <c r="B354" s="1">
        <v>45606</v>
      </c>
      <c r="C354" t="s">
        <v>65</v>
      </c>
      <c r="D354">
        <v>22</v>
      </c>
      <c r="E354" s="2">
        <v>40579</v>
      </c>
      <c r="F354" t="s">
        <v>16</v>
      </c>
      <c r="G354" t="s">
        <v>66</v>
      </c>
      <c r="H354" t="s">
        <v>119</v>
      </c>
      <c r="I354" s="3">
        <v>0.125</v>
      </c>
      <c r="J354" s="8" t="s">
        <v>442</v>
      </c>
      <c r="K354" s="8" t="s">
        <v>443</v>
      </c>
      <c r="L354" s="8" t="str">
        <f>IF(Table1346[[#This Row],[Home Team Score]]&gt;Table1346[[#This Row],[Away Team Score]],"Win",IF(Table1346[[#This Row],[Home Team Score]]=Table1346[[#This Row],[Away Team Score]],"Tie","Lose"))</f>
        <v>Win</v>
      </c>
      <c r="M354" t="s">
        <v>68</v>
      </c>
      <c r="N354">
        <v>28</v>
      </c>
      <c r="O354" s="3">
        <v>8.3333333333333329E-2</v>
      </c>
      <c r="P354" t="s">
        <v>31</v>
      </c>
      <c r="Q354" t="s">
        <v>186</v>
      </c>
      <c r="R354" t="e">
        <f>IF([1]!Table13[[#This Row],[Goal_assist]]="",1,0)</f>
        <v>#REF!</v>
      </c>
    </row>
    <row r="355" spans="1:18" x14ac:dyDescent="0.35">
      <c r="A355" t="s">
        <v>64</v>
      </c>
      <c r="B355" s="1">
        <v>45606</v>
      </c>
      <c r="C355" t="s">
        <v>65</v>
      </c>
      <c r="D355">
        <v>22</v>
      </c>
      <c r="E355" s="2">
        <v>40579</v>
      </c>
      <c r="F355" t="s">
        <v>16</v>
      </c>
      <c r="G355" t="s">
        <v>66</v>
      </c>
      <c r="H355" t="s">
        <v>119</v>
      </c>
      <c r="I355" s="3">
        <v>0.125</v>
      </c>
      <c r="J355" s="8" t="s">
        <v>442</v>
      </c>
      <c r="K355" s="8" t="s">
        <v>443</v>
      </c>
      <c r="L355" s="8" t="str">
        <f>IF(Table1346[[#This Row],[Home Team Score]]&gt;Table1346[[#This Row],[Away Team Score]],"Win",IF(Table1346[[#This Row],[Home Team Score]]=Table1346[[#This Row],[Away Team Score]],"Tie","Lose"))</f>
        <v>Win</v>
      </c>
      <c r="M355" t="s">
        <v>68</v>
      </c>
      <c r="N355">
        <v>78</v>
      </c>
      <c r="O355" s="3">
        <v>0.125</v>
      </c>
      <c r="P355" t="s">
        <v>31</v>
      </c>
      <c r="Q355" t="s">
        <v>208</v>
      </c>
      <c r="R355" t="e">
        <f>IF([1]!Table13[[#This Row],[Goal_assist]]="",1,0)</f>
        <v>#REF!</v>
      </c>
    </row>
    <row r="356" spans="1:18" x14ac:dyDescent="0.35">
      <c r="A356" t="s">
        <v>64</v>
      </c>
      <c r="B356" s="1">
        <v>45606</v>
      </c>
      <c r="C356" t="s">
        <v>65</v>
      </c>
      <c r="D356">
        <v>22</v>
      </c>
      <c r="E356" s="2">
        <v>40579</v>
      </c>
      <c r="F356" t="s">
        <v>16</v>
      </c>
      <c r="G356" t="s">
        <v>66</v>
      </c>
      <c r="H356" t="s">
        <v>119</v>
      </c>
      <c r="I356" s="3">
        <v>0.125</v>
      </c>
      <c r="J356" s="8" t="s">
        <v>442</v>
      </c>
      <c r="K356" s="8" t="s">
        <v>443</v>
      </c>
      <c r="L356" s="8" t="str">
        <f>IF(Table1346[[#This Row],[Home Team Score]]&gt;Table1346[[#This Row],[Away Team Score]],"Win",IF(Table1346[[#This Row],[Home Team Score]]=Table1346[[#This Row],[Away Team Score]],"Tie","Lose"))</f>
        <v>Win</v>
      </c>
      <c r="M356" t="s">
        <v>68</v>
      </c>
      <c r="N356">
        <v>16</v>
      </c>
      <c r="O356" s="3">
        <v>4.1666666666666664E-2</v>
      </c>
      <c r="P356" t="s">
        <v>31</v>
      </c>
      <c r="Q356" t="s">
        <v>155</v>
      </c>
      <c r="R356" t="e">
        <f>IF([1]!Table13[[#This Row],[Goal_assist]]="",1,0)</f>
        <v>#REF!</v>
      </c>
    </row>
    <row r="357" spans="1:18" x14ac:dyDescent="0.35">
      <c r="A357" t="s">
        <v>14</v>
      </c>
      <c r="B357" s="1">
        <v>45606</v>
      </c>
      <c r="C357" t="s">
        <v>65</v>
      </c>
      <c r="D357">
        <v>22</v>
      </c>
      <c r="E357" s="2">
        <v>40580</v>
      </c>
      <c r="F357" t="s">
        <v>16</v>
      </c>
      <c r="G357" t="s">
        <v>112</v>
      </c>
      <c r="H357" t="s">
        <v>217</v>
      </c>
      <c r="I357" s="3">
        <v>0.1673611111111111</v>
      </c>
      <c r="J357" s="8" t="s">
        <v>446</v>
      </c>
      <c r="K357" s="8" t="s">
        <v>444</v>
      </c>
      <c r="L357" s="8" t="str">
        <f>IF(Table1346[[#This Row],[Home Team Score]]&gt;Table1346[[#This Row],[Away Team Score]],"Win",IF(Table1346[[#This Row],[Home Team Score]]=Table1346[[#This Row],[Away Team Score]],"Tie","Lose"))</f>
        <v>Win</v>
      </c>
      <c r="M357" t="s">
        <v>19</v>
      </c>
      <c r="N357">
        <v>20</v>
      </c>
      <c r="O357" s="3">
        <v>8.3333333333333329E-2</v>
      </c>
      <c r="P357" t="s">
        <v>31</v>
      </c>
      <c r="Q357" t="s">
        <v>198</v>
      </c>
      <c r="R357" t="e">
        <f>IF([1]!Table13[[#This Row],[Goal_assist]]="",1,0)</f>
        <v>#REF!</v>
      </c>
    </row>
    <row r="358" spans="1:18" x14ac:dyDescent="0.35">
      <c r="A358" t="s">
        <v>14</v>
      </c>
      <c r="B358" s="1">
        <v>45606</v>
      </c>
      <c r="C358" t="s">
        <v>65</v>
      </c>
      <c r="D358">
        <v>22</v>
      </c>
      <c r="E358" s="2">
        <v>40580</v>
      </c>
      <c r="F358" t="s">
        <v>16</v>
      </c>
      <c r="G358" t="s">
        <v>112</v>
      </c>
      <c r="H358" t="s">
        <v>217</v>
      </c>
      <c r="I358" s="3">
        <v>0.1673611111111111</v>
      </c>
      <c r="J358" s="8" t="s">
        <v>446</v>
      </c>
      <c r="K358" s="8" t="s">
        <v>444</v>
      </c>
      <c r="L358" s="8" t="str">
        <f>IF(Table1346[[#This Row],[Home Team Score]]&gt;Table1346[[#This Row],[Away Team Score]],"Win",IF(Table1346[[#This Row],[Home Team Score]]=Table1346[[#This Row],[Away Team Score]],"Tie","Lose"))</f>
        <v>Win</v>
      </c>
      <c r="M358" t="s">
        <v>19</v>
      </c>
      <c r="N358">
        <v>42</v>
      </c>
      <c r="O358" s="3">
        <v>0.125</v>
      </c>
      <c r="P358" t="s">
        <v>22</v>
      </c>
      <c r="Q358" t="s">
        <v>204</v>
      </c>
      <c r="R358" t="e">
        <f>IF([1]!Table13[[#This Row],[Goal_assist]]="",1,0)</f>
        <v>#REF!</v>
      </c>
    </row>
    <row r="359" spans="1:18" x14ac:dyDescent="0.35">
      <c r="A359" t="s">
        <v>64</v>
      </c>
      <c r="B359" s="1">
        <v>45606</v>
      </c>
      <c r="C359" t="s">
        <v>65</v>
      </c>
      <c r="D359">
        <v>24</v>
      </c>
      <c r="E359" s="2">
        <v>40594</v>
      </c>
      <c r="F359" t="s">
        <v>16</v>
      </c>
      <c r="G359" t="s">
        <v>66</v>
      </c>
      <c r="H359" t="s">
        <v>86</v>
      </c>
      <c r="I359" s="3">
        <v>8.4027777777777785E-2</v>
      </c>
      <c r="J359" s="8" t="s">
        <v>445</v>
      </c>
      <c r="K359" s="8" t="s">
        <v>444</v>
      </c>
      <c r="L359" s="8" t="str">
        <f>IF(Table1346[[#This Row],[Home Team Score]]&gt;Table1346[[#This Row],[Away Team Score]],"Win",IF(Table1346[[#This Row],[Home Team Score]]=Table1346[[#This Row],[Away Team Score]],"Tie","Lose"))</f>
        <v>Win</v>
      </c>
      <c r="M359" t="s">
        <v>68</v>
      </c>
      <c r="N359">
        <v>78</v>
      </c>
      <c r="O359" s="3">
        <v>8.4027777777777785E-2</v>
      </c>
      <c r="P359" t="s">
        <v>26</v>
      </c>
      <c r="Q359" t="s">
        <v>155</v>
      </c>
      <c r="R359" t="e">
        <f>IF([1]!Table13[[#This Row],[Goal_assist]]="",1,0)</f>
        <v>#REF!</v>
      </c>
    </row>
    <row r="360" spans="1:18" x14ac:dyDescent="0.35">
      <c r="A360" t="s">
        <v>64</v>
      </c>
      <c r="B360" s="1">
        <v>45606</v>
      </c>
      <c r="C360" t="s">
        <v>65</v>
      </c>
      <c r="D360">
        <v>25</v>
      </c>
      <c r="E360" s="2">
        <v>40600</v>
      </c>
      <c r="F360" t="s">
        <v>24</v>
      </c>
      <c r="G360" t="s">
        <v>66</v>
      </c>
      <c r="H360" t="s">
        <v>89</v>
      </c>
      <c r="I360" s="3">
        <v>2.0833333333333333E-3</v>
      </c>
      <c r="J360" s="8" t="s">
        <v>443</v>
      </c>
      <c r="K360" s="8" t="s">
        <v>442</v>
      </c>
      <c r="L360" s="8" t="str">
        <f>IF(Table1346[[#This Row],[Home Team Score]]&gt;Table1346[[#This Row],[Away Team Score]],"Win",IF(Table1346[[#This Row],[Home Team Score]]=Table1346[[#This Row],[Away Team Score]],"Tie","Lose"))</f>
        <v>Lose</v>
      </c>
      <c r="M360" t="s">
        <v>68</v>
      </c>
      <c r="N360">
        <v>38</v>
      </c>
      <c r="O360" s="3">
        <v>6.9444444444444447E-4</v>
      </c>
      <c r="P360" t="s">
        <v>22</v>
      </c>
      <c r="Q360" t="s">
        <v>200</v>
      </c>
      <c r="R360" t="e">
        <f>IF([1]!Table13[[#This Row],[Goal_assist]]="",1,0)</f>
        <v>#REF!</v>
      </c>
    </row>
    <row r="361" spans="1:18" x14ac:dyDescent="0.35">
      <c r="A361" t="s">
        <v>64</v>
      </c>
      <c r="B361" s="1">
        <v>45606</v>
      </c>
      <c r="C361" t="s">
        <v>65</v>
      </c>
      <c r="D361">
        <v>26</v>
      </c>
      <c r="E361" s="2">
        <v>40604</v>
      </c>
      <c r="F361" t="s">
        <v>24</v>
      </c>
      <c r="G361" t="s">
        <v>66</v>
      </c>
      <c r="H361" t="s">
        <v>148</v>
      </c>
      <c r="I361" s="3">
        <v>6.9444444444444447E-4</v>
      </c>
      <c r="J361" s="8" t="s">
        <v>443</v>
      </c>
      <c r="K361" s="8" t="s">
        <v>444</v>
      </c>
      <c r="L361" s="8" t="str">
        <f>IF(Table1346[[#This Row],[Home Team Score]]&gt;Table1346[[#This Row],[Away Team Score]],"Win",IF(Table1346[[#This Row],[Home Team Score]]=Table1346[[#This Row],[Away Team Score]],"Tie","Lose"))</f>
        <v>Lose</v>
      </c>
      <c r="M361" t="s">
        <v>68</v>
      </c>
      <c r="N361">
        <v>77</v>
      </c>
      <c r="O361" s="3">
        <v>6.9444444444444447E-4</v>
      </c>
      <c r="P361" t="s">
        <v>31</v>
      </c>
      <c r="Q361" t="s">
        <v>215</v>
      </c>
      <c r="R361" t="e">
        <f>IF([1]!Table13[[#This Row],[Goal_assist]]="",1,0)</f>
        <v>#REF!</v>
      </c>
    </row>
    <row r="362" spans="1:18" x14ac:dyDescent="0.35">
      <c r="A362" t="s">
        <v>14</v>
      </c>
      <c r="B362" s="1">
        <v>45606</v>
      </c>
      <c r="C362" t="s">
        <v>65</v>
      </c>
      <c r="D362">
        <v>26</v>
      </c>
      <c r="E362" s="2">
        <v>40605</v>
      </c>
      <c r="F362" t="s">
        <v>16</v>
      </c>
      <c r="G362" t="s">
        <v>112</v>
      </c>
      <c r="H362" t="s">
        <v>157</v>
      </c>
      <c r="I362" s="3">
        <v>0.29166666666666669</v>
      </c>
      <c r="J362" s="8" t="s">
        <v>449</v>
      </c>
      <c r="K362" s="8" t="s">
        <v>443</v>
      </c>
      <c r="L362" s="8" t="str">
        <f>IF(Table1346[[#This Row],[Home Team Score]]&gt;Table1346[[#This Row],[Away Team Score]],"Win",IF(Table1346[[#This Row],[Home Team Score]]=Table1346[[#This Row],[Away Team Score]],"Tie","Lose"))</f>
        <v>Win</v>
      </c>
      <c r="M362" t="s">
        <v>19</v>
      </c>
      <c r="N362">
        <v>67</v>
      </c>
      <c r="O362" s="3">
        <v>0.25</v>
      </c>
      <c r="P362" t="s">
        <v>83</v>
      </c>
      <c r="R362" t="e">
        <f>IF([1]!Table13[[#This Row],[Goal_assist]]="",1,0)</f>
        <v>#REF!</v>
      </c>
    </row>
    <row r="363" spans="1:18" x14ac:dyDescent="0.35">
      <c r="A363" t="s">
        <v>14</v>
      </c>
      <c r="B363" s="1">
        <v>45606</v>
      </c>
      <c r="C363" t="s">
        <v>65</v>
      </c>
      <c r="D363">
        <v>26</v>
      </c>
      <c r="E363" s="2">
        <v>40605</v>
      </c>
      <c r="F363" t="s">
        <v>16</v>
      </c>
      <c r="G363" t="s">
        <v>112</v>
      </c>
      <c r="H363" t="s">
        <v>157</v>
      </c>
      <c r="I363" s="3">
        <v>0.29166666666666669</v>
      </c>
      <c r="J363" s="8" t="s">
        <v>449</v>
      </c>
      <c r="K363" s="8" t="s">
        <v>443</v>
      </c>
      <c r="L363" s="8" t="str">
        <f>IF(Table1346[[#This Row],[Home Team Score]]&gt;Table1346[[#This Row],[Away Team Score]],"Win",IF(Table1346[[#This Row],[Home Team Score]]=Table1346[[#This Row],[Away Team Score]],"Tie","Lose"))</f>
        <v>Win</v>
      </c>
      <c r="M363" t="s">
        <v>19</v>
      </c>
      <c r="N363">
        <v>50</v>
      </c>
      <c r="O363" s="3">
        <v>0.16666666666666666</v>
      </c>
      <c r="P363" t="s">
        <v>31</v>
      </c>
      <c r="Q363" t="s">
        <v>204</v>
      </c>
      <c r="R363" t="e">
        <f>IF([1]!Table13[[#This Row],[Goal_assist]]="",1,0)</f>
        <v>#REF!</v>
      </c>
    </row>
    <row r="364" spans="1:18" x14ac:dyDescent="0.35">
      <c r="A364" t="s">
        <v>14</v>
      </c>
      <c r="B364" s="1">
        <v>45606</v>
      </c>
      <c r="C364" t="s">
        <v>65</v>
      </c>
      <c r="D364">
        <v>26</v>
      </c>
      <c r="E364" s="2">
        <v>40605</v>
      </c>
      <c r="F364" t="s">
        <v>16</v>
      </c>
      <c r="G364" t="s">
        <v>112</v>
      </c>
      <c r="H364" t="s">
        <v>157</v>
      </c>
      <c r="I364" s="3">
        <v>0.29166666666666669</v>
      </c>
      <c r="J364" s="8" t="s">
        <v>449</v>
      </c>
      <c r="K364" s="8" t="s">
        <v>443</v>
      </c>
      <c r="L364" s="8" t="str">
        <f>IF(Table1346[[#This Row],[Home Team Score]]&gt;Table1346[[#This Row],[Away Team Score]],"Win",IF(Table1346[[#This Row],[Home Team Score]]=Table1346[[#This Row],[Away Team Score]],"Tie","Lose"))</f>
        <v>Win</v>
      </c>
      <c r="M364" t="s">
        <v>19</v>
      </c>
      <c r="N364">
        <v>76</v>
      </c>
      <c r="O364" s="3">
        <v>0.29166666666666669</v>
      </c>
      <c r="P364" t="s">
        <v>26</v>
      </c>
      <c r="Q364" t="s">
        <v>218</v>
      </c>
      <c r="R364" t="e">
        <f>IF([1]!Table13[[#This Row],[Goal_assist]]="",1,0)</f>
        <v>#REF!</v>
      </c>
    </row>
    <row r="365" spans="1:18" x14ac:dyDescent="0.35">
      <c r="A365" t="s">
        <v>64</v>
      </c>
      <c r="B365" s="1">
        <v>45606</v>
      </c>
      <c r="C365" t="s">
        <v>75</v>
      </c>
      <c r="D365" t="s">
        <v>143</v>
      </c>
      <c r="E365" s="2">
        <v>40610</v>
      </c>
      <c r="F365" t="s">
        <v>16</v>
      </c>
      <c r="G365" t="s">
        <v>66</v>
      </c>
      <c r="H365" t="s">
        <v>54</v>
      </c>
      <c r="I365" s="3">
        <v>0.12569444444444444</v>
      </c>
      <c r="J365" s="8" t="s">
        <v>442</v>
      </c>
      <c r="K365" s="8" t="s">
        <v>444</v>
      </c>
      <c r="L365" s="8" t="str">
        <f>IF(Table1346[[#This Row],[Home Team Score]]&gt;Table1346[[#This Row],[Away Team Score]],"Win",IF(Table1346[[#This Row],[Home Team Score]]=Table1346[[#This Row],[Away Team Score]],"Tie","Lose"))</f>
        <v>Win</v>
      </c>
      <c r="M365" t="s">
        <v>38</v>
      </c>
      <c r="N365">
        <v>49</v>
      </c>
      <c r="O365" s="3">
        <v>4.1666666666666664E-2</v>
      </c>
      <c r="P365" t="s">
        <v>31</v>
      </c>
      <c r="Q365" t="s">
        <v>99</v>
      </c>
      <c r="R365" t="e">
        <f>IF([1]!Table13[[#This Row],[Goal_assist]]="",1,0)</f>
        <v>#REF!</v>
      </c>
    </row>
    <row r="366" spans="1:18" x14ac:dyDescent="0.35">
      <c r="A366" t="s">
        <v>64</v>
      </c>
      <c r="B366" s="1">
        <v>45606</v>
      </c>
      <c r="C366" t="s">
        <v>75</v>
      </c>
      <c r="D366" t="s">
        <v>143</v>
      </c>
      <c r="E366" s="2">
        <v>40610</v>
      </c>
      <c r="F366" t="s">
        <v>16</v>
      </c>
      <c r="G366" t="s">
        <v>66</v>
      </c>
      <c r="H366" t="s">
        <v>54</v>
      </c>
      <c r="I366" s="3">
        <v>0.12569444444444444</v>
      </c>
      <c r="J366" s="8" t="s">
        <v>442</v>
      </c>
      <c r="K366" s="8" t="s">
        <v>444</v>
      </c>
      <c r="L366" s="8" t="str">
        <f>IF(Table1346[[#This Row],[Home Team Score]]&gt;Table1346[[#This Row],[Away Team Score]],"Win",IF(Table1346[[#This Row],[Home Team Score]]=Table1346[[#This Row],[Away Team Score]],"Tie","Lose"))</f>
        <v>Win</v>
      </c>
      <c r="M366" t="s">
        <v>38</v>
      </c>
      <c r="N366">
        <v>72</v>
      </c>
      <c r="O366" s="3">
        <v>0.12569444444444444</v>
      </c>
      <c r="P366" t="s">
        <v>83</v>
      </c>
      <c r="R366" t="e">
        <f>IF([1]!Table13[[#This Row],[Goal_assist]]="",1,0)</f>
        <v>#REF!</v>
      </c>
    </row>
    <row r="367" spans="1:18" x14ac:dyDescent="0.35">
      <c r="A367" t="s">
        <v>14</v>
      </c>
      <c r="B367" s="1">
        <v>45606</v>
      </c>
      <c r="C367" t="s">
        <v>75</v>
      </c>
      <c r="D367" t="s">
        <v>92</v>
      </c>
      <c r="E367" s="2">
        <v>40638</v>
      </c>
      <c r="F367" t="s">
        <v>16</v>
      </c>
      <c r="G367" t="s">
        <v>112</v>
      </c>
      <c r="H367" t="s">
        <v>42</v>
      </c>
      <c r="I367" s="3">
        <v>0.16666666666666666</v>
      </c>
      <c r="J367" s="8" t="s">
        <v>446</v>
      </c>
      <c r="K367" s="8" t="s">
        <v>443</v>
      </c>
      <c r="L367" s="8" t="str">
        <f>IF(Table1346[[#This Row],[Home Team Score]]&gt;Table1346[[#This Row],[Away Team Score]],"Win",IF(Table1346[[#This Row],[Home Team Score]]=Table1346[[#This Row],[Away Team Score]],"Tie","Lose"))</f>
        <v>Win</v>
      </c>
      <c r="M367" t="s">
        <v>19</v>
      </c>
      <c r="N367">
        <v>87</v>
      </c>
      <c r="O367" s="3">
        <v>0.16666666666666666</v>
      </c>
      <c r="P367" t="s">
        <v>26</v>
      </c>
      <c r="Q367" t="s">
        <v>198</v>
      </c>
      <c r="R367" t="e">
        <f>IF([1]!Table13[[#This Row],[Goal_assist]]="",1,0)</f>
        <v>#REF!</v>
      </c>
    </row>
    <row r="368" spans="1:18" x14ac:dyDescent="0.35">
      <c r="A368" t="s">
        <v>64</v>
      </c>
      <c r="B368" s="1">
        <v>45606</v>
      </c>
      <c r="C368" t="s">
        <v>65</v>
      </c>
      <c r="D368">
        <v>31</v>
      </c>
      <c r="E368" s="2">
        <v>40642</v>
      </c>
      <c r="F368" t="s">
        <v>16</v>
      </c>
      <c r="G368" t="s">
        <v>66</v>
      </c>
      <c r="H368" t="s">
        <v>131</v>
      </c>
      <c r="I368" s="3">
        <v>0.12569444444444444</v>
      </c>
      <c r="J368" s="8" t="s">
        <v>442</v>
      </c>
      <c r="K368" s="8" t="s">
        <v>444</v>
      </c>
      <c r="L368" s="8" t="str">
        <f>IF(Table1346[[#This Row],[Home Team Score]]&gt;Table1346[[#This Row],[Away Team Score]],"Win",IF(Table1346[[#This Row],[Home Team Score]]=Table1346[[#This Row],[Away Team Score]],"Tie","Lose"))</f>
        <v>Win</v>
      </c>
      <c r="M368" t="s">
        <v>68</v>
      </c>
      <c r="N368" t="s">
        <v>69</v>
      </c>
      <c r="O368" s="3">
        <v>0.12569444444444444</v>
      </c>
      <c r="P368" t="s">
        <v>31</v>
      </c>
      <c r="Q368" t="s">
        <v>200</v>
      </c>
      <c r="R368" t="e">
        <f>IF([1]!Table13[[#This Row],[Goal_assist]]="",1,0)</f>
        <v>#REF!</v>
      </c>
    </row>
    <row r="369" spans="1:18" x14ac:dyDescent="0.35">
      <c r="A369" t="s">
        <v>64</v>
      </c>
      <c r="B369" s="1">
        <v>45606</v>
      </c>
      <c r="C369" t="s">
        <v>65</v>
      </c>
      <c r="D369">
        <v>31</v>
      </c>
      <c r="E369" s="2">
        <v>40642</v>
      </c>
      <c r="F369" t="s">
        <v>16</v>
      </c>
      <c r="G369" t="s">
        <v>66</v>
      </c>
      <c r="H369" t="s">
        <v>131</v>
      </c>
      <c r="I369" s="3">
        <v>0.12569444444444444</v>
      </c>
      <c r="J369" s="8" t="s">
        <v>442</v>
      </c>
      <c r="K369" s="8" t="s">
        <v>444</v>
      </c>
      <c r="L369" s="8" t="str">
        <f>IF(Table1346[[#This Row],[Home Team Score]]&gt;Table1346[[#This Row],[Away Team Score]],"Win",IF(Table1346[[#This Row],[Home Team Score]]=Table1346[[#This Row],[Away Team Score]],"Tie","Lose"))</f>
        <v>Win</v>
      </c>
      <c r="M369" t="s">
        <v>68</v>
      </c>
      <c r="N369">
        <v>52</v>
      </c>
      <c r="O369" s="3">
        <v>4.2361111111111113E-2</v>
      </c>
      <c r="P369" t="s">
        <v>83</v>
      </c>
      <c r="R369" t="e">
        <f>IF([1]!Table13[[#This Row],[Goal_assist]]="",1,0)</f>
        <v>#REF!</v>
      </c>
    </row>
    <row r="370" spans="1:18" x14ac:dyDescent="0.35">
      <c r="A370" t="s">
        <v>14</v>
      </c>
      <c r="B370" s="1">
        <v>45606</v>
      </c>
      <c r="C370" t="s">
        <v>65</v>
      </c>
      <c r="D370">
        <v>31</v>
      </c>
      <c r="E370" s="2">
        <v>40642</v>
      </c>
      <c r="F370" t="s">
        <v>24</v>
      </c>
      <c r="G370" t="s">
        <v>112</v>
      </c>
      <c r="H370" t="s">
        <v>86</v>
      </c>
      <c r="I370" s="3">
        <v>2.0833333333333333E-3</v>
      </c>
      <c r="J370" s="8" t="s">
        <v>443</v>
      </c>
      <c r="K370" s="8" t="s">
        <v>442</v>
      </c>
      <c r="L370" s="8" t="str">
        <f>IF(Table1346[[#This Row],[Home Team Score]]&gt;Table1346[[#This Row],[Away Team Score]],"Win",IF(Table1346[[#This Row],[Home Team Score]]=Table1346[[#This Row],[Away Team Score]],"Tie","Lose"))</f>
        <v>Lose</v>
      </c>
      <c r="M370" t="s">
        <v>68</v>
      </c>
      <c r="N370">
        <v>70</v>
      </c>
      <c r="O370" s="3">
        <v>2.0833333333333333E-3</v>
      </c>
      <c r="P370" t="s">
        <v>26</v>
      </c>
      <c r="Q370" t="s">
        <v>179</v>
      </c>
      <c r="R370" t="e">
        <f>IF([1]!Table13[[#This Row],[Goal_assist]]="",1,0)</f>
        <v>#REF!</v>
      </c>
    </row>
    <row r="371" spans="1:18" x14ac:dyDescent="0.35">
      <c r="A371" t="s">
        <v>64</v>
      </c>
      <c r="B371" s="1">
        <v>45606</v>
      </c>
      <c r="C371" t="s">
        <v>75</v>
      </c>
      <c r="D371" t="s">
        <v>92</v>
      </c>
      <c r="E371" s="2">
        <v>40645</v>
      </c>
      <c r="F371" t="s">
        <v>24</v>
      </c>
      <c r="G371" t="s">
        <v>66</v>
      </c>
      <c r="H371" t="s">
        <v>152</v>
      </c>
      <c r="I371" s="3">
        <v>6.9444444444444447E-4</v>
      </c>
      <c r="J371" s="8" t="s">
        <v>443</v>
      </c>
      <c r="K371" s="8" t="s">
        <v>444</v>
      </c>
      <c r="L371" s="8" t="str">
        <f>IF(Table1346[[#This Row],[Home Team Score]]&gt;Table1346[[#This Row],[Away Team Score]],"Win",IF(Table1346[[#This Row],[Home Team Score]]=Table1346[[#This Row],[Away Team Score]],"Tie","Lose"))</f>
        <v>Lose</v>
      </c>
      <c r="M371" t="s">
        <v>68</v>
      </c>
      <c r="N371">
        <v>42</v>
      </c>
      <c r="O371" s="3">
        <v>6.9444444444444447E-4</v>
      </c>
      <c r="P371" t="s">
        <v>31</v>
      </c>
      <c r="Q371" t="s">
        <v>155</v>
      </c>
      <c r="R371" t="e">
        <f>IF([1]!Table13[[#This Row],[Goal_assist]]="",1,0)</f>
        <v>#REF!</v>
      </c>
    </row>
    <row r="372" spans="1:18" x14ac:dyDescent="0.35">
      <c r="A372" t="s">
        <v>14</v>
      </c>
      <c r="B372" s="1">
        <v>45606</v>
      </c>
      <c r="C372" t="s">
        <v>75</v>
      </c>
      <c r="D372" t="s">
        <v>92</v>
      </c>
      <c r="E372" s="2">
        <v>40646</v>
      </c>
      <c r="F372" t="s">
        <v>24</v>
      </c>
      <c r="G372" t="s">
        <v>112</v>
      </c>
      <c r="H372" t="s">
        <v>42</v>
      </c>
      <c r="I372" s="3">
        <v>6.9444444444444447E-4</v>
      </c>
      <c r="J372" s="8" t="s">
        <v>443</v>
      </c>
      <c r="K372" s="8" t="s">
        <v>444</v>
      </c>
      <c r="L372" s="8" t="str">
        <f>IF(Table1346[[#This Row],[Home Team Score]]&gt;Table1346[[#This Row],[Away Team Score]],"Win",IF(Table1346[[#This Row],[Home Team Score]]=Table1346[[#This Row],[Away Team Score]],"Tie","Lose"))</f>
        <v>Lose</v>
      </c>
      <c r="M372" t="s">
        <v>38</v>
      </c>
      <c r="N372">
        <v>50</v>
      </c>
      <c r="O372" s="3">
        <v>6.9444444444444447E-4</v>
      </c>
      <c r="P372" t="s">
        <v>26</v>
      </c>
      <c r="Q372" t="s">
        <v>219</v>
      </c>
      <c r="R372" t="e">
        <f>IF([1]!Table13[[#This Row],[Goal_assist]]="",1,0)</f>
        <v>#REF!</v>
      </c>
    </row>
    <row r="373" spans="1:18" x14ac:dyDescent="0.35">
      <c r="A373" t="s">
        <v>64</v>
      </c>
      <c r="B373" s="1">
        <v>45606</v>
      </c>
      <c r="C373" t="s">
        <v>65</v>
      </c>
      <c r="D373">
        <v>32</v>
      </c>
      <c r="E373" s="2">
        <v>40649</v>
      </c>
      <c r="F373" t="s">
        <v>24</v>
      </c>
      <c r="G373" t="s">
        <v>66</v>
      </c>
      <c r="H373" t="s">
        <v>112</v>
      </c>
      <c r="I373" s="3">
        <v>4.2361111111111113E-2</v>
      </c>
      <c r="J373" s="8" t="s">
        <v>444</v>
      </c>
      <c r="K373" s="8" t="s">
        <v>444</v>
      </c>
      <c r="L373" s="8" t="str">
        <f>IF(Table1346[[#This Row],[Home Team Score]]&gt;Table1346[[#This Row],[Away Team Score]],"Win",IF(Table1346[[#This Row],[Home Team Score]]=Table1346[[#This Row],[Away Team Score]],"Tie","Lose"))</f>
        <v>Tie</v>
      </c>
      <c r="M373" t="s">
        <v>68</v>
      </c>
      <c r="N373">
        <v>53</v>
      </c>
      <c r="O373" s="3">
        <v>6.9444444444444447E-4</v>
      </c>
      <c r="P373" t="s">
        <v>83</v>
      </c>
      <c r="R373" t="e">
        <f>IF([1]!Table13[[#This Row],[Goal_assist]]="",1,0)</f>
        <v>#REF!</v>
      </c>
    </row>
    <row r="374" spans="1:18" x14ac:dyDescent="0.35">
      <c r="A374" t="s">
        <v>14</v>
      </c>
      <c r="B374" s="1">
        <v>45606</v>
      </c>
      <c r="C374" t="s">
        <v>65</v>
      </c>
      <c r="D374">
        <v>32</v>
      </c>
      <c r="E374" s="2">
        <v>40649</v>
      </c>
      <c r="F374" t="s">
        <v>16</v>
      </c>
      <c r="G374" t="s">
        <v>112</v>
      </c>
      <c r="H374" t="s">
        <v>66</v>
      </c>
      <c r="I374" s="3">
        <v>4.2361111111111113E-2</v>
      </c>
      <c r="J374" s="8" t="s">
        <v>444</v>
      </c>
      <c r="K374" s="8" t="s">
        <v>444</v>
      </c>
      <c r="L374" s="8" t="str">
        <f>IF(Table1346[[#This Row],[Home Team Score]]&gt;Table1346[[#This Row],[Away Team Score]],"Win",IF(Table1346[[#This Row],[Home Team Score]]=Table1346[[#This Row],[Away Team Score]],"Tie","Lose"))</f>
        <v>Tie</v>
      </c>
      <c r="M374" t="s">
        <v>19</v>
      </c>
      <c r="N374">
        <v>82</v>
      </c>
      <c r="O374" s="3">
        <v>4.2361111111111113E-2</v>
      </c>
      <c r="P374" t="s">
        <v>83</v>
      </c>
      <c r="R374" t="e">
        <f>IF([1]!Table13[[#This Row],[Goal_assist]]="",1,0)</f>
        <v>#REF!</v>
      </c>
    </row>
    <row r="375" spans="1:18" x14ac:dyDescent="0.35">
      <c r="A375" t="s">
        <v>14</v>
      </c>
      <c r="B375" s="1">
        <v>45606</v>
      </c>
      <c r="C375" t="s">
        <v>91</v>
      </c>
      <c r="D375" t="s">
        <v>46</v>
      </c>
      <c r="E375" s="2">
        <v>40653</v>
      </c>
      <c r="F375" t="s">
        <v>24</v>
      </c>
      <c r="G375" t="s">
        <v>112</v>
      </c>
      <c r="H375" t="s">
        <v>66</v>
      </c>
      <c r="I375" s="3">
        <v>6.9444444444444447E-4</v>
      </c>
      <c r="J375" s="8">
        <v>0</v>
      </c>
      <c r="K375" s="8">
        <v>1</v>
      </c>
      <c r="L375" s="8" t="str">
        <f>IF(Table1346[[#This Row],[Home Team Score]]&gt;Table1346[[#This Row],[Away Team Score]],"Win",IF(Table1346[[#This Row],[Home Team Score]]=Table1346[[#This Row],[Away Team Score]],"Tie","Lose"))</f>
        <v>Lose</v>
      </c>
      <c r="M375" t="s">
        <v>68</v>
      </c>
      <c r="N375">
        <v>103</v>
      </c>
      <c r="O375" s="3">
        <v>6.9444444444444447E-4</v>
      </c>
      <c r="P375" t="s">
        <v>22</v>
      </c>
      <c r="Q375" t="s">
        <v>207</v>
      </c>
      <c r="R375" t="e">
        <f>IF([1]!Table13[[#This Row],[Goal_assist]]="",1,0)</f>
        <v>#REF!</v>
      </c>
    </row>
    <row r="376" spans="1:18" x14ac:dyDescent="0.35">
      <c r="A376" t="s">
        <v>64</v>
      </c>
      <c r="B376" s="1">
        <v>45606</v>
      </c>
      <c r="C376" t="s">
        <v>65</v>
      </c>
      <c r="D376">
        <v>33</v>
      </c>
      <c r="E376" s="2">
        <v>40656</v>
      </c>
      <c r="F376" t="s">
        <v>16</v>
      </c>
      <c r="G376" t="s">
        <v>66</v>
      </c>
      <c r="H376" t="s">
        <v>100</v>
      </c>
      <c r="I376" s="3">
        <v>8.3333333333333329E-2</v>
      </c>
      <c r="J376" s="8" t="s">
        <v>445</v>
      </c>
      <c r="K376" s="8" t="s">
        <v>443</v>
      </c>
      <c r="L376" s="8" t="str">
        <f>IF(Table1346[[#This Row],[Home Team Score]]&gt;Table1346[[#This Row],[Away Team Score]],"Win",IF(Table1346[[#This Row],[Home Team Score]]=Table1346[[#This Row],[Away Team Score]],"Tie","Lose"))</f>
        <v>Win</v>
      </c>
      <c r="M376" t="s">
        <v>68</v>
      </c>
      <c r="N376">
        <v>87</v>
      </c>
      <c r="O376" s="3">
        <v>8.3333333333333329E-2</v>
      </c>
      <c r="P376" t="s">
        <v>26</v>
      </c>
      <c r="Q376" t="s">
        <v>155</v>
      </c>
      <c r="R376" t="e">
        <f>IF([1]!Table13[[#This Row],[Goal_assist]]="",1,0)</f>
        <v>#REF!</v>
      </c>
    </row>
    <row r="377" spans="1:18" x14ac:dyDescent="0.35">
      <c r="A377" t="s">
        <v>64</v>
      </c>
      <c r="B377" s="1">
        <v>45606</v>
      </c>
      <c r="C377" t="s">
        <v>75</v>
      </c>
      <c r="D377" t="s">
        <v>62</v>
      </c>
      <c r="E377" s="2">
        <v>40660</v>
      </c>
      <c r="F377" t="s">
        <v>24</v>
      </c>
      <c r="G377" t="s">
        <v>66</v>
      </c>
      <c r="H377" t="s">
        <v>112</v>
      </c>
      <c r="I377" s="3">
        <v>1.3888888888888889E-3</v>
      </c>
      <c r="J377" s="8" t="s">
        <v>443</v>
      </c>
      <c r="K377" s="8" t="s">
        <v>445</v>
      </c>
      <c r="L377" s="8" t="str">
        <f>IF(Table1346[[#This Row],[Home Team Score]]&gt;Table1346[[#This Row],[Away Team Score]],"Win",IF(Table1346[[#This Row],[Home Team Score]]=Table1346[[#This Row],[Away Team Score]],"Tie","Lose"))</f>
        <v>Lose</v>
      </c>
      <c r="M377" t="s">
        <v>68</v>
      </c>
      <c r="N377">
        <v>76</v>
      </c>
      <c r="O377" s="3">
        <v>6.9444444444444447E-4</v>
      </c>
      <c r="P377" t="s">
        <v>31</v>
      </c>
      <c r="Q377" t="s">
        <v>221</v>
      </c>
      <c r="R377" t="e">
        <f>IF([1]!Table13[[#This Row],[Goal_assist]]="",1,0)</f>
        <v>#REF!</v>
      </c>
    </row>
    <row r="378" spans="1:18" x14ac:dyDescent="0.35">
      <c r="A378" t="s">
        <v>64</v>
      </c>
      <c r="B378" s="1">
        <v>45606</v>
      </c>
      <c r="C378" t="s">
        <v>75</v>
      </c>
      <c r="D378" t="s">
        <v>62</v>
      </c>
      <c r="E378" s="2">
        <v>40660</v>
      </c>
      <c r="F378" t="s">
        <v>24</v>
      </c>
      <c r="G378" t="s">
        <v>66</v>
      </c>
      <c r="H378" t="s">
        <v>112</v>
      </c>
      <c r="I378" s="3">
        <v>1.3888888888888889E-3</v>
      </c>
      <c r="J378" s="8" t="s">
        <v>443</v>
      </c>
      <c r="K378" s="8" t="s">
        <v>445</v>
      </c>
      <c r="L378" s="8" t="str">
        <f>IF(Table1346[[#This Row],[Home Team Score]]&gt;Table1346[[#This Row],[Away Team Score]],"Win",IF(Table1346[[#This Row],[Home Team Score]]=Table1346[[#This Row],[Away Team Score]],"Tie","Lose"))</f>
        <v>Lose</v>
      </c>
      <c r="M378" t="s">
        <v>68</v>
      </c>
      <c r="N378">
        <v>87</v>
      </c>
      <c r="O378" s="3">
        <v>1.3888888888888889E-3</v>
      </c>
      <c r="P378" t="s">
        <v>20</v>
      </c>
      <c r="Q378" t="s">
        <v>222</v>
      </c>
      <c r="R378" t="e">
        <f>IF([1]!Table13[[#This Row],[Goal_assist]]="",1,0)</f>
        <v>#REF!</v>
      </c>
    </row>
    <row r="379" spans="1:18" x14ac:dyDescent="0.35">
      <c r="A379" t="s">
        <v>14</v>
      </c>
      <c r="B379" s="1">
        <v>45606</v>
      </c>
      <c r="C379" t="s">
        <v>65</v>
      </c>
      <c r="D379">
        <v>35</v>
      </c>
      <c r="E379" s="2">
        <v>40670</v>
      </c>
      <c r="F379" t="s">
        <v>24</v>
      </c>
      <c r="G379" t="s">
        <v>112</v>
      </c>
      <c r="H379" t="s">
        <v>105</v>
      </c>
      <c r="I379" s="3">
        <v>8.7499999999999994E-2</v>
      </c>
      <c r="J379" s="8" t="s">
        <v>445</v>
      </c>
      <c r="K379" s="8" t="s">
        <v>450</v>
      </c>
      <c r="L379" s="8" t="str">
        <f>IF(Table1346[[#This Row],[Home Team Score]]&gt;Table1346[[#This Row],[Away Team Score]],"Win",IF(Table1346[[#This Row],[Home Team Score]]=Table1346[[#This Row],[Away Team Score]],"Tie","Lose"))</f>
        <v>Lose</v>
      </c>
      <c r="M379" t="s">
        <v>19</v>
      </c>
      <c r="N379">
        <v>30</v>
      </c>
      <c r="O379" s="3">
        <v>1.3888888888888889E-3</v>
      </c>
      <c r="P379" t="s">
        <v>26</v>
      </c>
      <c r="Q379" t="s">
        <v>182</v>
      </c>
      <c r="R379" t="e">
        <f>IF([1]!Table13[[#This Row],[Goal_assist]]="",1,0)</f>
        <v>#REF!</v>
      </c>
    </row>
    <row r="380" spans="1:18" x14ac:dyDescent="0.35">
      <c r="A380" t="s">
        <v>14</v>
      </c>
      <c r="B380" s="1">
        <v>45606</v>
      </c>
      <c r="C380" t="s">
        <v>65</v>
      </c>
      <c r="D380">
        <v>35</v>
      </c>
      <c r="E380" s="2">
        <v>40670</v>
      </c>
      <c r="F380" t="s">
        <v>24</v>
      </c>
      <c r="G380" t="s">
        <v>112</v>
      </c>
      <c r="H380" t="s">
        <v>105</v>
      </c>
      <c r="I380" s="3">
        <v>8.7499999999999994E-2</v>
      </c>
      <c r="J380" s="8" t="s">
        <v>445</v>
      </c>
      <c r="K380" s="8" t="s">
        <v>450</v>
      </c>
      <c r="L380" s="8" t="str">
        <f>IF(Table1346[[#This Row],[Home Team Score]]&gt;Table1346[[#This Row],[Away Team Score]],"Win",IF(Table1346[[#This Row],[Home Team Score]]=Table1346[[#This Row],[Away Team Score]],"Tie","Lose"))</f>
        <v>Lose</v>
      </c>
      <c r="M380" t="s">
        <v>19</v>
      </c>
      <c r="N380">
        <v>76</v>
      </c>
      <c r="O380" s="3">
        <v>4.583333333333333E-2</v>
      </c>
      <c r="P380" t="s">
        <v>26</v>
      </c>
      <c r="Q380" t="s">
        <v>183</v>
      </c>
      <c r="R380" t="e">
        <f>IF([1]!Table13[[#This Row],[Goal_assist]]="",1,0)</f>
        <v>#REF!</v>
      </c>
    </row>
    <row r="381" spans="1:18" x14ac:dyDescent="0.35">
      <c r="A381" t="s">
        <v>14</v>
      </c>
      <c r="B381" s="1">
        <v>45606</v>
      </c>
      <c r="C381" t="s">
        <v>65</v>
      </c>
      <c r="D381">
        <v>35</v>
      </c>
      <c r="E381" s="2">
        <v>40670</v>
      </c>
      <c r="F381" t="s">
        <v>24</v>
      </c>
      <c r="G381" t="s">
        <v>112</v>
      </c>
      <c r="H381" t="s">
        <v>105</v>
      </c>
      <c r="I381" s="3">
        <v>8.7499999999999994E-2</v>
      </c>
      <c r="J381" s="8" t="s">
        <v>445</v>
      </c>
      <c r="K381" s="8" t="s">
        <v>450</v>
      </c>
      <c r="L381" s="8" t="str">
        <f>IF(Table1346[[#This Row],[Home Team Score]]&gt;Table1346[[#This Row],[Away Team Score]],"Win",IF(Table1346[[#This Row],[Home Team Score]]=Table1346[[#This Row],[Away Team Score]],"Tie","Lose"))</f>
        <v>Lose</v>
      </c>
      <c r="M381" t="s">
        <v>19</v>
      </c>
      <c r="N381">
        <v>64</v>
      </c>
      <c r="O381" s="3">
        <v>4.4444444444444446E-2</v>
      </c>
      <c r="P381" t="s">
        <v>26</v>
      </c>
      <c r="R381" t="e">
        <f>IF([1]!Table13[[#This Row],[Goal_assist]]="",1,0)</f>
        <v>#REF!</v>
      </c>
    </row>
    <row r="382" spans="1:18" x14ac:dyDescent="0.35">
      <c r="A382" t="s">
        <v>14</v>
      </c>
      <c r="B382" s="1">
        <v>45606</v>
      </c>
      <c r="C382" t="s">
        <v>65</v>
      </c>
      <c r="D382">
        <v>35</v>
      </c>
      <c r="E382" s="2">
        <v>40670</v>
      </c>
      <c r="F382" t="s">
        <v>24</v>
      </c>
      <c r="G382" t="s">
        <v>112</v>
      </c>
      <c r="H382" t="s">
        <v>105</v>
      </c>
      <c r="I382" s="3">
        <v>8.7499999999999994E-2</v>
      </c>
      <c r="J382" s="8" t="s">
        <v>445</v>
      </c>
      <c r="K382" s="8" t="s">
        <v>450</v>
      </c>
      <c r="L382" s="8" t="str">
        <f>IF(Table1346[[#This Row],[Home Team Score]]&gt;Table1346[[#This Row],[Away Team Score]],"Win",IF(Table1346[[#This Row],[Home Team Score]]=Table1346[[#This Row],[Away Team Score]],"Tie","Lose"))</f>
        <v>Lose</v>
      </c>
      <c r="M382" t="s">
        <v>19</v>
      </c>
      <c r="N382">
        <v>70</v>
      </c>
      <c r="O382" s="3">
        <v>4.5138888888888888E-2</v>
      </c>
      <c r="P382" t="s">
        <v>26</v>
      </c>
      <c r="Q382" t="s">
        <v>204</v>
      </c>
      <c r="R382" t="e">
        <f>IF([1]!Table13[[#This Row],[Goal_assist]]="",1,0)</f>
        <v>#REF!</v>
      </c>
    </row>
    <row r="383" spans="1:18" x14ac:dyDescent="0.35">
      <c r="A383" t="s">
        <v>14</v>
      </c>
      <c r="B383" s="1">
        <v>45606</v>
      </c>
      <c r="C383" t="s">
        <v>65</v>
      </c>
      <c r="D383">
        <v>36</v>
      </c>
      <c r="E383" s="2">
        <v>40673</v>
      </c>
      <c r="F383" t="s">
        <v>16</v>
      </c>
      <c r="G383" t="s">
        <v>112</v>
      </c>
      <c r="H383" t="s">
        <v>117</v>
      </c>
      <c r="I383" s="3">
        <v>0.16666666666666666</v>
      </c>
      <c r="J383" s="8" t="s">
        <v>446</v>
      </c>
      <c r="K383" s="8" t="s">
        <v>443</v>
      </c>
      <c r="L383" s="8" t="str">
        <f>IF(Table1346[[#This Row],[Home Team Score]]&gt;Table1346[[#This Row],[Away Team Score]],"Win",IF(Table1346[[#This Row],[Home Team Score]]=Table1346[[#This Row],[Away Team Score]],"Tie","Lose"))</f>
        <v>Win</v>
      </c>
      <c r="M383" t="s">
        <v>19</v>
      </c>
      <c r="N383">
        <v>23</v>
      </c>
      <c r="O383" s="3">
        <v>4.1666666666666664E-2</v>
      </c>
      <c r="P383" t="s">
        <v>22</v>
      </c>
      <c r="Q383" t="s">
        <v>204</v>
      </c>
      <c r="R383" t="e">
        <f>IF([1]!Table13[[#This Row],[Goal_assist]]="",1,0)</f>
        <v>#REF!</v>
      </c>
    </row>
    <row r="384" spans="1:18" x14ac:dyDescent="0.35">
      <c r="A384" t="s">
        <v>14</v>
      </c>
      <c r="B384" s="1">
        <v>45606</v>
      </c>
      <c r="C384" t="s">
        <v>65</v>
      </c>
      <c r="D384">
        <v>36</v>
      </c>
      <c r="E384" s="2">
        <v>40673</v>
      </c>
      <c r="F384" t="s">
        <v>16</v>
      </c>
      <c r="G384" t="s">
        <v>112</v>
      </c>
      <c r="H384" t="s">
        <v>117</v>
      </c>
      <c r="I384" s="3">
        <v>0.16666666666666666</v>
      </c>
      <c r="J384" s="8" t="s">
        <v>446</v>
      </c>
      <c r="K384" s="8" t="s">
        <v>443</v>
      </c>
      <c r="L384" s="8" t="str">
        <f>IF(Table1346[[#This Row],[Home Team Score]]&gt;Table1346[[#This Row],[Away Team Score]],"Win",IF(Table1346[[#This Row],[Home Team Score]]=Table1346[[#This Row],[Away Team Score]],"Tie","Lose"))</f>
        <v>Win</v>
      </c>
      <c r="M384" t="s">
        <v>19</v>
      </c>
      <c r="N384" t="s">
        <v>69</v>
      </c>
      <c r="O384" s="3">
        <v>0.16666666666666666</v>
      </c>
      <c r="P384" t="s">
        <v>83</v>
      </c>
      <c r="R384" t="e">
        <f>IF([1]!Table13[[#This Row],[Goal_assist]]="",1,0)</f>
        <v>#REF!</v>
      </c>
    </row>
    <row r="385" spans="1:18" x14ac:dyDescent="0.35">
      <c r="A385" t="s">
        <v>14</v>
      </c>
      <c r="B385" s="1">
        <v>45606</v>
      </c>
      <c r="C385" t="s">
        <v>65</v>
      </c>
      <c r="D385">
        <v>36</v>
      </c>
      <c r="E385" s="2">
        <v>40673</v>
      </c>
      <c r="F385" t="s">
        <v>16</v>
      </c>
      <c r="G385" t="s">
        <v>112</v>
      </c>
      <c r="H385" t="s">
        <v>117</v>
      </c>
      <c r="I385" s="3">
        <v>0.16666666666666666</v>
      </c>
      <c r="J385" s="8" t="s">
        <v>446</v>
      </c>
      <c r="K385" s="8" t="s">
        <v>443</v>
      </c>
      <c r="L385" s="8" t="str">
        <f>IF(Table1346[[#This Row],[Home Team Score]]&gt;Table1346[[#This Row],[Away Team Score]],"Win",IF(Table1346[[#This Row],[Home Team Score]]=Table1346[[#This Row],[Away Team Score]],"Tie","Lose"))</f>
        <v>Win</v>
      </c>
      <c r="M385" t="s">
        <v>19</v>
      </c>
      <c r="N385">
        <v>57</v>
      </c>
      <c r="O385" s="3">
        <v>8.3333333333333329E-2</v>
      </c>
      <c r="P385" t="s">
        <v>31</v>
      </c>
      <c r="Q385" t="s">
        <v>204</v>
      </c>
      <c r="R385" t="e">
        <f>IF([1]!Table13[[#This Row],[Goal_assist]]="",1,0)</f>
        <v>#REF!</v>
      </c>
    </row>
    <row r="386" spans="1:18" x14ac:dyDescent="0.35">
      <c r="A386" t="s">
        <v>14</v>
      </c>
      <c r="B386" s="1">
        <v>45606</v>
      </c>
      <c r="C386" t="s">
        <v>65</v>
      </c>
      <c r="D386">
        <v>37</v>
      </c>
      <c r="E386" s="2">
        <v>40678</v>
      </c>
      <c r="F386" t="s">
        <v>24</v>
      </c>
      <c r="G386" t="s">
        <v>112</v>
      </c>
      <c r="H386" t="s">
        <v>180</v>
      </c>
      <c r="I386" s="3">
        <v>4.3749999999999997E-2</v>
      </c>
      <c r="J386" s="8" t="s">
        <v>444</v>
      </c>
      <c r="K386" s="8" t="s">
        <v>442</v>
      </c>
      <c r="L386" s="8" t="str">
        <f>IF(Table1346[[#This Row],[Home Team Score]]&gt;Table1346[[#This Row],[Away Team Score]],"Win",IF(Table1346[[#This Row],[Home Team Score]]=Table1346[[#This Row],[Away Team Score]],"Tie","Lose"))</f>
        <v>Lose</v>
      </c>
      <c r="M386" t="s">
        <v>68</v>
      </c>
      <c r="N386">
        <v>22</v>
      </c>
      <c r="O386" s="3">
        <v>1.3888888888888889E-3</v>
      </c>
      <c r="P386" t="s">
        <v>39</v>
      </c>
      <c r="R386" t="e">
        <f>IF([1]!Table13[[#This Row],[Goal_assist]]="",1,0)</f>
        <v>#REF!</v>
      </c>
    </row>
    <row r="387" spans="1:18" x14ac:dyDescent="0.35">
      <c r="A387" t="s">
        <v>14</v>
      </c>
      <c r="B387" s="1">
        <v>45606</v>
      </c>
      <c r="C387" t="s">
        <v>65</v>
      </c>
      <c r="D387">
        <v>37</v>
      </c>
      <c r="E387" s="2">
        <v>40678</v>
      </c>
      <c r="F387" t="s">
        <v>24</v>
      </c>
      <c r="G387" t="s">
        <v>112</v>
      </c>
      <c r="H387" t="s">
        <v>180</v>
      </c>
      <c r="I387" s="3">
        <v>4.3749999999999997E-2</v>
      </c>
      <c r="J387" s="8" t="s">
        <v>444</v>
      </c>
      <c r="K387" s="8" t="s">
        <v>442</v>
      </c>
      <c r="L387" s="8" t="str">
        <f>IF(Table1346[[#This Row],[Home Team Score]]&gt;Table1346[[#This Row],[Away Team Score]],"Win",IF(Table1346[[#This Row],[Home Team Score]]=Table1346[[#This Row],[Away Team Score]],"Tie","Lose"))</f>
        <v>Lose</v>
      </c>
      <c r="M387" t="s">
        <v>68</v>
      </c>
      <c r="N387">
        <v>90</v>
      </c>
      <c r="O387" s="3">
        <v>4.3749999999999997E-2</v>
      </c>
      <c r="P387" t="s">
        <v>39</v>
      </c>
      <c r="R387" t="e">
        <f>IF([1]!Table13[[#This Row],[Goal_assist]]="",1,0)</f>
        <v>#REF!</v>
      </c>
    </row>
    <row r="388" spans="1:18" x14ac:dyDescent="0.35">
      <c r="A388" t="s">
        <v>14</v>
      </c>
      <c r="B388" s="1">
        <v>45606</v>
      </c>
      <c r="C388" t="s">
        <v>65</v>
      </c>
      <c r="D388">
        <v>38</v>
      </c>
      <c r="E388" s="2">
        <v>40684</v>
      </c>
      <c r="F388" t="s">
        <v>16</v>
      </c>
      <c r="G388" t="s">
        <v>112</v>
      </c>
      <c r="H388" t="s">
        <v>187</v>
      </c>
      <c r="I388" s="3">
        <v>0.33402777777777776</v>
      </c>
      <c r="J388" s="8" t="s">
        <v>447</v>
      </c>
      <c r="K388" s="8" t="s">
        <v>444</v>
      </c>
      <c r="L388" s="8" t="str">
        <f>IF(Table1346[[#This Row],[Home Team Score]]&gt;Table1346[[#This Row],[Away Team Score]],"Win",IF(Table1346[[#This Row],[Home Team Score]]=Table1346[[#This Row],[Away Team Score]],"Tie","Lose"))</f>
        <v>Win</v>
      </c>
      <c r="M388" t="s">
        <v>19</v>
      </c>
      <c r="N388">
        <v>4</v>
      </c>
      <c r="O388" s="3">
        <v>4.1666666666666664E-2</v>
      </c>
      <c r="P388" t="s">
        <v>26</v>
      </c>
      <c r="Q388" t="s">
        <v>202</v>
      </c>
      <c r="R388" t="e">
        <f>IF([1]!Table13[[#This Row],[Goal_assist]]="",1,0)</f>
        <v>#REF!</v>
      </c>
    </row>
    <row r="389" spans="1:18" x14ac:dyDescent="0.35">
      <c r="A389" t="s">
        <v>14</v>
      </c>
      <c r="B389" s="1">
        <v>45606</v>
      </c>
      <c r="C389" t="s">
        <v>65</v>
      </c>
      <c r="D389">
        <v>38</v>
      </c>
      <c r="E389" s="2">
        <v>40684</v>
      </c>
      <c r="F389" t="s">
        <v>16</v>
      </c>
      <c r="G389" t="s">
        <v>112</v>
      </c>
      <c r="H389" t="s">
        <v>187</v>
      </c>
      <c r="I389" s="3">
        <v>0.33402777777777776</v>
      </c>
      <c r="J389" s="8" t="s">
        <v>447</v>
      </c>
      <c r="K389" s="8" t="s">
        <v>444</v>
      </c>
      <c r="L389" s="8" t="str">
        <f>IF(Table1346[[#This Row],[Home Team Score]]&gt;Table1346[[#This Row],[Away Team Score]],"Win",IF(Table1346[[#This Row],[Home Team Score]]=Table1346[[#This Row],[Away Team Score]],"Tie","Lose"))</f>
        <v>Win</v>
      </c>
      <c r="M389" t="s">
        <v>19</v>
      </c>
      <c r="N389">
        <v>76</v>
      </c>
      <c r="O389" s="3">
        <v>0.29236111111111113</v>
      </c>
      <c r="P389" t="s">
        <v>26</v>
      </c>
      <c r="Q389" t="s">
        <v>202</v>
      </c>
      <c r="R389" t="e">
        <f>IF([1]!Table13[[#This Row],[Goal_assist]]="",1,0)</f>
        <v>#REF!</v>
      </c>
    </row>
    <row r="390" spans="1:18" x14ac:dyDescent="0.35">
      <c r="A390" t="s">
        <v>64</v>
      </c>
      <c r="B390" s="1">
        <v>45606</v>
      </c>
      <c r="C390" t="s">
        <v>75</v>
      </c>
      <c r="D390" t="s">
        <v>46</v>
      </c>
      <c r="E390" s="2">
        <v>40691</v>
      </c>
      <c r="F390" t="s">
        <v>16</v>
      </c>
      <c r="G390" t="s">
        <v>66</v>
      </c>
      <c r="H390" t="s">
        <v>36</v>
      </c>
      <c r="I390" s="3">
        <v>0.12569444444444444</v>
      </c>
      <c r="J390" s="8" t="s">
        <v>442</v>
      </c>
      <c r="K390" s="8" t="s">
        <v>444</v>
      </c>
      <c r="L390" s="8" t="str">
        <f>IF(Table1346[[#This Row],[Home Team Score]]&gt;Table1346[[#This Row],[Away Team Score]],"Win",IF(Table1346[[#This Row],[Home Team Score]]=Table1346[[#This Row],[Away Team Score]],"Tie","Lose"))</f>
        <v>Win</v>
      </c>
      <c r="M390" t="s">
        <v>68</v>
      </c>
      <c r="N390">
        <v>54</v>
      </c>
      <c r="O390" s="3">
        <v>8.4027777777777785E-2</v>
      </c>
      <c r="P390" t="s">
        <v>31</v>
      </c>
      <c r="Q390" t="s">
        <v>99</v>
      </c>
      <c r="R390" t="e">
        <f>IF([1]!Table13[[#This Row],[Goal_assist]]="",1,0)</f>
        <v>#REF!</v>
      </c>
    </row>
    <row r="391" spans="1:18" x14ac:dyDescent="0.35">
      <c r="A391" t="s">
        <v>64</v>
      </c>
      <c r="B391" s="1">
        <v>45637</v>
      </c>
      <c r="C391" t="s">
        <v>172</v>
      </c>
      <c r="D391" t="s">
        <v>173</v>
      </c>
      <c r="E391" s="2">
        <v>40769</v>
      </c>
      <c r="F391" t="s">
        <v>24</v>
      </c>
      <c r="G391" t="s">
        <v>66</v>
      </c>
      <c r="H391" t="s">
        <v>112</v>
      </c>
      <c r="I391" s="3">
        <v>8.4722222222222227E-2</v>
      </c>
      <c r="J391" s="8" t="s">
        <v>445</v>
      </c>
      <c r="K391" s="8" t="s">
        <v>445</v>
      </c>
      <c r="L391" s="8" t="str">
        <f>IF(Table1346[[#This Row],[Home Team Score]]&gt;Table1346[[#This Row],[Away Team Score]],"Win",IF(Table1346[[#This Row],[Home Team Score]]=Table1346[[#This Row],[Away Team Score]],"Tie","Lose"))</f>
        <v>Tie</v>
      </c>
      <c r="M391" t="s">
        <v>68</v>
      </c>
      <c r="N391">
        <v>45</v>
      </c>
      <c r="O391" s="3">
        <v>4.3055555555555555E-2</v>
      </c>
      <c r="P391" t="s">
        <v>31</v>
      </c>
      <c r="Q391" t="s">
        <v>213</v>
      </c>
      <c r="R391" t="e">
        <f>IF([1]!Table13[[#This Row],[Goal_assist]]="",1,0)</f>
        <v>#REF!</v>
      </c>
    </row>
    <row r="392" spans="1:18" x14ac:dyDescent="0.35">
      <c r="A392" t="s">
        <v>64</v>
      </c>
      <c r="B392" s="1">
        <v>45637</v>
      </c>
      <c r="C392" t="s">
        <v>172</v>
      </c>
      <c r="D392" t="s">
        <v>173</v>
      </c>
      <c r="E392" s="2">
        <v>40772</v>
      </c>
      <c r="F392" t="s">
        <v>16</v>
      </c>
      <c r="G392" t="s">
        <v>66</v>
      </c>
      <c r="H392" t="s">
        <v>112</v>
      </c>
      <c r="I392" s="3">
        <v>0.12638888888888888</v>
      </c>
      <c r="J392" s="8" t="s">
        <v>442</v>
      </c>
      <c r="K392" s="8" t="s">
        <v>445</v>
      </c>
      <c r="L392" s="8" t="str">
        <f>IF(Table1346[[#This Row],[Home Team Score]]&gt;Table1346[[#This Row],[Away Team Score]],"Win",IF(Table1346[[#This Row],[Home Team Score]]=Table1346[[#This Row],[Away Team Score]],"Tie","Lose"))</f>
        <v>Win</v>
      </c>
      <c r="M392" t="s">
        <v>68</v>
      </c>
      <c r="N392">
        <v>88</v>
      </c>
      <c r="O392" s="3">
        <v>0.12638888888888888</v>
      </c>
      <c r="P392" t="s">
        <v>31</v>
      </c>
      <c r="Q392" t="s">
        <v>215</v>
      </c>
      <c r="R392" t="e">
        <f>IF([1]!Table13[[#This Row],[Goal_assist]]="",1,0)</f>
        <v>#REF!</v>
      </c>
    </row>
    <row r="393" spans="1:18" x14ac:dyDescent="0.35">
      <c r="A393" t="s">
        <v>64</v>
      </c>
      <c r="B393" s="1">
        <v>45637</v>
      </c>
      <c r="C393" t="s">
        <v>172</v>
      </c>
      <c r="D393" t="s">
        <v>173</v>
      </c>
      <c r="E393" s="2">
        <v>40772</v>
      </c>
      <c r="F393" t="s">
        <v>16</v>
      </c>
      <c r="G393" t="s">
        <v>66</v>
      </c>
      <c r="H393" t="s">
        <v>112</v>
      </c>
      <c r="I393" s="3">
        <v>0.12638888888888888</v>
      </c>
      <c r="J393" s="8" t="s">
        <v>442</v>
      </c>
      <c r="K393" s="8" t="s">
        <v>445</v>
      </c>
      <c r="L393" s="8" t="str">
        <f>IF(Table1346[[#This Row],[Home Team Score]]&gt;Table1346[[#This Row],[Away Team Score]],"Win",IF(Table1346[[#This Row],[Home Team Score]]=Table1346[[#This Row],[Away Team Score]],"Tie","Lose"))</f>
        <v>Win</v>
      </c>
      <c r="M393" t="s">
        <v>68</v>
      </c>
      <c r="N393">
        <v>44</v>
      </c>
      <c r="O393" s="3">
        <v>8.4027777777777785E-2</v>
      </c>
      <c r="P393" t="s">
        <v>26</v>
      </c>
      <c r="Q393" t="s">
        <v>166</v>
      </c>
      <c r="R393" t="e">
        <f>IF([1]!Table13[[#This Row],[Goal_assist]]="",1,0)</f>
        <v>#REF!</v>
      </c>
    </row>
    <row r="394" spans="1:18" x14ac:dyDescent="0.35">
      <c r="A394" t="s">
        <v>14</v>
      </c>
      <c r="B394" s="1">
        <v>45637</v>
      </c>
      <c r="C394" t="s">
        <v>172</v>
      </c>
      <c r="D394" t="s">
        <v>173</v>
      </c>
      <c r="E394" s="2">
        <v>40772</v>
      </c>
      <c r="F394" t="s">
        <v>24</v>
      </c>
      <c r="G394" t="s">
        <v>112</v>
      </c>
      <c r="H394" t="s">
        <v>66</v>
      </c>
      <c r="I394" s="3">
        <v>0.12638888888888888</v>
      </c>
      <c r="J394" s="8" t="s">
        <v>442</v>
      </c>
      <c r="K394" s="8" t="s">
        <v>445</v>
      </c>
      <c r="L394" s="8" t="str">
        <f>IF(Table1346[[#This Row],[Home Team Score]]&gt;Table1346[[#This Row],[Away Team Score]],"Win",IF(Table1346[[#This Row],[Home Team Score]]=Table1346[[#This Row],[Away Team Score]],"Tie","Lose"))</f>
        <v>Win</v>
      </c>
      <c r="M394" t="s">
        <v>19</v>
      </c>
      <c r="N394">
        <v>20</v>
      </c>
      <c r="O394" s="3">
        <v>4.2361111111111113E-2</v>
      </c>
      <c r="P394" t="s">
        <v>26</v>
      </c>
      <c r="Q394" t="s">
        <v>183</v>
      </c>
      <c r="R394" t="e">
        <f>IF([1]!Table13[[#This Row],[Goal_assist]]="",1,0)</f>
        <v>#REF!</v>
      </c>
    </row>
    <row r="395" spans="1:18" x14ac:dyDescent="0.35">
      <c r="A395" t="s">
        <v>64</v>
      </c>
      <c r="B395" s="1">
        <v>45637</v>
      </c>
      <c r="C395" t="s">
        <v>223</v>
      </c>
      <c r="D395" t="s">
        <v>46</v>
      </c>
      <c r="E395" s="2">
        <v>40781</v>
      </c>
      <c r="F395" t="s">
        <v>16</v>
      </c>
      <c r="G395" t="s">
        <v>66</v>
      </c>
      <c r="H395" t="s">
        <v>169</v>
      </c>
      <c r="I395" s="3">
        <v>8.3333333333333329E-2</v>
      </c>
      <c r="J395" s="8" t="s">
        <v>445</v>
      </c>
      <c r="K395" s="8" t="s">
        <v>443</v>
      </c>
      <c r="L395" s="8" t="str">
        <f>IF(Table1346[[#This Row],[Home Team Score]]&gt;Table1346[[#This Row],[Away Team Score]],"Win",IF(Table1346[[#This Row],[Home Team Score]]=Table1346[[#This Row],[Away Team Score]],"Tie","Lose"))</f>
        <v>Win</v>
      </c>
      <c r="M395" t="s">
        <v>68</v>
      </c>
      <c r="N395">
        <v>39</v>
      </c>
      <c r="O395" s="3">
        <v>4.1666666666666664E-2</v>
      </c>
      <c r="P395" t="s">
        <v>31</v>
      </c>
      <c r="R395" t="e">
        <f>IF([1]!Table13[[#This Row],[Goal_assist]]="",1,0)</f>
        <v>#REF!</v>
      </c>
    </row>
    <row r="396" spans="1:18" x14ac:dyDescent="0.35">
      <c r="A396" t="s">
        <v>14</v>
      </c>
      <c r="B396" s="1">
        <v>45637</v>
      </c>
      <c r="C396" t="s">
        <v>65</v>
      </c>
      <c r="D396">
        <v>2</v>
      </c>
      <c r="E396" s="2">
        <v>40783</v>
      </c>
      <c r="F396" t="s">
        <v>24</v>
      </c>
      <c r="G396" t="s">
        <v>112</v>
      </c>
      <c r="H396" t="s">
        <v>93</v>
      </c>
      <c r="I396" s="3">
        <v>4.1666666666666666E-3</v>
      </c>
      <c r="J396" s="8" t="s">
        <v>443</v>
      </c>
      <c r="K396" s="8" t="s">
        <v>450</v>
      </c>
      <c r="L396" s="8" t="str">
        <f>IF(Table1346[[#This Row],[Home Team Score]]&gt;Table1346[[#This Row],[Away Team Score]],"Win",IF(Table1346[[#This Row],[Home Team Score]]=Table1346[[#This Row],[Away Team Score]],"Tie","Lose"))</f>
        <v>Lose</v>
      </c>
      <c r="M396" t="s">
        <v>19</v>
      </c>
      <c r="N396">
        <v>23</v>
      </c>
      <c r="O396" s="3">
        <v>6.9444444444444447E-4</v>
      </c>
      <c r="P396" t="s">
        <v>31</v>
      </c>
      <c r="Q396" t="s">
        <v>204</v>
      </c>
      <c r="R396" t="e">
        <f>IF([1]!Table13[[#This Row],[Goal_assist]]="",1,0)</f>
        <v>#REF!</v>
      </c>
    </row>
    <row r="397" spans="1:18" x14ac:dyDescent="0.35">
      <c r="A397" t="s">
        <v>14</v>
      </c>
      <c r="B397" s="1">
        <v>45637</v>
      </c>
      <c r="C397" t="s">
        <v>65</v>
      </c>
      <c r="D397">
        <v>2</v>
      </c>
      <c r="E397" s="2">
        <v>40783</v>
      </c>
      <c r="F397" t="s">
        <v>24</v>
      </c>
      <c r="G397" t="s">
        <v>112</v>
      </c>
      <c r="H397" t="s">
        <v>93</v>
      </c>
      <c r="I397" s="3">
        <v>4.1666666666666666E-3</v>
      </c>
      <c r="J397" s="8" t="s">
        <v>443</v>
      </c>
      <c r="K397" s="8" t="s">
        <v>450</v>
      </c>
      <c r="L397" s="8" t="str">
        <f>IF(Table1346[[#This Row],[Home Team Score]]&gt;Table1346[[#This Row],[Away Team Score]],"Win",IF(Table1346[[#This Row],[Home Team Score]]=Table1346[[#This Row],[Away Team Score]],"Tie","Lose"))</f>
        <v>Lose</v>
      </c>
      <c r="M397" t="s">
        <v>19</v>
      </c>
      <c r="N397">
        <v>70</v>
      </c>
      <c r="O397" s="3">
        <v>2.7777777777777779E-3</v>
      </c>
      <c r="P397" t="s">
        <v>26</v>
      </c>
      <c r="Q397" t="s">
        <v>207</v>
      </c>
      <c r="R397" t="e">
        <f>IF([1]!Table13[[#This Row],[Goal_assist]]="",1,0)</f>
        <v>#REF!</v>
      </c>
    </row>
    <row r="398" spans="1:18" x14ac:dyDescent="0.35">
      <c r="A398" t="s">
        <v>14</v>
      </c>
      <c r="B398" s="1">
        <v>45637</v>
      </c>
      <c r="C398" t="s">
        <v>65</v>
      </c>
      <c r="D398">
        <v>2</v>
      </c>
      <c r="E398" s="2">
        <v>40783</v>
      </c>
      <c r="F398" t="s">
        <v>24</v>
      </c>
      <c r="G398" t="s">
        <v>112</v>
      </c>
      <c r="H398" t="s">
        <v>93</v>
      </c>
      <c r="I398" s="3">
        <v>4.1666666666666666E-3</v>
      </c>
      <c r="J398" s="8" t="s">
        <v>443</v>
      </c>
      <c r="K398" s="8" t="s">
        <v>450</v>
      </c>
      <c r="L398" s="8" t="str">
        <f>IF(Table1346[[#This Row],[Home Team Score]]&gt;Table1346[[#This Row],[Away Team Score]],"Win",IF(Table1346[[#This Row],[Home Team Score]]=Table1346[[#This Row],[Away Team Score]],"Tie","Lose"))</f>
        <v>Lose</v>
      </c>
      <c r="M398" t="s">
        <v>19</v>
      </c>
      <c r="N398">
        <v>86</v>
      </c>
      <c r="O398" s="3">
        <v>4.1666666666666666E-3</v>
      </c>
      <c r="P398" t="s">
        <v>26</v>
      </c>
      <c r="Q398" t="s">
        <v>198</v>
      </c>
      <c r="R398" t="e">
        <f>IF([1]!Table13[[#This Row],[Goal_assist]]="",1,0)</f>
        <v>#REF!</v>
      </c>
    </row>
    <row r="399" spans="1:18" x14ac:dyDescent="0.35">
      <c r="A399" t="s">
        <v>64</v>
      </c>
      <c r="B399" s="1">
        <v>45637</v>
      </c>
      <c r="C399" t="s">
        <v>65</v>
      </c>
      <c r="D399">
        <v>2</v>
      </c>
      <c r="E399" s="2">
        <v>40784</v>
      </c>
      <c r="F399" t="s">
        <v>16</v>
      </c>
      <c r="G399" t="s">
        <v>66</v>
      </c>
      <c r="H399" t="s">
        <v>180</v>
      </c>
      <c r="I399" s="3">
        <v>0.20833333333333334</v>
      </c>
      <c r="J399" s="8" t="s">
        <v>448</v>
      </c>
      <c r="K399" s="8" t="s">
        <v>443</v>
      </c>
      <c r="L399" s="8" t="str">
        <f>IF(Table1346[[#This Row],[Home Team Score]]&gt;Table1346[[#This Row],[Away Team Score]],"Win",IF(Table1346[[#This Row],[Home Team Score]]=Table1346[[#This Row],[Away Team Score]],"Tie","Lose"))</f>
        <v>Win</v>
      </c>
      <c r="M399" t="s">
        <v>68</v>
      </c>
      <c r="N399">
        <v>74</v>
      </c>
      <c r="O399" s="3">
        <v>0.20833333333333334</v>
      </c>
      <c r="P399" t="s">
        <v>31</v>
      </c>
      <c r="Q399" t="s">
        <v>213</v>
      </c>
      <c r="R399" t="e">
        <f>IF([1]!Table13[[#This Row],[Goal_assist]]="",1,0)</f>
        <v>#REF!</v>
      </c>
    </row>
    <row r="400" spans="1:18" x14ac:dyDescent="0.35">
      <c r="A400" t="s">
        <v>64</v>
      </c>
      <c r="B400" s="1">
        <v>45637</v>
      </c>
      <c r="C400" t="s">
        <v>65</v>
      </c>
      <c r="D400">
        <v>2</v>
      </c>
      <c r="E400" s="2">
        <v>40784</v>
      </c>
      <c r="F400" t="s">
        <v>16</v>
      </c>
      <c r="G400" t="s">
        <v>66</v>
      </c>
      <c r="H400" t="s">
        <v>180</v>
      </c>
      <c r="I400" s="3">
        <v>0.20833333333333334</v>
      </c>
      <c r="J400" s="8" t="s">
        <v>448</v>
      </c>
      <c r="K400" s="8" t="s">
        <v>443</v>
      </c>
      <c r="L400" s="8" t="str">
        <f>IF(Table1346[[#This Row],[Home Team Score]]&gt;Table1346[[#This Row],[Away Team Score]],"Win",IF(Table1346[[#This Row],[Home Team Score]]=Table1346[[#This Row],[Away Team Score]],"Tie","Lose"))</f>
        <v>Win</v>
      </c>
      <c r="M400" t="s">
        <v>68</v>
      </c>
      <c r="N400">
        <v>51</v>
      </c>
      <c r="O400" s="3">
        <v>0.16666666666666666</v>
      </c>
      <c r="P400" t="s">
        <v>26</v>
      </c>
      <c r="Q400" t="s">
        <v>99</v>
      </c>
      <c r="R400" t="e">
        <f>IF([1]!Table13[[#This Row],[Goal_assist]]="",1,0)</f>
        <v>#REF!</v>
      </c>
    </row>
    <row r="401" spans="1:18" x14ac:dyDescent="0.35">
      <c r="A401" t="s">
        <v>14</v>
      </c>
      <c r="B401" s="1">
        <v>45637</v>
      </c>
      <c r="C401" t="s">
        <v>65</v>
      </c>
      <c r="D401">
        <v>3</v>
      </c>
      <c r="E401" s="2">
        <v>40796</v>
      </c>
      <c r="F401" t="s">
        <v>16</v>
      </c>
      <c r="G401" t="s">
        <v>112</v>
      </c>
      <c r="H401" t="s">
        <v>117</v>
      </c>
      <c r="I401" s="3">
        <v>0.16805555555555557</v>
      </c>
      <c r="J401" s="8" t="s">
        <v>446</v>
      </c>
      <c r="K401" s="8" t="s">
        <v>445</v>
      </c>
      <c r="L401" s="8" t="str">
        <f>IF(Table1346[[#This Row],[Home Team Score]]&gt;Table1346[[#This Row],[Away Team Score]],"Win",IF(Table1346[[#This Row],[Home Team Score]]=Table1346[[#This Row],[Away Team Score]],"Tie","Lose"))</f>
        <v>Win</v>
      </c>
      <c r="M401" t="s">
        <v>19</v>
      </c>
      <c r="N401">
        <v>59</v>
      </c>
      <c r="O401" s="3">
        <v>8.4027777777777785E-2</v>
      </c>
      <c r="P401" t="s">
        <v>83</v>
      </c>
      <c r="R401" t="e">
        <f>IF([1]!Table13[[#This Row],[Goal_assist]]="",1,0)</f>
        <v>#REF!</v>
      </c>
    </row>
    <row r="402" spans="1:18" x14ac:dyDescent="0.35">
      <c r="A402" t="s">
        <v>64</v>
      </c>
      <c r="B402" s="1">
        <v>45637</v>
      </c>
      <c r="C402" t="s">
        <v>65</v>
      </c>
      <c r="D402">
        <v>4</v>
      </c>
      <c r="E402" s="2">
        <v>40803</v>
      </c>
      <c r="F402" t="s">
        <v>16</v>
      </c>
      <c r="G402" t="s">
        <v>66</v>
      </c>
      <c r="H402" t="s">
        <v>100</v>
      </c>
      <c r="I402" s="3">
        <v>0.33333333333333331</v>
      </c>
      <c r="J402" s="8" t="s">
        <v>447</v>
      </c>
      <c r="K402" s="8" t="s">
        <v>443</v>
      </c>
      <c r="L402" s="8" t="str">
        <f>IF(Table1346[[#This Row],[Home Team Score]]&gt;Table1346[[#This Row],[Away Team Score]],"Win",IF(Table1346[[#This Row],[Home Team Score]]=Table1346[[#This Row],[Away Team Score]],"Tie","Lose"))</f>
        <v>Win</v>
      </c>
      <c r="M402" t="s">
        <v>68</v>
      </c>
      <c r="N402">
        <v>79</v>
      </c>
      <c r="O402" s="3">
        <v>0.33333333333333331</v>
      </c>
      <c r="P402" t="s">
        <v>31</v>
      </c>
      <c r="Q402" t="s">
        <v>224</v>
      </c>
      <c r="R402" t="e">
        <f>IF([1]!Table13[[#This Row],[Goal_assist]]="",1,0)</f>
        <v>#REF!</v>
      </c>
    </row>
    <row r="403" spans="1:18" x14ac:dyDescent="0.35">
      <c r="A403" t="s">
        <v>64</v>
      </c>
      <c r="B403" s="1">
        <v>45637</v>
      </c>
      <c r="C403" t="s">
        <v>65</v>
      </c>
      <c r="D403">
        <v>4</v>
      </c>
      <c r="E403" s="2">
        <v>40803</v>
      </c>
      <c r="F403" t="s">
        <v>16</v>
      </c>
      <c r="G403" t="s">
        <v>66</v>
      </c>
      <c r="H403" t="s">
        <v>100</v>
      </c>
      <c r="I403" s="3">
        <v>0.33333333333333331</v>
      </c>
      <c r="J403" s="8" t="s">
        <v>447</v>
      </c>
      <c r="K403" s="8" t="s">
        <v>443</v>
      </c>
      <c r="L403" s="8" t="str">
        <f>IF(Table1346[[#This Row],[Home Team Score]]&gt;Table1346[[#This Row],[Away Team Score]],"Win",IF(Table1346[[#This Row],[Home Team Score]]=Table1346[[#This Row],[Away Team Score]],"Tie","Lose"))</f>
        <v>Win</v>
      </c>
      <c r="M403" t="s">
        <v>68</v>
      </c>
      <c r="N403">
        <v>5</v>
      </c>
      <c r="O403" s="3">
        <v>4.1666666666666664E-2</v>
      </c>
      <c r="P403" t="s">
        <v>31</v>
      </c>
      <c r="Q403" t="s">
        <v>155</v>
      </c>
      <c r="R403" t="e">
        <f>IF([1]!Table13[[#This Row],[Goal_assist]]="",1,0)</f>
        <v>#REF!</v>
      </c>
    </row>
    <row r="404" spans="1:18" x14ac:dyDescent="0.35">
      <c r="A404" t="s">
        <v>64</v>
      </c>
      <c r="B404" s="1">
        <v>45637</v>
      </c>
      <c r="C404" t="s">
        <v>65</v>
      </c>
      <c r="D404">
        <v>4</v>
      </c>
      <c r="E404" s="2">
        <v>40803</v>
      </c>
      <c r="F404" t="s">
        <v>16</v>
      </c>
      <c r="G404" t="s">
        <v>66</v>
      </c>
      <c r="H404" t="s">
        <v>100</v>
      </c>
      <c r="I404" s="3">
        <v>0.33333333333333331</v>
      </c>
      <c r="J404" s="8" t="s">
        <v>447</v>
      </c>
      <c r="K404" s="8" t="s">
        <v>443</v>
      </c>
      <c r="L404" s="8" t="str">
        <f>IF(Table1346[[#This Row],[Home Team Score]]&gt;Table1346[[#This Row],[Away Team Score]],"Win",IF(Table1346[[#This Row],[Home Team Score]]=Table1346[[#This Row],[Away Team Score]],"Tie","Lose"))</f>
        <v>Win</v>
      </c>
      <c r="M404" t="s">
        <v>68</v>
      </c>
      <c r="N404">
        <v>41</v>
      </c>
      <c r="O404" s="3">
        <v>0.20833333333333334</v>
      </c>
      <c r="P404" t="s">
        <v>31</v>
      </c>
      <c r="Q404" t="s">
        <v>224</v>
      </c>
      <c r="R404" t="e">
        <f>IF([1]!Table13[[#This Row],[Goal_assist]]="",1,0)</f>
        <v>#REF!</v>
      </c>
    </row>
    <row r="405" spans="1:18" x14ac:dyDescent="0.35">
      <c r="A405" t="s">
        <v>64</v>
      </c>
      <c r="B405" s="1">
        <v>45637</v>
      </c>
      <c r="C405" t="s">
        <v>65</v>
      </c>
      <c r="D405">
        <v>6</v>
      </c>
      <c r="E405" s="2">
        <v>40810</v>
      </c>
      <c r="F405" t="s">
        <v>16</v>
      </c>
      <c r="G405" t="s">
        <v>66</v>
      </c>
      <c r="H405" t="s">
        <v>119</v>
      </c>
      <c r="I405" s="3">
        <v>0.20833333333333334</v>
      </c>
      <c r="J405" s="8" t="s">
        <v>448</v>
      </c>
      <c r="K405" s="8" t="s">
        <v>443</v>
      </c>
      <c r="L405" s="8" t="str">
        <f>IF(Table1346[[#This Row],[Home Team Score]]&gt;Table1346[[#This Row],[Away Team Score]],"Win",IF(Table1346[[#This Row],[Home Team Score]]=Table1346[[#This Row],[Away Team Score]],"Tie","Lose"))</f>
        <v>Win</v>
      </c>
      <c r="M405" t="s">
        <v>68</v>
      </c>
      <c r="N405">
        <v>26</v>
      </c>
      <c r="O405" s="3">
        <v>0.125</v>
      </c>
      <c r="P405" t="s">
        <v>31</v>
      </c>
      <c r="Q405" t="s">
        <v>186</v>
      </c>
      <c r="R405" t="e">
        <f>IF([1]!Table13[[#This Row],[Goal_assist]]="",1,0)</f>
        <v>#REF!</v>
      </c>
    </row>
    <row r="406" spans="1:18" x14ac:dyDescent="0.35">
      <c r="A406" t="s">
        <v>14</v>
      </c>
      <c r="B406" s="1">
        <v>45637</v>
      </c>
      <c r="C406" t="s">
        <v>65</v>
      </c>
      <c r="D406">
        <v>6</v>
      </c>
      <c r="E406" s="2">
        <v>40810</v>
      </c>
      <c r="F406" t="s">
        <v>16</v>
      </c>
      <c r="G406" t="s">
        <v>112</v>
      </c>
      <c r="H406" t="s">
        <v>225</v>
      </c>
      <c r="I406" s="3">
        <v>0.25138888888888888</v>
      </c>
      <c r="J406" s="8" t="s">
        <v>450</v>
      </c>
      <c r="K406" s="8" t="s">
        <v>445</v>
      </c>
      <c r="L406" s="8" t="str">
        <f>IF(Table1346[[#This Row],[Home Team Score]]&gt;Table1346[[#This Row],[Away Team Score]],"Win",IF(Table1346[[#This Row],[Home Team Score]]=Table1346[[#This Row],[Away Team Score]],"Tie","Lose"))</f>
        <v>Win</v>
      </c>
      <c r="M406" t="s">
        <v>19</v>
      </c>
      <c r="N406">
        <v>51</v>
      </c>
      <c r="O406" s="3">
        <v>0.12569444444444444</v>
      </c>
      <c r="P406" t="s">
        <v>83</v>
      </c>
      <c r="R406" t="e">
        <f>IF([1]!Table13[[#This Row],[Goal_assist]]="",1,0)</f>
        <v>#REF!</v>
      </c>
    </row>
    <row r="407" spans="1:18" x14ac:dyDescent="0.35">
      <c r="A407" t="s">
        <v>64</v>
      </c>
      <c r="B407" s="1">
        <v>45637</v>
      </c>
      <c r="C407" t="s">
        <v>65</v>
      </c>
      <c r="D407">
        <v>6</v>
      </c>
      <c r="E407" s="2">
        <v>40810</v>
      </c>
      <c r="F407" t="s">
        <v>16</v>
      </c>
      <c r="G407" t="s">
        <v>66</v>
      </c>
      <c r="H407" t="s">
        <v>119</v>
      </c>
      <c r="I407" s="3">
        <v>0.20833333333333334</v>
      </c>
      <c r="J407" s="8" t="s">
        <v>448</v>
      </c>
      <c r="K407" s="8" t="s">
        <v>443</v>
      </c>
      <c r="L407" s="8" t="str">
        <f>IF(Table1346[[#This Row],[Home Team Score]]&gt;Table1346[[#This Row],[Away Team Score]],"Win",IF(Table1346[[#This Row],[Home Team Score]]=Table1346[[#This Row],[Away Team Score]],"Tie","Lose"))</f>
        <v>Win</v>
      </c>
      <c r="M407" t="s">
        <v>68</v>
      </c>
      <c r="N407">
        <v>78</v>
      </c>
      <c r="O407" s="3">
        <v>0.16666666666666666</v>
      </c>
      <c r="P407" t="s">
        <v>31</v>
      </c>
      <c r="Q407" t="s">
        <v>155</v>
      </c>
      <c r="R407" t="e">
        <f>IF([1]!Table13[[#This Row],[Goal_assist]]="",1,0)</f>
        <v>#REF!</v>
      </c>
    </row>
    <row r="408" spans="1:18" x14ac:dyDescent="0.35">
      <c r="A408" t="s">
        <v>64</v>
      </c>
      <c r="B408" s="1">
        <v>45637</v>
      </c>
      <c r="C408" t="s">
        <v>65</v>
      </c>
      <c r="D408">
        <v>6</v>
      </c>
      <c r="E408" s="2">
        <v>40810</v>
      </c>
      <c r="F408" t="s">
        <v>16</v>
      </c>
      <c r="G408" t="s">
        <v>66</v>
      </c>
      <c r="H408" t="s">
        <v>119</v>
      </c>
      <c r="I408" s="3">
        <v>0.20833333333333334</v>
      </c>
      <c r="J408" s="8" t="s">
        <v>448</v>
      </c>
      <c r="K408" s="8" t="s">
        <v>443</v>
      </c>
      <c r="L408" s="8" t="str">
        <f>IF(Table1346[[#This Row],[Home Team Score]]&gt;Table1346[[#This Row],[Away Team Score]],"Win",IF(Table1346[[#This Row],[Home Team Score]]=Table1346[[#This Row],[Away Team Score]],"Tie","Lose"))</f>
        <v>Win</v>
      </c>
      <c r="M408" t="s">
        <v>68</v>
      </c>
      <c r="N408" t="s">
        <v>69</v>
      </c>
      <c r="O408" s="3">
        <v>0.20833333333333334</v>
      </c>
      <c r="P408" t="s">
        <v>31</v>
      </c>
      <c r="Q408" t="s">
        <v>208</v>
      </c>
      <c r="R408" t="e">
        <f>IF([1]!Table13[[#This Row],[Goal_assist]]="",1,0)</f>
        <v>#REF!</v>
      </c>
    </row>
    <row r="409" spans="1:18" x14ac:dyDescent="0.35">
      <c r="A409" t="s">
        <v>14</v>
      </c>
      <c r="B409" s="1">
        <v>45637</v>
      </c>
      <c r="C409" t="s">
        <v>65</v>
      </c>
      <c r="D409">
        <v>6</v>
      </c>
      <c r="E409" s="2">
        <v>40810</v>
      </c>
      <c r="F409" t="s">
        <v>16</v>
      </c>
      <c r="G409" t="s">
        <v>112</v>
      </c>
      <c r="H409" t="s">
        <v>225</v>
      </c>
      <c r="I409" s="3">
        <v>0.25138888888888888</v>
      </c>
      <c r="J409" s="8" t="s">
        <v>450</v>
      </c>
      <c r="K409" s="8" t="s">
        <v>445</v>
      </c>
      <c r="L409" s="8" t="str">
        <f>IF(Table1346[[#This Row],[Home Team Score]]&gt;Table1346[[#This Row],[Away Team Score]],"Win",IF(Table1346[[#This Row],[Home Team Score]]=Table1346[[#This Row],[Away Team Score]],"Tie","Lose"))</f>
        <v>Win</v>
      </c>
      <c r="M409" t="s">
        <v>19</v>
      </c>
      <c r="N409">
        <v>39</v>
      </c>
      <c r="O409" s="3">
        <v>4.2361111111111113E-2</v>
      </c>
      <c r="P409" t="s">
        <v>31</v>
      </c>
      <c r="Q409" t="s">
        <v>198</v>
      </c>
      <c r="R409" t="e">
        <f>IF([1]!Table13[[#This Row],[Goal_assist]]="",1,0)</f>
        <v>#REF!</v>
      </c>
    </row>
    <row r="410" spans="1:18" x14ac:dyDescent="0.35">
      <c r="A410" t="s">
        <v>14</v>
      </c>
      <c r="B410" s="1">
        <v>45637</v>
      </c>
      <c r="C410" t="s">
        <v>65</v>
      </c>
      <c r="D410">
        <v>6</v>
      </c>
      <c r="E410" s="2">
        <v>40810</v>
      </c>
      <c r="F410" t="s">
        <v>16</v>
      </c>
      <c r="G410" t="s">
        <v>112</v>
      </c>
      <c r="H410" t="s">
        <v>225</v>
      </c>
      <c r="I410" s="3">
        <v>0.25138888888888888</v>
      </c>
      <c r="J410" s="8" t="s">
        <v>450</v>
      </c>
      <c r="K410" s="8" t="s">
        <v>445</v>
      </c>
      <c r="L410" s="8" t="str">
        <f>IF(Table1346[[#This Row],[Home Team Score]]&gt;Table1346[[#This Row],[Away Team Score]],"Win",IF(Table1346[[#This Row],[Home Team Score]]=Table1346[[#This Row],[Away Team Score]],"Tie","Lose"))</f>
        <v>Win</v>
      </c>
      <c r="M410" t="s">
        <v>19</v>
      </c>
      <c r="N410">
        <v>84</v>
      </c>
      <c r="O410" s="3">
        <v>0.25138888888888888</v>
      </c>
      <c r="P410" t="s">
        <v>83</v>
      </c>
      <c r="R410" t="e">
        <f>IF([1]!Table13[[#This Row],[Goal_assist]]="",1,0)</f>
        <v>#REF!</v>
      </c>
    </row>
    <row r="411" spans="1:18" x14ac:dyDescent="0.35">
      <c r="A411" t="s">
        <v>14</v>
      </c>
      <c r="B411" s="1">
        <v>45637</v>
      </c>
      <c r="C411" t="s">
        <v>75</v>
      </c>
      <c r="D411" t="s">
        <v>76</v>
      </c>
      <c r="E411" s="2">
        <v>40813</v>
      </c>
      <c r="F411" t="s">
        <v>16</v>
      </c>
      <c r="G411" t="s">
        <v>112</v>
      </c>
      <c r="H411" t="s">
        <v>214</v>
      </c>
      <c r="I411" s="3">
        <v>0.125</v>
      </c>
      <c r="J411" s="8" t="s">
        <v>442</v>
      </c>
      <c r="K411" s="8" t="s">
        <v>443</v>
      </c>
      <c r="L411" s="8" t="str">
        <f>IF(Table1346[[#This Row],[Home Team Score]]&gt;Table1346[[#This Row],[Away Team Score]],"Win",IF(Table1346[[#This Row],[Home Team Score]]=Table1346[[#This Row],[Away Team Score]],"Tie","Lose"))</f>
        <v>Win</v>
      </c>
      <c r="M411" t="s">
        <v>19</v>
      </c>
      <c r="N411">
        <v>25</v>
      </c>
      <c r="O411" s="3">
        <v>4.1666666666666664E-2</v>
      </c>
      <c r="P411" t="s">
        <v>26</v>
      </c>
      <c r="Q411" t="s">
        <v>183</v>
      </c>
      <c r="R411" t="e">
        <f>IF([1]!Table13[[#This Row],[Goal_assist]]="",1,0)</f>
        <v>#REF!</v>
      </c>
    </row>
    <row r="412" spans="1:18" x14ac:dyDescent="0.35">
      <c r="A412" t="s">
        <v>64</v>
      </c>
      <c r="B412" s="1">
        <v>45637</v>
      </c>
      <c r="C412" t="s">
        <v>75</v>
      </c>
      <c r="D412" t="s">
        <v>76</v>
      </c>
      <c r="E412" s="2">
        <v>40814</v>
      </c>
      <c r="F412" t="s">
        <v>24</v>
      </c>
      <c r="G412" t="s">
        <v>66</v>
      </c>
      <c r="H412" t="s">
        <v>226</v>
      </c>
      <c r="I412" s="3">
        <v>3.472222222222222E-3</v>
      </c>
      <c r="J412" s="8" t="s">
        <v>443</v>
      </c>
      <c r="K412" s="8" t="s">
        <v>448</v>
      </c>
      <c r="L412" s="8" t="str">
        <f>IF(Table1346[[#This Row],[Home Team Score]]&gt;Table1346[[#This Row],[Away Team Score]],"Win",IF(Table1346[[#This Row],[Home Team Score]]=Table1346[[#This Row],[Away Team Score]],"Tie","Lose"))</f>
        <v>Lose</v>
      </c>
      <c r="M412" t="s">
        <v>68</v>
      </c>
      <c r="N412">
        <v>56</v>
      </c>
      <c r="O412" s="3">
        <v>2.7777777777777779E-3</v>
      </c>
      <c r="P412" t="s">
        <v>31</v>
      </c>
      <c r="Q412" t="s">
        <v>155</v>
      </c>
      <c r="R412" t="e">
        <f>IF([1]!Table13[[#This Row],[Goal_assist]]="",1,0)</f>
        <v>#REF!</v>
      </c>
    </row>
    <row r="413" spans="1:18" x14ac:dyDescent="0.35">
      <c r="A413" t="s">
        <v>64</v>
      </c>
      <c r="B413" s="1">
        <v>45637</v>
      </c>
      <c r="C413" t="s">
        <v>75</v>
      </c>
      <c r="D413" t="s">
        <v>76</v>
      </c>
      <c r="E413" s="2">
        <v>40814</v>
      </c>
      <c r="F413" t="s">
        <v>24</v>
      </c>
      <c r="G413" t="s">
        <v>66</v>
      </c>
      <c r="H413" t="s">
        <v>226</v>
      </c>
      <c r="I413" s="3">
        <v>3.472222222222222E-3</v>
      </c>
      <c r="J413" s="8" t="s">
        <v>443</v>
      </c>
      <c r="K413" s="8" t="s">
        <v>448</v>
      </c>
      <c r="L413" s="8" t="str">
        <f>IF(Table1346[[#This Row],[Home Team Score]]&gt;Table1346[[#This Row],[Away Team Score]],"Win",IF(Table1346[[#This Row],[Home Team Score]]=Table1346[[#This Row],[Away Team Score]],"Tie","Lose"))</f>
        <v>Lose</v>
      </c>
      <c r="M413" t="s">
        <v>68</v>
      </c>
      <c r="N413">
        <v>38</v>
      </c>
      <c r="O413" s="3">
        <v>2.0833333333333333E-3</v>
      </c>
      <c r="P413" t="s">
        <v>22</v>
      </c>
      <c r="R413" t="e">
        <f>IF([1]!Table13[[#This Row],[Goal_assist]]="",1,0)</f>
        <v>#REF!</v>
      </c>
    </row>
    <row r="414" spans="1:18" x14ac:dyDescent="0.35">
      <c r="A414" t="s">
        <v>64</v>
      </c>
      <c r="B414" s="1">
        <v>45637</v>
      </c>
      <c r="C414" t="s">
        <v>65</v>
      </c>
      <c r="D414">
        <v>8</v>
      </c>
      <c r="E414" s="2">
        <v>40831</v>
      </c>
      <c r="F414" t="s">
        <v>16</v>
      </c>
      <c r="G414" t="s">
        <v>66</v>
      </c>
      <c r="H414" t="s">
        <v>78</v>
      </c>
      <c r="I414" s="3">
        <v>0.125</v>
      </c>
      <c r="J414" s="8" t="s">
        <v>442</v>
      </c>
      <c r="K414" s="8" t="s">
        <v>443</v>
      </c>
      <c r="L414" s="8" t="str">
        <f>IF(Table1346[[#This Row],[Home Team Score]]&gt;Table1346[[#This Row],[Away Team Score]],"Win",IF(Table1346[[#This Row],[Home Team Score]]=Table1346[[#This Row],[Away Team Score]],"Tie","Lose"))</f>
        <v>Win</v>
      </c>
      <c r="M414" t="s">
        <v>68</v>
      </c>
      <c r="N414">
        <v>69</v>
      </c>
      <c r="O414" s="3">
        <v>0.125</v>
      </c>
      <c r="P414" t="s">
        <v>26</v>
      </c>
      <c r="R414" t="e">
        <f>IF([1]!Table13[[#This Row],[Goal_assist]]="",1,0)</f>
        <v>#REF!</v>
      </c>
    </row>
    <row r="415" spans="1:18" x14ac:dyDescent="0.35">
      <c r="A415" t="s">
        <v>64</v>
      </c>
      <c r="B415" s="1">
        <v>45637</v>
      </c>
      <c r="C415" t="s">
        <v>65</v>
      </c>
      <c r="D415">
        <v>8</v>
      </c>
      <c r="E415" s="2">
        <v>40831</v>
      </c>
      <c r="F415" t="s">
        <v>16</v>
      </c>
      <c r="G415" t="s">
        <v>66</v>
      </c>
      <c r="H415" t="s">
        <v>78</v>
      </c>
      <c r="I415" s="3">
        <v>0.125</v>
      </c>
      <c r="J415" s="8" t="s">
        <v>442</v>
      </c>
      <c r="K415" s="8" t="s">
        <v>443</v>
      </c>
      <c r="L415" s="8" t="str">
        <f>IF(Table1346[[#This Row],[Home Team Score]]&gt;Table1346[[#This Row],[Away Team Score]],"Win",IF(Table1346[[#This Row],[Home Team Score]]=Table1346[[#This Row],[Away Team Score]],"Tie","Lose"))</f>
        <v>Win</v>
      </c>
      <c r="M415" t="s">
        <v>68</v>
      </c>
      <c r="N415">
        <v>11</v>
      </c>
      <c r="O415" s="3">
        <v>4.1666666666666664E-2</v>
      </c>
      <c r="P415" t="s">
        <v>26</v>
      </c>
      <c r="Q415" t="s">
        <v>99</v>
      </c>
      <c r="R415" t="e">
        <f>IF([1]!Table13[[#This Row],[Goal_assist]]="",1,0)</f>
        <v>#REF!</v>
      </c>
    </row>
    <row r="416" spans="1:18" x14ac:dyDescent="0.35">
      <c r="A416" t="s">
        <v>14</v>
      </c>
      <c r="B416" s="1">
        <v>45637</v>
      </c>
      <c r="C416" t="s">
        <v>65</v>
      </c>
      <c r="D416">
        <v>9</v>
      </c>
      <c r="E416" s="2">
        <v>40838</v>
      </c>
      <c r="F416" t="s">
        <v>24</v>
      </c>
      <c r="G416" t="s">
        <v>112</v>
      </c>
      <c r="H416" t="s">
        <v>157</v>
      </c>
      <c r="I416" s="3">
        <v>2.7777777777777779E-3</v>
      </c>
      <c r="J416" s="8" t="s">
        <v>443</v>
      </c>
      <c r="K416" s="8" t="s">
        <v>446</v>
      </c>
      <c r="L416" s="8" t="str">
        <f>IF(Table1346[[#This Row],[Home Team Score]]&gt;Table1346[[#This Row],[Away Team Score]],"Win",IF(Table1346[[#This Row],[Home Team Score]]=Table1346[[#This Row],[Away Team Score]],"Tie","Lose"))</f>
        <v>Lose</v>
      </c>
      <c r="M416" t="s">
        <v>19</v>
      </c>
      <c r="N416">
        <v>28</v>
      </c>
      <c r="O416" s="3">
        <v>2.0833333333333333E-3</v>
      </c>
      <c r="P416" t="s">
        <v>26</v>
      </c>
      <c r="Q416" t="s">
        <v>205</v>
      </c>
      <c r="R416" t="e">
        <f>IF([1]!Table13[[#This Row],[Goal_assist]]="",1,0)</f>
        <v>#REF!</v>
      </c>
    </row>
    <row r="417" spans="1:18" x14ac:dyDescent="0.35">
      <c r="A417" t="s">
        <v>14</v>
      </c>
      <c r="B417" s="1">
        <v>45637</v>
      </c>
      <c r="C417" t="s">
        <v>65</v>
      </c>
      <c r="D417">
        <v>9</v>
      </c>
      <c r="E417" s="2">
        <v>40838</v>
      </c>
      <c r="F417" t="s">
        <v>24</v>
      </c>
      <c r="G417" t="s">
        <v>112</v>
      </c>
      <c r="H417" t="s">
        <v>157</v>
      </c>
      <c r="I417" s="3">
        <v>2.7777777777777779E-3</v>
      </c>
      <c r="J417" s="8" t="s">
        <v>443</v>
      </c>
      <c r="K417" s="8" t="s">
        <v>446</v>
      </c>
      <c r="L417" s="8" t="str">
        <f>IF(Table1346[[#This Row],[Home Team Score]]&gt;Table1346[[#This Row],[Away Team Score]],"Win",IF(Table1346[[#This Row],[Home Team Score]]=Table1346[[#This Row],[Away Team Score]],"Tie","Lose"))</f>
        <v>Lose</v>
      </c>
      <c r="M417" t="s">
        <v>19</v>
      </c>
      <c r="N417">
        <v>24</v>
      </c>
      <c r="O417" s="3">
        <v>1.3888888888888889E-3</v>
      </c>
      <c r="P417" t="s">
        <v>31</v>
      </c>
      <c r="Q417" t="s">
        <v>207</v>
      </c>
      <c r="R417" t="e">
        <f>IF([1]!Table13[[#This Row],[Goal_assist]]="",1,0)</f>
        <v>#REF!</v>
      </c>
    </row>
    <row r="418" spans="1:18" x14ac:dyDescent="0.35">
      <c r="A418" t="s">
        <v>14</v>
      </c>
      <c r="B418" s="1">
        <v>45637</v>
      </c>
      <c r="C418" t="s">
        <v>65</v>
      </c>
      <c r="D418">
        <v>9</v>
      </c>
      <c r="E418" s="2">
        <v>40838</v>
      </c>
      <c r="F418" t="s">
        <v>24</v>
      </c>
      <c r="G418" t="s">
        <v>112</v>
      </c>
      <c r="H418" t="s">
        <v>157</v>
      </c>
      <c r="I418" s="3">
        <v>2.7777777777777779E-3</v>
      </c>
      <c r="J418" s="8" t="s">
        <v>443</v>
      </c>
      <c r="K418" s="8" t="s">
        <v>446</v>
      </c>
      <c r="L418" s="8" t="str">
        <f>IF(Table1346[[#This Row],[Home Team Score]]&gt;Table1346[[#This Row],[Away Team Score]],"Win",IF(Table1346[[#This Row],[Home Team Score]]=Table1346[[#This Row],[Away Team Score]],"Tie","Lose"))</f>
        <v>Lose</v>
      </c>
      <c r="M418" t="s">
        <v>19</v>
      </c>
      <c r="N418">
        <v>38</v>
      </c>
      <c r="O418" s="3">
        <v>2.7777777777777779E-3</v>
      </c>
      <c r="P418" t="s">
        <v>26</v>
      </c>
      <c r="Q418" t="s">
        <v>202</v>
      </c>
      <c r="R418" t="e">
        <f>IF([1]!Table13[[#This Row],[Goal_assist]]="",1,0)</f>
        <v>#REF!</v>
      </c>
    </row>
    <row r="419" spans="1:18" x14ac:dyDescent="0.35">
      <c r="A419" t="s">
        <v>64</v>
      </c>
      <c r="B419" s="1">
        <v>45637</v>
      </c>
      <c r="C419" t="s">
        <v>65</v>
      </c>
      <c r="D419">
        <v>11</v>
      </c>
      <c r="E419" s="2">
        <v>40845</v>
      </c>
      <c r="F419" t="s">
        <v>16</v>
      </c>
      <c r="G419" t="s">
        <v>66</v>
      </c>
      <c r="H419" t="s">
        <v>89</v>
      </c>
      <c r="I419" s="3">
        <v>0.20833333333333334</v>
      </c>
      <c r="J419" s="8" t="s">
        <v>448</v>
      </c>
      <c r="K419" s="8" t="s">
        <v>443</v>
      </c>
      <c r="L419" s="8" t="str">
        <f>IF(Table1346[[#This Row],[Home Team Score]]&gt;Table1346[[#This Row],[Away Team Score]],"Win",IF(Table1346[[#This Row],[Home Team Score]]=Table1346[[#This Row],[Away Team Score]],"Tie","Lose"))</f>
        <v>Win</v>
      </c>
      <c r="M419" t="s">
        <v>68</v>
      </c>
      <c r="N419">
        <v>30</v>
      </c>
      <c r="O419" s="3">
        <v>0.125</v>
      </c>
      <c r="P419" t="s">
        <v>31</v>
      </c>
      <c r="Q419" t="s">
        <v>155</v>
      </c>
      <c r="R419" t="e">
        <f>IF([1]!Table13[[#This Row],[Goal_assist]]="",1,0)</f>
        <v>#REF!</v>
      </c>
    </row>
    <row r="420" spans="1:18" x14ac:dyDescent="0.35">
      <c r="A420" t="s">
        <v>64</v>
      </c>
      <c r="B420" s="1">
        <v>45637</v>
      </c>
      <c r="C420" t="s">
        <v>65</v>
      </c>
      <c r="D420">
        <v>11</v>
      </c>
      <c r="E420" s="2">
        <v>40845</v>
      </c>
      <c r="F420" t="s">
        <v>16</v>
      </c>
      <c r="G420" t="s">
        <v>66</v>
      </c>
      <c r="H420" t="s">
        <v>89</v>
      </c>
      <c r="I420" s="3">
        <v>0.20833333333333334</v>
      </c>
      <c r="J420" s="8" t="s">
        <v>448</v>
      </c>
      <c r="K420" s="8" t="s">
        <v>443</v>
      </c>
      <c r="L420" s="8" t="str">
        <f>IF(Table1346[[#This Row],[Home Team Score]]&gt;Table1346[[#This Row],[Away Team Score]],"Win",IF(Table1346[[#This Row],[Home Team Score]]=Table1346[[#This Row],[Away Team Score]],"Tie","Lose"))</f>
        <v>Win</v>
      </c>
      <c r="M420" t="s">
        <v>68</v>
      </c>
      <c r="N420">
        <v>13</v>
      </c>
      <c r="O420" s="3">
        <v>4.1666666666666664E-2</v>
      </c>
      <c r="P420" t="s">
        <v>83</v>
      </c>
      <c r="R420" t="e">
        <f>IF([1]!Table13[[#This Row],[Goal_assist]]="",1,0)</f>
        <v>#REF!</v>
      </c>
    </row>
    <row r="421" spans="1:18" x14ac:dyDescent="0.35">
      <c r="A421" t="s">
        <v>64</v>
      </c>
      <c r="B421" s="1">
        <v>45637</v>
      </c>
      <c r="C421" t="s">
        <v>65</v>
      </c>
      <c r="D421">
        <v>11</v>
      </c>
      <c r="E421" s="2">
        <v>40845</v>
      </c>
      <c r="F421" t="s">
        <v>16</v>
      </c>
      <c r="G421" t="s">
        <v>66</v>
      </c>
      <c r="H421" t="s">
        <v>89</v>
      </c>
      <c r="I421" s="3">
        <v>0.20833333333333334</v>
      </c>
      <c r="J421" s="8" t="s">
        <v>448</v>
      </c>
      <c r="K421" s="8" t="s">
        <v>443</v>
      </c>
      <c r="L421" s="8" t="str">
        <f>IF(Table1346[[#This Row],[Home Team Score]]&gt;Table1346[[#This Row],[Away Team Score]],"Win",IF(Table1346[[#This Row],[Home Team Score]]=Table1346[[#This Row],[Away Team Score]],"Tie","Lose"))</f>
        <v>Win</v>
      </c>
      <c r="M421" t="s">
        <v>68</v>
      </c>
      <c r="N421">
        <v>21</v>
      </c>
      <c r="O421" s="3">
        <v>8.3333333333333329E-2</v>
      </c>
      <c r="P421" t="s">
        <v>26</v>
      </c>
      <c r="Q421" t="s">
        <v>215</v>
      </c>
      <c r="R421" t="e">
        <f>IF([1]!Table13[[#This Row],[Goal_assist]]="",1,0)</f>
        <v>#REF!</v>
      </c>
    </row>
    <row r="422" spans="1:18" x14ac:dyDescent="0.35">
      <c r="A422" t="s">
        <v>64</v>
      </c>
      <c r="B422" s="1">
        <v>45637</v>
      </c>
      <c r="C422" t="s">
        <v>75</v>
      </c>
      <c r="D422" t="s">
        <v>76</v>
      </c>
      <c r="E422" s="2">
        <v>40848</v>
      </c>
      <c r="F422" t="s">
        <v>24</v>
      </c>
      <c r="G422" t="s">
        <v>66</v>
      </c>
      <c r="H422" t="s">
        <v>227</v>
      </c>
      <c r="I422" s="3">
        <v>2.7777777777777779E-3</v>
      </c>
      <c r="J422" s="8" t="s">
        <v>443</v>
      </c>
      <c r="K422" s="8" t="s">
        <v>446</v>
      </c>
      <c r="L422" s="8" t="str">
        <f>IF(Table1346[[#This Row],[Home Team Score]]&gt;Table1346[[#This Row],[Away Team Score]],"Win",IF(Table1346[[#This Row],[Home Team Score]]=Table1346[[#This Row],[Away Team Score]],"Tie","Lose"))</f>
        <v>Lose</v>
      </c>
      <c r="M422" t="s">
        <v>68</v>
      </c>
      <c r="N422" t="s">
        <v>141</v>
      </c>
      <c r="O422" s="3">
        <v>2.7777777777777779E-3</v>
      </c>
      <c r="P422" t="s">
        <v>31</v>
      </c>
      <c r="Q422" t="s">
        <v>166</v>
      </c>
      <c r="R422" t="e">
        <f>IF([1]!Table13[[#This Row],[Goal_assist]]="",1,0)</f>
        <v>#REF!</v>
      </c>
    </row>
    <row r="423" spans="1:18" x14ac:dyDescent="0.35">
      <c r="A423" t="s">
        <v>64</v>
      </c>
      <c r="B423" s="1">
        <v>45637</v>
      </c>
      <c r="C423" t="s">
        <v>75</v>
      </c>
      <c r="D423" t="s">
        <v>76</v>
      </c>
      <c r="E423" s="2">
        <v>40848</v>
      </c>
      <c r="F423" t="s">
        <v>24</v>
      </c>
      <c r="G423" t="s">
        <v>66</v>
      </c>
      <c r="H423" t="s">
        <v>227</v>
      </c>
      <c r="I423" s="3">
        <v>2.7777777777777779E-3</v>
      </c>
      <c r="J423" s="8" t="s">
        <v>443</v>
      </c>
      <c r="K423" s="8" t="s">
        <v>446</v>
      </c>
      <c r="L423" s="8" t="str">
        <f>IF(Table1346[[#This Row],[Home Team Score]]&gt;Table1346[[#This Row],[Away Team Score]],"Win",IF(Table1346[[#This Row],[Home Team Score]]=Table1346[[#This Row],[Away Team Score]],"Tie","Lose"))</f>
        <v>Lose</v>
      </c>
      <c r="M423" t="s">
        <v>68</v>
      </c>
      <c r="N423" t="s">
        <v>228</v>
      </c>
      <c r="O423" s="3">
        <v>1.3888888888888889E-3</v>
      </c>
      <c r="P423" t="s">
        <v>31</v>
      </c>
      <c r="Q423" t="s">
        <v>215</v>
      </c>
      <c r="R423" t="e">
        <f>IF([1]!Table13[[#This Row],[Goal_assist]]="",1,0)</f>
        <v>#REF!</v>
      </c>
    </row>
    <row r="424" spans="1:18" x14ac:dyDescent="0.35">
      <c r="A424" t="s">
        <v>64</v>
      </c>
      <c r="B424" s="1">
        <v>45637</v>
      </c>
      <c r="C424" t="s">
        <v>75</v>
      </c>
      <c r="D424" t="s">
        <v>76</v>
      </c>
      <c r="E424" s="2">
        <v>40848</v>
      </c>
      <c r="F424" t="s">
        <v>24</v>
      </c>
      <c r="G424" t="s">
        <v>66</v>
      </c>
      <c r="H424" t="s">
        <v>227</v>
      </c>
      <c r="I424" s="3">
        <v>2.7777777777777779E-3</v>
      </c>
      <c r="J424" s="8" t="s">
        <v>443</v>
      </c>
      <c r="K424" s="8" t="s">
        <v>446</v>
      </c>
      <c r="L424" s="8" t="str">
        <f>IF(Table1346[[#This Row],[Home Team Score]]&gt;Table1346[[#This Row],[Away Team Score]],"Win",IF(Table1346[[#This Row],[Home Team Score]]=Table1346[[#This Row],[Away Team Score]],"Tie","Lose"))</f>
        <v>Lose</v>
      </c>
      <c r="M424" t="s">
        <v>68</v>
      </c>
      <c r="N424">
        <v>24</v>
      </c>
      <c r="O424" s="3">
        <v>6.9444444444444447E-4</v>
      </c>
      <c r="P424" t="s">
        <v>83</v>
      </c>
      <c r="R424" t="e">
        <f>IF([1]!Table13[[#This Row],[Goal_assist]]="",1,0)</f>
        <v>#REF!</v>
      </c>
    </row>
    <row r="425" spans="1:18" x14ac:dyDescent="0.35">
      <c r="A425" t="s">
        <v>14</v>
      </c>
      <c r="B425" s="1">
        <v>45637</v>
      </c>
      <c r="C425" t="s">
        <v>75</v>
      </c>
      <c r="D425" t="s">
        <v>76</v>
      </c>
      <c r="E425" s="2">
        <v>40849</v>
      </c>
      <c r="F425" t="s">
        <v>24</v>
      </c>
      <c r="G425" t="s">
        <v>112</v>
      </c>
      <c r="H425" t="s">
        <v>125</v>
      </c>
      <c r="I425" s="3">
        <v>1.3888888888888889E-3</v>
      </c>
      <c r="J425" s="8" t="s">
        <v>443</v>
      </c>
      <c r="K425" s="8" t="s">
        <v>445</v>
      </c>
      <c r="L425" s="8" t="str">
        <f>IF(Table1346[[#This Row],[Home Team Score]]&gt;Table1346[[#This Row],[Away Team Score]],"Win",IF(Table1346[[#This Row],[Home Team Score]]=Table1346[[#This Row],[Away Team Score]],"Tie","Lose"))</f>
        <v>Lose</v>
      </c>
      <c r="M425" t="s">
        <v>19</v>
      </c>
      <c r="N425">
        <v>69</v>
      </c>
      <c r="O425" s="3">
        <v>1.3888888888888889E-3</v>
      </c>
      <c r="P425" t="s">
        <v>83</v>
      </c>
      <c r="R425" t="e">
        <f>IF([1]!Table13[[#This Row],[Goal_assist]]="",1,0)</f>
        <v>#REF!</v>
      </c>
    </row>
    <row r="426" spans="1:18" x14ac:dyDescent="0.35">
      <c r="A426" t="s">
        <v>14</v>
      </c>
      <c r="B426" s="1">
        <v>45637</v>
      </c>
      <c r="C426" t="s">
        <v>75</v>
      </c>
      <c r="D426" t="s">
        <v>76</v>
      </c>
      <c r="E426" s="2">
        <v>40849</v>
      </c>
      <c r="F426" t="s">
        <v>24</v>
      </c>
      <c r="G426" t="s">
        <v>112</v>
      </c>
      <c r="H426" t="s">
        <v>125</v>
      </c>
      <c r="I426" s="3">
        <v>1.3888888888888889E-3</v>
      </c>
      <c r="J426" s="8" t="s">
        <v>443</v>
      </c>
      <c r="K426" s="8" t="s">
        <v>445</v>
      </c>
      <c r="L426" s="8" t="str">
        <f>IF(Table1346[[#This Row],[Home Team Score]]&gt;Table1346[[#This Row],[Away Team Score]],"Win",IF(Table1346[[#This Row],[Home Team Score]]=Table1346[[#This Row],[Away Team Score]],"Tie","Lose"))</f>
        <v>Lose</v>
      </c>
      <c r="M426" t="s">
        <v>19</v>
      </c>
      <c r="N426">
        <v>25</v>
      </c>
      <c r="O426" s="3">
        <v>6.9444444444444447E-4</v>
      </c>
      <c r="P426" t="s">
        <v>39</v>
      </c>
      <c r="R426" t="e">
        <f>IF([1]!Table13[[#This Row],[Goal_assist]]="",1,0)</f>
        <v>#REF!</v>
      </c>
    </row>
    <row r="427" spans="1:18" x14ac:dyDescent="0.35">
      <c r="A427" t="s">
        <v>64</v>
      </c>
      <c r="B427" s="1">
        <v>45637</v>
      </c>
      <c r="C427" t="s">
        <v>65</v>
      </c>
      <c r="D427">
        <v>12</v>
      </c>
      <c r="E427" s="2">
        <v>40853</v>
      </c>
      <c r="F427" t="s">
        <v>24</v>
      </c>
      <c r="G427" t="s">
        <v>66</v>
      </c>
      <c r="H427" t="s">
        <v>86</v>
      </c>
      <c r="I427" s="3">
        <v>8.4722222222222227E-2</v>
      </c>
      <c r="J427" s="8" t="s">
        <v>445</v>
      </c>
      <c r="K427" s="8" t="s">
        <v>445</v>
      </c>
      <c r="L427" s="8" t="str">
        <f>IF(Table1346[[#This Row],[Home Team Score]]&gt;Table1346[[#This Row],[Away Team Score]],"Win",IF(Table1346[[#This Row],[Home Team Score]]=Table1346[[#This Row],[Away Team Score]],"Tie","Lose"))</f>
        <v>Tie</v>
      </c>
      <c r="M427" t="s">
        <v>68</v>
      </c>
      <c r="N427">
        <v>90</v>
      </c>
      <c r="O427" s="3">
        <v>8.4722222222222227E-2</v>
      </c>
      <c r="P427" t="s">
        <v>31</v>
      </c>
      <c r="R427" t="e">
        <f>IF([1]!Table13[[#This Row],[Goal_assist]]="",1,0)</f>
        <v>#REF!</v>
      </c>
    </row>
    <row r="428" spans="1:18" x14ac:dyDescent="0.35">
      <c r="A428" t="s">
        <v>14</v>
      </c>
      <c r="B428" s="1">
        <v>45637</v>
      </c>
      <c r="C428" t="s">
        <v>65</v>
      </c>
      <c r="D428">
        <v>12</v>
      </c>
      <c r="E428" s="2">
        <v>40853</v>
      </c>
      <c r="F428" t="s">
        <v>16</v>
      </c>
      <c r="G428" t="s">
        <v>112</v>
      </c>
      <c r="H428" t="s">
        <v>100</v>
      </c>
      <c r="I428" s="3">
        <v>0.29236111111111113</v>
      </c>
      <c r="J428" s="8" t="s">
        <v>449</v>
      </c>
      <c r="K428" s="8" t="s">
        <v>444</v>
      </c>
      <c r="L428" s="8" t="str">
        <f>IF(Table1346[[#This Row],[Home Team Score]]&gt;Table1346[[#This Row],[Away Team Score]],"Win",IF(Table1346[[#This Row],[Home Team Score]]=Table1346[[#This Row],[Away Team Score]],"Tie","Lose"))</f>
        <v>Win</v>
      </c>
      <c r="M428" t="s">
        <v>19</v>
      </c>
      <c r="N428">
        <v>23</v>
      </c>
      <c r="O428" s="3">
        <v>4.1666666666666664E-2</v>
      </c>
      <c r="P428" t="s">
        <v>22</v>
      </c>
      <c r="Q428" t="s">
        <v>207</v>
      </c>
      <c r="R428" t="e">
        <f>IF([1]!Table13[[#This Row],[Goal_assist]]="",1,0)</f>
        <v>#REF!</v>
      </c>
    </row>
    <row r="429" spans="1:18" x14ac:dyDescent="0.35">
      <c r="A429" t="s">
        <v>14</v>
      </c>
      <c r="B429" s="1">
        <v>45637</v>
      </c>
      <c r="C429" t="s">
        <v>65</v>
      </c>
      <c r="D429">
        <v>12</v>
      </c>
      <c r="E429" s="2">
        <v>40853</v>
      </c>
      <c r="F429" t="s">
        <v>16</v>
      </c>
      <c r="G429" t="s">
        <v>112</v>
      </c>
      <c r="H429" t="s">
        <v>100</v>
      </c>
      <c r="I429" s="3">
        <v>0.29236111111111113</v>
      </c>
      <c r="J429" s="8" t="s">
        <v>449</v>
      </c>
      <c r="K429" s="8" t="s">
        <v>444</v>
      </c>
      <c r="L429" s="8" t="str">
        <f>IF(Table1346[[#This Row],[Home Team Score]]&gt;Table1346[[#This Row],[Away Team Score]],"Win",IF(Table1346[[#This Row],[Home Team Score]]=Table1346[[#This Row],[Away Team Score]],"Tie","Lose"))</f>
        <v>Win</v>
      </c>
      <c r="M429" t="s">
        <v>19</v>
      </c>
      <c r="N429">
        <v>55</v>
      </c>
      <c r="O429" s="3">
        <v>0.1673611111111111</v>
      </c>
      <c r="P429" t="s">
        <v>83</v>
      </c>
      <c r="R429" t="e">
        <f>IF([1]!Table13[[#This Row],[Goal_assist]]="",1,0)</f>
        <v>#REF!</v>
      </c>
    </row>
    <row r="430" spans="1:18" x14ac:dyDescent="0.35">
      <c r="A430" t="s">
        <v>14</v>
      </c>
      <c r="B430" s="1">
        <v>45637</v>
      </c>
      <c r="C430" t="s">
        <v>65</v>
      </c>
      <c r="D430">
        <v>12</v>
      </c>
      <c r="E430" s="2">
        <v>40853</v>
      </c>
      <c r="F430" t="s">
        <v>16</v>
      </c>
      <c r="G430" t="s">
        <v>112</v>
      </c>
      <c r="H430" t="s">
        <v>100</v>
      </c>
      <c r="I430" s="3">
        <v>0.29236111111111113</v>
      </c>
      <c r="J430" s="8" t="s">
        <v>449</v>
      </c>
      <c r="K430" s="8" t="s">
        <v>444</v>
      </c>
      <c r="L430" s="8" t="str">
        <f>IF(Table1346[[#This Row],[Home Team Score]]&gt;Table1346[[#This Row],[Away Team Score]],"Win",IF(Table1346[[#This Row],[Home Team Score]]=Table1346[[#This Row],[Away Team Score]],"Tie","Lose"))</f>
        <v>Win</v>
      </c>
      <c r="M430" t="s">
        <v>19</v>
      </c>
      <c r="N430">
        <v>58</v>
      </c>
      <c r="O430" s="3">
        <v>0.20902777777777778</v>
      </c>
      <c r="P430" t="s">
        <v>22</v>
      </c>
      <c r="Q430" t="s">
        <v>229</v>
      </c>
      <c r="R430" t="e">
        <f>IF([1]!Table13[[#This Row],[Goal_assist]]="",1,0)</f>
        <v>#REF!</v>
      </c>
    </row>
    <row r="431" spans="1:18" x14ac:dyDescent="0.35">
      <c r="A431" t="s">
        <v>14</v>
      </c>
      <c r="B431" s="1">
        <v>45637</v>
      </c>
      <c r="C431" t="s">
        <v>65</v>
      </c>
      <c r="D431">
        <v>13</v>
      </c>
      <c r="E431" s="2">
        <v>40866</v>
      </c>
      <c r="F431" t="s">
        <v>24</v>
      </c>
      <c r="G431" t="s">
        <v>112</v>
      </c>
      <c r="H431" t="s">
        <v>148</v>
      </c>
      <c r="I431" s="3">
        <v>8.5416666666666669E-2</v>
      </c>
      <c r="J431" s="8" t="s">
        <v>445</v>
      </c>
      <c r="K431" s="8" t="s">
        <v>442</v>
      </c>
      <c r="L431" s="8" t="str">
        <f>IF(Table1346[[#This Row],[Home Team Score]]&gt;Table1346[[#This Row],[Away Team Score]],"Win",IF(Table1346[[#This Row],[Home Team Score]]=Table1346[[#This Row],[Away Team Score]],"Tie","Lose"))</f>
        <v>Lose</v>
      </c>
      <c r="M431" t="s">
        <v>19</v>
      </c>
      <c r="N431">
        <v>79</v>
      </c>
      <c r="O431" s="3">
        <v>4.3749999999999997E-2</v>
      </c>
      <c r="P431" t="s">
        <v>26</v>
      </c>
      <c r="Q431" t="s">
        <v>182</v>
      </c>
      <c r="R431" t="e">
        <f>IF([1]!Table13[[#This Row],[Goal_assist]]="",1,0)</f>
        <v>#REF!</v>
      </c>
    </row>
    <row r="432" spans="1:18" x14ac:dyDescent="0.35">
      <c r="A432" t="s">
        <v>64</v>
      </c>
      <c r="B432" s="1">
        <v>45637</v>
      </c>
      <c r="C432" t="s">
        <v>65</v>
      </c>
      <c r="D432">
        <v>13</v>
      </c>
      <c r="E432" s="2">
        <v>40866</v>
      </c>
      <c r="F432" t="s">
        <v>16</v>
      </c>
      <c r="G432" t="s">
        <v>66</v>
      </c>
      <c r="H432" t="s">
        <v>93</v>
      </c>
      <c r="I432" s="3">
        <v>0.16666666666666666</v>
      </c>
      <c r="J432" s="8" t="s">
        <v>446</v>
      </c>
      <c r="K432" s="8" t="s">
        <v>443</v>
      </c>
      <c r="L432" s="8" t="str">
        <f>IF(Table1346[[#This Row],[Home Team Score]]&gt;Table1346[[#This Row],[Away Team Score]],"Win",IF(Table1346[[#This Row],[Home Team Score]]=Table1346[[#This Row],[Away Team Score]],"Tie","Lose"))</f>
        <v>Win</v>
      </c>
      <c r="M432" t="s">
        <v>68</v>
      </c>
      <c r="N432">
        <v>43</v>
      </c>
      <c r="O432" s="3">
        <v>8.3333333333333329E-2</v>
      </c>
      <c r="P432" t="s">
        <v>26</v>
      </c>
      <c r="Q432" t="s">
        <v>224</v>
      </c>
      <c r="R432" t="e">
        <f>IF([1]!Table13[[#This Row],[Goal_assist]]="",1,0)</f>
        <v>#REF!</v>
      </c>
    </row>
    <row r="433" spans="1:18" x14ac:dyDescent="0.35">
      <c r="A433" t="s">
        <v>64</v>
      </c>
      <c r="B433" s="1">
        <v>45637</v>
      </c>
      <c r="C433" t="s">
        <v>75</v>
      </c>
      <c r="D433" t="s">
        <v>76</v>
      </c>
      <c r="E433" s="2">
        <v>40870</v>
      </c>
      <c r="F433" t="s">
        <v>24</v>
      </c>
      <c r="G433" t="s">
        <v>66</v>
      </c>
      <c r="H433" t="s">
        <v>118</v>
      </c>
      <c r="I433" s="3">
        <v>8.5416666666666669E-2</v>
      </c>
      <c r="J433" s="8" t="s">
        <v>445</v>
      </c>
      <c r="K433" s="8" t="s">
        <v>442</v>
      </c>
      <c r="L433" s="8" t="str">
        <f>IF(Table1346[[#This Row],[Home Team Score]]&gt;Table1346[[#This Row],[Away Team Score]],"Win",IF(Table1346[[#This Row],[Home Team Score]]=Table1346[[#This Row],[Away Team Score]],"Tie","Lose"))</f>
        <v>Lose</v>
      </c>
      <c r="M433" t="s">
        <v>230</v>
      </c>
      <c r="N433">
        <v>31</v>
      </c>
      <c r="O433" s="3">
        <v>4.3055555555555555E-2</v>
      </c>
      <c r="P433" t="s">
        <v>83</v>
      </c>
      <c r="R433" t="e">
        <f>IF([1]!Table13[[#This Row],[Goal_assist]]="",1,0)</f>
        <v>#REF!</v>
      </c>
    </row>
    <row r="434" spans="1:18" x14ac:dyDescent="0.35">
      <c r="A434" t="s">
        <v>14</v>
      </c>
      <c r="B434" s="1">
        <v>45637</v>
      </c>
      <c r="C434" t="s">
        <v>65</v>
      </c>
      <c r="D434">
        <v>14</v>
      </c>
      <c r="E434" s="2">
        <v>40873</v>
      </c>
      <c r="F434" t="s">
        <v>16</v>
      </c>
      <c r="G434" t="s">
        <v>112</v>
      </c>
      <c r="H434" t="s">
        <v>119</v>
      </c>
      <c r="I434" s="3">
        <v>0.1673611111111111</v>
      </c>
      <c r="J434" s="8" t="s">
        <v>446</v>
      </c>
      <c r="K434" s="8" t="s">
        <v>444</v>
      </c>
      <c r="L434" s="8" t="str">
        <f>IF(Table1346[[#This Row],[Home Team Score]]&gt;Table1346[[#This Row],[Away Team Score]],"Win",IF(Table1346[[#This Row],[Home Team Score]]=Table1346[[#This Row],[Away Team Score]],"Tie","Lose"))</f>
        <v>Win</v>
      </c>
      <c r="M434" t="s">
        <v>19</v>
      </c>
      <c r="N434">
        <v>82</v>
      </c>
      <c r="O434" s="3">
        <v>0.1673611111111111</v>
      </c>
      <c r="P434" t="s">
        <v>83</v>
      </c>
      <c r="R434" t="e">
        <f>IF([1]!Table13[[#This Row],[Goal_assist]]="",1,0)</f>
        <v>#REF!</v>
      </c>
    </row>
    <row r="435" spans="1:18" x14ac:dyDescent="0.35">
      <c r="A435" t="s">
        <v>14</v>
      </c>
      <c r="B435" s="1">
        <v>45637</v>
      </c>
      <c r="C435" t="s">
        <v>65</v>
      </c>
      <c r="D435">
        <v>14</v>
      </c>
      <c r="E435" s="2">
        <v>40873</v>
      </c>
      <c r="F435" t="s">
        <v>16</v>
      </c>
      <c r="G435" t="s">
        <v>112</v>
      </c>
      <c r="H435" t="s">
        <v>119</v>
      </c>
      <c r="I435" s="3">
        <v>0.1673611111111111</v>
      </c>
      <c r="J435" s="8" t="s">
        <v>446</v>
      </c>
      <c r="K435" s="8" t="s">
        <v>444</v>
      </c>
      <c r="L435" s="8" t="str">
        <f>IF(Table1346[[#This Row],[Home Team Score]]&gt;Table1346[[#This Row],[Away Team Score]],"Win",IF(Table1346[[#This Row],[Home Team Score]]=Table1346[[#This Row],[Away Team Score]],"Tie","Lose"))</f>
        <v>Win</v>
      </c>
      <c r="M435" t="s">
        <v>19</v>
      </c>
      <c r="N435">
        <v>24</v>
      </c>
      <c r="O435" s="3">
        <v>4.2361111111111113E-2</v>
      </c>
      <c r="P435" t="s">
        <v>83</v>
      </c>
      <c r="R435" t="e">
        <f>IF([1]!Table13[[#This Row],[Goal_assist]]="",1,0)</f>
        <v>#REF!</v>
      </c>
    </row>
    <row r="436" spans="1:18" x14ac:dyDescent="0.35">
      <c r="A436" t="s">
        <v>64</v>
      </c>
      <c r="B436" s="1">
        <v>45637</v>
      </c>
      <c r="C436" t="s">
        <v>65</v>
      </c>
      <c r="D436">
        <v>17</v>
      </c>
      <c r="E436" s="2">
        <v>40876</v>
      </c>
      <c r="F436" t="s">
        <v>16</v>
      </c>
      <c r="G436" t="s">
        <v>66</v>
      </c>
      <c r="H436" t="s">
        <v>225</v>
      </c>
      <c r="I436" s="3">
        <v>0.16666666666666666</v>
      </c>
      <c r="J436" s="8" t="s">
        <v>446</v>
      </c>
      <c r="K436" s="8" t="s">
        <v>443</v>
      </c>
      <c r="L436" s="8" t="str">
        <f>IF(Table1346[[#This Row],[Home Team Score]]&gt;Table1346[[#This Row],[Away Team Score]],"Win",IF(Table1346[[#This Row],[Home Team Score]]=Table1346[[#This Row],[Away Team Score]],"Tie","Lose"))</f>
        <v>Win</v>
      </c>
      <c r="M436" t="s">
        <v>68</v>
      </c>
      <c r="N436">
        <v>49</v>
      </c>
      <c r="O436" s="3">
        <v>0.16666666666666666</v>
      </c>
      <c r="P436" t="s">
        <v>31</v>
      </c>
      <c r="Q436" t="s">
        <v>155</v>
      </c>
      <c r="R436" t="e">
        <f>IF([1]!Table13[[#This Row],[Goal_assist]]="",1,0)</f>
        <v>#REF!</v>
      </c>
    </row>
    <row r="437" spans="1:18" x14ac:dyDescent="0.35">
      <c r="A437" t="s">
        <v>14</v>
      </c>
      <c r="B437" s="1">
        <v>45637</v>
      </c>
      <c r="C437" t="s">
        <v>65</v>
      </c>
      <c r="D437">
        <v>15</v>
      </c>
      <c r="E437" s="2">
        <v>40880</v>
      </c>
      <c r="F437" t="s">
        <v>24</v>
      </c>
      <c r="G437" t="s">
        <v>112</v>
      </c>
      <c r="H437" t="s">
        <v>151</v>
      </c>
      <c r="I437" s="3">
        <v>2.0833333333333333E-3</v>
      </c>
      <c r="J437" s="8" t="s">
        <v>443</v>
      </c>
      <c r="K437" s="8" t="s">
        <v>442</v>
      </c>
      <c r="L437" s="8" t="str">
        <f>IF(Table1346[[#This Row],[Home Team Score]]&gt;Table1346[[#This Row],[Away Team Score]],"Win",IF(Table1346[[#This Row],[Home Team Score]]=Table1346[[#This Row],[Away Team Score]],"Tie","Lose"))</f>
        <v>Lose</v>
      </c>
      <c r="M437" t="s">
        <v>19</v>
      </c>
      <c r="N437">
        <v>65</v>
      </c>
      <c r="O437" s="3">
        <v>1.3888888888888889E-3</v>
      </c>
      <c r="P437" t="s">
        <v>26</v>
      </c>
      <c r="Q437" t="s">
        <v>207</v>
      </c>
      <c r="R437" t="e">
        <f>IF([1]!Table13[[#This Row],[Goal_assist]]="",1,0)</f>
        <v>#REF!</v>
      </c>
    </row>
    <row r="438" spans="1:18" x14ac:dyDescent="0.35">
      <c r="A438" t="s">
        <v>64</v>
      </c>
      <c r="B438" s="1">
        <v>45637</v>
      </c>
      <c r="C438" t="s">
        <v>65</v>
      </c>
      <c r="D438">
        <v>15</v>
      </c>
      <c r="E438" s="2">
        <v>40880</v>
      </c>
      <c r="F438" t="s">
        <v>16</v>
      </c>
      <c r="G438" t="s">
        <v>66</v>
      </c>
      <c r="H438" t="s">
        <v>127</v>
      </c>
      <c r="I438" s="3">
        <v>0.20833333333333334</v>
      </c>
      <c r="J438" s="8" t="s">
        <v>448</v>
      </c>
      <c r="K438" s="8" t="s">
        <v>443</v>
      </c>
      <c r="L438" s="8" t="str">
        <f>IF(Table1346[[#This Row],[Home Team Score]]&gt;Table1346[[#This Row],[Away Team Score]],"Win",IF(Table1346[[#This Row],[Home Team Score]]=Table1346[[#This Row],[Away Team Score]],"Tie","Lose"))</f>
        <v>Win</v>
      </c>
      <c r="M438" t="s">
        <v>68</v>
      </c>
      <c r="N438">
        <v>55</v>
      </c>
      <c r="O438" s="3">
        <v>0.16666666666666666</v>
      </c>
      <c r="P438" t="s">
        <v>31</v>
      </c>
      <c r="Q438" t="s">
        <v>155</v>
      </c>
      <c r="R438" t="e">
        <f>IF([1]!Table13[[#This Row],[Goal_assist]]="",1,0)</f>
        <v>#REF!</v>
      </c>
    </row>
    <row r="439" spans="1:18" x14ac:dyDescent="0.35">
      <c r="A439" t="s">
        <v>14</v>
      </c>
      <c r="B439" s="1">
        <v>45637</v>
      </c>
      <c r="C439" t="s">
        <v>91</v>
      </c>
      <c r="D439" t="s">
        <v>210</v>
      </c>
      <c r="E439" s="2">
        <v>40890</v>
      </c>
      <c r="F439" t="s">
        <v>24</v>
      </c>
      <c r="G439" t="s">
        <v>112</v>
      </c>
      <c r="H439" t="s">
        <v>231</v>
      </c>
      <c r="I439" s="3">
        <v>1.3888888888888889E-3</v>
      </c>
      <c r="J439" s="8" t="s">
        <v>443</v>
      </c>
      <c r="K439" s="8" t="s">
        <v>445</v>
      </c>
      <c r="L439" s="8" t="str">
        <f>IF(Table1346[[#This Row],[Home Team Score]]&gt;Table1346[[#This Row],[Away Team Score]],"Win",IF(Table1346[[#This Row],[Home Team Score]]=Table1346[[#This Row],[Away Team Score]],"Tie","Lose"))</f>
        <v>Lose</v>
      </c>
      <c r="M439" t="s">
        <v>19</v>
      </c>
      <c r="N439">
        <v>74</v>
      </c>
      <c r="O439" s="3">
        <v>1.3888888888888889E-3</v>
      </c>
      <c r="P439" t="s">
        <v>31</v>
      </c>
      <c r="Q439" t="s">
        <v>188</v>
      </c>
      <c r="R439" t="e">
        <f>IF([1]!Table13[[#This Row],[Goal_assist]]="",1,0)</f>
        <v>#REF!</v>
      </c>
    </row>
    <row r="440" spans="1:18" x14ac:dyDescent="0.35">
      <c r="A440" t="s">
        <v>14</v>
      </c>
      <c r="B440" s="1">
        <v>45637</v>
      </c>
      <c r="C440" t="s">
        <v>65</v>
      </c>
      <c r="D440">
        <v>17</v>
      </c>
      <c r="E440" s="2">
        <v>40894</v>
      </c>
      <c r="F440" t="s">
        <v>24</v>
      </c>
      <c r="G440" t="s">
        <v>112</v>
      </c>
      <c r="H440" t="s">
        <v>105</v>
      </c>
      <c r="I440" s="3">
        <v>8.7499999999999994E-2</v>
      </c>
      <c r="J440" s="8" t="s">
        <v>445</v>
      </c>
      <c r="K440" s="8" t="s">
        <v>450</v>
      </c>
      <c r="L440" s="8" t="str">
        <f>IF(Table1346[[#This Row],[Home Team Score]]&gt;Table1346[[#This Row],[Away Team Score]],"Win",IF(Table1346[[#This Row],[Home Team Score]]=Table1346[[#This Row],[Away Team Score]],"Tie","Lose"))</f>
        <v>Lose</v>
      </c>
      <c r="M440" t="s">
        <v>19</v>
      </c>
      <c r="N440">
        <v>10</v>
      </c>
      <c r="O440" s="3">
        <v>6.9444444444444447E-4</v>
      </c>
      <c r="P440" t="s">
        <v>26</v>
      </c>
      <c r="Q440" t="s">
        <v>207</v>
      </c>
      <c r="R440" t="e">
        <f>IF([1]!Table13[[#This Row],[Goal_assist]]="",1,0)</f>
        <v>#REF!</v>
      </c>
    </row>
    <row r="441" spans="1:18" x14ac:dyDescent="0.35">
      <c r="A441" t="s">
        <v>14</v>
      </c>
      <c r="B441" s="1">
        <v>45637</v>
      </c>
      <c r="C441" t="s">
        <v>65</v>
      </c>
      <c r="D441">
        <v>17</v>
      </c>
      <c r="E441" s="2">
        <v>40894</v>
      </c>
      <c r="F441" t="s">
        <v>24</v>
      </c>
      <c r="G441" t="s">
        <v>112</v>
      </c>
      <c r="H441" t="s">
        <v>105</v>
      </c>
      <c r="I441" s="3">
        <v>8.7499999999999994E-2</v>
      </c>
      <c r="J441" s="8" t="s">
        <v>445</v>
      </c>
      <c r="K441" s="8" t="s">
        <v>450</v>
      </c>
      <c r="L441" s="8" t="str">
        <f>IF(Table1346[[#This Row],[Home Team Score]]&gt;Table1346[[#This Row],[Away Team Score]],"Win",IF(Table1346[[#This Row],[Home Team Score]]=Table1346[[#This Row],[Away Team Score]],"Tie","Lose"))</f>
        <v>Lose</v>
      </c>
      <c r="M441" t="s">
        <v>19</v>
      </c>
      <c r="N441">
        <v>41</v>
      </c>
      <c r="O441" s="3">
        <v>2.0833333333333333E-3</v>
      </c>
      <c r="P441" t="s">
        <v>26</v>
      </c>
      <c r="Q441" t="s">
        <v>183</v>
      </c>
      <c r="R441" t="e">
        <f>IF([1]!Table13[[#This Row],[Goal_assist]]="",1,0)</f>
        <v>#REF!</v>
      </c>
    </row>
    <row r="442" spans="1:18" x14ac:dyDescent="0.35">
      <c r="A442" t="s">
        <v>14</v>
      </c>
      <c r="B442" s="1">
        <v>45637</v>
      </c>
      <c r="C442" t="s">
        <v>65</v>
      </c>
      <c r="D442">
        <v>17</v>
      </c>
      <c r="E442" s="2">
        <v>40894</v>
      </c>
      <c r="F442" t="s">
        <v>24</v>
      </c>
      <c r="G442" t="s">
        <v>112</v>
      </c>
      <c r="H442" t="s">
        <v>105</v>
      </c>
      <c r="I442" s="3">
        <v>8.7499999999999994E-2</v>
      </c>
      <c r="J442" s="8" t="s">
        <v>445</v>
      </c>
      <c r="K442" s="8" t="s">
        <v>450</v>
      </c>
      <c r="L442" s="8" t="str">
        <f>IF(Table1346[[#This Row],[Home Team Score]]&gt;Table1346[[#This Row],[Away Team Score]],"Win",IF(Table1346[[#This Row],[Home Team Score]]=Table1346[[#This Row],[Away Team Score]],"Tie","Lose"))</f>
        <v>Lose</v>
      </c>
      <c r="M442" t="s">
        <v>19</v>
      </c>
      <c r="N442">
        <v>86</v>
      </c>
      <c r="O442" s="3">
        <v>4.5138888888888888E-2</v>
      </c>
      <c r="P442" t="s">
        <v>83</v>
      </c>
      <c r="R442" t="e">
        <f>IF([1]!Table13[[#This Row],[Goal_assist]]="",1,0)</f>
        <v>#REF!</v>
      </c>
    </row>
    <row r="443" spans="1:18" x14ac:dyDescent="0.35">
      <c r="A443" t="s">
        <v>64</v>
      </c>
      <c r="B443" s="1">
        <v>45637</v>
      </c>
      <c r="C443" t="s">
        <v>163</v>
      </c>
      <c r="D443" t="s">
        <v>46</v>
      </c>
      <c r="E443" s="2">
        <v>40895</v>
      </c>
      <c r="F443" t="s">
        <v>24</v>
      </c>
      <c r="G443" t="s">
        <v>66</v>
      </c>
      <c r="H443" t="s">
        <v>232</v>
      </c>
      <c r="I443" s="3">
        <v>2.7777777777777779E-3</v>
      </c>
      <c r="J443" s="8" t="s">
        <v>443</v>
      </c>
      <c r="K443" s="8" t="s">
        <v>446</v>
      </c>
      <c r="L443" s="8" t="str">
        <f>IF(Table1346[[#This Row],[Home Team Score]]&gt;Table1346[[#This Row],[Away Team Score]],"Win",IF(Table1346[[#This Row],[Home Team Score]]=Table1346[[#This Row],[Away Team Score]],"Tie","Lose"))</f>
        <v>Lose</v>
      </c>
      <c r="M443" t="s">
        <v>38</v>
      </c>
      <c r="N443">
        <v>82</v>
      </c>
      <c r="O443" s="3">
        <v>2.7777777777777779E-3</v>
      </c>
      <c r="P443" t="s">
        <v>31</v>
      </c>
      <c r="Q443" t="s">
        <v>155</v>
      </c>
      <c r="R443" t="e">
        <f>IF([1]!Table13[[#This Row],[Goal_assist]]="",1,0)</f>
        <v>#REF!</v>
      </c>
    </row>
    <row r="444" spans="1:18" x14ac:dyDescent="0.35">
      <c r="A444" t="s">
        <v>64</v>
      </c>
      <c r="B444" s="1">
        <v>45637</v>
      </c>
      <c r="C444" t="s">
        <v>163</v>
      </c>
      <c r="D444" t="s">
        <v>46</v>
      </c>
      <c r="E444" s="2">
        <v>40895</v>
      </c>
      <c r="F444" t="s">
        <v>24</v>
      </c>
      <c r="G444" t="s">
        <v>66</v>
      </c>
      <c r="H444" t="s">
        <v>232</v>
      </c>
      <c r="I444" s="3">
        <v>2.7777777777777779E-3</v>
      </c>
      <c r="J444" s="8" t="s">
        <v>443</v>
      </c>
      <c r="K444" s="8" t="s">
        <v>446</v>
      </c>
      <c r="L444" s="8" t="str">
        <f>IF(Table1346[[#This Row],[Home Team Score]]&gt;Table1346[[#This Row],[Away Team Score]],"Win",IF(Table1346[[#This Row],[Home Team Score]]=Table1346[[#This Row],[Away Team Score]],"Tie","Lose"))</f>
        <v>Lose</v>
      </c>
      <c r="M444" t="s">
        <v>38</v>
      </c>
      <c r="N444">
        <v>17</v>
      </c>
      <c r="O444" s="3">
        <v>6.9444444444444447E-4</v>
      </c>
      <c r="P444" t="s">
        <v>31</v>
      </c>
      <c r="Q444" t="s">
        <v>106</v>
      </c>
      <c r="R444" t="e">
        <f>IF([1]!Table13[[#This Row],[Goal_assist]]="",1,0)</f>
        <v>#REF!</v>
      </c>
    </row>
    <row r="445" spans="1:18" x14ac:dyDescent="0.35">
      <c r="A445" t="s">
        <v>64</v>
      </c>
      <c r="B445" s="1">
        <v>45637</v>
      </c>
      <c r="C445" t="s">
        <v>91</v>
      </c>
      <c r="D445" t="s">
        <v>143</v>
      </c>
      <c r="E445" s="2">
        <v>40912</v>
      </c>
      <c r="F445" t="s">
        <v>16</v>
      </c>
      <c r="G445" t="s">
        <v>66</v>
      </c>
      <c r="H445" t="s">
        <v>100</v>
      </c>
      <c r="I445" s="3">
        <v>0.16666666666666666</v>
      </c>
      <c r="J445" s="8" t="s">
        <v>446</v>
      </c>
      <c r="K445" s="8" t="s">
        <v>443</v>
      </c>
      <c r="L445" s="8" t="str">
        <f>IF(Table1346[[#This Row],[Home Team Score]]&gt;Table1346[[#This Row],[Away Team Score]],"Win",IF(Table1346[[#This Row],[Home Team Score]]=Table1346[[#This Row],[Away Team Score]],"Tie","Lose"))</f>
        <v>Win</v>
      </c>
      <c r="M445" t="s">
        <v>68</v>
      </c>
      <c r="N445">
        <v>90</v>
      </c>
      <c r="O445" s="3">
        <v>0.16666666666666666</v>
      </c>
      <c r="P445" t="s">
        <v>31</v>
      </c>
      <c r="Q445" t="s">
        <v>106</v>
      </c>
      <c r="R445" t="e">
        <f>IF([1]!Table13[[#This Row],[Goal_assist]]="",1,0)</f>
        <v>#REF!</v>
      </c>
    </row>
    <row r="446" spans="1:18" x14ac:dyDescent="0.35">
      <c r="A446" t="s">
        <v>64</v>
      </c>
      <c r="B446" s="1">
        <v>45637</v>
      </c>
      <c r="C446" t="s">
        <v>91</v>
      </c>
      <c r="D446" t="s">
        <v>143</v>
      </c>
      <c r="E446" s="2">
        <v>40912</v>
      </c>
      <c r="F446" t="s">
        <v>16</v>
      </c>
      <c r="G446" t="s">
        <v>66</v>
      </c>
      <c r="H446" t="s">
        <v>100</v>
      </c>
      <c r="I446" s="3">
        <v>0.16666666666666666</v>
      </c>
      <c r="J446" s="8" t="s">
        <v>446</v>
      </c>
      <c r="K446" s="8" t="s">
        <v>443</v>
      </c>
      <c r="L446" s="8" t="str">
        <f>IF(Table1346[[#This Row],[Home Team Score]]&gt;Table1346[[#This Row],[Away Team Score]],"Win",IF(Table1346[[#This Row],[Home Team Score]]=Table1346[[#This Row],[Away Team Score]],"Tie","Lose"))</f>
        <v>Win</v>
      </c>
      <c r="M446" t="s">
        <v>68</v>
      </c>
      <c r="N446">
        <v>71</v>
      </c>
      <c r="O446" s="3">
        <v>0.125</v>
      </c>
      <c r="P446" t="s">
        <v>22</v>
      </c>
      <c r="Q446" t="s">
        <v>224</v>
      </c>
      <c r="R446" t="e">
        <f>IF([1]!Table13[[#This Row],[Goal_assist]]="",1,0)</f>
        <v>#REF!</v>
      </c>
    </row>
    <row r="447" spans="1:18" x14ac:dyDescent="0.35">
      <c r="A447" t="s">
        <v>14</v>
      </c>
      <c r="B447" s="1">
        <v>45637</v>
      </c>
      <c r="C447" t="s">
        <v>65</v>
      </c>
      <c r="D447">
        <v>18</v>
      </c>
      <c r="E447" s="2">
        <v>40915</v>
      </c>
      <c r="F447" t="s">
        <v>16</v>
      </c>
      <c r="G447" t="s">
        <v>112</v>
      </c>
      <c r="H447" t="s">
        <v>233</v>
      </c>
      <c r="I447" s="3">
        <v>0.20902777777777778</v>
      </c>
      <c r="J447" s="8" t="s">
        <v>448</v>
      </c>
      <c r="K447" s="8" t="s">
        <v>444</v>
      </c>
      <c r="L447" s="8" t="str">
        <f>IF(Table1346[[#This Row],[Home Team Score]]&gt;Table1346[[#This Row],[Away Team Score]],"Win",IF(Table1346[[#This Row],[Home Team Score]]=Table1346[[#This Row],[Away Team Score]],"Tie","Lose"))</f>
        <v>Win</v>
      </c>
      <c r="M447" t="s">
        <v>19</v>
      </c>
      <c r="N447">
        <v>89</v>
      </c>
      <c r="O447" s="3">
        <v>0.20902777777777778</v>
      </c>
      <c r="P447" t="s">
        <v>26</v>
      </c>
      <c r="R447" t="e">
        <f>IF([1]!Table13[[#This Row],[Goal_assist]]="",1,0)</f>
        <v>#REF!</v>
      </c>
    </row>
    <row r="448" spans="1:18" x14ac:dyDescent="0.35">
      <c r="A448" t="s">
        <v>64</v>
      </c>
      <c r="B448" s="1">
        <v>45637</v>
      </c>
      <c r="C448" t="s">
        <v>65</v>
      </c>
      <c r="D448">
        <v>19</v>
      </c>
      <c r="E448" s="2">
        <v>40923</v>
      </c>
      <c r="F448" t="s">
        <v>16</v>
      </c>
      <c r="G448" t="s">
        <v>66</v>
      </c>
      <c r="H448" t="s">
        <v>95</v>
      </c>
      <c r="I448" s="3">
        <v>0.16805555555555557</v>
      </c>
      <c r="J448" s="8" t="s">
        <v>446</v>
      </c>
      <c r="K448" s="8" t="s">
        <v>445</v>
      </c>
      <c r="L448" s="8" t="str">
        <f>IF(Table1346[[#This Row],[Home Team Score]]&gt;Table1346[[#This Row],[Away Team Score]],"Win",IF(Table1346[[#This Row],[Home Team Score]]=Table1346[[#This Row],[Away Team Score]],"Tie","Lose"))</f>
        <v>Win</v>
      </c>
      <c r="M448" t="s">
        <v>68</v>
      </c>
      <c r="N448">
        <v>12</v>
      </c>
      <c r="O448" s="3">
        <v>8.3333333333333329E-2</v>
      </c>
      <c r="P448" t="s">
        <v>26</v>
      </c>
      <c r="Q448" t="s">
        <v>234</v>
      </c>
      <c r="R448" t="e">
        <f>IF([1]!Table13[[#This Row],[Goal_assist]]="",1,0)</f>
        <v>#REF!</v>
      </c>
    </row>
    <row r="449" spans="1:18" x14ac:dyDescent="0.35">
      <c r="A449" t="s">
        <v>64</v>
      </c>
      <c r="B449" s="1">
        <v>45637</v>
      </c>
      <c r="C449" t="s">
        <v>65</v>
      </c>
      <c r="D449">
        <v>19</v>
      </c>
      <c r="E449" s="2">
        <v>40923</v>
      </c>
      <c r="F449" t="s">
        <v>16</v>
      </c>
      <c r="G449" t="s">
        <v>66</v>
      </c>
      <c r="H449" t="s">
        <v>95</v>
      </c>
      <c r="I449" s="3">
        <v>0.16805555555555557</v>
      </c>
      <c r="J449" s="8" t="s">
        <v>446</v>
      </c>
      <c r="K449" s="8" t="s">
        <v>445</v>
      </c>
      <c r="L449" s="8" t="str">
        <f>IF(Table1346[[#This Row],[Home Team Score]]&gt;Table1346[[#This Row],[Away Team Score]],"Win",IF(Table1346[[#This Row],[Home Team Score]]=Table1346[[#This Row],[Away Team Score]],"Tie","Lose"))</f>
        <v>Win</v>
      </c>
      <c r="M449" t="s">
        <v>68</v>
      </c>
      <c r="N449">
        <v>86</v>
      </c>
      <c r="O449" s="3">
        <v>0.16805555555555557</v>
      </c>
      <c r="P449" t="s">
        <v>83</v>
      </c>
      <c r="R449" t="e">
        <f>IF([1]!Table13[[#This Row],[Goal_assist]]="",1,0)</f>
        <v>#REF!</v>
      </c>
    </row>
    <row r="450" spans="1:18" x14ac:dyDescent="0.35">
      <c r="A450" t="s">
        <v>14</v>
      </c>
      <c r="B450" s="1">
        <v>45637</v>
      </c>
      <c r="C450" t="s">
        <v>91</v>
      </c>
      <c r="D450" t="s">
        <v>92</v>
      </c>
      <c r="E450" s="2">
        <v>40926</v>
      </c>
      <c r="F450" t="s">
        <v>16</v>
      </c>
      <c r="G450" t="s">
        <v>112</v>
      </c>
      <c r="H450" t="s">
        <v>66</v>
      </c>
      <c r="I450" s="3">
        <v>4.3055555555555555E-2</v>
      </c>
      <c r="J450" s="8" t="s">
        <v>444</v>
      </c>
      <c r="K450" s="8" t="s">
        <v>445</v>
      </c>
      <c r="L450" s="8" t="str">
        <f>IF(Table1346[[#This Row],[Home Team Score]]&gt;Table1346[[#This Row],[Away Team Score]],"Win",IF(Table1346[[#This Row],[Home Team Score]]=Table1346[[#This Row],[Away Team Score]],"Tie","Lose"))</f>
        <v>Lose</v>
      </c>
      <c r="M450" t="s">
        <v>19</v>
      </c>
      <c r="N450">
        <v>11</v>
      </c>
      <c r="O450" s="3">
        <v>4.1666666666666664E-2</v>
      </c>
      <c r="P450" t="s">
        <v>31</v>
      </c>
      <c r="Q450" t="s">
        <v>183</v>
      </c>
      <c r="R450" t="e">
        <f>IF([1]!Table13[[#This Row],[Goal_assist]]="",1,0)</f>
        <v>#REF!</v>
      </c>
    </row>
    <row r="451" spans="1:18" x14ac:dyDescent="0.35">
      <c r="A451" t="s">
        <v>14</v>
      </c>
      <c r="B451" s="1">
        <v>45637</v>
      </c>
      <c r="C451" t="s">
        <v>65</v>
      </c>
      <c r="D451">
        <v>1</v>
      </c>
      <c r="E451" s="2">
        <v>40930</v>
      </c>
      <c r="F451" t="s">
        <v>16</v>
      </c>
      <c r="G451" t="s">
        <v>112</v>
      </c>
      <c r="H451" t="s">
        <v>86</v>
      </c>
      <c r="I451" s="3">
        <v>0.1673611111111111</v>
      </c>
      <c r="J451" s="8" t="s">
        <v>446</v>
      </c>
      <c r="K451" s="8" t="s">
        <v>444</v>
      </c>
      <c r="L451" s="8" t="str">
        <f>IF(Table1346[[#This Row],[Home Team Score]]&gt;Table1346[[#This Row],[Away Team Score]],"Win",IF(Table1346[[#This Row],[Home Team Score]]=Table1346[[#This Row],[Away Team Score]],"Tie","Lose"))</f>
        <v>Win</v>
      </c>
      <c r="M451" t="s">
        <v>19</v>
      </c>
      <c r="N451">
        <v>67</v>
      </c>
      <c r="O451" s="3">
        <v>0.12569444444444444</v>
      </c>
      <c r="P451" t="s">
        <v>83</v>
      </c>
      <c r="R451" t="e">
        <f>IF([1]!Table13[[#This Row],[Goal_assist]]="",1,0)</f>
        <v>#REF!</v>
      </c>
    </row>
    <row r="452" spans="1:18" x14ac:dyDescent="0.35">
      <c r="A452" t="s">
        <v>14</v>
      </c>
      <c r="B452" s="1">
        <v>45637</v>
      </c>
      <c r="C452" t="s">
        <v>65</v>
      </c>
      <c r="D452">
        <v>1</v>
      </c>
      <c r="E452" s="2">
        <v>40930</v>
      </c>
      <c r="F452" t="s">
        <v>16</v>
      </c>
      <c r="G452" t="s">
        <v>112</v>
      </c>
      <c r="H452" t="s">
        <v>86</v>
      </c>
      <c r="I452" s="3">
        <v>0.1673611111111111</v>
      </c>
      <c r="J452" s="8" t="s">
        <v>446</v>
      </c>
      <c r="K452" s="8" t="s">
        <v>444</v>
      </c>
      <c r="L452" s="8" t="str">
        <f>IF(Table1346[[#This Row],[Home Team Score]]&gt;Table1346[[#This Row],[Away Team Score]],"Win",IF(Table1346[[#This Row],[Home Team Score]]=Table1346[[#This Row],[Away Team Score]],"Tie","Lose"))</f>
        <v>Win</v>
      </c>
      <c r="M452" t="s">
        <v>19</v>
      </c>
      <c r="N452">
        <v>46</v>
      </c>
      <c r="O452" s="3">
        <v>8.4027777777777785E-2</v>
      </c>
      <c r="P452" t="s">
        <v>83</v>
      </c>
      <c r="R452" t="e">
        <f>IF([1]!Table13[[#This Row],[Goal_assist]]="",1,0)</f>
        <v>#REF!</v>
      </c>
    </row>
    <row r="453" spans="1:18" x14ac:dyDescent="0.35">
      <c r="A453" t="s">
        <v>64</v>
      </c>
      <c r="B453" s="1">
        <v>45637</v>
      </c>
      <c r="C453" t="s">
        <v>65</v>
      </c>
      <c r="D453">
        <v>1</v>
      </c>
      <c r="E453" s="2">
        <v>40930</v>
      </c>
      <c r="F453" t="s">
        <v>24</v>
      </c>
      <c r="G453" t="s">
        <v>66</v>
      </c>
      <c r="H453" t="s">
        <v>157</v>
      </c>
      <c r="I453" s="3">
        <v>4.4444444444444446E-2</v>
      </c>
      <c r="J453" s="8" t="s">
        <v>444</v>
      </c>
      <c r="K453" s="8" t="s">
        <v>446</v>
      </c>
      <c r="L453" s="8" t="str">
        <f>IF(Table1346[[#This Row],[Home Team Score]]&gt;Table1346[[#This Row],[Away Team Score]],"Win",IF(Table1346[[#This Row],[Home Team Score]]=Table1346[[#This Row],[Away Team Score]],"Tie","Lose"))</f>
        <v>Lose</v>
      </c>
      <c r="M453" t="s">
        <v>68</v>
      </c>
      <c r="N453">
        <v>77</v>
      </c>
      <c r="O453" s="3">
        <v>2.7777777777777779E-3</v>
      </c>
      <c r="P453" t="s">
        <v>31</v>
      </c>
      <c r="Q453" t="s">
        <v>186</v>
      </c>
      <c r="R453" t="e">
        <f>IF([1]!Table13[[#This Row],[Goal_assist]]="",1,0)</f>
        <v>#REF!</v>
      </c>
    </row>
    <row r="454" spans="1:18" x14ac:dyDescent="0.35">
      <c r="A454" t="s">
        <v>64</v>
      </c>
      <c r="B454" s="1">
        <v>45637</v>
      </c>
      <c r="C454" t="s">
        <v>65</v>
      </c>
      <c r="D454">
        <v>1</v>
      </c>
      <c r="E454" s="2">
        <v>40930</v>
      </c>
      <c r="F454" t="s">
        <v>24</v>
      </c>
      <c r="G454" t="s">
        <v>66</v>
      </c>
      <c r="H454" t="s">
        <v>157</v>
      </c>
      <c r="I454" s="3">
        <v>4.4444444444444446E-2</v>
      </c>
      <c r="J454" s="8" t="s">
        <v>444</v>
      </c>
      <c r="K454" s="8" t="s">
        <v>446</v>
      </c>
      <c r="L454" s="8" t="str">
        <f>IF(Table1346[[#This Row],[Home Team Score]]&gt;Table1346[[#This Row],[Away Team Score]],"Win",IF(Table1346[[#This Row],[Home Team Score]]=Table1346[[#This Row],[Away Team Score]],"Tie","Lose"))</f>
        <v>Lose</v>
      </c>
      <c r="M454" t="s">
        <v>68</v>
      </c>
      <c r="N454">
        <v>51</v>
      </c>
      <c r="O454" s="3">
        <v>2.0833333333333333E-3</v>
      </c>
      <c r="P454" t="s">
        <v>31</v>
      </c>
      <c r="Q454" t="s">
        <v>213</v>
      </c>
      <c r="R454" t="e">
        <f>IF([1]!Table13[[#This Row],[Goal_assist]]="",1,0)</f>
        <v>#REF!</v>
      </c>
    </row>
    <row r="455" spans="1:18" x14ac:dyDescent="0.35">
      <c r="A455" t="s">
        <v>64</v>
      </c>
      <c r="B455" s="1">
        <v>45637</v>
      </c>
      <c r="C455" t="s">
        <v>65</v>
      </c>
      <c r="D455">
        <v>1</v>
      </c>
      <c r="E455" s="2">
        <v>40930</v>
      </c>
      <c r="F455" t="s">
        <v>24</v>
      </c>
      <c r="G455" t="s">
        <v>66</v>
      </c>
      <c r="H455" t="s">
        <v>157</v>
      </c>
      <c r="I455" s="3">
        <v>4.4444444444444446E-2</v>
      </c>
      <c r="J455" s="8" t="s">
        <v>444</v>
      </c>
      <c r="K455" s="8" t="s">
        <v>446</v>
      </c>
      <c r="L455" s="8" t="str">
        <f>IF(Table1346[[#This Row],[Home Team Score]]&gt;Table1346[[#This Row],[Away Team Score]],"Win",IF(Table1346[[#This Row],[Home Team Score]]=Table1346[[#This Row],[Away Team Score]],"Tie","Lose"))</f>
        <v>Lose</v>
      </c>
      <c r="M455" t="s">
        <v>68</v>
      </c>
      <c r="N455">
        <v>32</v>
      </c>
      <c r="O455" s="3">
        <v>6.9444444444444447E-4</v>
      </c>
      <c r="P455" t="s">
        <v>22</v>
      </c>
      <c r="Q455" t="s">
        <v>215</v>
      </c>
      <c r="R455" t="e">
        <f>IF([1]!Table13[[#This Row],[Goal_assist]]="",1,0)</f>
        <v>#REF!</v>
      </c>
    </row>
    <row r="456" spans="1:18" x14ac:dyDescent="0.35">
      <c r="A456" t="s">
        <v>14</v>
      </c>
      <c r="B456" s="1">
        <v>45637</v>
      </c>
      <c r="C456" t="s">
        <v>91</v>
      </c>
      <c r="D456" t="s">
        <v>92</v>
      </c>
      <c r="E456" s="2">
        <v>40933</v>
      </c>
      <c r="F456" t="s">
        <v>24</v>
      </c>
      <c r="G456" t="s">
        <v>112</v>
      </c>
      <c r="H456" t="s">
        <v>66</v>
      </c>
      <c r="I456" s="3">
        <v>8.4722222222222227E-2</v>
      </c>
      <c r="J456" s="8" t="s">
        <v>445</v>
      </c>
      <c r="K456" s="8" t="s">
        <v>445</v>
      </c>
      <c r="L456" s="8" t="str">
        <f>IF(Table1346[[#This Row],[Home Team Score]]&gt;Table1346[[#This Row],[Away Team Score]],"Win",IF(Table1346[[#This Row],[Home Team Score]]=Table1346[[#This Row],[Away Team Score]],"Tie","Lose"))</f>
        <v>Tie</v>
      </c>
      <c r="M456" t="s">
        <v>19</v>
      </c>
      <c r="N456">
        <v>68</v>
      </c>
      <c r="O456" s="3">
        <v>8.4027777777777785E-2</v>
      </c>
      <c r="P456" t="s">
        <v>26</v>
      </c>
      <c r="Q456" t="s">
        <v>204</v>
      </c>
      <c r="R456" t="e">
        <f>IF([1]!Table13[[#This Row],[Goal_assist]]="",1,0)</f>
        <v>#REF!</v>
      </c>
    </row>
    <row r="457" spans="1:18" x14ac:dyDescent="0.35">
      <c r="A457" t="s">
        <v>14</v>
      </c>
      <c r="B457" s="1">
        <v>45637</v>
      </c>
      <c r="C457" t="s">
        <v>65</v>
      </c>
      <c r="D457">
        <v>21</v>
      </c>
      <c r="E457" s="2">
        <v>40936</v>
      </c>
      <c r="F457" t="s">
        <v>16</v>
      </c>
      <c r="G457" t="s">
        <v>112</v>
      </c>
      <c r="H457" t="s">
        <v>93</v>
      </c>
      <c r="I457" s="3">
        <v>0.12569444444444444</v>
      </c>
      <c r="J457" s="8" t="s">
        <v>442</v>
      </c>
      <c r="K457" s="8" t="s">
        <v>444</v>
      </c>
      <c r="L457" s="8" t="str">
        <f>IF(Table1346[[#This Row],[Home Team Score]]&gt;Table1346[[#This Row],[Away Team Score]],"Win",IF(Table1346[[#This Row],[Home Team Score]]=Table1346[[#This Row],[Away Team Score]],"Tie","Lose"))</f>
        <v>Win</v>
      </c>
      <c r="M457" t="s">
        <v>19</v>
      </c>
      <c r="N457">
        <v>48</v>
      </c>
      <c r="O457" s="3">
        <v>8.4027777777777785E-2</v>
      </c>
      <c r="P457" t="s">
        <v>26</v>
      </c>
      <c r="Q457" t="s">
        <v>204</v>
      </c>
      <c r="R457" t="e">
        <f>IF([1]!Table13[[#This Row],[Goal_assist]]="",1,0)</f>
        <v>#REF!</v>
      </c>
    </row>
    <row r="458" spans="1:18" x14ac:dyDescent="0.35">
      <c r="A458" t="s">
        <v>64</v>
      </c>
      <c r="B458" s="1">
        <v>45637</v>
      </c>
      <c r="C458" t="s">
        <v>65</v>
      </c>
      <c r="D458">
        <v>22</v>
      </c>
      <c r="E458" s="2">
        <v>40943</v>
      </c>
      <c r="F458" t="s">
        <v>16</v>
      </c>
      <c r="G458" t="s">
        <v>66</v>
      </c>
      <c r="H458" t="s">
        <v>217</v>
      </c>
      <c r="I458" s="3">
        <v>8.4027777777777785E-2</v>
      </c>
      <c r="J458" s="8" t="s">
        <v>445</v>
      </c>
      <c r="K458" s="8" t="s">
        <v>444</v>
      </c>
      <c r="L458" s="8" t="str">
        <f>IF(Table1346[[#This Row],[Home Team Score]]&gt;Table1346[[#This Row],[Away Team Score]],"Win",IF(Table1346[[#This Row],[Home Team Score]]=Table1346[[#This Row],[Away Team Score]],"Tie","Lose"))</f>
        <v>Win</v>
      </c>
      <c r="M458" t="s">
        <v>68</v>
      </c>
      <c r="N458">
        <v>72</v>
      </c>
      <c r="O458" s="3">
        <v>8.3333333333333329E-2</v>
      </c>
      <c r="P458" t="s">
        <v>31</v>
      </c>
      <c r="Q458" t="s">
        <v>155</v>
      </c>
      <c r="R458" t="e">
        <f>IF([1]!Table13[[#This Row],[Goal_assist]]="",1,0)</f>
        <v>#REF!</v>
      </c>
    </row>
    <row r="459" spans="1:18" x14ac:dyDescent="0.35">
      <c r="A459" t="s">
        <v>14</v>
      </c>
      <c r="B459" s="1">
        <v>45637</v>
      </c>
      <c r="C459" t="s">
        <v>65</v>
      </c>
      <c r="D459">
        <v>23</v>
      </c>
      <c r="E459" s="2">
        <v>40951</v>
      </c>
      <c r="F459" t="s">
        <v>16</v>
      </c>
      <c r="G459" t="s">
        <v>112</v>
      </c>
      <c r="H459" t="s">
        <v>127</v>
      </c>
      <c r="I459" s="3">
        <v>0.16805555555555557</v>
      </c>
      <c r="J459" s="8" t="s">
        <v>446</v>
      </c>
      <c r="K459" s="8" t="s">
        <v>445</v>
      </c>
      <c r="L459" s="8" t="str">
        <f>IF(Table1346[[#This Row],[Home Team Score]]&gt;Table1346[[#This Row],[Away Team Score]],"Win",IF(Table1346[[#This Row],[Home Team Score]]=Table1346[[#This Row],[Away Team Score]],"Tie","Lose"))</f>
        <v>Win</v>
      </c>
      <c r="M459" t="s">
        <v>19</v>
      </c>
      <c r="N459">
        <v>45</v>
      </c>
      <c r="O459" s="3">
        <v>4.2361111111111113E-2</v>
      </c>
      <c r="P459" t="s">
        <v>83</v>
      </c>
      <c r="R459" t="e">
        <f>IF([1]!Table13[[#This Row],[Goal_assist]]="",1,0)</f>
        <v>#REF!</v>
      </c>
    </row>
    <row r="460" spans="1:18" x14ac:dyDescent="0.35">
      <c r="A460" t="s">
        <v>14</v>
      </c>
      <c r="B460" s="1">
        <v>45637</v>
      </c>
      <c r="C460" t="s">
        <v>65</v>
      </c>
      <c r="D460">
        <v>23</v>
      </c>
      <c r="E460" s="2">
        <v>40951</v>
      </c>
      <c r="F460" t="s">
        <v>16</v>
      </c>
      <c r="G460" t="s">
        <v>112</v>
      </c>
      <c r="H460" t="s">
        <v>127</v>
      </c>
      <c r="I460" s="3">
        <v>0.16805555555555557</v>
      </c>
      <c r="J460" s="8" t="s">
        <v>446</v>
      </c>
      <c r="K460" s="8" t="s">
        <v>445</v>
      </c>
      <c r="L460" s="8" t="str">
        <f>IF(Table1346[[#This Row],[Home Team Score]]&gt;Table1346[[#This Row],[Away Team Score]],"Win",IF(Table1346[[#This Row],[Home Team Score]]=Table1346[[#This Row],[Away Team Score]],"Tie","Lose"))</f>
        <v>Win</v>
      </c>
      <c r="M460" t="s">
        <v>19</v>
      </c>
      <c r="N460">
        <v>50</v>
      </c>
      <c r="O460" s="3">
        <v>8.4027777777777785E-2</v>
      </c>
      <c r="P460" t="s">
        <v>22</v>
      </c>
      <c r="Q460" t="s">
        <v>188</v>
      </c>
      <c r="R460" t="e">
        <f>IF([1]!Table13[[#This Row],[Goal_assist]]="",1,0)</f>
        <v>#REF!</v>
      </c>
    </row>
    <row r="461" spans="1:18" x14ac:dyDescent="0.35">
      <c r="A461" t="s">
        <v>14</v>
      </c>
      <c r="B461" s="1">
        <v>45637</v>
      </c>
      <c r="C461" t="s">
        <v>65</v>
      </c>
      <c r="D461">
        <v>23</v>
      </c>
      <c r="E461" s="2">
        <v>40951</v>
      </c>
      <c r="F461" t="s">
        <v>16</v>
      </c>
      <c r="G461" t="s">
        <v>112</v>
      </c>
      <c r="H461" t="s">
        <v>127</v>
      </c>
      <c r="I461" s="3">
        <v>0.16805555555555557</v>
      </c>
      <c r="J461" s="8" t="s">
        <v>446</v>
      </c>
      <c r="K461" s="8" t="s">
        <v>445</v>
      </c>
      <c r="L461" s="8" t="str">
        <f>IF(Table1346[[#This Row],[Home Team Score]]&gt;Table1346[[#This Row],[Away Team Score]],"Win",IF(Table1346[[#This Row],[Home Team Score]]=Table1346[[#This Row],[Away Team Score]],"Tie","Lose"))</f>
        <v>Win</v>
      </c>
      <c r="M461" t="s">
        <v>19</v>
      </c>
      <c r="N461">
        <v>57</v>
      </c>
      <c r="O461" s="3">
        <v>0.12569444444444444</v>
      </c>
      <c r="P461" t="s">
        <v>26</v>
      </c>
      <c r="Q461" t="s">
        <v>235</v>
      </c>
      <c r="R461" t="e">
        <f>IF([1]!Table13[[#This Row],[Goal_assist]]="",1,0)</f>
        <v>#REF!</v>
      </c>
    </row>
    <row r="462" spans="1:18" x14ac:dyDescent="0.35">
      <c r="A462" t="s">
        <v>64</v>
      </c>
      <c r="B462" s="1">
        <v>45637</v>
      </c>
      <c r="C462" t="s">
        <v>75</v>
      </c>
      <c r="D462" t="s">
        <v>143</v>
      </c>
      <c r="E462" s="2">
        <v>40953</v>
      </c>
      <c r="F462" t="s">
        <v>24</v>
      </c>
      <c r="G462" t="s">
        <v>66</v>
      </c>
      <c r="H462" t="s">
        <v>236</v>
      </c>
      <c r="I462" s="3">
        <v>4.3749999999999997E-2</v>
      </c>
      <c r="J462" s="8" t="s">
        <v>444</v>
      </c>
      <c r="K462" s="8" t="s">
        <v>442</v>
      </c>
      <c r="L462" s="8" t="str">
        <f>IF(Table1346[[#This Row],[Home Team Score]]&gt;Table1346[[#This Row],[Away Team Score]],"Win",IF(Table1346[[#This Row],[Home Team Score]]=Table1346[[#This Row],[Away Team Score]],"Tie","Lose"))</f>
        <v>Lose</v>
      </c>
      <c r="M462" t="s">
        <v>68</v>
      </c>
      <c r="N462">
        <v>88</v>
      </c>
      <c r="O462" s="3">
        <v>4.3749999999999997E-2</v>
      </c>
      <c r="P462" t="s">
        <v>31</v>
      </c>
      <c r="Q462" t="s">
        <v>155</v>
      </c>
      <c r="R462" t="e">
        <f>IF([1]!Table13[[#This Row],[Goal_assist]]="",1,0)</f>
        <v>#REF!</v>
      </c>
    </row>
    <row r="463" spans="1:18" x14ac:dyDescent="0.35">
      <c r="A463" t="s">
        <v>14</v>
      </c>
      <c r="B463" s="1">
        <v>45637</v>
      </c>
      <c r="C463" t="s">
        <v>65</v>
      </c>
      <c r="D463">
        <v>24</v>
      </c>
      <c r="E463" s="2">
        <v>40957</v>
      </c>
      <c r="F463" t="s">
        <v>16</v>
      </c>
      <c r="G463" t="s">
        <v>112</v>
      </c>
      <c r="H463" t="s">
        <v>78</v>
      </c>
      <c r="I463" s="3">
        <v>0.16666666666666666</v>
      </c>
      <c r="J463" s="8" t="s">
        <v>446</v>
      </c>
      <c r="K463" s="8" t="s">
        <v>443</v>
      </c>
      <c r="L463" s="8" t="str">
        <f>IF(Table1346[[#This Row],[Home Team Score]]&gt;Table1346[[#This Row],[Away Team Score]],"Win",IF(Table1346[[#This Row],[Home Team Score]]=Table1346[[#This Row],[Away Team Score]],"Tie","Lose"))</f>
        <v>Win</v>
      </c>
      <c r="M463" t="s">
        <v>19</v>
      </c>
      <c r="N463">
        <v>6</v>
      </c>
      <c r="O463" s="3">
        <v>4.1666666666666664E-2</v>
      </c>
      <c r="P463" t="s">
        <v>22</v>
      </c>
      <c r="Q463" t="s">
        <v>198</v>
      </c>
      <c r="R463" t="e">
        <f>IF([1]!Table13[[#This Row],[Goal_assist]]="",1,0)</f>
        <v>#REF!</v>
      </c>
    </row>
    <row r="464" spans="1:18" x14ac:dyDescent="0.35">
      <c r="A464" t="s">
        <v>64</v>
      </c>
      <c r="B464" s="1">
        <v>45637</v>
      </c>
      <c r="C464" t="s">
        <v>65</v>
      </c>
      <c r="D464">
        <v>24</v>
      </c>
      <c r="E464" s="2">
        <v>40958</v>
      </c>
      <c r="F464" t="s">
        <v>16</v>
      </c>
      <c r="G464" t="s">
        <v>66</v>
      </c>
      <c r="H464" t="s">
        <v>148</v>
      </c>
      <c r="I464" s="3">
        <v>0.20902777777777778</v>
      </c>
      <c r="J464" s="8" t="s">
        <v>448</v>
      </c>
      <c r="K464" s="8" t="s">
        <v>444</v>
      </c>
      <c r="L464" s="8" t="str">
        <f>IF(Table1346[[#This Row],[Home Team Score]]&gt;Table1346[[#This Row],[Away Team Score]],"Win",IF(Table1346[[#This Row],[Home Team Score]]=Table1346[[#This Row],[Away Team Score]],"Tie","Lose"))</f>
        <v>Win</v>
      </c>
      <c r="M464" t="s">
        <v>68</v>
      </c>
      <c r="N464">
        <v>21</v>
      </c>
      <c r="O464" s="3">
        <v>4.2361111111111113E-2</v>
      </c>
      <c r="P464" t="s">
        <v>31</v>
      </c>
      <c r="R464" t="e">
        <f>IF([1]!Table13[[#This Row],[Goal_assist]]="",1,0)</f>
        <v>#REF!</v>
      </c>
    </row>
    <row r="465" spans="1:18" x14ac:dyDescent="0.35">
      <c r="A465" t="s">
        <v>64</v>
      </c>
      <c r="B465" s="1">
        <v>45637</v>
      </c>
      <c r="C465" t="s">
        <v>65</v>
      </c>
      <c r="D465">
        <v>24</v>
      </c>
      <c r="E465" s="2">
        <v>40958</v>
      </c>
      <c r="F465" t="s">
        <v>16</v>
      </c>
      <c r="G465" t="s">
        <v>66</v>
      </c>
      <c r="H465" t="s">
        <v>148</v>
      </c>
      <c r="I465" s="3">
        <v>0.20902777777777778</v>
      </c>
      <c r="J465" s="8" t="s">
        <v>448</v>
      </c>
      <c r="K465" s="8" t="s">
        <v>444</v>
      </c>
      <c r="L465" s="8" t="str">
        <f>IF(Table1346[[#This Row],[Home Team Score]]&gt;Table1346[[#This Row],[Away Team Score]],"Win",IF(Table1346[[#This Row],[Home Team Score]]=Table1346[[#This Row],[Away Team Score]],"Tie","Lose"))</f>
        <v>Win</v>
      </c>
      <c r="M465" t="s">
        <v>68</v>
      </c>
      <c r="N465">
        <v>27</v>
      </c>
      <c r="O465" s="3">
        <v>8.4027777777777785E-2</v>
      </c>
      <c r="P465" t="s">
        <v>55</v>
      </c>
      <c r="R465" t="e">
        <f>IF([1]!Table13[[#This Row],[Goal_assist]]="",1,0)</f>
        <v>#REF!</v>
      </c>
    </row>
    <row r="466" spans="1:18" x14ac:dyDescent="0.35">
      <c r="A466" t="s">
        <v>64</v>
      </c>
      <c r="B466" s="1">
        <v>45637</v>
      </c>
      <c r="C466" t="s">
        <v>65</v>
      </c>
      <c r="D466">
        <v>24</v>
      </c>
      <c r="E466" s="2">
        <v>40958</v>
      </c>
      <c r="F466" t="s">
        <v>16</v>
      </c>
      <c r="G466" t="s">
        <v>66</v>
      </c>
      <c r="H466" t="s">
        <v>148</v>
      </c>
      <c r="I466" s="3">
        <v>0.20902777777777778</v>
      </c>
      <c r="J466" s="8" t="s">
        <v>448</v>
      </c>
      <c r="K466" s="8" t="s">
        <v>444</v>
      </c>
      <c r="L466" s="8" t="str">
        <f>IF(Table1346[[#This Row],[Home Team Score]]&gt;Table1346[[#This Row],[Away Team Score]],"Win",IF(Table1346[[#This Row],[Home Team Score]]=Table1346[[#This Row],[Away Team Score]],"Tie","Lose"))</f>
        <v>Win</v>
      </c>
      <c r="M466" t="s">
        <v>68</v>
      </c>
      <c r="N466">
        <v>75</v>
      </c>
      <c r="O466" s="3">
        <v>0.12569444444444444</v>
      </c>
      <c r="P466" t="s">
        <v>31</v>
      </c>
      <c r="Q466" t="s">
        <v>237</v>
      </c>
      <c r="R466" t="e">
        <f>IF([1]!Table13[[#This Row],[Goal_assist]]="",1,0)</f>
        <v>#REF!</v>
      </c>
    </row>
    <row r="467" spans="1:18" x14ac:dyDescent="0.35">
      <c r="A467" t="s">
        <v>64</v>
      </c>
      <c r="B467" s="1">
        <v>45637</v>
      </c>
      <c r="C467" t="s">
        <v>65</v>
      </c>
      <c r="D467">
        <v>24</v>
      </c>
      <c r="E467" s="2">
        <v>40958</v>
      </c>
      <c r="F467" t="s">
        <v>16</v>
      </c>
      <c r="G467" t="s">
        <v>66</v>
      </c>
      <c r="H467" t="s">
        <v>148</v>
      </c>
      <c r="I467" s="3">
        <v>0.20902777777777778</v>
      </c>
      <c r="J467" s="8" t="s">
        <v>448</v>
      </c>
      <c r="K467" s="8" t="s">
        <v>444</v>
      </c>
      <c r="L467" s="8" t="str">
        <f>IF(Table1346[[#This Row],[Home Team Score]]&gt;Table1346[[#This Row],[Away Team Score]],"Win",IF(Table1346[[#This Row],[Home Team Score]]=Table1346[[#This Row],[Away Team Score]],"Tie","Lose"))</f>
        <v>Win</v>
      </c>
      <c r="M467" t="s">
        <v>68</v>
      </c>
      <c r="N467">
        <v>84</v>
      </c>
      <c r="O467" s="3">
        <v>0.1673611111111111</v>
      </c>
      <c r="P467" t="s">
        <v>31</v>
      </c>
      <c r="Q467" t="s">
        <v>222</v>
      </c>
      <c r="R467" t="e">
        <f>IF([1]!Table13[[#This Row],[Goal_assist]]="",1,0)</f>
        <v>#REF!</v>
      </c>
    </row>
    <row r="468" spans="1:18" x14ac:dyDescent="0.35">
      <c r="A468" t="s">
        <v>14</v>
      </c>
      <c r="B468" s="1">
        <v>45637</v>
      </c>
      <c r="C468" t="s">
        <v>75</v>
      </c>
      <c r="D468" t="s">
        <v>143</v>
      </c>
      <c r="E468" s="2">
        <v>40960</v>
      </c>
      <c r="F468" t="s">
        <v>24</v>
      </c>
      <c r="G468" t="s">
        <v>112</v>
      </c>
      <c r="H468" t="s">
        <v>238</v>
      </c>
      <c r="I468" s="3">
        <v>4.2361111111111113E-2</v>
      </c>
      <c r="J468" s="8" t="s">
        <v>444</v>
      </c>
      <c r="K468" s="8" t="s">
        <v>444</v>
      </c>
      <c r="L468" s="8" t="str">
        <f>IF(Table1346[[#This Row],[Home Team Score]]&gt;Table1346[[#This Row],[Away Team Score]],"Win",IF(Table1346[[#This Row],[Home Team Score]]=Table1346[[#This Row],[Away Team Score]],"Tie","Lose"))</f>
        <v>Tie</v>
      </c>
      <c r="M468" t="s">
        <v>19</v>
      </c>
      <c r="N468">
        <v>28</v>
      </c>
      <c r="O468" s="3">
        <v>6.9444444444444447E-4</v>
      </c>
      <c r="P468" t="s">
        <v>31</v>
      </c>
      <c r="Q468" t="s">
        <v>235</v>
      </c>
      <c r="R468" t="e">
        <f>IF([1]!Table13[[#This Row],[Goal_assist]]="",1,0)</f>
        <v>#REF!</v>
      </c>
    </row>
    <row r="469" spans="1:18" x14ac:dyDescent="0.35">
      <c r="A469" t="s">
        <v>64</v>
      </c>
      <c r="B469" s="1">
        <v>45637</v>
      </c>
      <c r="C469" t="s">
        <v>65</v>
      </c>
      <c r="D469">
        <v>25</v>
      </c>
      <c r="E469" s="2">
        <v>40965</v>
      </c>
      <c r="F469" t="s">
        <v>24</v>
      </c>
      <c r="G469" t="s">
        <v>66</v>
      </c>
      <c r="H469" t="s">
        <v>119</v>
      </c>
      <c r="I469" s="3">
        <v>4.3055555555555555E-2</v>
      </c>
      <c r="J469" s="8" t="s">
        <v>444</v>
      </c>
      <c r="K469" s="8" t="s">
        <v>445</v>
      </c>
      <c r="L469" s="8" t="str">
        <f>IF(Table1346[[#This Row],[Home Team Score]]&gt;Table1346[[#This Row],[Away Team Score]],"Win",IF(Table1346[[#This Row],[Home Team Score]]=Table1346[[#This Row],[Away Team Score]],"Tie","Lose"))</f>
        <v>Lose</v>
      </c>
      <c r="M469" t="s">
        <v>68</v>
      </c>
      <c r="N469">
        <v>79</v>
      </c>
      <c r="O469" s="3">
        <v>4.3055555555555555E-2</v>
      </c>
      <c r="P469" t="s">
        <v>39</v>
      </c>
      <c r="R469" t="e">
        <f>IF([1]!Table13[[#This Row],[Goal_assist]]="",1,0)</f>
        <v>#REF!</v>
      </c>
    </row>
    <row r="470" spans="1:18" x14ac:dyDescent="0.35">
      <c r="A470" t="s">
        <v>14</v>
      </c>
      <c r="B470" s="1">
        <v>45637</v>
      </c>
      <c r="C470" t="s">
        <v>65</v>
      </c>
      <c r="D470">
        <v>25</v>
      </c>
      <c r="E470" s="2">
        <v>40965</v>
      </c>
      <c r="F470" t="s">
        <v>24</v>
      </c>
      <c r="G470" t="s">
        <v>112</v>
      </c>
      <c r="H470" t="s">
        <v>225</v>
      </c>
      <c r="I470" s="3">
        <v>6.9444444444444447E-4</v>
      </c>
      <c r="J470" s="8" t="s">
        <v>443</v>
      </c>
      <c r="K470" s="8" t="s">
        <v>444</v>
      </c>
      <c r="L470" s="8" t="str">
        <f>IF(Table1346[[#This Row],[Home Team Score]]&gt;Table1346[[#This Row],[Away Team Score]],"Win",IF(Table1346[[#This Row],[Home Team Score]]=Table1346[[#This Row],[Away Team Score]],"Tie","Lose"))</f>
        <v>Lose</v>
      </c>
      <c r="M470" t="s">
        <v>19</v>
      </c>
      <c r="N470">
        <v>53</v>
      </c>
      <c r="O470" s="3">
        <v>6.9444444444444447E-4</v>
      </c>
      <c r="P470" t="s">
        <v>26</v>
      </c>
      <c r="R470" t="e">
        <f>IF([1]!Table13[[#This Row],[Goal_assist]]="",1,0)</f>
        <v>#REF!</v>
      </c>
    </row>
    <row r="471" spans="1:18" x14ac:dyDescent="0.35">
      <c r="A471" t="s">
        <v>14</v>
      </c>
      <c r="B471" s="1">
        <v>45637</v>
      </c>
      <c r="C471" t="s">
        <v>65</v>
      </c>
      <c r="D471">
        <v>26</v>
      </c>
      <c r="E471" s="2">
        <v>40972</v>
      </c>
      <c r="F471" t="s">
        <v>16</v>
      </c>
      <c r="G471" t="s">
        <v>112</v>
      </c>
      <c r="H471" t="s">
        <v>121</v>
      </c>
      <c r="I471" s="3">
        <v>0.20833333333333334</v>
      </c>
      <c r="J471" s="8" t="s">
        <v>448</v>
      </c>
      <c r="K471" s="8" t="s">
        <v>443</v>
      </c>
      <c r="L471" s="8" t="str">
        <f>IF(Table1346[[#This Row],[Home Team Score]]&gt;Table1346[[#This Row],[Away Team Score]],"Win",IF(Table1346[[#This Row],[Home Team Score]]=Table1346[[#This Row],[Away Team Score]],"Tie","Lose"))</f>
        <v>Win</v>
      </c>
      <c r="M471" t="s">
        <v>19</v>
      </c>
      <c r="N471">
        <v>23</v>
      </c>
      <c r="O471" s="3">
        <v>4.1666666666666664E-2</v>
      </c>
      <c r="P471" t="s">
        <v>31</v>
      </c>
      <c r="Q471" t="s">
        <v>188</v>
      </c>
      <c r="R471" t="e">
        <f>IF([1]!Table13[[#This Row],[Goal_assist]]="",1,0)</f>
        <v>#REF!</v>
      </c>
    </row>
    <row r="472" spans="1:18" x14ac:dyDescent="0.35">
      <c r="A472" t="s">
        <v>64</v>
      </c>
      <c r="B472" s="1">
        <v>45637</v>
      </c>
      <c r="C472" t="s">
        <v>75</v>
      </c>
      <c r="D472" t="s">
        <v>143</v>
      </c>
      <c r="E472" s="2">
        <v>40975</v>
      </c>
      <c r="F472" t="s">
        <v>16</v>
      </c>
      <c r="G472" t="s">
        <v>66</v>
      </c>
      <c r="H472" t="s">
        <v>236</v>
      </c>
      <c r="I472" s="3">
        <v>0.29236111111111113</v>
      </c>
      <c r="J472" s="8" t="s">
        <v>449</v>
      </c>
      <c r="K472" s="8" t="s">
        <v>444</v>
      </c>
      <c r="L472" s="8" t="str">
        <f>IF(Table1346[[#This Row],[Home Team Score]]&gt;Table1346[[#This Row],[Away Team Score]],"Win",IF(Table1346[[#This Row],[Home Team Score]]=Table1346[[#This Row],[Away Team Score]],"Tie","Lose"))</f>
        <v>Win</v>
      </c>
      <c r="M472" t="s">
        <v>68</v>
      </c>
      <c r="N472">
        <v>85</v>
      </c>
      <c r="O472" s="3">
        <v>0.29166666666666669</v>
      </c>
      <c r="P472" t="s">
        <v>31</v>
      </c>
      <c r="Q472" t="s">
        <v>200</v>
      </c>
      <c r="R472" t="e">
        <f>IF([1]!Table13[[#This Row],[Goal_assist]]="",1,0)</f>
        <v>#REF!</v>
      </c>
    </row>
    <row r="473" spans="1:18" x14ac:dyDescent="0.35">
      <c r="A473" t="s">
        <v>64</v>
      </c>
      <c r="B473" s="1">
        <v>45637</v>
      </c>
      <c r="C473" t="s">
        <v>75</v>
      </c>
      <c r="D473" t="s">
        <v>143</v>
      </c>
      <c r="E473" s="2">
        <v>40975</v>
      </c>
      <c r="F473" t="s">
        <v>16</v>
      </c>
      <c r="G473" t="s">
        <v>66</v>
      </c>
      <c r="H473" t="s">
        <v>236</v>
      </c>
      <c r="I473" s="3">
        <v>0.29236111111111113</v>
      </c>
      <c r="J473" s="8" t="s">
        <v>449</v>
      </c>
      <c r="K473" s="8" t="s">
        <v>444</v>
      </c>
      <c r="L473" s="8" t="str">
        <f>IF(Table1346[[#This Row],[Home Team Score]]&gt;Table1346[[#This Row],[Away Team Score]],"Win",IF(Table1346[[#This Row],[Home Team Score]]=Table1346[[#This Row],[Away Team Score]],"Tie","Lose"))</f>
        <v>Win</v>
      </c>
      <c r="M473" t="s">
        <v>68</v>
      </c>
      <c r="N473">
        <v>58</v>
      </c>
      <c r="O473" s="3">
        <v>0.20833333333333334</v>
      </c>
      <c r="P473" t="s">
        <v>31</v>
      </c>
      <c r="R473" t="e">
        <f>IF([1]!Table13[[#This Row],[Goal_assist]]="",1,0)</f>
        <v>#REF!</v>
      </c>
    </row>
    <row r="474" spans="1:18" x14ac:dyDescent="0.35">
      <c r="A474" t="s">
        <v>64</v>
      </c>
      <c r="B474" s="1">
        <v>45637</v>
      </c>
      <c r="C474" t="s">
        <v>75</v>
      </c>
      <c r="D474" t="s">
        <v>143</v>
      </c>
      <c r="E474" s="2">
        <v>40975</v>
      </c>
      <c r="F474" t="s">
        <v>16</v>
      </c>
      <c r="G474" t="s">
        <v>66</v>
      </c>
      <c r="H474" t="s">
        <v>236</v>
      </c>
      <c r="I474" s="3">
        <v>0.29236111111111113</v>
      </c>
      <c r="J474" s="8" t="s">
        <v>449</v>
      </c>
      <c r="K474" s="8" t="s">
        <v>444</v>
      </c>
      <c r="L474" s="8" t="str">
        <f>IF(Table1346[[#This Row],[Home Team Score]]&gt;Table1346[[#This Row],[Away Team Score]],"Win",IF(Table1346[[#This Row],[Home Team Score]]=Table1346[[#This Row],[Away Team Score]],"Tie","Lose"))</f>
        <v>Win</v>
      </c>
      <c r="M474" t="s">
        <v>68</v>
      </c>
      <c r="N474">
        <v>50</v>
      </c>
      <c r="O474" s="3">
        <v>0.125</v>
      </c>
      <c r="P474" t="s">
        <v>26</v>
      </c>
      <c r="Q474" t="s">
        <v>224</v>
      </c>
      <c r="R474" t="e">
        <f>IF([1]!Table13[[#This Row],[Goal_assist]]="",1,0)</f>
        <v>#REF!</v>
      </c>
    </row>
    <row r="475" spans="1:18" x14ac:dyDescent="0.35">
      <c r="A475" t="s">
        <v>64</v>
      </c>
      <c r="B475" s="1">
        <v>45637</v>
      </c>
      <c r="C475" t="s">
        <v>75</v>
      </c>
      <c r="D475" t="s">
        <v>143</v>
      </c>
      <c r="E475" s="2">
        <v>40975</v>
      </c>
      <c r="F475" t="s">
        <v>16</v>
      </c>
      <c r="G475" t="s">
        <v>66</v>
      </c>
      <c r="H475" t="s">
        <v>236</v>
      </c>
      <c r="I475" s="3">
        <v>0.29236111111111113</v>
      </c>
      <c r="J475" s="8" t="s">
        <v>449</v>
      </c>
      <c r="K475" s="8" t="s">
        <v>444</v>
      </c>
      <c r="L475" s="8" t="str">
        <f>IF(Table1346[[#This Row],[Home Team Score]]&gt;Table1346[[#This Row],[Away Team Score]],"Win",IF(Table1346[[#This Row],[Home Team Score]]=Table1346[[#This Row],[Away Team Score]],"Tie","Lose"))</f>
        <v>Win</v>
      </c>
      <c r="M475" t="s">
        <v>68</v>
      </c>
      <c r="N475">
        <v>42</v>
      </c>
      <c r="O475" s="3">
        <v>8.3333333333333329E-2</v>
      </c>
      <c r="P475" t="s">
        <v>31</v>
      </c>
      <c r="Q475" t="s">
        <v>99</v>
      </c>
      <c r="R475" t="e">
        <f>IF([1]!Table13[[#This Row],[Goal_assist]]="",1,0)</f>
        <v>#REF!</v>
      </c>
    </row>
    <row r="476" spans="1:18" x14ac:dyDescent="0.35">
      <c r="A476" t="s">
        <v>64</v>
      </c>
      <c r="B476" s="1">
        <v>45637</v>
      </c>
      <c r="C476" t="s">
        <v>75</v>
      </c>
      <c r="D476" t="s">
        <v>143</v>
      </c>
      <c r="E476" s="2">
        <v>40975</v>
      </c>
      <c r="F476" t="s">
        <v>16</v>
      </c>
      <c r="G476" t="s">
        <v>66</v>
      </c>
      <c r="H476" t="s">
        <v>236</v>
      </c>
      <c r="I476" s="3">
        <v>0.29236111111111113</v>
      </c>
      <c r="J476" s="8" t="s">
        <v>449</v>
      </c>
      <c r="K476" s="8" t="s">
        <v>444</v>
      </c>
      <c r="L476" s="8" t="str">
        <f>IF(Table1346[[#This Row],[Home Team Score]]&gt;Table1346[[#This Row],[Away Team Score]],"Win",IF(Table1346[[#This Row],[Home Team Score]]=Table1346[[#This Row],[Away Team Score]],"Tie","Lose"))</f>
        <v>Win</v>
      </c>
      <c r="M476" t="s">
        <v>68</v>
      </c>
      <c r="N476">
        <v>25</v>
      </c>
      <c r="O476" s="3">
        <v>4.1666666666666664E-2</v>
      </c>
      <c r="P476" t="s">
        <v>31</v>
      </c>
      <c r="Q476" t="s">
        <v>106</v>
      </c>
      <c r="R476" t="e">
        <f>IF([1]!Table13[[#This Row],[Goal_assist]]="",1,0)</f>
        <v>#REF!</v>
      </c>
    </row>
    <row r="477" spans="1:18" x14ac:dyDescent="0.35">
      <c r="A477" t="s">
        <v>14</v>
      </c>
      <c r="B477" s="1">
        <v>45637</v>
      </c>
      <c r="C477" t="s">
        <v>65</v>
      </c>
      <c r="D477">
        <v>27</v>
      </c>
      <c r="E477" s="2">
        <v>40978</v>
      </c>
      <c r="F477" t="s">
        <v>24</v>
      </c>
      <c r="G477" t="s">
        <v>112</v>
      </c>
      <c r="H477" t="s">
        <v>95</v>
      </c>
      <c r="I477" s="3">
        <v>8.5416666666666669E-2</v>
      </c>
      <c r="J477" s="8" t="s">
        <v>445</v>
      </c>
      <c r="K477" s="8" t="s">
        <v>442</v>
      </c>
      <c r="L477" s="8" t="str">
        <f>IF(Table1346[[#This Row],[Home Team Score]]&gt;Table1346[[#This Row],[Away Team Score]],"Win",IF(Table1346[[#This Row],[Home Team Score]]=Table1346[[#This Row],[Away Team Score]],"Tie","Lose"))</f>
        <v>Lose</v>
      </c>
      <c r="M477" t="s">
        <v>19</v>
      </c>
      <c r="N477">
        <v>52</v>
      </c>
      <c r="O477" s="3">
        <v>4.3055555555555555E-2</v>
      </c>
      <c r="P477" t="s">
        <v>31</v>
      </c>
      <c r="Q477" t="s">
        <v>201</v>
      </c>
      <c r="R477" t="e">
        <f>IF([1]!Table13[[#This Row],[Goal_assist]]="",1,0)</f>
        <v>#REF!</v>
      </c>
    </row>
    <row r="478" spans="1:18" x14ac:dyDescent="0.35">
      <c r="A478" t="s">
        <v>14</v>
      </c>
      <c r="B478" s="1">
        <v>45637</v>
      </c>
      <c r="C478" t="s">
        <v>65</v>
      </c>
      <c r="D478">
        <v>27</v>
      </c>
      <c r="E478" s="2">
        <v>40978</v>
      </c>
      <c r="F478" t="s">
        <v>24</v>
      </c>
      <c r="G478" t="s">
        <v>112</v>
      </c>
      <c r="H478" t="s">
        <v>95</v>
      </c>
      <c r="I478" s="3">
        <v>8.5416666666666669E-2</v>
      </c>
      <c r="J478" s="8" t="s">
        <v>445</v>
      </c>
      <c r="K478" s="8" t="s">
        <v>442</v>
      </c>
      <c r="L478" s="8" t="str">
        <f>IF(Table1346[[#This Row],[Home Team Score]]&gt;Table1346[[#This Row],[Away Team Score]],"Win",IF(Table1346[[#This Row],[Home Team Score]]=Table1346[[#This Row],[Away Team Score]],"Tie","Lose"))</f>
        <v>Lose</v>
      </c>
      <c r="M478" t="s">
        <v>19</v>
      </c>
      <c r="N478">
        <v>73</v>
      </c>
      <c r="O478" s="3">
        <v>8.5416666666666669E-2</v>
      </c>
      <c r="P478" t="s">
        <v>31</v>
      </c>
      <c r="R478" t="e">
        <f>IF([1]!Table13[[#This Row],[Goal_assist]]="",1,0)</f>
        <v>#REF!</v>
      </c>
    </row>
    <row r="479" spans="1:18" x14ac:dyDescent="0.35">
      <c r="A479" t="s">
        <v>64</v>
      </c>
      <c r="B479" s="1">
        <v>45637</v>
      </c>
      <c r="C479" t="s">
        <v>65</v>
      </c>
      <c r="D479">
        <v>27</v>
      </c>
      <c r="E479" s="2">
        <v>40979</v>
      </c>
      <c r="F479" t="s">
        <v>24</v>
      </c>
      <c r="G479" t="s">
        <v>66</v>
      </c>
      <c r="H479" t="s">
        <v>78</v>
      </c>
      <c r="I479" s="3">
        <v>1.3888888888888889E-3</v>
      </c>
      <c r="J479" s="8" t="s">
        <v>443</v>
      </c>
      <c r="K479" s="8" t="s">
        <v>445</v>
      </c>
      <c r="L479" s="8" t="str">
        <f>IF(Table1346[[#This Row],[Home Team Score]]&gt;Table1346[[#This Row],[Away Team Score]],"Win",IF(Table1346[[#This Row],[Home Team Score]]=Table1346[[#This Row],[Away Team Score]],"Tie","Lose"))</f>
        <v>Lose</v>
      </c>
      <c r="M479" t="s">
        <v>68</v>
      </c>
      <c r="N479">
        <v>28</v>
      </c>
      <c r="O479" s="3">
        <v>6.9444444444444447E-4</v>
      </c>
      <c r="P479" t="s">
        <v>31</v>
      </c>
      <c r="Q479" t="s">
        <v>224</v>
      </c>
      <c r="R479" t="e">
        <f>IF([1]!Table13[[#This Row],[Goal_assist]]="",1,0)</f>
        <v>#REF!</v>
      </c>
    </row>
    <row r="480" spans="1:18" x14ac:dyDescent="0.35">
      <c r="A480" t="s">
        <v>64</v>
      </c>
      <c r="B480" s="1">
        <v>45637</v>
      </c>
      <c r="C480" t="s">
        <v>65</v>
      </c>
      <c r="D480">
        <v>27</v>
      </c>
      <c r="E480" s="2">
        <v>40979</v>
      </c>
      <c r="F480" t="s">
        <v>24</v>
      </c>
      <c r="G480" t="s">
        <v>66</v>
      </c>
      <c r="H480" t="s">
        <v>78</v>
      </c>
      <c r="I480" s="3">
        <v>1.3888888888888889E-3</v>
      </c>
      <c r="J480" s="8" t="s">
        <v>443</v>
      </c>
      <c r="K480" s="8" t="s">
        <v>445</v>
      </c>
      <c r="L480" s="8" t="str">
        <f>IF(Table1346[[#This Row],[Home Team Score]]&gt;Table1346[[#This Row],[Away Team Score]],"Win",IF(Table1346[[#This Row],[Home Team Score]]=Table1346[[#This Row],[Away Team Score]],"Tie","Lose"))</f>
        <v>Lose</v>
      </c>
      <c r="M480" t="s">
        <v>68</v>
      </c>
      <c r="N480">
        <v>55</v>
      </c>
      <c r="O480" s="3">
        <v>1.3888888888888889E-3</v>
      </c>
      <c r="P480" t="s">
        <v>83</v>
      </c>
      <c r="R480" t="e">
        <f>IF([1]!Table13[[#This Row],[Goal_assist]]="",1,0)</f>
        <v>#REF!</v>
      </c>
    </row>
    <row r="481" spans="1:18" x14ac:dyDescent="0.35">
      <c r="A481" t="s">
        <v>14</v>
      </c>
      <c r="B481" s="1">
        <v>45637</v>
      </c>
      <c r="C481" t="s">
        <v>75</v>
      </c>
      <c r="D481" t="s">
        <v>143</v>
      </c>
      <c r="E481" s="2">
        <v>40982</v>
      </c>
      <c r="F481" t="s">
        <v>16</v>
      </c>
      <c r="G481" t="s">
        <v>112</v>
      </c>
      <c r="H481" t="s">
        <v>238</v>
      </c>
      <c r="I481" s="3">
        <v>0.1673611111111111</v>
      </c>
      <c r="J481" s="8" t="s">
        <v>446</v>
      </c>
      <c r="K481" s="8" t="s">
        <v>444</v>
      </c>
      <c r="L481" s="8" t="str">
        <f>IF(Table1346[[#This Row],[Home Team Score]]&gt;Table1346[[#This Row],[Away Team Score]],"Win",IF(Table1346[[#This Row],[Home Team Score]]=Table1346[[#This Row],[Away Team Score]],"Tie","Lose"))</f>
        <v>Win</v>
      </c>
      <c r="M481" t="s">
        <v>19</v>
      </c>
      <c r="N481" t="s">
        <v>239</v>
      </c>
      <c r="O481" s="3">
        <v>0.1673611111111111</v>
      </c>
      <c r="P481" t="s">
        <v>26</v>
      </c>
      <c r="Q481" t="s">
        <v>183</v>
      </c>
      <c r="R481" t="e">
        <f>IF([1]!Table13[[#This Row],[Goal_assist]]="",1,0)</f>
        <v>#REF!</v>
      </c>
    </row>
    <row r="482" spans="1:18" x14ac:dyDescent="0.35">
      <c r="A482" t="s">
        <v>14</v>
      </c>
      <c r="B482" s="1">
        <v>45637</v>
      </c>
      <c r="C482" t="s">
        <v>75</v>
      </c>
      <c r="D482" t="s">
        <v>143</v>
      </c>
      <c r="E482" s="2">
        <v>40982</v>
      </c>
      <c r="F482" t="s">
        <v>16</v>
      </c>
      <c r="G482" t="s">
        <v>112</v>
      </c>
      <c r="H482" t="s">
        <v>238</v>
      </c>
      <c r="I482" s="3">
        <v>0.1673611111111111</v>
      </c>
      <c r="J482" s="8" t="s">
        <v>446</v>
      </c>
      <c r="K482" s="8" t="s">
        <v>444</v>
      </c>
      <c r="L482" s="8" t="str">
        <f>IF(Table1346[[#This Row],[Home Team Score]]&gt;Table1346[[#This Row],[Away Team Score]],"Win",IF(Table1346[[#This Row],[Home Team Score]]=Table1346[[#This Row],[Away Team Score]],"Tie","Lose"))</f>
        <v>Win</v>
      </c>
      <c r="M482" t="s">
        <v>19</v>
      </c>
      <c r="N482">
        <v>55</v>
      </c>
      <c r="O482" s="3">
        <v>8.3333333333333329E-2</v>
      </c>
      <c r="P482" t="s">
        <v>26</v>
      </c>
      <c r="Q482" t="s">
        <v>202</v>
      </c>
      <c r="R482" t="e">
        <f>IF([1]!Table13[[#This Row],[Goal_assist]]="",1,0)</f>
        <v>#REF!</v>
      </c>
    </row>
    <row r="483" spans="1:18" x14ac:dyDescent="0.35">
      <c r="A483" t="s">
        <v>64</v>
      </c>
      <c r="B483" s="1">
        <v>45637</v>
      </c>
      <c r="C483" t="s">
        <v>65</v>
      </c>
      <c r="D483">
        <v>28</v>
      </c>
      <c r="E483" s="2">
        <v>40985</v>
      </c>
      <c r="F483" t="s">
        <v>24</v>
      </c>
      <c r="G483" t="s">
        <v>66</v>
      </c>
      <c r="H483" t="s">
        <v>105</v>
      </c>
      <c r="I483" s="3">
        <v>1.3888888888888889E-3</v>
      </c>
      <c r="J483" s="8" t="s">
        <v>443</v>
      </c>
      <c r="K483" s="8" t="s">
        <v>445</v>
      </c>
      <c r="L483" s="8" t="str">
        <f>IF(Table1346[[#This Row],[Home Team Score]]&gt;Table1346[[#This Row],[Away Team Score]],"Win",IF(Table1346[[#This Row],[Home Team Score]]=Table1346[[#This Row],[Away Team Score]],"Tie","Lose"))</f>
        <v>Lose</v>
      </c>
      <c r="M483" t="s">
        <v>68</v>
      </c>
      <c r="N483">
        <v>25</v>
      </c>
      <c r="O483" s="3">
        <v>1.3888888888888889E-3</v>
      </c>
      <c r="P483" t="s">
        <v>31</v>
      </c>
      <c r="Q483" t="s">
        <v>99</v>
      </c>
      <c r="R483" t="e">
        <f>IF([1]!Table13[[#This Row],[Goal_assist]]="",1,0)</f>
        <v>#REF!</v>
      </c>
    </row>
    <row r="484" spans="1:18" x14ac:dyDescent="0.35">
      <c r="A484" t="s">
        <v>64</v>
      </c>
      <c r="B484" s="1">
        <v>45637</v>
      </c>
      <c r="C484" t="s">
        <v>65</v>
      </c>
      <c r="D484">
        <v>29</v>
      </c>
      <c r="E484" s="2">
        <v>40988</v>
      </c>
      <c r="F484" t="s">
        <v>16</v>
      </c>
      <c r="G484" t="s">
        <v>66</v>
      </c>
      <c r="H484" t="s">
        <v>233</v>
      </c>
      <c r="I484" s="3">
        <v>0.21041666666666667</v>
      </c>
      <c r="J484" s="8" t="s">
        <v>448</v>
      </c>
      <c r="K484" s="8" t="s">
        <v>442</v>
      </c>
      <c r="L484" s="8" t="str">
        <f>IF(Table1346[[#This Row],[Home Team Score]]&gt;Table1346[[#This Row],[Away Team Score]],"Win",IF(Table1346[[#This Row],[Home Team Score]]=Table1346[[#This Row],[Away Team Score]],"Tie","Lose"))</f>
        <v>Win</v>
      </c>
      <c r="M484" t="s">
        <v>68</v>
      </c>
      <c r="N484">
        <v>85</v>
      </c>
      <c r="O484" s="3">
        <v>0.20972222222222223</v>
      </c>
      <c r="P484" t="s">
        <v>31</v>
      </c>
      <c r="Q484" t="s">
        <v>155</v>
      </c>
      <c r="R484" t="e">
        <f>IF([1]!Table13[[#This Row],[Goal_assist]]="",1,0)</f>
        <v>#REF!</v>
      </c>
    </row>
    <row r="485" spans="1:18" x14ac:dyDescent="0.35">
      <c r="A485" t="s">
        <v>64</v>
      </c>
      <c r="B485" s="1">
        <v>45637</v>
      </c>
      <c r="C485" t="s">
        <v>65</v>
      </c>
      <c r="D485">
        <v>29</v>
      </c>
      <c r="E485" s="2">
        <v>40988</v>
      </c>
      <c r="F485" t="s">
        <v>16</v>
      </c>
      <c r="G485" t="s">
        <v>66</v>
      </c>
      <c r="H485" t="s">
        <v>233</v>
      </c>
      <c r="I485" s="3">
        <v>0.21041666666666667</v>
      </c>
      <c r="J485" s="8" t="s">
        <v>448</v>
      </c>
      <c r="K485" s="8" t="s">
        <v>442</v>
      </c>
      <c r="L485" s="8" t="str">
        <f>IF(Table1346[[#This Row],[Home Team Score]]&gt;Table1346[[#This Row],[Away Team Score]],"Win",IF(Table1346[[#This Row],[Home Team Score]]=Table1346[[#This Row],[Away Team Score]],"Tie","Lose"))</f>
        <v>Win</v>
      </c>
      <c r="M485" t="s">
        <v>68</v>
      </c>
      <c r="N485">
        <v>66</v>
      </c>
      <c r="O485" s="3">
        <v>0.12638888888888888</v>
      </c>
      <c r="P485" t="s">
        <v>31</v>
      </c>
      <c r="Q485" t="s">
        <v>155</v>
      </c>
      <c r="R485" t="e">
        <f>IF([1]!Table13[[#This Row],[Goal_assist]]="",1,0)</f>
        <v>#REF!</v>
      </c>
    </row>
    <row r="486" spans="1:18" x14ac:dyDescent="0.35">
      <c r="A486" t="s">
        <v>64</v>
      </c>
      <c r="B486" s="1">
        <v>45637</v>
      </c>
      <c r="C486" t="s">
        <v>65</v>
      </c>
      <c r="D486">
        <v>29</v>
      </c>
      <c r="E486" s="2">
        <v>40988</v>
      </c>
      <c r="F486" t="s">
        <v>16</v>
      </c>
      <c r="G486" t="s">
        <v>66</v>
      </c>
      <c r="H486" t="s">
        <v>233</v>
      </c>
      <c r="I486" s="3">
        <v>0.21041666666666667</v>
      </c>
      <c r="J486" s="8" t="s">
        <v>448</v>
      </c>
      <c r="K486" s="8" t="s">
        <v>442</v>
      </c>
      <c r="L486" s="8" t="str">
        <f>IF(Table1346[[#This Row],[Home Team Score]]&gt;Table1346[[#This Row],[Away Team Score]],"Win",IF(Table1346[[#This Row],[Home Team Score]]=Table1346[[#This Row],[Away Team Score]],"Tie","Lose"))</f>
        <v>Win</v>
      </c>
      <c r="M486" t="s">
        <v>68</v>
      </c>
      <c r="N486">
        <v>16</v>
      </c>
      <c r="O486" s="3">
        <v>8.3333333333333329E-2</v>
      </c>
      <c r="P486" t="s">
        <v>31</v>
      </c>
      <c r="Q486" t="s">
        <v>240</v>
      </c>
      <c r="R486" t="e">
        <f>IF([1]!Table13[[#This Row],[Goal_assist]]="",1,0)</f>
        <v>#REF!</v>
      </c>
    </row>
    <row r="487" spans="1:18" x14ac:dyDescent="0.35">
      <c r="A487" t="s">
        <v>14</v>
      </c>
      <c r="B487" s="1">
        <v>45637</v>
      </c>
      <c r="C487" t="s">
        <v>65</v>
      </c>
      <c r="D487">
        <v>29</v>
      </c>
      <c r="E487" s="2">
        <v>40989</v>
      </c>
      <c r="F487" t="s">
        <v>24</v>
      </c>
      <c r="G487" t="s">
        <v>112</v>
      </c>
      <c r="H487" t="s">
        <v>180</v>
      </c>
      <c r="I487" s="3">
        <v>4.2361111111111113E-2</v>
      </c>
      <c r="J487" s="8" t="s">
        <v>444</v>
      </c>
      <c r="K487" s="8" t="s">
        <v>444</v>
      </c>
      <c r="L487" s="8" t="str">
        <f>IF(Table1346[[#This Row],[Home Team Score]]&gt;Table1346[[#This Row],[Away Team Score]],"Win",IF(Table1346[[#This Row],[Home Team Score]]=Table1346[[#This Row],[Away Team Score]],"Tie","Lose"))</f>
        <v>Tie</v>
      </c>
      <c r="M487" t="s">
        <v>19</v>
      </c>
      <c r="N487">
        <v>61</v>
      </c>
      <c r="O487" s="3">
        <v>6.9444444444444447E-4</v>
      </c>
      <c r="P487" t="s">
        <v>26</v>
      </c>
      <c r="Q487" t="s">
        <v>204</v>
      </c>
      <c r="R487" t="e">
        <f>IF([1]!Table13[[#This Row],[Goal_assist]]="",1,0)</f>
        <v>#REF!</v>
      </c>
    </row>
    <row r="488" spans="1:18" x14ac:dyDescent="0.35">
      <c r="A488" t="s">
        <v>14</v>
      </c>
      <c r="B488" s="1">
        <v>45637</v>
      </c>
      <c r="C488" t="s">
        <v>65</v>
      </c>
      <c r="D488">
        <v>30</v>
      </c>
      <c r="E488" s="2">
        <v>40992</v>
      </c>
      <c r="F488" t="s">
        <v>16</v>
      </c>
      <c r="G488" t="s">
        <v>112</v>
      </c>
      <c r="H488" t="s">
        <v>217</v>
      </c>
      <c r="I488" s="3">
        <v>0.20902777777777778</v>
      </c>
      <c r="J488" s="8" t="s">
        <v>448</v>
      </c>
      <c r="K488" s="8" t="s">
        <v>444</v>
      </c>
      <c r="L488" s="8" t="str">
        <f>IF(Table1346[[#This Row],[Home Team Score]]&gt;Table1346[[#This Row],[Away Team Score]],"Win",IF(Table1346[[#This Row],[Home Team Score]]=Table1346[[#This Row],[Away Team Score]],"Tie","Lose"))</f>
        <v>Win</v>
      </c>
      <c r="M488" t="s">
        <v>19</v>
      </c>
      <c r="N488">
        <v>32</v>
      </c>
      <c r="O488" s="3">
        <v>8.3333333333333329E-2</v>
      </c>
      <c r="P488" t="s">
        <v>26</v>
      </c>
      <c r="Q488" t="s">
        <v>198</v>
      </c>
      <c r="R488" t="e">
        <f>IF([1]!Table13[[#This Row],[Goal_assist]]="",1,0)</f>
        <v>#REF!</v>
      </c>
    </row>
    <row r="489" spans="1:18" x14ac:dyDescent="0.35">
      <c r="A489" t="s">
        <v>14</v>
      </c>
      <c r="B489" s="1">
        <v>45637</v>
      </c>
      <c r="C489" t="s">
        <v>65</v>
      </c>
      <c r="D489">
        <v>30</v>
      </c>
      <c r="E489" s="2">
        <v>40992</v>
      </c>
      <c r="F489" t="s">
        <v>16</v>
      </c>
      <c r="G489" t="s">
        <v>112</v>
      </c>
      <c r="H489" t="s">
        <v>217</v>
      </c>
      <c r="I489" s="3">
        <v>0.20902777777777778</v>
      </c>
      <c r="J489" s="8" t="s">
        <v>448</v>
      </c>
      <c r="K489" s="8" t="s">
        <v>444</v>
      </c>
      <c r="L489" s="8" t="str">
        <f>IF(Table1346[[#This Row],[Home Team Score]]&gt;Table1346[[#This Row],[Away Team Score]],"Win",IF(Table1346[[#This Row],[Home Team Score]]=Table1346[[#This Row],[Away Team Score]],"Tie","Lose"))</f>
        <v>Win</v>
      </c>
      <c r="M489" t="s">
        <v>19</v>
      </c>
      <c r="N489">
        <v>55</v>
      </c>
      <c r="O489" s="3">
        <v>0.20902777777777778</v>
      </c>
      <c r="P489" t="s">
        <v>26</v>
      </c>
      <c r="Q489" t="s">
        <v>188</v>
      </c>
      <c r="R489" t="e">
        <f>IF([1]!Table13[[#This Row],[Goal_assist]]="",1,0)</f>
        <v>#REF!</v>
      </c>
    </row>
    <row r="490" spans="1:18" x14ac:dyDescent="0.35">
      <c r="A490" t="s">
        <v>64</v>
      </c>
      <c r="B490" s="1">
        <v>45637</v>
      </c>
      <c r="C490" t="s">
        <v>65</v>
      </c>
      <c r="D490">
        <v>30</v>
      </c>
      <c r="E490" s="2">
        <v>40992</v>
      </c>
      <c r="F490" t="s">
        <v>24</v>
      </c>
      <c r="G490" t="s">
        <v>66</v>
      </c>
      <c r="H490" t="s">
        <v>89</v>
      </c>
      <c r="I490" s="3">
        <v>1.3888888888888889E-3</v>
      </c>
      <c r="J490" s="8" t="s">
        <v>443</v>
      </c>
      <c r="K490" s="8" t="s">
        <v>445</v>
      </c>
      <c r="L490" s="8" t="str">
        <f>IF(Table1346[[#This Row],[Home Team Score]]&gt;Table1346[[#This Row],[Away Team Score]],"Win",IF(Table1346[[#This Row],[Home Team Score]]=Table1346[[#This Row],[Away Team Score]],"Tie","Lose"))</f>
        <v>Lose</v>
      </c>
      <c r="M490" t="s">
        <v>68</v>
      </c>
      <c r="N490">
        <v>25</v>
      </c>
      <c r="O490" s="3">
        <v>6.9444444444444447E-4</v>
      </c>
      <c r="P490" t="s">
        <v>39</v>
      </c>
      <c r="R490" t="e">
        <f>IF([1]!Table13[[#This Row],[Goal_assist]]="",1,0)</f>
        <v>#REF!</v>
      </c>
    </row>
    <row r="491" spans="1:18" x14ac:dyDescent="0.35">
      <c r="A491" t="s">
        <v>64</v>
      </c>
      <c r="B491" s="1">
        <v>45637</v>
      </c>
      <c r="C491" t="s">
        <v>65</v>
      </c>
      <c r="D491">
        <v>31</v>
      </c>
      <c r="E491" s="2">
        <v>40999</v>
      </c>
      <c r="F491" t="s">
        <v>16</v>
      </c>
      <c r="G491" t="s">
        <v>66</v>
      </c>
      <c r="H491" t="s">
        <v>86</v>
      </c>
      <c r="I491" s="3">
        <v>8.3333333333333329E-2</v>
      </c>
      <c r="J491" s="8" t="s">
        <v>445</v>
      </c>
      <c r="K491" s="8" t="s">
        <v>443</v>
      </c>
      <c r="L491" s="8" t="str">
        <f>IF(Table1346[[#This Row],[Home Team Score]]&gt;Table1346[[#This Row],[Away Team Score]],"Win",IF(Table1346[[#This Row],[Home Team Score]]=Table1346[[#This Row],[Away Team Score]],"Tie","Lose"))</f>
        <v>Win</v>
      </c>
      <c r="M491" t="s">
        <v>68</v>
      </c>
      <c r="N491">
        <v>57</v>
      </c>
      <c r="O491" s="3">
        <v>8.3333333333333329E-2</v>
      </c>
      <c r="P491" t="s">
        <v>83</v>
      </c>
      <c r="R491" t="e">
        <f>IF([1]!Table13[[#This Row],[Goal_assist]]="",1,0)</f>
        <v>#REF!</v>
      </c>
    </row>
    <row r="492" spans="1:18" x14ac:dyDescent="0.35">
      <c r="A492" t="s">
        <v>14</v>
      </c>
      <c r="B492" s="1">
        <v>45637</v>
      </c>
      <c r="C492" t="s">
        <v>65</v>
      </c>
      <c r="D492">
        <v>31</v>
      </c>
      <c r="E492" s="2">
        <v>40999</v>
      </c>
      <c r="F492" t="s">
        <v>24</v>
      </c>
      <c r="G492" t="s">
        <v>112</v>
      </c>
      <c r="H492" t="s">
        <v>100</v>
      </c>
      <c r="I492" s="3">
        <v>4.5138888888888888E-2</v>
      </c>
      <c r="J492" s="8" t="s">
        <v>444</v>
      </c>
      <c r="K492" s="8" t="s">
        <v>448</v>
      </c>
      <c r="L492" s="8" t="str">
        <f>IF(Table1346[[#This Row],[Home Team Score]]&gt;Table1346[[#This Row],[Away Team Score]],"Win",IF(Table1346[[#This Row],[Home Team Score]]=Table1346[[#This Row],[Away Team Score]],"Tie","Lose"))</f>
        <v>Lose</v>
      </c>
      <c r="M492" t="s">
        <v>19</v>
      </c>
      <c r="N492">
        <v>37</v>
      </c>
      <c r="O492" s="3">
        <v>1.3888888888888889E-3</v>
      </c>
      <c r="P492" t="s">
        <v>170</v>
      </c>
      <c r="Q492" t="s">
        <v>205</v>
      </c>
      <c r="R492" t="e">
        <f>IF([1]!Table13[[#This Row],[Goal_assist]]="",1,0)</f>
        <v>#REF!</v>
      </c>
    </row>
    <row r="493" spans="1:18" x14ac:dyDescent="0.35">
      <c r="A493" t="s">
        <v>14</v>
      </c>
      <c r="B493" s="1">
        <v>45637</v>
      </c>
      <c r="C493" t="s">
        <v>65</v>
      </c>
      <c r="D493">
        <v>31</v>
      </c>
      <c r="E493" s="2">
        <v>40999</v>
      </c>
      <c r="F493" t="s">
        <v>24</v>
      </c>
      <c r="G493" t="s">
        <v>112</v>
      </c>
      <c r="H493" t="s">
        <v>100</v>
      </c>
      <c r="I493" s="3">
        <v>4.5138888888888888E-2</v>
      </c>
      <c r="J493" s="8" t="s">
        <v>444</v>
      </c>
      <c r="K493" s="8" t="s">
        <v>448</v>
      </c>
      <c r="L493" s="8" t="str">
        <f>IF(Table1346[[#This Row],[Home Team Score]]&gt;Table1346[[#This Row],[Away Team Score]],"Win",IF(Table1346[[#This Row],[Home Team Score]]=Table1346[[#This Row],[Away Team Score]],"Tie","Lose"))</f>
        <v>Lose</v>
      </c>
      <c r="M493" t="s">
        <v>19</v>
      </c>
      <c r="N493">
        <v>70</v>
      </c>
      <c r="O493" s="3">
        <v>4.4444444444444446E-2</v>
      </c>
      <c r="P493" t="s">
        <v>39</v>
      </c>
      <c r="R493" t="e">
        <f>IF([1]!Table13[[#This Row],[Goal_assist]]="",1,0)</f>
        <v>#REF!</v>
      </c>
    </row>
    <row r="494" spans="1:18" x14ac:dyDescent="0.35">
      <c r="A494" t="s">
        <v>64</v>
      </c>
      <c r="B494" s="1">
        <v>45637</v>
      </c>
      <c r="C494" t="s">
        <v>75</v>
      </c>
      <c r="D494" t="s">
        <v>92</v>
      </c>
      <c r="E494" s="2">
        <v>41002</v>
      </c>
      <c r="F494" t="s">
        <v>16</v>
      </c>
      <c r="G494" t="s">
        <v>66</v>
      </c>
      <c r="H494" t="s">
        <v>118</v>
      </c>
      <c r="I494" s="3">
        <v>0.12569444444444444</v>
      </c>
      <c r="J494" s="8" t="s">
        <v>442</v>
      </c>
      <c r="K494" s="8" t="s">
        <v>444</v>
      </c>
      <c r="L494" s="8" t="str">
        <f>IF(Table1346[[#This Row],[Home Team Score]]&gt;Table1346[[#This Row],[Away Team Score]],"Win",IF(Table1346[[#This Row],[Home Team Score]]=Table1346[[#This Row],[Away Team Score]],"Tie","Lose"))</f>
        <v>Win</v>
      </c>
      <c r="M494" t="s">
        <v>38</v>
      </c>
      <c r="N494">
        <v>42</v>
      </c>
      <c r="O494" s="3">
        <v>8.4027777777777785E-2</v>
      </c>
      <c r="P494" t="s">
        <v>83</v>
      </c>
      <c r="R494" t="e">
        <f>IF([1]!Table13[[#This Row],[Goal_assist]]="",1,0)</f>
        <v>#REF!</v>
      </c>
    </row>
    <row r="495" spans="1:18" x14ac:dyDescent="0.35">
      <c r="A495" t="s">
        <v>64</v>
      </c>
      <c r="B495" s="1">
        <v>45637</v>
      </c>
      <c r="C495" t="s">
        <v>75</v>
      </c>
      <c r="D495" t="s">
        <v>92</v>
      </c>
      <c r="E495" s="2">
        <v>41002</v>
      </c>
      <c r="F495" t="s">
        <v>16</v>
      </c>
      <c r="G495" t="s">
        <v>66</v>
      </c>
      <c r="H495" t="s">
        <v>118</v>
      </c>
      <c r="I495" s="3">
        <v>0.12569444444444444</v>
      </c>
      <c r="J495" s="8" t="s">
        <v>442</v>
      </c>
      <c r="K495" s="8" t="s">
        <v>444</v>
      </c>
      <c r="L495" s="8" t="str">
        <f>IF(Table1346[[#This Row],[Home Team Score]]&gt;Table1346[[#This Row],[Away Team Score]],"Win",IF(Table1346[[#This Row],[Home Team Score]]=Table1346[[#This Row],[Away Team Score]],"Tie","Lose"))</f>
        <v>Win</v>
      </c>
      <c r="M495" t="s">
        <v>38</v>
      </c>
      <c r="N495">
        <v>11</v>
      </c>
      <c r="O495" s="3">
        <v>4.1666666666666664E-2</v>
      </c>
      <c r="P495" t="s">
        <v>83</v>
      </c>
      <c r="R495" t="e">
        <f>IF([1]!Table13[[#This Row],[Goal_assist]]="",1,0)</f>
        <v>#REF!</v>
      </c>
    </row>
    <row r="496" spans="1:18" x14ac:dyDescent="0.35">
      <c r="A496" t="s">
        <v>14</v>
      </c>
      <c r="B496" s="1">
        <v>45637</v>
      </c>
      <c r="C496" t="s">
        <v>75</v>
      </c>
      <c r="D496" t="s">
        <v>92</v>
      </c>
      <c r="E496" s="2">
        <v>41003</v>
      </c>
      <c r="F496" t="s">
        <v>16</v>
      </c>
      <c r="G496" t="s">
        <v>112</v>
      </c>
      <c r="H496" t="s">
        <v>241</v>
      </c>
      <c r="I496" s="3">
        <v>0.20972222222222223</v>
      </c>
      <c r="J496" s="8" t="s">
        <v>448</v>
      </c>
      <c r="K496" s="8" t="s">
        <v>445</v>
      </c>
      <c r="L496" s="8" t="str">
        <f>IF(Table1346[[#This Row],[Home Team Score]]&gt;Table1346[[#This Row],[Away Team Score]],"Win",IF(Table1346[[#This Row],[Home Team Score]]=Table1346[[#This Row],[Away Team Score]],"Tie","Lose"))</f>
        <v>Win</v>
      </c>
      <c r="M496" t="s">
        <v>19</v>
      </c>
      <c r="N496">
        <v>26</v>
      </c>
      <c r="O496" s="3">
        <v>4.1666666666666664E-2</v>
      </c>
      <c r="P496" t="s">
        <v>26</v>
      </c>
      <c r="Q496" t="s">
        <v>201</v>
      </c>
      <c r="R496" t="e">
        <f>IF([1]!Table13[[#This Row],[Goal_assist]]="",1,0)</f>
        <v>#REF!</v>
      </c>
    </row>
    <row r="497" spans="1:18" x14ac:dyDescent="0.35">
      <c r="A497" t="s">
        <v>14</v>
      </c>
      <c r="B497" s="1">
        <v>45637</v>
      </c>
      <c r="C497" t="s">
        <v>75</v>
      </c>
      <c r="D497" t="s">
        <v>92</v>
      </c>
      <c r="E497" s="2">
        <v>41003</v>
      </c>
      <c r="F497" t="s">
        <v>16</v>
      </c>
      <c r="G497" t="s">
        <v>112</v>
      </c>
      <c r="H497" t="s">
        <v>241</v>
      </c>
      <c r="I497" s="3">
        <v>0.20972222222222223</v>
      </c>
      <c r="J497" s="8" t="s">
        <v>448</v>
      </c>
      <c r="K497" s="8" t="s">
        <v>445</v>
      </c>
      <c r="L497" s="8" t="str">
        <f>IF(Table1346[[#This Row],[Home Team Score]]&gt;Table1346[[#This Row],[Away Team Score]],"Win",IF(Table1346[[#This Row],[Home Team Score]]=Table1346[[#This Row],[Away Team Score]],"Tie","Lose"))</f>
        <v>Win</v>
      </c>
      <c r="M497" t="s">
        <v>19</v>
      </c>
      <c r="N497">
        <v>75</v>
      </c>
      <c r="O497" s="3">
        <v>0.12569444444444444</v>
      </c>
      <c r="P497" t="s">
        <v>39</v>
      </c>
      <c r="R497" t="e">
        <f>IF([1]!Table13[[#This Row],[Goal_assist]]="",1,0)</f>
        <v>#REF!</v>
      </c>
    </row>
    <row r="498" spans="1:18" x14ac:dyDescent="0.35">
      <c r="A498" t="s">
        <v>64</v>
      </c>
      <c r="B498" s="1">
        <v>45637</v>
      </c>
      <c r="C498" t="s">
        <v>65</v>
      </c>
      <c r="D498">
        <v>32</v>
      </c>
      <c r="E498" s="2">
        <v>41006</v>
      </c>
      <c r="F498" t="s">
        <v>24</v>
      </c>
      <c r="G498" t="s">
        <v>66</v>
      </c>
      <c r="H498" t="s">
        <v>93</v>
      </c>
      <c r="I498" s="3">
        <v>4.4444444444444446E-2</v>
      </c>
      <c r="J498" s="8" t="s">
        <v>444</v>
      </c>
      <c r="K498" s="8" t="s">
        <v>446</v>
      </c>
      <c r="L498" s="8" t="str">
        <f>IF(Table1346[[#This Row],[Home Team Score]]&gt;Table1346[[#This Row],[Away Team Score]],"Win",IF(Table1346[[#This Row],[Home Team Score]]=Table1346[[#This Row],[Away Team Score]],"Tie","Lose"))</f>
        <v>Lose</v>
      </c>
      <c r="M498" t="s">
        <v>68</v>
      </c>
      <c r="N498">
        <v>86</v>
      </c>
      <c r="O498" s="3">
        <v>4.3749999999999997E-2</v>
      </c>
      <c r="P498" t="s">
        <v>83</v>
      </c>
      <c r="R498" t="e">
        <f>IF([1]!Table13[[#This Row],[Goal_assist]]="",1,0)</f>
        <v>#REF!</v>
      </c>
    </row>
    <row r="499" spans="1:18" x14ac:dyDescent="0.35">
      <c r="A499" t="s">
        <v>64</v>
      </c>
      <c r="B499" s="1">
        <v>45637</v>
      </c>
      <c r="C499" t="s">
        <v>65</v>
      </c>
      <c r="D499">
        <v>32</v>
      </c>
      <c r="E499" s="2">
        <v>41006</v>
      </c>
      <c r="F499" t="s">
        <v>24</v>
      </c>
      <c r="G499" t="s">
        <v>66</v>
      </c>
      <c r="H499" t="s">
        <v>93</v>
      </c>
      <c r="I499" s="3">
        <v>4.4444444444444446E-2</v>
      </c>
      <c r="J499" s="8" t="s">
        <v>444</v>
      </c>
      <c r="K499" s="8" t="s">
        <v>446</v>
      </c>
      <c r="L499" s="8" t="str">
        <f>IF(Table1346[[#This Row],[Home Team Score]]&gt;Table1346[[#This Row],[Away Team Score]],"Win",IF(Table1346[[#This Row],[Home Team Score]]=Table1346[[#This Row],[Away Team Score]],"Tie","Lose"))</f>
        <v>Lose</v>
      </c>
      <c r="M499" t="s">
        <v>68</v>
      </c>
      <c r="N499">
        <v>39</v>
      </c>
      <c r="O499" s="3">
        <v>4.3055555555555555E-2</v>
      </c>
      <c r="P499" t="s">
        <v>31</v>
      </c>
      <c r="Q499" t="s">
        <v>234</v>
      </c>
      <c r="R499" t="e">
        <f>IF([1]!Table13[[#This Row],[Goal_assist]]="",1,0)</f>
        <v>#REF!</v>
      </c>
    </row>
    <row r="500" spans="1:18" x14ac:dyDescent="0.35">
      <c r="A500" t="s">
        <v>64</v>
      </c>
      <c r="B500" s="1">
        <v>45637</v>
      </c>
      <c r="C500" t="s">
        <v>65</v>
      </c>
      <c r="D500">
        <v>33</v>
      </c>
      <c r="E500" s="2">
        <v>41009</v>
      </c>
      <c r="F500" t="s">
        <v>16</v>
      </c>
      <c r="G500" t="s">
        <v>66</v>
      </c>
      <c r="H500" t="s">
        <v>117</v>
      </c>
      <c r="I500" s="3">
        <v>0.16666666666666666</v>
      </c>
      <c r="J500" s="8" t="s">
        <v>446</v>
      </c>
      <c r="K500" s="8" t="s">
        <v>443</v>
      </c>
      <c r="L500" s="8" t="str">
        <f>IF(Table1346[[#This Row],[Home Team Score]]&gt;Table1346[[#This Row],[Away Team Score]],"Win",IF(Table1346[[#This Row],[Home Team Score]]=Table1346[[#This Row],[Away Team Score]],"Tie","Lose"))</f>
        <v>Win</v>
      </c>
      <c r="M500" t="s">
        <v>68</v>
      </c>
      <c r="N500">
        <v>44</v>
      </c>
      <c r="O500" s="3">
        <v>8.3333333333333329E-2</v>
      </c>
      <c r="P500" t="s">
        <v>31</v>
      </c>
      <c r="Q500" t="s">
        <v>99</v>
      </c>
      <c r="R500" t="e">
        <f>IF([1]!Table13[[#This Row],[Goal_assist]]="",1,0)</f>
        <v>#REF!</v>
      </c>
    </row>
    <row r="501" spans="1:18" x14ac:dyDescent="0.35">
      <c r="A501" t="s">
        <v>14</v>
      </c>
      <c r="B501" s="1">
        <v>45637</v>
      </c>
      <c r="C501" t="s">
        <v>65</v>
      </c>
      <c r="D501">
        <v>33</v>
      </c>
      <c r="E501" s="2">
        <v>41010</v>
      </c>
      <c r="F501" t="s">
        <v>24</v>
      </c>
      <c r="G501" t="s">
        <v>112</v>
      </c>
      <c r="H501" t="s">
        <v>119</v>
      </c>
      <c r="I501" s="3">
        <v>4.4444444444444446E-2</v>
      </c>
      <c r="J501" s="8" t="s">
        <v>444</v>
      </c>
      <c r="K501" s="8" t="s">
        <v>446</v>
      </c>
      <c r="L501" s="8" t="str">
        <f>IF(Table1346[[#This Row],[Home Team Score]]&gt;Table1346[[#This Row],[Away Team Score]],"Win",IF(Table1346[[#This Row],[Home Team Score]]=Table1346[[#This Row],[Away Team Score]],"Tie","Lose"))</f>
        <v>Lose</v>
      </c>
      <c r="M501" t="s">
        <v>19</v>
      </c>
      <c r="N501">
        <v>67</v>
      </c>
      <c r="O501" s="3">
        <v>4.3055555555555555E-2</v>
      </c>
      <c r="P501" t="s">
        <v>170</v>
      </c>
      <c r="R501" t="e">
        <f>IF([1]!Table13[[#This Row],[Goal_assist]]="",1,0)</f>
        <v>#REF!</v>
      </c>
    </row>
    <row r="502" spans="1:18" x14ac:dyDescent="0.35">
      <c r="A502" t="s">
        <v>14</v>
      </c>
      <c r="B502" s="1">
        <v>45637</v>
      </c>
      <c r="C502" t="s">
        <v>65</v>
      </c>
      <c r="D502">
        <v>33</v>
      </c>
      <c r="E502" s="2">
        <v>41010</v>
      </c>
      <c r="F502" t="s">
        <v>24</v>
      </c>
      <c r="G502" t="s">
        <v>112</v>
      </c>
      <c r="H502" t="s">
        <v>119</v>
      </c>
      <c r="I502" s="3">
        <v>4.4444444444444446E-2</v>
      </c>
      <c r="J502" s="8" t="s">
        <v>444</v>
      </c>
      <c r="K502" s="8" t="s">
        <v>446</v>
      </c>
      <c r="L502" s="8" t="str">
        <f>IF(Table1346[[#This Row],[Home Team Score]]&gt;Table1346[[#This Row],[Away Team Score]],"Win",IF(Table1346[[#This Row],[Home Team Score]]=Table1346[[#This Row],[Away Team Score]],"Tie","Lose"))</f>
        <v>Lose</v>
      </c>
      <c r="M502" t="s">
        <v>19</v>
      </c>
      <c r="N502">
        <v>24</v>
      </c>
      <c r="O502" s="3">
        <v>6.9444444444444447E-4</v>
      </c>
      <c r="P502" t="s">
        <v>39</v>
      </c>
      <c r="R502" t="e">
        <f>IF([1]!Table13[[#This Row],[Goal_assist]]="",1,0)</f>
        <v>#REF!</v>
      </c>
    </row>
    <row r="503" spans="1:18" x14ac:dyDescent="0.35">
      <c r="A503" t="s">
        <v>14</v>
      </c>
      <c r="B503" s="1">
        <v>45637</v>
      </c>
      <c r="C503" t="s">
        <v>65</v>
      </c>
      <c r="D503">
        <v>33</v>
      </c>
      <c r="E503" s="2">
        <v>41010</v>
      </c>
      <c r="F503" t="s">
        <v>24</v>
      </c>
      <c r="G503" t="s">
        <v>112</v>
      </c>
      <c r="H503" t="s">
        <v>119</v>
      </c>
      <c r="I503" s="3">
        <v>4.4444444444444446E-2</v>
      </c>
      <c r="J503" s="8" t="s">
        <v>444</v>
      </c>
      <c r="K503" s="8" t="s">
        <v>446</v>
      </c>
      <c r="L503" s="8" t="str">
        <f>IF(Table1346[[#This Row],[Home Team Score]]&gt;Table1346[[#This Row],[Away Team Score]],"Win",IF(Table1346[[#This Row],[Home Team Score]]=Table1346[[#This Row],[Away Team Score]],"Tie","Lose"))</f>
        <v>Lose</v>
      </c>
      <c r="M503" t="s">
        <v>19</v>
      </c>
      <c r="N503">
        <v>82</v>
      </c>
      <c r="O503" s="3">
        <v>4.3749999999999997E-2</v>
      </c>
      <c r="P503" t="s">
        <v>83</v>
      </c>
      <c r="R503" t="e">
        <f>IF([1]!Table13[[#This Row],[Goal_assist]]="",1,0)</f>
        <v>#REF!</v>
      </c>
    </row>
    <row r="504" spans="1:18" x14ac:dyDescent="0.35">
      <c r="A504" t="s">
        <v>64</v>
      </c>
      <c r="B504" s="1">
        <v>45637</v>
      </c>
      <c r="C504" t="s">
        <v>65</v>
      </c>
      <c r="D504">
        <v>34</v>
      </c>
      <c r="E504" s="2">
        <v>41013</v>
      </c>
      <c r="F504" t="s">
        <v>24</v>
      </c>
      <c r="G504" t="s">
        <v>66</v>
      </c>
      <c r="H504" t="s">
        <v>127</v>
      </c>
      <c r="I504" s="3">
        <v>4.3055555555555555E-2</v>
      </c>
      <c r="J504" s="8" t="s">
        <v>444</v>
      </c>
      <c r="K504" s="8" t="s">
        <v>445</v>
      </c>
      <c r="L504" s="8" t="str">
        <f>IF(Table1346[[#This Row],[Home Team Score]]&gt;Table1346[[#This Row],[Away Team Score]],"Win",IF(Table1346[[#This Row],[Home Team Score]]=Table1346[[#This Row],[Away Team Score]],"Tie","Lose"))</f>
        <v>Lose</v>
      </c>
      <c r="M504" t="s">
        <v>68</v>
      </c>
      <c r="N504">
        <v>73</v>
      </c>
      <c r="O504" s="3">
        <v>4.3055555555555555E-2</v>
      </c>
      <c r="P504" t="s">
        <v>83</v>
      </c>
      <c r="R504" t="e">
        <f>IF([1]!Table13[[#This Row],[Goal_assist]]="",1,0)</f>
        <v>#REF!</v>
      </c>
    </row>
    <row r="505" spans="1:18" x14ac:dyDescent="0.35">
      <c r="A505" t="s">
        <v>64</v>
      </c>
      <c r="B505" s="1">
        <v>45637</v>
      </c>
      <c r="C505" t="s">
        <v>65</v>
      </c>
      <c r="D505">
        <v>34</v>
      </c>
      <c r="E505" s="2">
        <v>41013</v>
      </c>
      <c r="F505" t="s">
        <v>24</v>
      </c>
      <c r="G505" t="s">
        <v>66</v>
      </c>
      <c r="H505" t="s">
        <v>127</v>
      </c>
      <c r="I505" s="3">
        <v>4.3055555555555555E-2</v>
      </c>
      <c r="J505" s="8" t="s">
        <v>444</v>
      </c>
      <c r="K505" s="8" t="s">
        <v>445</v>
      </c>
      <c r="L505" s="8" t="str">
        <f>IF(Table1346[[#This Row],[Home Team Score]]&gt;Table1346[[#This Row],[Away Team Score]],"Win",IF(Table1346[[#This Row],[Home Team Score]]=Table1346[[#This Row],[Away Team Score]],"Tie","Lose"))</f>
        <v>Lose</v>
      </c>
      <c r="M505" t="s">
        <v>68</v>
      </c>
      <c r="N505">
        <v>64</v>
      </c>
      <c r="O505" s="3">
        <v>4.2361111111111113E-2</v>
      </c>
      <c r="P505" t="s">
        <v>31</v>
      </c>
      <c r="Q505" t="s">
        <v>234</v>
      </c>
      <c r="R505" t="e">
        <f>IF([1]!Table13[[#This Row],[Goal_assist]]="",1,0)</f>
        <v>#REF!</v>
      </c>
    </row>
    <row r="506" spans="1:18" x14ac:dyDescent="0.35">
      <c r="A506" t="s">
        <v>14</v>
      </c>
      <c r="B506" s="1">
        <v>45637</v>
      </c>
      <c r="C506" t="s">
        <v>65</v>
      </c>
      <c r="D506">
        <v>34</v>
      </c>
      <c r="E506" s="2">
        <v>41013</v>
      </c>
      <c r="F506" t="s">
        <v>16</v>
      </c>
      <c r="G506" t="s">
        <v>112</v>
      </c>
      <c r="H506" t="s">
        <v>151</v>
      </c>
      <c r="I506" s="3">
        <v>0.12569444444444444</v>
      </c>
      <c r="J506" s="8" t="s">
        <v>442</v>
      </c>
      <c r="K506" s="8" t="s">
        <v>444</v>
      </c>
      <c r="L506" s="8" t="str">
        <f>IF(Table1346[[#This Row],[Home Team Score]]&gt;Table1346[[#This Row],[Away Team Score]],"Win",IF(Table1346[[#This Row],[Home Team Score]]=Table1346[[#This Row],[Away Team Score]],"Tie","Lose"))</f>
        <v>Win</v>
      </c>
      <c r="M506" t="s">
        <v>19</v>
      </c>
      <c r="N506">
        <v>74</v>
      </c>
      <c r="O506" s="3">
        <v>8.4027777777777785E-2</v>
      </c>
      <c r="P506" t="s">
        <v>22</v>
      </c>
      <c r="Q506" t="s">
        <v>207</v>
      </c>
      <c r="R506" t="e">
        <f>IF([1]!Table13[[#This Row],[Goal_assist]]="",1,0)</f>
        <v>#REF!</v>
      </c>
    </row>
    <row r="507" spans="1:18" x14ac:dyDescent="0.35">
      <c r="A507" t="s">
        <v>14</v>
      </c>
      <c r="B507" s="1">
        <v>45637</v>
      </c>
      <c r="C507" t="s">
        <v>65</v>
      </c>
      <c r="D507">
        <v>35</v>
      </c>
      <c r="E507" s="2">
        <v>41020</v>
      </c>
      <c r="F507" t="s">
        <v>24</v>
      </c>
      <c r="G507" t="s">
        <v>112</v>
      </c>
      <c r="H507" t="s">
        <v>66</v>
      </c>
      <c r="I507" s="3">
        <v>4.3055555555555555E-2</v>
      </c>
      <c r="J507" s="8" t="s">
        <v>444</v>
      </c>
      <c r="K507" s="8" t="s">
        <v>445</v>
      </c>
      <c r="L507" s="8" t="str">
        <f>IF(Table1346[[#This Row],[Home Team Score]]&gt;Table1346[[#This Row],[Away Team Score]],"Win",IF(Table1346[[#This Row],[Home Team Score]]=Table1346[[#This Row],[Away Team Score]],"Tie","Lose"))</f>
        <v>Lose</v>
      </c>
      <c r="M507" t="s">
        <v>19</v>
      </c>
      <c r="N507">
        <v>73</v>
      </c>
      <c r="O507" s="3">
        <v>4.3055555555555555E-2</v>
      </c>
      <c r="P507" t="s">
        <v>26</v>
      </c>
      <c r="Q507" t="s">
        <v>204</v>
      </c>
      <c r="R507" t="e">
        <f>IF([1]!Table13[[#This Row],[Goal_assist]]="",1,0)</f>
        <v>#REF!</v>
      </c>
    </row>
    <row r="508" spans="1:18" x14ac:dyDescent="0.35">
      <c r="A508" t="s">
        <v>14</v>
      </c>
      <c r="B508" s="1">
        <v>45637</v>
      </c>
      <c r="C508" t="s">
        <v>75</v>
      </c>
      <c r="D508" t="s">
        <v>62</v>
      </c>
      <c r="E508" s="2">
        <v>41024</v>
      </c>
      <c r="F508" t="s">
        <v>16</v>
      </c>
      <c r="G508" t="s">
        <v>112</v>
      </c>
      <c r="H508" t="s">
        <v>168</v>
      </c>
      <c r="I508" s="3">
        <v>0.12777777777777777</v>
      </c>
      <c r="J508" s="8">
        <v>3</v>
      </c>
      <c r="K508" s="8">
        <v>4</v>
      </c>
      <c r="L508" s="8" t="str">
        <f>IF(Table1346[[#This Row],[Home Team Score]]&gt;Table1346[[#This Row],[Away Team Score]],"Win",IF(Table1346[[#This Row],[Home Team Score]]=Table1346[[#This Row],[Away Team Score]],"Tie","Lose"))</f>
        <v>Lose</v>
      </c>
      <c r="M508" t="s">
        <v>19</v>
      </c>
      <c r="N508">
        <v>6</v>
      </c>
      <c r="O508" s="3">
        <v>4.1666666666666664E-2</v>
      </c>
      <c r="P508" t="s">
        <v>83</v>
      </c>
      <c r="R508" t="e">
        <f>IF([1]!Table13[[#This Row],[Goal_assist]]="",1,0)</f>
        <v>#REF!</v>
      </c>
    </row>
    <row r="509" spans="1:18" x14ac:dyDescent="0.35">
      <c r="A509" t="s">
        <v>14</v>
      </c>
      <c r="B509" s="1">
        <v>45637</v>
      </c>
      <c r="C509" t="s">
        <v>75</v>
      </c>
      <c r="D509" t="s">
        <v>62</v>
      </c>
      <c r="E509" s="2">
        <v>41024</v>
      </c>
      <c r="F509" t="s">
        <v>16</v>
      </c>
      <c r="G509" t="s">
        <v>112</v>
      </c>
      <c r="H509" t="s">
        <v>168</v>
      </c>
      <c r="I509" s="3">
        <v>0.12777777777777777</v>
      </c>
      <c r="J509" s="8">
        <v>3</v>
      </c>
      <c r="K509" s="8">
        <v>4</v>
      </c>
      <c r="L509" s="8" t="str">
        <f>IF(Table1346[[#This Row],[Home Team Score]]&gt;Table1346[[#This Row],[Away Team Score]],"Win",IF(Table1346[[#This Row],[Home Team Score]]=Table1346[[#This Row],[Away Team Score]],"Tie","Lose"))</f>
        <v>Lose</v>
      </c>
      <c r="M509" t="s">
        <v>19</v>
      </c>
      <c r="N509">
        <v>14</v>
      </c>
      <c r="O509" s="3">
        <v>8.3333333333333329E-2</v>
      </c>
      <c r="P509" t="s">
        <v>26</v>
      </c>
      <c r="Q509" t="s">
        <v>204</v>
      </c>
      <c r="R509" t="e">
        <f>IF([1]!Table13[[#This Row],[Goal_assist]]="",1,0)</f>
        <v>#REF!</v>
      </c>
    </row>
    <row r="510" spans="1:18" x14ac:dyDescent="0.35">
      <c r="A510" t="s">
        <v>64</v>
      </c>
      <c r="B510" s="1">
        <v>45637</v>
      </c>
      <c r="C510" t="s">
        <v>65</v>
      </c>
      <c r="D510">
        <v>36</v>
      </c>
      <c r="E510" s="2">
        <v>41028</v>
      </c>
      <c r="F510" t="s">
        <v>24</v>
      </c>
      <c r="G510" t="s">
        <v>66</v>
      </c>
      <c r="H510" t="s">
        <v>225</v>
      </c>
      <c r="I510" s="3">
        <v>4.8611111111111112E-3</v>
      </c>
      <c r="J510" s="8" t="s">
        <v>443</v>
      </c>
      <c r="K510" s="8" t="s">
        <v>449</v>
      </c>
      <c r="L510" s="8" t="str">
        <f>IF(Table1346[[#This Row],[Home Team Score]]&gt;Table1346[[#This Row],[Away Team Score]],"Win",IF(Table1346[[#This Row],[Home Team Score]]=Table1346[[#This Row],[Away Team Score]],"Tie","Lose"))</f>
        <v>Lose</v>
      </c>
      <c r="M510" t="s">
        <v>68</v>
      </c>
      <c r="N510">
        <v>16</v>
      </c>
      <c r="O510" s="3">
        <v>6.9444444444444447E-4</v>
      </c>
      <c r="P510" t="s">
        <v>31</v>
      </c>
      <c r="Q510" t="s">
        <v>186</v>
      </c>
      <c r="R510" t="e">
        <f>IF([1]!Table13[[#This Row],[Goal_assist]]="",1,0)</f>
        <v>#REF!</v>
      </c>
    </row>
    <row r="511" spans="1:18" x14ac:dyDescent="0.35">
      <c r="A511" t="s">
        <v>64</v>
      </c>
      <c r="B511" s="1">
        <v>45637</v>
      </c>
      <c r="C511" t="s">
        <v>65</v>
      </c>
      <c r="D511">
        <v>36</v>
      </c>
      <c r="E511" s="2">
        <v>41028</v>
      </c>
      <c r="F511" t="s">
        <v>24</v>
      </c>
      <c r="G511" t="s">
        <v>66</v>
      </c>
      <c r="H511" t="s">
        <v>225</v>
      </c>
      <c r="I511" s="3">
        <v>4.8611111111111112E-3</v>
      </c>
      <c r="J511" s="8" t="s">
        <v>443</v>
      </c>
      <c r="K511" s="8" t="s">
        <v>449</v>
      </c>
      <c r="L511" s="8" t="str">
        <f>IF(Table1346[[#This Row],[Home Team Score]]&gt;Table1346[[#This Row],[Away Team Score]],"Win",IF(Table1346[[#This Row],[Home Team Score]]=Table1346[[#This Row],[Away Team Score]],"Tie","Lose"))</f>
        <v>Lose</v>
      </c>
      <c r="M511" t="s">
        <v>68</v>
      </c>
      <c r="N511">
        <v>88</v>
      </c>
      <c r="O511" s="3">
        <v>4.8611111111111112E-3</v>
      </c>
      <c r="P511" t="s">
        <v>31</v>
      </c>
      <c r="Q511" t="s">
        <v>186</v>
      </c>
      <c r="R511" t="e">
        <f>IF([1]!Table13[[#This Row],[Goal_assist]]="",1,0)</f>
        <v>#REF!</v>
      </c>
    </row>
    <row r="512" spans="1:18" x14ac:dyDescent="0.35">
      <c r="A512" t="s">
        <v>14</v>
      </c>
      <c r="B512" s="1">
        <v>45637</v>
      </c>
      <c r="C512" t="s">
        <v>65</v>
      </c>
      <c r="D512">
        <v>36</v>
      </c>
      <c r="E512" s="2">
        <v>41028</v>
      </c>
      <c r="F512" t="s">
        <v>16</v>
      </c>
      <c r="G512" t="s">
        <v>112</v>
      </c>
      <c r="H512" t="s">
        <v>105</v>
      </c>
      <c r="I512" s="3">
        <v>0.125</v>
      </c>
      <c r="J512" s="8" t="s">
        <v>442</v>
      </c>
      <c r="K512" s="8" t="s">
        <v>443</v>
      </c>
      <c r="L512" s="8" t="str">
        <f>IF(Table1346[[#This Row],[Home Team Score]]&gt;Table1346[[#This Row],[Away Team Score]],"Win",IF(Table1346[[#This Row],[Home Team Score]]=Table1346[[#This Row],[Away Team Score]],"Tie","Lose"))</f>
        <v>Win</v>
      </c>
      <c r="M512" t="s">
        <v>19</v>
      </c>
      <c r="N512">
        <v>19</v>
      </c>
      <c r="O512" s="3">
        <v>4.1666666666666664E-2</v>
      </c>
      <c r="P512" t="s">
        <v>26</v>
      </c>
      <c r="Q512" t="s">
        <v>183</v>
      </c>
      <c r="R512" t="e">
        <f>IF([1]!Table13[[#This Row],[Goal_assist]]="",1,0)</f>
        <v>#REF!</v>
      </c>
    </row>
    <row r="513" spans="1:18" x14ac:dyDescent="0.35">
      <c r="A513" t="s">
        <v>14</v>
      </c>
      <c r="B513" s="1">
        <v>45637</v>
      </c>
      <c r="C513" t="s">
        <v>65</v>
      </c>
      <c r="D513">
        <v>20</v>
      </c>
      <c r="E513" s="2">
        <v>41031</v>
      </c>
      <c r="F513" t="s">
        <v>24</v>
      </c>
      <c r="G513" t="s">
        <v>112</v>
      </c>
      <c r="H513" t="s">
        <v>86</v>
      </c>
      <c r="I513" s="3">
        <v>2.0833333333333333E-3</v>
      </c>
      <c r="J513" s="8" t="s">
        <v>443</v>
      </c>
      <c r="K513" s="8" t="s">
        <v>442</v>
      </c>
      <c r="L513" s="8" t="str">
        <f>IF(Table1346[[#This Row],[Home Team Score]]&gt;Table1346[[#This Row],[Away Team Score]],"Win",IF(Table1346[[#This Row],[Home Team Score]]=Table1346[[#This Row],[Away Team Score]],"Tie","Lose"))</f>
        <v>Lose</v>
      </c>
      <c r="M513" t="s">
        <v>19</v>
      </c>
      <c r="N513">
        <v>49</v>
      </c>
      <c r="O513" s="3">
        <v>2.0833333333333333E-3</v>
      </c>
      <c r="P513" t="s">
        <v>22</v>
      </c>
      <c r="Q513" t="s">
        <v>205</v>
      </c>
      <c r="R513" t="e">
        <f>IF([1]!Table13[[#This Row],[Goal_assist]]="",1,0)</f>
        <v>#REF!</v>
      </c>
    </row>
    <row r="514" spans="1:18" x14ac:dyDescent="0.35">
      <c r="A514" t="s">
        <v>64</v>
      </c>
      <c r="B514" s="1">
        <v>45637</v>
      </c>
      <c r="C514" t="s">
        <v>65</v>
      </c>
      <c r="D514">
        <v>20</v>
      </c>
      <c r="E514" s="2">
        <v>41031</v>
      </c>
      <c r="F514" t="s">
        <v>16</v>
      </c>
      <c r="G514" t="s">
        <v>66</v>
      </c>
      <c r="H514" t="s">
        <v>157</v>
      </c>
      <c r="I514" s="3">
        <v>0.1673611111111111</v>
      </c>
      <c r="J514" s="8" t="s">
        <v>446</v>
      </c>
      <c r="K514" s="8" t="s">
        <v>444</v>
      </c>
      <c r="L514" s="8" t="str">
        <f>IF(Table1346[[#This Row],[Home Team Score]]&gt;Table1346[[#This Row],[Away Team Score]],"Win",IF(Table1346[[#This Row],[Home Team Score]]=Table1346[[#This Row],[Away Team Score]],"Tie","Lose"))</f>
        <v>Win</v>
      </c>
      <c r="M514" t="s">
        <v>68</v>
      </c>
      <c r="N514">
        <v>34</v>
      </c>
      <c r="O514" s="3">
        <v>8.4027777777777785E-2</v>
      </c>
      <c r="P514" t="s">
        <v>83</v>
      </c>
      <c r="R514" t="e">
        <f>IF([1]!Table13[[#This Row],[Goal_assist]]="",1,0)</f>
        <v>#REF!</v>
      </c>
    </row>
    <row r="515" spans="1:18" x14ac:dyDescent="0.35">
      <c r="A515" t="s">
        <v>64</v>
      </c>
      <c r="B515" s="1">
        <v>45637</v>
      </c>
      <c r="C515" t="s">
        <v>65</v>
      </c>
      <c r="D515">
        <v>20</v>
      </c>
      <c r="E515" s="2">
        <v>41031</v>
      </c>
      <c r="F515" t="s">
        <v>16</v>
      </c>
      <c r="G515" t="s">
        <v>66</v>
      </c>
      <c r="H515" t="s">
        <v>157</v>
      </c>
      <c r="I515" s="3">
        <v>0.1673611111111111</v>
      </c>
      <c r="J515" s="8" t="s">
        <v>446</v>
      </c>
      <c r="K515" s="8" t="s">
        <v>444</v>
      </c>
      <c r="L515" s="8" t="str">
        <f>IF(Table1346[[#This Row],[Home Team Score]]&gt;Table1346[[#This Row],[Away Team Score]],"Win",IF(Table1346[[#This Row],[Home Team Score]]=Table1346[[#This Row],[Away Team Score]],"Tie","Lose"))</f>
        <v>Win</v>
      </c>
      <c r="M515" t="s">
        <v>68</v>
      </c>
      <c r="N515">
        <v>60</v>
      </c>
      <c r="O515" s="3">
        <v>0.12569444444444444</v>
      </c>
      <c r="P515" t="s">
        <v>83</v>
      </c>
      <c r="R515" t="e">
        <f>IF([1]!Table13[[#This Row],[Goal_assist]]="",1,0)</f>
        <v>#REF!</v>
      </c>
    </row>
    <row r="516" spans="1:18" x14ac:dyDescent="0.35">
      <c r="A516" t="s">
        <v>64</v>
      </c>
      <c r="B516" s="1">
        <v>45637</v>
      </c>
      <c r="C516" t="s">
        <v>65</v>
      </c>
      <c r="D516">
        <v>20</v>
      </c>
      <c r="E516" s="2">
        <v>41031</v>
      </c>
      <c r="F516" t="s">
        <v>16</v>
      </c>
      <c r="G516" t="s">
        <v>66</v>
      </c>
      <c r="H516" t="s">
        <v>157</v>
      </c>
      <c r="I516" s="3">
        <v>0.1673611111111111</v>
      </c>
      <c r="J516" s="8" t="s">
        <v>446</v>
      </c>
      <c r="K516" s="8" t="s">
        <v>444</v>
      </c>
      <c r="L516" s="8" t="str">
        <f>IF(Table1346[[#This Row],[Home Team Score]]&gt;Table1346[[#This Row],[Away Team Score]],"Win",IF(Table1346[[#This Row],[Home Team Score]]=Table1346[[#This Row],[Away Team Score]],"Tie","Lose"))</f>
        <v>Win</v>
      </c>
      <c r="M516" t="s">
        <v>68</v>
      </c>
      <c r="N516">
        <v>63</v>
      </c>
      <c r="O516" s="3">
        <v>0.1673611111111111</v>
      </c>
      <c r="P516" t="s">
        <v>31</v>
      </c>
      <c r="Q516" t="s">
        <v>99</v>
      </c>
      <c r="R516" t="e">
        <f>IF([1]!Table13[[#This Row],[Goal_assist]]="",1,0)</f>
        <v>#REF!</v>
      </c>
    </row>
    <row r="517" spans="1:18" x14ac:dyDescent="0.35">
      <c r="A517" t="s">
        <v>64</v>
      </c>
      <c r="B517" s="1">
        <v>45637</v>
      </c>
      <c r="C517" t="s">
        <v>65</v>
      </c>
      <c r="D517">
        <v>37</v>
      </c>
      <c r="E517" s="2">
        <v>41034</v>
      </c>
      <c r="F517" t="s">
        <v>16</v>
      </c>
      <c r="G517" t="s">
        <v>66</v>
      </c>
      <c r="H517" t="s">
        <v>121</v>
      </c>
      <c r="I517" s="3">
        <v>0.16666666666666666</v>
      </c>
      <c r="J517" s="8" t="s">
        <v>446</v>
      </c>
      <c r="K517" s="8" t="s">
        <v>443</v>
      </c>
      <c r="L517" s="8" t="str">
        <f>IF(Table1346[[#This Row],[Home Team Score]]&gt;Table1346[[#This Row],[Away Team Score]],"Win",IF(Table1346[[#This Row],[Home Team Score]]=Table1346[[#This Row],[Away Team Score]],"Tie","Lose"))</f>
        <v>Win</v>
      </c>
      <c r="M517" t="s">
        <v>68</v>
      </c>
      <c r="N517">
        <v>11</v>
      </c>
      <c r="O517" s="3">
        <v>4.1666666666666664E-2</v>
      </c>
      <c r="P517" t="s">
        <v>39</v>
      </c>
      <c r="R517" t="e">
        <f>IF([1]!Table13[[#This Row],[Goal_assist]]="",1,0)</f>
        <v>#REF!</v>
      </c>
    </row>
    <row r="518" spans="1:18" x14ac:dyDescent="0.35">
      <c r="A518" t="s">
        <v>14</v>
      </c>
      <c r="B518" s="1">
        <v>45637</v>
      </c>
      <c r="C518" t="s">
        <v>65</v>
      </c>
      <c r="D518">
        <v>37</v>
      </c>
      <c r="E518" s="2">
        <v>41034</v>
      </c>
      <c r="F518" t="s">
        <v>24</v>
      </c>
      <c r="G518" t="s">
        <v>112</v>
      </c>
      <c r="H518" t="s">
        <v>233</v>
      </c>
      <c r="I518" s="3">
        <v>4.3055555555555555E-2</v>
      </c>
      <c r="J518" s="8" t="s">
        <v>444</v>
      </c>
      <c r="K518" s="8" t="s">
        <v>445</v>
      </c>
      <c r="L518" s="8" t="str">
        <f>IF(Table1346[[#This Row],[Home Team Score]]&gt;Table1346[[#This Row],[Away Team Score]],"Win",IF(Table1346[[#This Row],[Home Team Score]]=Table1346[[#This Row],[Away Team Score]],"Tie","Lose"))</f>
        <v>Lose</v>
      </c>
      <c r="M518" t="s">
        <v>19</v>
      </c>
      <c r="N518">
        <v>81</v>
      </c>
      <c r="O518" s="3">
        <v>4.2361111111111113E-2</v>
      </c>
      <c r="P518" t="s">
        <v>83</v>
      </c>
      <c r="R518" t="e">
        <f>IF([1]!Table13[[#This Row],[Goal_assist]]="",1,0)</f>
        <v>#REF!</v>
      </c>
    </row>
    <row r="519" spans="1:18" x14ac:dyDescent="0.35">
      <c r="A519" t="s">
        <v>64</v>
      </c>
      <c r="B519" s="1">
        <v>45637</v>
      </c>
      <c r="C519" t="s">
        <v>65</v>
      </c>
      <c r="D519">
        <v>37</v>
      </c>
      <c r="E519" s="2">
        <v>41034</v>
      </c>
      <c r="F519" t="s">
        <v>16</v>
      </c>
      <c r="G519" t="s">
        <v>66</v>
      </c>
      <c r="H519" t="s">
        <v>121</v>
      </c>
      <c r="I519" s="3">
        <v>0.16666666666666666</v>
      </c>
      <c r="J519" s="8" t="s">
        <v>446</v>
      </c>
      <c r="K519" s="8" t="s">
        <v>443</v>
      </c>
      <c r="L519" s="8" t="str">
        <f>IF(Table1346[[#This Row],[Home Team Score]]&gt;Table1346[[#This Row],[Away Team Score]],"Win",IF(Table1346[[#This Row],[Home Team Score]]=Table1346[[#This Row],[Away Team Score]],"Tie","Lose"))</f>
        <v>Win</v>
      </c>
      <c r="M519" t="s">
        <v>68</v>
      </c>
      <c r="N519">
        <v>78</v>
      </c>
      <c r="O519" s="3">
        <v>0.16666666666666666</v>
      </c>
      <c r="P519" t="s">
        <v>83</v>
      </c>
      <c r="R519" t="e">
        <f>IF([1]!Table13[[#This Row],[Goal_assist]]="",1,0)</f>
        <v>#REF!</v>
      </c>
    </row>
    <row r="520" spans="1:18" x14ac:dyDescent="0.35">
      <c r="A520" t="s">
        <v>64</v>
      </c>
      <c r="B520" s="1">
        <v>45637</v>
      </c>
      <c r="C520" t="s">
        <v>65</v>
      </c>
      <c r="D520">
        <v>37</v>
      </c>
      <c r="E520" s="2">
        <v>41034</v>
      </c>
      <c r="F520" t="s">
        <v>16</v>
      </c>
      <c r="G520" t="s">
        <v>66</v>
      </c>
      <c r="H520" t="s">
        <v>121</v>
      </c>
      <c r="I520" s="3">
        <v>0.16666666666666666</v>
      </c>
      <c r="J520" s="8" t="s">
        <v>446</v>
      </c>
      <c r="K520" s="8" t="s">
        <v>443</v>
      </c>
      <c r="L520" s="8" t="str">
        <f>IF(Table1346[[#This Row],[Home Team Score]]&gt;Table1346[[#This Row],[Away Team Score]],"Win",IF(Table1346[[#This Row],[Home Team Score]]=Table1346[[#This Row],[Away Team Score]],"Tie","Lose"))</f>
        <v>Win</v>
      </c>
      <c r="M520" t="s">
        <v>68</v>
      </c>
      <c r="N520">
        <v>73</v>
      </c>
      <c r="O520" s="3">
        <v>0.125</v>
      </c>
      <c r="P520" t="s">
        <v>31</v>
      </c>
      <c r="Q520" t="s">
        <v>215</v>
      </c>
      <c r="R520" t="e">
        <f>IF([1]!Table13[[#This Row],[Goal_assist]]="",1,0)</f>
        <v>#REF!</v>
      </c>
    </row>
    <row r="521" spans="1:18" x14ac:dyDescent="0.35">
      <c r="A521" t="s">
        <v>64</v>
      </c>
      <c r="B521" s="1">
        <v>45637</v>
      </c>
      <c r="C521" t="s">
        <v>65</v>
      </c>
      <c r="D521">
        <v>37</v>
      </c>
      <c r="E521" s="2">
        <v>41034</v>
      </c>
      <c r="F521" t="s">
        <v>16</v>
      </c>
      <c r="G521" t="s">
        <v>66</v>
      </c>
      <c r="H521" t="s">
        <v>121</v>
      </c>
      <c r="I521" s="3">
        <v>0.16666666666666666</v>
      </c>
      <c r="J521" s="8" t="s">
        <v>446</v>
      </c>
      <c r="K521" s="8" t="s">
        <v>443</v>
      </c>
      <c r="L521" s="8" t="str">
        <f>IF(Table1346[[#This Row],[Home Team Score]]&gt;Table1346[[#This Row],[Away Team Score]],"Win",IF(Table1346[[#This Row],[Home Team Score]]=Table1346[[#This Row],[Away Team Score]],"Tie","Lose"))</f>
        <v>Win</v>
      </c>
      <c r="M521" t="s">
        <v>68</v>
      </c>
      <c r="N521">
        <v>63</v>
      </c>
      <c r="O521" s="3">
        <v>8.3333333333333329E-2</v>
      </c>
      <c r="P521" t="s">
        <v>83</v>
      </c>
      <c r="R521" t="e">
        <f>IF([1]!Table13[[#This Row],[Goal_assist]]="",1,0)</f>
        <v>#REF!</v>
      </c>
    </row>
    <row r="522" spans="1:18" x14ac:dyDescent="0.35">
      <c r="A522" t="s">
        <v>14</v>
      </c>
      <c r="B522" s="1">
        <v>45637</v>
      </c>
      <c r="C522" t="s">
        <v>65</v>
      </c>
      <c r="D522">
        <v>38</v>
      </c>
      <c r="E522" s="2">
        <v>41042</v>
      </c>
      <c r="F522" t="s">
        <v>16</v>
      </c>
      <c r="G522" t="s">
        <v>112</v>
      </c>
      <c r="H522" t="s">
        <v>89</v>
      </c>
      <c r="I522" s="3">
        <v>0.1673611111111111</v>
      </c>
      <c r="J522" s="8" t="s">
        <v>446</v>
      </c>
      <c r="K522" s="8" t="s">
        <v>444</v>
      </c>
      <c r="L522" s="8" t="str">
        <f>IF(Table1346[[#This Row],[Home Team Score]]&gt;Table1346[[#This Row],[Away Team Score]],"Win",IF(Table1346[[#This Row],[Home Team Score]]=Table1346[[#This Row],[Away Team Score]],"Tie","Lose"))</f>
        <v>Win</v>
      </c>
      <c r="M522" t="s">
        <v>19</v>
      </c>
      <c r="N522">
        <v>18</v>
      </c>
      <c r="O522" s="3">
        <v>4.1666666666666664E-2</v>
      </c>
      <c r="P522" t="s">
        <v>22</v>
      </c>
      <c r="Q522" t="s">
        <v>201</v>
      </c>
      <c r="R522" t="e">
        <f>IF([1]!Table13[[#This Row],[Goal_assist]]="",1,0)</f>
        <v>#REF!</v>
      </c>
    </row>
    <row r="523" spans="1:18" x14ac:dyDescent="0.35">
      <c r="A523" t="s">
        <v>64</v>
      </c>
      <c r="B523" s="1">
        <v>45637</v>
      </c>
      <c r="C523" t="s">
        <v>91</v>
      </c>
      <c r="D523" t="s">
        <v>46</v>
      </c>
      <c r="E523" s="2">
        <v>41054</v>
      </c>
      <c r="F523" t="s">
        <v>16</v>
      </c>
      <c r="G523" t="s">
        <v>66</v>
      </c>
      <c r="H523" t="s">
        <v>86</v>
      </c>
      <c r="I523" s="3">
        <v>0.125</v>
      </c>
      <c r="J523" s="8" t="s">
        <v>442</v>
      </c>
      <c r="K523" s="8" t="s">
        <v>443</v>
      </c>
      <c r="L523" s="8" t="str">
        <f>IF(Table1346[[#This Row],[Home Team Score]]&gt;Table1346[[#This Row],[Away Team Score]],"Win",IF(Table1346[[#This Row],[Home Team Score]]=Table1346[[#This Row],[Away Team Score]],"Tie","Lose"))</f>
        <v>Win</v>
      </c>
      <c r="M523" t="s">
        <v>68</v>
      </c>
      <c r="N523">
        <v>20</v>
      </c>
      <c r="O523" s="3">
        <v>8.3333333333333329E-2</v>
      </c>
      <c r="P523" t="s">
        <v>26</v>
      </c>
      <c r="Q523" t="s">
        <v>99</v>
      </c>
      <c r="R523" t="e">
        <f>IF([1]!Table13[[#This Row],[Goal_assist]]="",1,0)</f>
        <v>#REF!</v>
      </c>
    </row>
    <row r="524" spans="1:18" x14ac:dyDescent="0.35">
      <c r="A524" t="s">
        <v>64</v>
      </c>
      <c r="B524" s="4">
        <v>41609</v>
      </c>
      <c r="C524" t="s">
        <v>65</v>
      </c>
      <c r="D524">
        <v>1</v>
      </c>
      <c r="E524" s="2">
        <v>41140</v>
      </c>
      <c r="F524" t="s">
        <v>16</v>
      </c>
      <c r="G524" t="s">
        <v>66</v>
      </c>
      <c r="H524" t="s">
        <v>217</v>
      </c>
      <c r="I524" s="3">
        <v>0.20902777777777778</v>
      </c>
      <c r="J524" s="8" t="s">
        <v>448</v>
      </c>
      <c r="K524" s="8" t="s">
        <v>444</v>
      </c>
      <c r="L524" s="8" t="str">
        <f>IF(Table1346[[#This Row],[Home Team Score]]&gt;Table1346[[#This Row],[Away Team Score]],"Win",IF(Table1346[[#This Row],[Home Team Score]]=Table1346[[#This Row],[Away Team Score]],"Tie","Lose"))</f>
        <v>Win</v>
      </c>
      <c r="M524" t="s">
        <v>68</v>
      </c>
      <c r="N524">
        <v>10</v>
      </c>
      <c r="O524" s="3">
        <v>8.4027777777777785E-2</v>
      </c>
      <c r="P524" t="s">
        <v>31</v>
      </c>
      <c r="Q524" t="s">
        <v>186</v>
      </c>
      <c r="R524" t="e">
        <f>IF([1]!Table13[[#This Row],[Goal_assist]]="",1,0)</f>
        <v>#REF!</v>
      </c>
    </row>
    <row r="525" spans="1:18" x14ac:dyDescent="0.35">
      <c r="A525" t="s">
        <v>64</v>
      </c>
      <c r="B525" s="4">
        <v>41609</v>
      </c>
      <c r="C525" t="s">
        <v>65</v>
      </c>
      <c r="D525">
        <v>1</v>
      </c>
      <c r="E525" s="2">
        <v>41140</v>
      </c>
      <c r="F525" t="s">
        <v>16</v>
      </c>
      <c r="G525" t="s">
        <v>66</v>
      </c>
      <c r="H525" t="s">
        <v>217</v>
      </c>
      <c r="I525" s="3">
        <v>0.20902777777777778</v>
      </c>
      <c r="J525" s="8" t="s">
        <v>448</v>
      </c>
      <c r="K525" s="8" t="s">
        <v>444</v>
      </c>
      <c r="L525" s="8" t="str">
        <f>IF(Table1346[[#This Row],[Home Team Score]]&gt;Table1346[[#This Row],[Away Team Score]],"Win",IF(Table1346[[#This Row],[Home Team Score]]=Table1346[[#This Row],[Away Team Score]],"Tie","Lose"))</f>
        <v>Win</v>
      </c>
      <c r="M525" t="s">
        <v>68</v>
      </c>
      <c r="N525">
        <v>15</v>
      </c>
      <c r="O525" s="3">
        <v>0.12569444444444444</v>
      </c>
      <c r="P525" t="s">
        <v>31</v>
      </c>
      <c r="Q525" t="s">
        <v>237</v>
      </c>
      <c r="R525" t="e">
        <f>IF([1]!Table13[[#This Row],[Goal_assist]]="",1,0)</f>
        <v>#REF!</v>
      </c>
    </row>
    <row r="526" spans="1:18" x14ac:dyDescent="0.35">
      <c r="A526" t="s">
        <v>64</v>
      </c>
      <c r="B526" s="4">
        <v>41609</v>
      </c>
      <c r="C526" t="s">
        <v>172</v>
      </c>
      <c r="D526" t="s">
        <v>173</v>
      </c>
      <c r="E526" s="2">
        <v>41144</v>
      </c>
      <c r="F526" t="s">
        <v>16</v>
      </c>
      <c r="G526" t="s">
        <v>66</v>
      </c>
      <c r="H526" t="s">
        <v>112</v>
      </c>
      <c r="I526" s="3">
        <v>0.12638888888888888</v>
      </c>
      <c r="J526" s="8" t="s">
        <v>442</v>
      </c>
      <c r="K526" s="8" t="s">
        <v>445</v>
      </c>
      <c r="L526" s="8" t="str">
        <f>IF(Table1346[[#This Row],[Home Team Score]]&gt;Table1346[[#This Row],[Away Team Score]],"Win",IF(Table1346[[#This Row],[Home Team Score]]=Table1346[[#This Row],[Away Team Score]],"Tie","Lose"))</f>
        <v>Win</v>
      </c>
      <c r="M526" t="s">
        <v>68</v>
      </c>
      <c r="N526">
        <v>60</v>
      </c>
      <c r="O526" s="3">
        <v>8.4027777777777785E-2</v>
      </c>
      <c r="P526" t="s">
        <v>83</v>
      </c>
      <c r="R526" t="e">
        <f>IF([1]!Table13[[#This Row],[Goal_assist]]="",1,0)</f>
        <v>#REF!</v>
      </c>
    </row>
    <row r="527" spans="1:18" x14ac:dyDescent="0.35">
      <c r="A527" t="s">
        <v>14</v>
      </c>
      <c r="B527" s="4">
        <v>41609</v>
      </c>
      <c r="C527" t="s">
        <v>172</v>
      </c>
      <c r="D527" t="s">
        <v>173</v>
      </c>
      <c r="E527" s="2">
        <v>41144</v>
      </c>
      <c r="F527" t="s">
        <v>24</v>
      </c>
      <c r="G527" t="s">
        <v>112</v>
      </c>
      <c r="H527" t="s">
        <v>66</v>
      </c>
      <c r="I527" s="3">
        <v>0.12638888888888888</v>
      </c>
      <c r="J527" s="8" t="s">
        <v>442</v>
      </c>
      <c r="K527" s="8" t="s">
        <v>445</v>
      </c>
      <c r="L527" s="8" t="str">
        <f>IF(Table1346[[#This Row],[Home Team Score]]&gt;Table1346[[#This Row],[Away Team Score]],"Win",IF(Table1346[[#This Row],[Home Team Score]]=Table1346[[#This Row],[Away Team Score]],"Tie","Lose"))</f>
        <v>Win</v>
      </c>
      <c r="M527" t="s">
        <v>19</v>
      </c>
      <c r="N527">
        <v>55</v>
      </c>
      <c r="O527" s="3">
        <v>6.9444444444444447E-4</v>
      </c>
      <c r="P527" t="s">
        <v>22</v>
      </c>
      <c r="Q527" t="s">
        <v>204</v>
      </c>
      <c r="R527" t="e">
        <f>IF([1]!Table13[[#This Row],[Goal_assist]]="",1,0)</f>
        <v>#REF!</v>
      </c>
    </row>
    <row r="528" spans="1:18" x14ac:dyDescent="0.35">
      <c r="A528" t="s">
        <v>64</v>
      </c>
      <c r="B528" s="4">
        <v>41609</v>
      </c>
      <c r="C528" t="s">
        <v>65</v>
      </c>
      <c r="D528">
        <v>2</v>
      </c>
      <c r="E528" s="2">
        <v>41147</v>
      </c>
      <c r="F528" t="s">
        <v>24</v>
      </c>
      <c r="G528" t="s">
        <v>66</v>
      </c>
      <c r="H528" t="s">
        <v>100</v>
      </c>
      <c r="I528" s="3">
        <v>4.3055555555555555E-2</v>
      </c>
      <c r="J528" s="8" t="s">
        <v>444</v>
      </c>
      <c r="K528" s="8" t="s">
        <v>445</v>
      </c>
      <c r="L528" s="8" t="str">
        <f>IF(Table1346[[#This Row],[Home Team Score]]&gt;Table1346[[#This Row],[Away Team Score]],"Win",IF(Table1346[[#This Row],[Home Team Score]]=Table1346[[#This Row],[Away Team Score]],"Tie","Lose"))</f>
        <v>Lose</v>
      </c>
      <c r="M528" t="s">
        <v>68</v>
      </c>
      <c r="N528">
        <v>74</v>
      </c>
      <c r="O528" s="3">
        <v>4.2361111111111113E-2</v>
      </c>
      <c r="P528" t="s">
        <v>31</v>
      </c>
      <c r="Q528" t="s">
        <v>234</v>
      </c>
      <c r="R528" t="e">
        <f>IF([1]!Table13[[#This Row],[Goal_assist]]="",1,0)</f>
        <v>#REF!</v>
      </c>
    </row>
    <row r="529" spans="1:18" x14ac:dyDescent="0.35">
      <c r="A529" t="s">
        <v>64</v>
      </c>
      <c r="B529" s="4">
        <v>41609</v>
      </c>
      <c r="C529" t="s">
        <v>65</v>
      </c>
      <c r="D529">
        <v>2</v>
      </c>
      <c r="E529" s="2">
        <v>41147</v>
      </c>
      <c r="F529" t="s">
        <v>24</v>
      </c>
      <c r="G529" t="s">
        <v>66</v>
      </c>
      <c r="H529" t="s">
        <v>100</v>
      </c>
      <c r="I529" s="3">
        <v>4.3055555555555555E-2</v>
      </c>
      <c r="J529" s="8" t="s">
        <v>444</v>
      </c>
      <c r="K529" s="8" t="s">
        <v>445</v>
      </c>
      <c r="L529" s="8" t="str">
        <f>IF(Table1346[[#This Row],[Home Team Score]]&gt;Table1346[[#This Row],[Away Team Score]],"Win",IF(Table1346[[#This Row],[Home Team Score]]=Table1346[[#This Row],[Away Team Score]],"Tie","Lose"))</f>
        <v>Lose</v>
      </c>
      <c r="M529" t="s">
        <v>68</v>
      </c>
      <c r="N529">
        <v>79</v>
      </c>
      <c r="O529" s="3">
        <v>4.3055555555555555E-2</v>
      </c>
      <c r="P529" t="s">
        <v>31</v>
      </c>
      <c r="Q529" t="s">
        <v>243</v>
      </c>
      <c r="R529" t="e">
        <f>IF([1]!Table13[[#This Row],[Goal_assist]]="",1,0)</f>
        <v>#REF!</v>
      </c>
    </row>
    <row r="530" spans="1:18" x14ac:dyDescent="0.35">
      <c r="A530" t="s">
        <v>14</v>
      </c>
      <c r="B530" s="4">
        <v>41609</v>
      </c>
      <c r="C530" t="s">
        <v>172</v>
      </c>
      <c r="D530" t="s">
        <v>173</v>
      </c>
      <c r="E530" s="2">
        <v>41150</v>
      </c>
      <c r="F530" t="s">
        <v>16</v>
      </c>
      <c r="G530" t="s">
        <v>112</v>
      </c>
      <c r="H530" t="s">
        <v>66</v>
      </c>
      <c r="I530" s="3">
        <v>8.4027777777777785E-2</v>
      </c>
      <c r="J530" s="8" t="s">
        <v>445</v>
      </c>
      <c r="K530" s="8" t="s">
        <v>444</v>
      </c>
      <c r="L530" s="8" t="str">
        <f>IF(Table1346[[#This Row],[Home Team Score]]&gt;Table1346[[#This Row],[Away Team Score]],"Win",IF(Table1346[[#This Row],[Home Team Score]]=Table1346[[#This Row],[Away Team Score]],"Tie","Lose"))</f>
        <v>Win</v>
      </c>
      <c r="M530" t="s">
        <v>19</v>
      </c>
      <c r="N530">
        <v>19</v>
      </c>
      <c r="O530" s="3">
        <v>8.3333333333333329E-2</v>
      </c>
      <c r="P530" t="s">
        <v>26</v>
      </c>
      <c r="Q530" t="s">
        <v>219</v>
      </c>
      <c r="R530" t="e">
        <f>IF([1]!Table13[[#This Row],[Goal_assist]]="",1,0)</f>
        <v>#REF!</v>
      </c>
    </row>
    <row r="531" spans="1:18" x14ac:dyDescent="0.35">
      <c r="A531" t="s">
        <v>64</v>
      </c>
      <c r="B531" s="4">
        <v>41609</v>
      </c>
      <c r="C531" t="s">
        <v>172</v>
      </c>
      <c r="D531" t="s">
        <v>173</v>
      </c>
      <c r="E531" s="2">
        <v>41150</v>
      </c>
      <c r="F531" t="s">
        <v>24</v>
      </c>
      <c r="G531" t="s">
        <v>66</v>
      </c>
      <c r="H531" t="s">
        <v>112</v>
      </c>
      <c r="I531" s="3">
        <v>8.4027777777777785E-2</v>
      </c>
      <c r="J531" s="8" t="s">
        <v>445</v>
      </c>
      <c r="K531" s="8" t="s">
        <v>444</v>
      </c>
      <c r="L531" s="8" t="str">
        <f>IF(Table1346[[#This Row],[Home Team Score]]&gt;Table1346[[#This Row],[Away Team Score]],"Win",IF(Table1346[[#This Row],[Home Team Score]]=Table1346[[#This Row],[Away Team Score]],"Tie","Lose"))</f>
        <v>Win</v>
      </c>
      <c r="M531" t="s">
        <v>68</v>
      </c>
      <c r="N531">
        <v>45</v>
      </c>
      <c r="O531" s="3">
        <v>8.4027777777777785E-2</v>
      </c>
      <c r="P531" t="s">
        <v>39</v>
      </c>
      <c r="R531" t="e">
        <f>IF([1]!Table13[[#This Row],[Goal_assist]]="",1,0)</f>
        <v>#REF!</v>
      </c>
    </row>
    <row r="532" spans="1:18" x14ac:dyDescent="0.35">
      <c r="A532" t="s">
        <v>14</v>
      </c>
      <c r="B532" s="4">
        <v>41609</v>
      </c>
      <c r="C532" t="s">
        <v>65</v>
      </c>
      <c r="D532">
        <v>3</v>
      </c>
      <c r="E532" s="2">
        <v>41154</v>
      </c>
      <c r="F532" t="s">
        <v>16</v>
      </c>
      <c r="G532" t="s">
        <v>112</v>
      </c>
      <c r="H532" t="s">
        <v>233</v>
      </c>
      <c r="I532" s="3">
        <v>0.125</v>
      </c>
      <c r="J532" s="8" t="s">
        <v>442</v>
      </c>
      <c r="K532" s="8" t="s">
        <v>443</v>
      </c>
      <c r="L532" s="8" t="str">
        <f>IF(Table1346[[#This Row],[Home Team Score]]&gt;Table1346[[#This Row],[Away Team Score]],"Win",IF(Table1346[[#This Row],[Home Team Score]]=Table1346[[#This Row],[Away Team Score]],"Tie","Lose"))</f>
        <v>Win</v>
      </c>
      <c r="M532" t="s">
        <v>19</v>
      </c>
      <c r="N532">
        <v>25</v>
      </c>
      <c r="O532" s="3">
        <v>4.1666666666666664E-2</v>
      </c>
      <c r="P532" t="s">
        <v>26</v>
      </c>
      <c r="Q532" t="s">
        <v>244</v>
      </c>
      <c r="R532" t="e">
        <f>IF([1]!Table13[[#This Row],[Goal_assist]]="",1,0)</f>
        <v>#REF!</v>
      </c>
    </row>
    <row r="533" spans="1:18" x14ac:dyDescent="0.35">
      <c r="A533" t="s">
        <v>14</v>
      </c>
      <c r="B533" s="4">
        <v>41609</v>
      </c>
      <c r="C533" t="s">
        <v>65</v>
      </c>
      <c r="D533">
        <v>3</v>
      </c>
      <c r="E533" s="2">
        <v>41154</v>
      </c>
      <c r="F533" t="s">
        <v>16</v>
      </c>
      <c r="G533" t="s">
        <v>112</v>
      </c>
      <c r="H533" t="s">
        <v>233</v>
      </c>
      <c r="I533" s="3">
        <v>0.125</v>
      </c>
      <c r="J533" s="8" t="s">
        <v>442</v>
      </c>
      <c r="K533" s="8" t="s">
        <v>443</v>
      </c>
      <c r="L533" s="8" t="str">
        <f>IF(Table1346[[#This Row],[Home Team Score]]&gt;Table1346[[#This Row],[Away Team Score]],"Win",IF(Table1346[[#This Row],[Home Team Score]]=Table1346[[#This Row],[Away Team Score]],"Tie","Lose"))</f>
        <v>Win</v>
      </c>
      <c r="M533" t="s">
        <v>19</v>
      </c>
      <c r="N533">
        <v>53</v>
      </c>
      <c r="O533" s="3">
        <v>8.3333333333333329E-2</v>
      </c>
      <c r="P533" t="s">
        <v>31</v>
      </c>
      <c r="R533" t="e">
        <f>IF([1]!Table13[[#This Row],[Goal_assist]]="",1,0)</f>
        <v>#REF!</v>
      </c>
    </row>
    <row r="534" spans="1:18" x14ac:dyDescent="0.35">
      <c r="A534" t="s">
        <v>64</v>
      </c>
      <c r="B534" s="4">
        <v>41609</v>
      </c>
      <c r="C534" t="s">
        <v>65</v>
      </c>
      <c r="D534">
        <v>4</v>
      </c>
      <c r="E534" s="2">
        <v>41167</v>
      </c>
      <c r="F534" t="s">
        <v>24</v>
      </c>
      <c r="G534" t="s">
        <v>66</v>
      </c>
      <c r="H534" t="s">
        <v>117</v>
      </c>
      <c r="I534" s="3">
        <v>4.4444444444444446E-2</v>
      </c>
      <c r="J534" s="8" t="s">
        <v>444</v>
      </c>
      <c r="K534" s="8" t="s">
        <v>446</v>
      </c>
      <c r="L534" s="8" t="str">
        <f>IF(Table1346[[#This Row],[Home Team Score]]&gt;Table1346[[#This Row],[Away Team Score]],"Win",IF(Table1346[[#This Row],[Home Team Score]]=Table1346[[#This Row],[Away Team Score]],"Tie","Lose"))</f>
        <v>Lose</v>
      </c>
      <c r="M534" t="s">
        <v>68</v>
      </c>
      <c r="N534">
        <v>78</v>
      </c>
      <c r="O534" s="3">
        <v>2.0833333333333333E-3</v>
      </c>
      <c r="P534" t="s">
        <v>31</v>
      </c>
      <c r="Q534" t="s">
        <v>186</v>
      </c>
      <c r="R534" t="e">
        <f>IF([1]!Table13[[#This Row],[Goal_assist]]="",1,0)</f>
        <v>#REF!</v>
      </c>
    </row>
    <row r="535" spans="1:18" x14ac:dyDescent="0.35">
      <c r="A535" t="s">
        <v>64</v>
      </c>
      <c r="B535" s="4">
        <v>41609</v>
      </c>
      <c r="C535" t="s">
        <v>65</v>
      </c>
      <c r="D535">
        <v>4</v>
      </c>
      <c r="E535" s="2">
        <v>41167</v>
      </c>
      <c r="F535" t="s">
        <v>24</v>
      </c>
      <c r="G535" t="s">
        <v>66</v>
      </c>
      <c r="H535" t="s">
        <v>117</v>
      </c>
      <c r="I535" s="3">
        <v>4.4444444444444446E-2</v>
      </c>
      <c r="J535" s="8" t="s">
        <v>444</v>
      </c>
      <c r="K535" s="8" t="s">
        <v>446</v>
      </c>
      <c r="L535" s="8" t="str">
        <f>IF(Table1346[[#This Row],[Home Team Score]]&gt;Table1346[[#This Row],[Away Team Score]],"Win",IF(Table1346[[#This Row],[Home Team Score]]=Table1346[[#This Row],[Away Team Score]],"Tie","Lose"))</f>
        <v>Lose</v>
      </c>
      <c r="M535" t="s">
        <v>68</v>
      </c>
      <c r="N535">
        <v>74</v>
      </c>
      <c r="O535" s="3">
        <v>1.3888888888888889E-3</v>
      </c>
      <c r="P535" t="s">
        <v>83</v>
      </c>
      <c r="R535" t="e">
        <f>IF([1]!Table13[[#This Row],[Goal_assist]]="",1,0)</f>
        <v>#REF!</v>
      </c>
    </row>
    <row r="536" spans="1:18" x14ac:dyDescent="0.35">
      <c r="A536" t="s">
        <v>14</v>
      </c>
      <c r="B536" s="4">
        <v>41609</v>
      </c>
      <c r="C536" t="s">
        <v>75</v>
      </c>
      <c r="D536" t="s">
        <v>76</v>
      </c>
      <c r="E536" s="2">
        <v>41170</v>
      </c>
      <c r="F536" t="s">
        <v>16</v>
      </c>
      <c r="G536" t="s">
        <v>112</v>
      </c>
      <c r="H536" t="s">
        <v>41</v>
      </c>
      <c r="I536" s="3">
        <v>0.12638888888888888</v>
      </c>
      <c r="J536" s="8" t="s">
        <v>442</v>
      </c>
      <c r="K536" s="8" t="s">
        <v>445</v>
      </c>
      <c r="L536" s="8" t="str">
        <f>IF(Table1346[[#This Row],[Home Team Score]]&gt;Table1346[[#This Row],[Away Team Score]],"Win",IF(Table1346[[#This Row],[Home Team Score]]=Table1346[[#This Row],[Away Team Score]],"Tie","Lose"))</f>
        <v>Win</v>
      </c>
      <c r="M536" t="s">
        <v>19</v>
      </c>
      <c r="N536">
        <v>90</v>
      </c>
      <c r="O536" s="3">
        <v>0.12638888888888888</v>
      </c>
      <c r="P536" t="s">
        <v>26</v>
      </c>
      <c r="Q536" t="s">
        <v>201</v>
      </c>
      <c r="R536" t="e">
        <f>IF([1]!Table13[[#This Row],[Goal_assist]]="",1,0)</f>
        <v>#REF!</v>
      </c>
    </row>
    <row r="537" spans="1:18" x14ac:dyDescent="0.35">
      <c r="A537" t="s">
        <v>64</v>
      </c>
      <c r="B537" s="4">
        <v>41609</v>
      </c>
      <c r="C537" t="s">
        <v>75</v>
      </c>
      <c r="D537" t="s">
        <v>76</v>
      </c>
      <c r="E537" s="2">
        <v>41171</v>
      </c>
      <c r="F537" t="s">
        <v>16</v>
      </c>
      <c r="G537" t="s">
        <v>66</v>
      </c>
      <c r="H537" t="s">
        <v>245</v>
      </c>
      <c r="I537" s="3">
        <v>0.12638888888888888</v>
      </c>
      <c r="J537" s="8" t="s">
        <v>442</v>
      </c>
      <c r="K537" s="8" t="s">
        <v>445</v>
      </c>
      <c r="L537" s="8" t="str">
        <f>IF(Table1346[[#This Row],[Home Team Score]]&gt;Table1346[[#This Row],[Away Team Score]],"Win",IF(Table1346[[#This Row],[Home Team Score]]=Table1346[[#This Row],[Away Team Score]],"Tie","Lose"))</f>
        <v>Win</v>
      </c>
      <c r="M537" t="s">
        <v>68</v>
      </c>
      <c r="N537">
        <v>71</v>
      </c>
      <c r="O537" s="3">
        <v>8.4722222222222227E-2</v>
      </c>
      <c r="P537" t="s">
        <v>31</v>
      </c>
      <c r="Q537" t="s">
        <v>237</v>
      </c>
      <c r="R537" t="e">
        <f>IF([1]!Table13[[#This Row],[Goal_assist]]="",1,0)</f>
        <v>#REF!</v>
      </c>
    </row>
    <row r="538" spans="1:18" x14ac:dyDescent="0.35">
      <c r="A538" t="s">
        <v>64</v>
      </c>
      <c r="B538" s="4">
        <v>41609</v>
      </c>
      <c r="C538" t="s">
        <v>75</v>
      </c>
      <c r="D538" t="s">
        <v>76</v>
      </c>
      <c r="E538" s="2">
        <v>41171</v>
      </c>
      <c r="F538" t="s">
        <v>16</v>
      </c>
      <c r="G538" t="s">
        <v>66</v>
      </c>
      <c r="H538" t="s">
        <v>245</v>
      </c>
      <c r="I538" s="3">
        <v>0.12638888888888888</v>
      </c>
      <c r="J538" s="8" t="s">
        <v>442</v>
      </c>
      <c r="K538" s="8" t="s">
        <v>445</v>
      </c>
      <c r="L538" s="8" t="str">
        <f>IF(Table1346[[#This Row],[Home Team Score]]&gt;Table1346[[#This Row],[Away Team Score]],"Win",IF(Table1346[[#This Row],[Home Team Score]]=Table1346[[#This Row],[Away Team Score]],"Tie","Lose"))</f>
        <v>Win</v>
      </c>
      <c r="M538" t="s">
        <v>68</v>
      </c>
      <c r="N538">
        <v>80</v>
      </c>
      <c r="O538" s="3">
        <v>0.12638888888888888</v>
      </c>
      <c r="P538" t="s">
        <v>22</v>
      </c>
      <c r="Q538" t="s">
        <v>234</v>
      </c>
      <c r="R538" t="e">
        <f>IF([1]!Table13[[#This Row],[Goal_assist]]="",1,0)</f>
        <v>#REF!</v>
      </c>
    </row>
    <row r="539" spans="1:18" x14ac:dyDescent="0.35">
      <c r="A539" t="s">
        <v>14</v>
      </c>
      <c r="B539" s="4">
        <v>41609</v>
      </c>
      <c r="C539" t="s">
        <v>65</v>
      </c>
      <c r="D539">
        <v>5</v>
      </c>
      <c r="E539" s="2">
        <v>41176</v>
      </c>
      <c r="F539" t="s">
        <v>24</v>
      </c>
      <c r="G539" t="s">
        <v>112</v>
      </c>
      <c r="H539" t="s">
        <v>225</v>
      </c>
      <c r="I539" s="3">
        <v>1.3888888888888889E-3</v>
      </c>
      <c r="J539" s="8" t="s">
        <v>443</v>
      </c>
      <c r="K539" s="8" t="s">
        <v>445</v>
      </c>
      <c r="L539" s="8" t="str">
        <f>IF(Table1346[[#This Row],[Home Team Score]]&gt;Table1346[[#This Row],[Away Team Score]],"Win",IF(Table1346[[#This Row],[Home Team Score]]=Table1346[[#This Row],[Away Team Score]],"Tie","Lose"))</f>
        <v>Lose</v>
      </c>
      <c r="M539" t="s">
        <v>19</v>
      </c>
      <c r="N539">
        <v>69</v>
      </c>
      <c r="O539" s="3">
        <v>1.3888888888888889E-3</v>
      </c>
      <c r="P539" t="s">
        <v>83</v>
      </c>
      <c r="R539" t="e">
        <f>IF([1]!Table13[[#This Row],[Goal_assist]]="",1,0)</f>
        <v>#REF!</v>
      </c>
    </row>
    <row r="540" spans="1:18" x14ac:dyDescent="0.35">
      <c r="A540" t="s">
        <v>14</v>
      </c>
      <c r="B540" s="4">
        <v>41609</v>
      </c>
      <c r="C540" t="s">
        <v>65</v>
      </c>
      <c r="D540">
        <v>6</v>
      </c>
      <c r="E540" s="2">
        <v>41182</v>
      </c>
      <c r="F540" t="s">
        <v>16</v>
      </c>
      <c r="G540" t="s">
        <v>112</v>
      </c>
      <c r="H540" t="s">
        <v>175</v>
      </c>
      <c r="I540" s="3">
        <v>0.20902777777777778</v>
      </c>
      <c r="J540" s="8" t="s">
        <v>448</v>
      </c>
      <c r="K540" s="8" t="s">
        <v>444</v>
      </c>
      <c r="L540" s="8" t="str">
        <f>IF(Table1346[[#This Row],[Home Team Score]]&gt;Table1346[[#This Row],[Away Team Score]],"Win",IF(Table1346[[#This Row],[Home Team Score]]=Table1346[[#This Row],[Away Team Score]],"Tie","Lose"))</f>
        <v>Win</v>
      </c>
      <c r="M540" t="s">
        <v>19</v>
      </c>
      <c r="N540">
        <v>23</v>
      </c>
      <c r="O540" s="3">
        <v>4.2361111111111113E-2</v>
      </c>
      <c r="P540" t="s">
        <v>83</v>
      </c>
      <c r="R540" t="e">
        <f>IF([1]!Table13[[#This Row],[Goal_assist]]="",1,0)</f>
        <v>#REF!</v>
      </c>
    </row>
    <row r="541" spans="1:18" x14ac:dyDescent="0.35">
      <c r="A541" t="s">
        <v>14</v>
      </c>
      <c r="B541" s="4">
        <v>41609</v>
      </c>
      <c r="C541" t="s">
        <v>65</v>
      </c>
      <c r="D541">
        <v>6</v>
      </c>
      <c r="E541" s="2">
        <v>41182</v>
      </c>
      <c r="F541" t="s">
        <v>16</v>
      </c>
      <c r="G541" t="s">
        <v>112</v>
      </c>
      <c r="H541" t="s">
        <v>175</v>
      </c>
      <c r="I541" s="3">
        <v>0.20902777777777778</v>
      </c>
      <c r="J541" s="8" t="s">
        <v>448</v>
      </c>
      <c r="K541" s="8" t="s">
        <v>444</v>
      </c>
      <c r="L541" s="8" t="str">
        <f>IF(Table1346[[#This Row],[Home Team Score]]&gt;Table1346[[#This Row],[Away Team Score]],"Win",IF(Table1346[[#This Row],[Home Team Score]]=Table1346[[#This Row],[Away Team Score]],"Tie","Lose"))</f>
        <v>Win</v>
      </c>
      <c r="M541" t="s">
        <v>19</v>
      </c>
      <c r="N541">
        <v>84</v>
      </c>
      <c r="O541" s="3">
        <v>0.20902777777777778</v>
      </c>
      <c r="P541" t="s">
        <v>83</v>
      </c>
      <c r="R541" t="e">
        <f>IF([1]!Table13[[#This Row],[Goal_assist]]="",1,0)</f>
        <v>#REF!</v>
      </c>
    </row>
    <row r="542" spans="1:18" x14ac:dyDescent="0.35">
      <c r="A542" t="s">
        <v>14</v>
      </c>
      <c r="B542" s="4">
        <v>41609</v>
      </c>
      <c r="C542" t="s">
        <v>65</v>
      </c>
      <c r="D542">
        <v>6</v>
      </c>
      <c r="E542" s="2">
        <v>41182</v>
      </c>
      <c r="F542" t="s">
        <v>16</v>
      </c>
      <c r="G542" t="s">
        <v>112</v>
      </c>
      <c r="H542" t="s">
        <v>175</v>
      </c>
      <c r="I542" s="3">
        <v>0.20902777777777778</v>
      </c>
      <c r="J542" s="8" t="s">
        <v>448</v>
      </c>
      <c r="K542" s="8" t="s">
        <v>444</v>
      </c>
      <c r="L542" s="8" t="str">
        <f>IF(Table1346[[#This Row],[Home Team Score]]&gt;Table1346[[#This Row],[Away Team Score]],"Win",IF(Table1346[[#This Row],[Home Team Score]]=Table1346[[#This Row],[Away Team Score]],"Tie","Lose"))</f>
        <v>Win</v>
      </c>
      <c r="M542" t="s">
        <v>19</v>
      </c>
      <c r="N542">
        <v>44</v>
      </c>
      <c r="O542" s="3">
        <v>0.12569444444444444</v>
      </c>
      <c r="P542" t="s">
        <v>22</v>
      </c>
      <c r="Q542" t="s">
        <v>202</v>
      </c>
      <c r="R542" t="e">
        <f>IF([1]!Table13[[#This Row],[Goal_assist]]="",1,0)</f>
        <v>#REF!</v>
      </c>
    </row>
    <row r="543" spans="1:18" x14ac:dyDescent="0.35">
      <c r="A543" t="s">
        <v>14</v>
      </c>
      <c r="B543" s="4">
        <v>41609</v>
      </c>
      <c r="C543" t="s">
        <v>75</v>
      </c>
      <c r="D543" t="s">
        <v>76</v>
      </c>
      <c r="E543" s="2">
        <v>41185</v>
      </c>
      <c r="F543" t="s">
        <v>24</v>
      </c>
      <c r="G543" t="s">
        <v>112</v>
      </c>
      <c r="H543" t="s">
        <v>214</v>
      </c>
      <c r="I543" s="3">
        <v>4.4444444444444446E-2</v>
      </c>
      <c r="J543" s="8" t="s">
        <v>444</v>
      </c>
      <c r="K543" s="8" t="s">
        <v>446</v>
      </c>
      <c r="L543" s="8" t="str">
        <f>IF(Table1346[[#This Row],[Home Team Score]]&gt;Table1346[[#This Row],[Away Team Score]],"Win",IF(Table1346[[#This Row],[Home Team Score]]=Table1346[[#This Row],[Away Team Score]],"Tie","Lose"))</f>
        <v>Lose</v>
      </c>
      <c r="M543" t="s">
        <v>19</v>
      </c>
      <c r="N543">
        <v>42</v>
      </c>
      <c r="O543" s="3">
        <v>6.9444444444444447E-4</v>
      </c>
      <c r="P543" t="s">
        <v>26</v>
      </c>
      <c r="Q543" t="s">
        <v>183</v>
      </c>
      <c r="R543" t="e">
        <f>IF([1]!Table13[[#This Row],[Goal_assist]]="",1,0)</f>
        <v>#REF!</v>
      </c>
    </row>
    <row r="544" spans="1:18" x14ac:dyDescent="0.35">
      <c r="A544" t="s">
        <v>14</v>
      </c>
      <c r="B544" s="4">
        <v>41609</v>
      </c>
      <c r="C544" t="s">
        <v>75</v>
      </c>
      <c r="D544" t="s">
        <v>76</v>
      </c>
      <c r="E544" s="2">
        <v>41185</v>
      </c>
      <c r="F544" t="s">
        <v>24</v>
      </c>
      <c r="G544" t="s">
        <v>112</v>
      </c>
      <c r="H544" t="s">
        <v>214</v>
      </c>
      <c r="I544" s="3">
        <v>4.4444444444444446E-2</v>
      </c>
      <c r="J544" s="8" t="s">
        <v>444</v>
      </c>
      <c r="K544" s="8" t="s">
        <v>446</v>
      </c>
      <c r="L544" s="8" t="str">
        <f>IF(Table1346[[#This Row],[Home Team Score]]&gt;Table1346[[#This Row],[Away Team Score]],"Win",IF(Table1346[[#This Row],[Home Team Score]]=Table1346[[#This Row],[Away Team Score]],"Tie","Lose"))</f>
        <v>Lose</v>
      </c>
      <c r="M544" t="s">
        <v>19</v>
      </c>
      <c r="N544">
        <v>79</v>
      </c>
      <c r="O544" s="3">
        <v>4.3749999999999997E-2</v>
      </c>
      <c r="P544" t="s">
        <v>26</v>
      </c>
      <c r="Q544" t="s">
        <v>183</v>
      </c>
      <c r="R544" t="e">
        <f>IF([1]!Table13[[#This Row],[Goal_assist]]="",1,0)</f>
        <v>#REF!</v>
      </c>
    </row>
    <row r="545" spans="1:18" x14ac:dyDescent="0.35">
      <c r="A545" t="s">
        <v>14</v>
      </c>
      <c r="B545" s="4">
        <v>41609</v>
      </c>
      <c r="C545" t="s">
        <v>75</v>
      </c>
      <c r="D545" t="s">
        <v>76</v>
      </c>
      <c r="E545" s="2">
        <v>41185</v>
      </c>
      <c r="F545" t="s">
        <v>24</v>
      </c>
      <c r="G545" t="s">
        <v>112</v>
      </c>
      <c r="H545" t="s">
        <v>214</v>
      </c>
      <c r="I545" s="3">
        <v>4.4444444444444446E-2</v>
      </c>
      <c r="J545" s="8" t="s">
        <v>444</v>
      </c>
      <c r="K545" s="8" t="s">
        <v>446</v>
      </c>
      <c r="L545" s="8" t="str">
        <f>IF(Table1346[[#This Row],[Home Team Score]]&gt;Table1346[[#This Row],[Away Team Score]],"Win",IF(Table1346[[#This Row],[Home Team Score]]=Table1346[[#This Row],[Away Team Score]],"Tie","Lose"))</f>
        <v>Lose</v>
      </c>
      <c r="M545" t="s">
        <v>19</v>
      </c>
      <c r="N545">
        <v>81</v>
      </c>
      <c r="O545" s="3">
        <v>4.4444444444444446E-2</v>
      </c>
      <c r="P545" t="s">
        <v>31</v>
      </c>
      <c r="Q545" t="s">
        <v>219</v>
      </c>
      <c r="R545" t="e">
        <f>IF([1]!Table13[[#This Row],[Goal_assist]]="",1,0)</f>
        <v>#REF!</v>
      </c>
    </row>
    <row r="546" spans="1:18" x14ac:dyDescent="0.35">
      <c r="A546" t="s">
        <v>64</v>
      </c>
      <c r="B546" s="4">
        <v>41609</v>
      </c>
      <c r="C546" t="s">
        <v>65</v>
      </c>
      <c r="D546">
        <v>7</v>
      </c>
      <c r="E546" s="2">
        <v>41189</v>
      </c>
      <c r="F546" t="s">
        <v>16</v>
      </c>
      <c r="G546" t="s">
        <v>66</v>
      </c>
      <c r="H546" t="s">
        <v>112</v>
      </c>
      <c r="I546" s="3">
        <v>8.4722222222222227E-2</v>
      </c>
      <c r="J546" s="8" t="s">
        <v>445</v>
      </c>
      <c r="K546" s="8" t="s">
        <v>445</v>
      </c>
      <c r="L546" s="8" t="str">
        <f>IF(Table1346[[#This Row],[Home Team Score]]&gt;Table1346[[#This Row],[Away Team Score]],"Win",IF(Table1346[[#This Row],[Home Team Score]]=Table1346[[#This Row],[Away Team Score]],"Tie","Lose"))</f>
        <v>Tie</v>
      </c>
      <c r="M546" t="s">
        <v>68</v>
      </c>
      <c r="N546">
        <v>31</v>
      </c>
      <c r="O546" s="3">
        <v>4.2361111111111113E-2</v>
      </c>
      <c r="P546" t="s">
        <v>31</v>
      </c>
      <c r="R546" t="e">
        <f>IF([1]!Table13[[#This Row],[Goal_assist]]="",1,0)</f>
        <v>#REF!</v>
      </c>
    </row>
    <row r="547" spans="1:18" x14ac:dyDescent="0.35">
      <c r="A547" t="s">
        <v>14</v>
      </c>
      <c r="B547" s="4">
        <v>41609</v>
      </c>
      <c r="C547" t="s">
        <v>65</v>
      </c>
      <c r="D547">
        <v>7</v>
      </c>
      <c r="E547" s="2">
        <v>41189</v>
      </c>
      <c r="F547" t="s">
        <v>24</v>
      </c>
      <c r="G547" t="s">
        <v>112</v>
      </c>
      <c r="H547" t="s">
        <v>66</v>
      </c>
      <c r="I547" s="3">
        <v>8.4722222222222227E-2</v>
      </c>
      <c r="J547" s="8" t="s">
        <v>445</v>
      </c>
      <c r="K547" s="8" t="s">
        <v>445</v>
      </c>
      <c r="L547" s="8" t="str">
        <f>IF(Table1346[[#This Row],[Home Team Score]]&gt;Table1346[[#This Row],[Away Team Score]],"Win",IF(Table1346[[#This Row],[Home Team Score]]=Table1346[[#This Row],[Away Team Score]],"Tie","Lose"))</f>
        <v>Tie</v>
      </c>
      <c r="M547" t="s">
        <v>19</v>
      </c>
      <c r="N547">
        <v>22</v>
      </c>
      <c r="O547" s="3">
        <v>6.9444444444444447E-4</v>
      </c>
      <c r="P547" t="s">
        <v>31</v>
      </c>
      <c r="Q547" t="s">
        <v>183</v>
      </c>
      <c r="R547" t="e">
        <f>IF([1]!Table13[[#This Row],[Goal_assist]]="",1,0)</f>
        <v>#REF!</v>
      </c>
    </row>
    <row r="548" spans="1:18" x14ac:dyDescent="0.35">
      <c r="A548" t="s">
        <v>64</v>
      </c>
      <c r="B548" s="4">
        <v>41609</v>
      </c>
      <c r="C548" t="s">
        <v>65</v>
      </c>
      <c r="D548">
        <v>7</v>
      </c>
      <c r="E548" s="2">
        <v>41189</v>
      </c>
      <c r="F548" t="s">
        <v>16</v>
      </c>
      <c r="G548" t="s">
        <v>66</v>
      </c>
      <c r="H548" t="s">
        <v>112</v>
      </c>
      <c r="I548" s="3">
        <v>8.4722222222222227E-2</v>
      </c>
      <c r="J548" s="8" t="s">
        <v>445</v>
      </c>
      <c r="K548" s="8" t="s">
        <v>445</v>
      </c>
      <c r="L548" s="8" t="str">
        <f>IF(Table1346[[#This Row],[Home Team Score]]&gt;Table1346[[#This Row],[Away Team Score]],"Win",IF(Table1346[[#This Row],[Home Team Score]]=Table1346[[#This Row],[Away Team Score]],"Tie","Lose"))</f>
        <v>Tie</v>
      </c>
      <c r="M548" t="s">
        <v>68</v>
      </c>
      <c r="N548">
        <v>60</v>
      </c>
      <c r="O548" s="3">
        <v>8.4027777777777785E-2</v>
      </c>
      <c r="P548" t="s">
        <v>39</v>
      </c>
      <c r="R548" t="e">
        <f>IF([1]!Table13[[#This Row],[Goal_assist]]="",1,0)</f>
        <v>#REF!</v>
      </c>
    </row>
    <row r="549" spans="1:18" x14ac:dyDescent="0.35">
      <c r="A549" t="s">
        <v>14</v>
      </c>
      <c r="B549" s="4">
        <v>41609</v>
      </c>
      <c r="C549" t="s">
        <v>65</v>
      </c>
      <c r="D549">
        <v>7</v>
      </c>
      <c r="E549" s="2">
        <v>41189</v>
      </c>
      <c r="F549" t="s">
        <v>24</v>
      </c>
      <c r="G549" t="s">
        <v>112</v>
      </c>
      <c r="H549" t="s">
        <v>66</v>
      </c>
      <c r="I549" s="3">
        <v>8.4722222222222227E-2</v>
      </c>
      <c r="J549" s="8" t="s">
        <v>445</v>
      </c>
      <c r="K549" s="8" t="s">
        <v>445</v>
      </c>
      <c r="L549" s="8" t="str">
        <f>IF(Table1346[[#This Row],[Home Team Score]]&gt;Table1346[[#This Row],[Away Team Score]],"Win",IF(Table1346[[#This Row],[Home Team Score]]=Table1346[[#This Row],[Away Team Score]],"Tie","Lose"))</f>
        <v>Tie</v>
      </c>
      <c r="M549" t="s">
        <v>19</v>
      </c>
      <c r="N549">
        <v>66</v>
      </c>
      <c r="O549" s="3">
        <v>8.4722222222222227E-2</v>
      </c>
      <c r="P549" t="s">
        <v>26</v>
      </c>
      <c r="Q549" t="s">
        <v>204</v>
      </c>
      <c r="R549" t="e">
        <f>IF([1]!Table13[[#This Row],[Goal_assist]]="",1,0)</f>
        <v>#REF!</v>
      </c>
    </row>
    <row r="550" spans="1:18" x14ac:dyDescent="0.35">
      <c r="A550" t="s">
        <v>64</v>
      </c>
      <c r="B550" s="4">
        <v>41609</v>
      </c>
      <c r="C550" t="s">
        <v>65</v>
      </c>
      <c r="D550">
        <v>8</v>
      </c>
      <c r="E550" s="2">
        <v>41202</v>
      </c>
      <c r="F550" t="s">
        <v>24</v>
      </c>
      <c r="G550" t="s">
        <v>66</v>
      </c>
      <c r="H550" t="s">
        <v>115</v>
      </c>
      <c r="I550" s="3">
        <v>0.1701388888888889</v>
      </c>
      <c r="J550" s="8" t="s">
        <v>446</v>
      </c>
      <c r="K550" s="8" t="s">
        <v>448</v>
      </c>
      <c r="L550" s="8" t="str">
        <f>IF(Table1346[[#This Row],[Home Team Score]]&gt;Table1346[[#This Row],[Away Team Score]],"Win",IF(Table1346[[#This Row],[Home Team Score]]=Table1346[[#This Row],[Away Team Score]],"Tie","Lose"))</f>
        <v>Lose</v>
      </c>
      <c r="M550" t="s">
        <v>68</v>
      </c>
      <c r="N550">
        <v>17</v>
      </c>
      <c r="O550" s="3">
        <v>2.0833333333333333E-3</v>
      </c>
      <c r="P550" t="s">
        <v>31</v>
      </c>
      <c r="Q550" t="s">
        <v>224</v>
      </c>
      <c r="R550" t="e">
        <f>IF([1]!Table13[[#This Row],[Goal_assist]]="",1,0)</f>
        <v>#REF!</v>
      </c>
    </row>
    <row r="551" spans="1:18" x14ac:dyDescent="0.35">
      <c r="A551" t="s">
        <v>64</v>
      </c>
      <c r="B551" s="4">
        <v>41609</v>
      </c>
      <c r="C551" t="s">
        <v>65</v>
      </c>
      <c r="D551">
        <v>8</v>
      </c>
      <c r="E551" s="2">
        <v>41202</v>
      </c>
      <c r="F551" t="s">
        <v>24</v>
      </c>
      <c r="G551" t="s">
        <v>66</v>
      </c>
      <c r="H551" t="s">
        <v>115</v>
      </c>
      <c r="I551" s="3">
        <v>0.1701388888888889</v>
      </c>
      <c r="J551" s="8" t="s">
        <v>446</v>
      </c>
      <c r="K551" s="8" t="s">
        <v>448</v>
      </c>
      <c r="L551" s="8" t="str">
        <f>IF(Table1346[[#This Row],[Home Team Score]]&gt;Table1346[[#This Row],[Away Team Score]],"Win",IF(Table1346[[#This Row],[Home Team Score]]=Table1346[[#This Row],[Away Team Score]],"Tie","Lose"))</f>
        <v>Lose</v>
      </c>
      <c r="M551" t="s">
        <v>68</v>
      </c>
      <c r="N551">
        <v>43</v>
      </c>
      <c r="O551" s="3">
        <v>8.611111111111111E-2</v>
      </c>
      <c r="P551" t="s">
        <v>31</v>
      </c>
      <c r="Q551" t="s">
        <v>224</v>
      </c>
      <c r="R551" t="e">
        <f>IF([1]!Table13[[#This Row],[Goal_assist]]="",1,0)</f>
        <v>#REF!</v>
      </c>
    </row>
    <row r="552" spans="1:18" x14ac:dyDescent="0.35">
      <c r="A552" t="s">
        <v>64</v>
      </c>
      <c r="B552" s="4">
        <v>41609</v>
      </c>
      <c r="C552" t="s">
        <v>65</v>
      </c>
      <c r="D552">
        <v>8</v>
      </c>
      <c r="E552" s="2">
        <v>41202</v>
      </c>
      <c r="F552" t="s">
        <v>24</v>
      </c>
      <c r="G552" t="s">
        <v>66</v>
      </c>
      <c r="H552" t="s">
        <v>115</v>
      </c>
      <c r="I552" s="3">
        <v>0.1701388888888889</v>
      </c>
      <c r="J552" s="8" t="s">
        <v>446</v>
      </c>
      <c r="K552" s="8" t="s">
        <v>448</v>
      </c>
      <c r="L552" s="8" t="str">
        <f>IF(Table1346[[#This Row],[Home Team Score]]&gt;Table1346[[#This Row],[Away Team Score]],"Win",IF(Table1346[[#This Row],[Home Team Score]]=Table1346[[#This Row],[Away Team Score]],"Tie","Lose"))</f>
        <v>Lose</v>
      </c>
      <c r="M552" t="s">
        <v>68</v>
      </c>
      <c r="N552">
        <v>76</v>
      </c>
      <c r="O552" s="3">
        <v>0.12847222222222221</v>
      </c>
      <c r="P552" t="s">
        <v>31</v>
      </c>
      <c r="Q552" t="s">
        <v>106</v>
      </c>
      <c r="R552" t="e">
        <f>IF([1]!Table13[[#This Row],[Goal_assist]]="",1,0)</f>
        <v>#REF!</v>
      </c>
    </row>
    <row r="553" spans="1:18" x14ac:dyDescent="0.35">
      <c r="A553" t="s">
        <v>14</v>
      </c>
      <c r="B553" s="4">
        <v>41609</v>
      </c>
      <c r="C553" t="s">
        <v>65</v>
      </c>
      <c r="D553">
        <v>8</v>
      </c>
      <c r="E553" s="2">
        <v>41202</v>
      </c>
      <c r="F553" t="s">
        <v>16</v>
      </c>
      <c r="G553" t="s">
        <v>112</v>
      </c>
      <c r="H553" t="s">
        <v>98</v>
      </c>
      <c r="I553" s="3">
        <v>8.3333333333333329E-2</v>
      </c>
      <c r="J553" s="8" t="s">
        <v>445</v>
      </c>
      <c r="K553" s="8" t="s">
        <v>443</v>
      </c>
      <c r="L553" s="8" t="str">
        <f>IF(Table1346[[#This Row],[Home Team Score]]&gt;Table1346[[#This Row],[Away Team Score]],"Win",IF(Table1346[[#This Row],[Home Team Score]]=Table1346[[#This Row],[Away Team Score]],"Tie","Lose"))</f>
        <v>Win</v>
      </c>
      <c r="M553" t="s">
        <v>19</v>
      </c>
      <c r="N553">
        <v>67</v>
      </c>
      <c r="O553" s="3">
        <v>8.3333333333333329E-2</v>
      </c>
      <c r="P553" t="s">
        <v>83</v>
      </c>
      <c r="R553" t="e">
        <f>IF([1]!Table13[[#This Row],[Goal_assist]]="",1,0)</f>
        <v>#REF!</v>
      </c>
    </row>
    <row r="554" spans="1:18" x14ac:dyDescent="0.35">
      <c r="A554" t="s">
        <v>14</v>
      </c>
      <c r="B554" s="4">
        <v>41609</v>
      </c>
      <c r="C554" t="s">
        <v>75</v>
      </c>
      <c r="D554" t="s">
        <v>76</v>
      </c>
      <c r="E554" s="2">
        <v>41206</v>
      </c>
      <c r="F554" t="s">
        <v>24</v>
      </c>
      <c r="G554" t="s">
        <v>112</v>
      </c>
      <c r="H554" t="s">
        <v>246</v>
      </c>
      <c r="I554" s="3">
        <v>8.4027777777777785E-2</v>
      </c>
      <c r="J554" s="8" t="s">
        <v>445</v>
      </c>
      <c r="K554" s="8" t="s">
        <v>444</v>
      </c>
      <c r="L554" s="8" t="str">
        <f>IF(Table1346[[#This Row],[Home Team Score]]&gt;Table1346[[#This Row],[Away Team Score]],"Win",IF(Table1346[[#This Row],[Home Team Score]]=Table1346[[#This Row],[Away Team Score]],"Tie","Lose"))</f>
        <v>Win</v>
      </c>
      <c r="M554" t="s">
        <v>19</v>
      </c>
      <c r="N554">
        <v>38</v>
      </c>
      <c r="O554" s="3">
        <v>4.2361111111111113E-2</v>
      </c>
      <c r="P554" t="s">
        <v>26</v>
      </c>
      <c r="Q554" t="s">
        <v>204</v>
      </c>
      <c r="R554" t="e">
        <f>IF([1]!Table13[[#This Row],[Goal_assist]]="",1,0)</f>
        <v>#REF!</v>
      </c>
    </row>
    <row r="555" spans="1:18" x14ac:dyDescent="0.35">
      <c r="A555" t="s">
        <v>64</v>
      </c>
      <c r="B555" s="4">
        <v>41609</v>
      </c>
      <c r="C555" t="s">
        <v>65</v>
      </c>
      <c r="D555">
        <v>9</v>
      </c>
      <c r="E555" s="2">
        <v>41209</v>
      </c>
      <c r="F555" t="s">
        <v>24</v>
      </c>
      <c r="G555" t="s">
        <v>66</v>
      </c>
      <c r="H555" t="s">
        <v>225</v>
      </c>
      <c r="I555" s="3">
        <v>3.472222222222222E-3</v>
      </c>
      <c r="J555" s="8" t="s">
        <v>443</v>
      </c>
      <c r="K555" s="8" t="s">
        <v>448</v>
      </c>
      <c r="L555" s="8" t="str">
        <f>IF(Table1346[[#This Row],[Home Team Score]]&gt;Table1346[[#This Row],[Away Team Score]],"Win",IF(Table1346[[#This Row],[Home Team Score]]=Table1346[[#This Row],[Away Team Score]],"Tie","Lose"))</f>
        <v>Lose</v>
      </c>
      <c r="M555" t="s">
        <v>68</v>
      </c>
      <c r="N555">
        <v>89</v>
      </c>
      <c r="O555" s="3">
        <v>3.472222222222222E-3</v>
      </c>
      <c r="P555" t="s">
        <v>26</v>
      </c>
      <c r="Q555" t="s">
        <v>224</v>
      </c>
      <c r="R555" t="e">
        <f>IF([1]!Table13[[#This Row],[Goal_assist]]="",1,0)</f>
        <v>#REF!</v>
      </c>
    </row>
    <row r="556" spans="1:18" x14ac:dyDescent="0.35">
      <c r="A556" t="s">
        <v>64</v>
      </c>
      <c r="B556" s="4">
        <v>41609</v>
      </c>
      <c r="C556" t="s">
        <v>65</v>
      </c>
      <c r="D556">
        <v>9</v>
      </c>
      <c r="E556" s="2">
        <v>41209</v>
      </c>
      <c r="F556" t="s">
        <v>24</v>
      </c>
      <c r="G556" t="s">
        <v>66</v>
      </c>
      <c r="H556" t="s">
        <v>225</v>
      </c>
      <c r="I556" s="3">
        <v>3.472222222222222E-3</v>
      </c>
      <c r="J556" s="8" t="s">
        <v>443</v>
      </c>
      <c r="K556" s="8" t="s">
        <v>448</v>
      </c>
      <c r="L556" s="8" t="str">
        <f>IF(Table1346[[#This Row],[Home Team Score]]&gt;Table1346[[#This Row],[Away Team Score]],"Win",IF(Table1346[[#This Row],[Home Team Score]]=Table1346[[#This Row],[Away Team Score]],"Tie","Lose"))</f>
        <v>Lose</v>
      </c>
      <c r="M556" t="s">
        <v>68</v>
      </c>
      <c r="N556">
        <v>48</v>
      </c>
      <c r="O556" s="3">
        <v>1.3888888888888889E-3</v>
      </c>
      <c r="P556" t="s">
        <v>31</v>
      </c>
      <c r="Q556" t="s">
        <v>247</v>
      </c>
      <c r="R556" t="e">
        <f>IF([1]!Table13[[#This Row],[Goal_assist]]="",1,0)</f>
        <v>#REF!</v>
      </c>
    </row>
    <row r="557" spans="1:18" x14ac:dyDescent="0.35">
      <c r="A557" t="s">
        <v>14</v>
      </c>
      <c r="B557" s="4">
        <v>41609</v>
      </c>
      <c r="C557" t="s">
        <v>65</v>
      </c>
      <c r="D557">
        <v>9</v>
      </c>
      <c r="E557" s="2">
        <v>41210</v>
      </c>
      <c r="F557" t="s">
        <v>24</v>
      </c>
      <c r="G557" t="s">
        <v>112</v>
      </c>
      <c r="H557" t="s">
        <v>89</v>
      </c>
      <c r="I557" s="3">
        <v>3.472222222222222E-3</v>
      </c>
      <c r="J557" s="8" t="s">
        <v>443</v>
      </c>
      <c r="K557" s="8" t="s">
        <v>448</v>
      </c>
      <c r="L557" s="8" t="str">
        <f>IF(Table1346[[#This Row],[Home Team Score]]&gt;Table1346[[#This Row],[Away Team Score]],"Win",IF(Table1346[[#This Row],[Home Team Score]]=Table1346[[#This Row],[Away Team Score]],"Tie","Lose"))</f>
        <v>Lose</v>
      </c>
      <c r="M557" t="s">
        <v>19</v>
      </c>
      <c r="N557">
        <v>22</v>
      </c>
      <c r="O557" s="3">
        <v>1.3888888888888889E-3</v>
      </c>
      <c r="P557" t="s">
        <v>26</v>
      </c>
      <c r="Q557" t="s">
        <v>188</v>
      </c>
      <c r="R557" t="e">
        <f>IF([1]!Table13[[#This Row],[Goal_assist]]="",1,0)</f>
        <v>#REF!</v>
      </c>
    </row>
    <row r="558" spans="1:18" x14ac:dyDescent="0.35">
      <c r="A558" t="s">
        <v>14</v>
      </c>
      <c r="B558" s="4">
        <v>41609</v>
      </c>
      <c r="C558" t="s">
        <v>65</v>
      </c>
      <c r="D558">
        <v>9</v>
      </c>
      <c r="E558" s="2">
        <v>41210</v>
      </c>
      <c r="F558" t="s">
        <v>24</v>
      </c>
      <c r="G558" t="s">
        <v>112</v>
      </c>
      <c r="H558" t="s">
        <v>89</v>
      </c>
      <c r="I558" s="3">
        <v>3.472222222222222E-3</v>
      </c>
      <c r="J558" s="8" t="s">
        <v>443</v>
      </c>
      <c r="K558" s="8" t="s">
        <v>448</v>
      </c>
      <c r="L558" s="8" t="str">
        <f>IF(Table1346[[#This Row],[Home Team Score]]&gt;Table1346[[#This Row],[Away Team Score]],"Win",IF(Table1346[[#This Row],[Home Team Score]]=Table1346[[#This Row],[Away Team Score]],"Tie","Lose"))</f>
        <v>Lose</v>
      </c>
      <c r="M558" t="s">
        <v>19</v>
      </c>
      <c r="N558">
        <v>73</v>
      </c>
      <c r="O558" s="3">
        <v>2.7777777777777779E-3</v>
      </c>
      <c r="P558" t="s">
        <v>26</v>
      </c>
      <c r="Q558" t="s">
        <v>188</v>
      </c>
      <c r="R558" t="e">
        <f>IF([1]!Table13[[#This Row],[Goal_assist]]="",1,0)</f>
        <v>#REF!</v>
      </c>
    </row>
    <row r="559" spans="1:18" x14ac:dyDescent="0.35">
      <c r="A559" t="s">
        <v>64</v>
      </c>
      <c r="B559" s="4">
        <v>41609</v>
      </c>
      <c r="C559" t="s">
        <v>75</v>
      </c>
      <c r="D559" t="s">
        <v>76</v>
      </c>
      <c r="E559" s="2">
        <v>41220</v>
      </c>
      <c r="F559" t="s">
        <v>24</v>
      </c>
      <c r="G559" t="s">
        <v>66</v>
      </c>
      <c r="H559" t="s">
        <v>144</v>
      </c>
      <c r="I559" s="3">
        <v>8.4027777777777785E-2</v>
      </c>
      <c r="J559" s="8" t="s">
        <v>445</v>
      </c>
      <c r="K559" s="8" t="s">
        <v>444</v>
      </c>
      <c r="L559" s="8" t="str">
        <f>IF(Table1346[[#This Row],[Home Team Score]]&gt;Table1346[[#This Row],[Away Team Score]],"Win",IF(Table1346[[#This Row],[Home Team Score]]=Table1346[[#This Row],[Away Team Score]],"Tie","Lose"))</f>
        <v>Win</v>
      </c>
      <c r="M559" t="s">
        <v>68</v>
      </c>
      <c r="N559" t="s">
        <v>69</v>
      </c>
      <c r="O559" s="3">
        <v>8.4027777777777785E-2</v>
      </c>
      <c r="P559" t="s">
        <v>55</v>
      </c>
      <c r="R559" t="e">
        <f>IF([1]!Table13[[#This Row],[Goal_assist]]="",1,0)</f>
        <v>#REF!</v>
      </c>
    </row>
    <row r="560" spans="1:18" x14ac:dyDescent="0.35">
      <c r="A560" t="s">
        <v>64</v>
      </c>
      <c r="B560" s="4">
        <v>41609</v>
      </c>
      <c r="C560" t="s">
        <v>65</v>
      </c>
      <c r="D560">
        <v>11</v>
      </c>
      <c r="E560" s="2">
        <v>41224</v>
      </c>
      <c r="F560" t="s">
        <v>24</v>
      </c>
      <c r="G560" t="s">
        <v>66</v>
      </c>
      <c r="H560" t="s">
        <v>89</v>
      </c>
      <c r="I560" s="3">
        <v>8.611111111111111E-2</v>
      </c>
      <c r="J560" s="8" t="s">
        <v>445</v>
      </c>
      <c r="K560" s="8" t="s">
        <v>446</v>
      </c>
      <c r="L560" s="8" t="str">
        <f>IF(Table1346[[#This Row],[Home Team Score]]&gt;Table1346[[#This Row],[Away Team Score]],"Win",IF(Table1346[[#This Row],[Home Team Score]]=Table1346[[#This Row],[Away Team Score]],"Tie","Lose"))</f>
        <v>Lose</v>
      </c>
      <c r="M560" t="s">
        <v>68</v>
      </c>
      <c r="N560">
        <v>70</v>
      </c>
      <c r="O560" s="3">
        <v>8.611111111111111E-2</v>
      </c>
      <c r="P560" t="s">
        <v>31</v>
      </c>
      <c r="Q560" t="s">
        <v>234</v>
      </c>
      <c r="R560" t="e">
        <f>IF([1]!Table13[[#This Row],[Goal_assist]]="",1,0)</f>
        <v>#REF!</v>
      </c>
    </row>
    <row r="561" spans="1:18" x14ac:dyDescent="0.35">
      <c r="A561" t="s">
        <v>14</v>
      </c>
      <c r="B561" s="4">
        <v>41609</v>
      </c>
      <c r="C561" t="s">
        <v>65</v>
      </c>
      <c r="D561">
        <v>11</v>
      </c>
      <c r="E561" s="2">
        <v>41224</v>
      </c>
      <c r="F561" t="s">
        <v>24</v>
      </c>
      <c r="G561" t="s">
        <v>112</v>
      </c>
      <c r="H561" t="s">
        <v>127</v>
      </c>
      <c r="I561" s="3">
        <v>4.3055555555555555E-2</v>
      </c>
      <c r="J561" s="8" t="s">
        <v>444</v>
      </c>
      <c r="K561" s="8" t="s">
        <v>445</v>
      </c>
      <c r="L561" s="8" t="str">
        <f>IF(Table1346[[#This Row],[Home Team Score]]&gt;Table1346[[#This Row],[Away Team Score]],"Win",IF(Table1346[[#This Row],[Home Team Score]]=Table1346[[#This Row],[Away Team Score]],"Tie","Lose"))</f>
        <v>Lose</v>
      </c>
      <c r="M561" t="s">
        <v>68</v>
      </c>
      <c r="N561">
        <v>20</v>
      </c>
      <c r="O561" s="3">
        <v>6.9444444444444447E-4</v>
      </c>
      <c r="P561" t="s">
        <v>26</v>
      </c>
      <c r="R561" t="e">
        <f>IF([1]!Table13[[#This Row],[Goal_assist]]="",1,0)</f>
        <v>#REF!</v>
      </c>
    </row>
    <row r="562" spans="1:18" x14ac:dyDescent="0.35">
      <c r="A562" t="s">
        <v>64</v>
      </c>
      <c r="B562" s="4">
        <v>41609</v>
      </c>
      <c r="C562" t="s">
        <v>65</v>
      </c>
      <c r="D562">
        <v>11</v>
      </c>
      <c r="E562" s="2">
        <v>41224</v>
      </c>
      <c r="F562" t="s">
        <v>24</v>
      </c>
      <c r="G562" t="s">
        <v>66</v>
      </c>
      <c r="H562" t="s">
        <v>89</v>
      </c>
      <c r="I562" s="3">
        <v>8.611111111111111E-2</v>
      </c>
      <c r="J562" s="8" t="s">
        <v>445</v>
      </c>
      <c r="K562" s="8" t="s">
        <v>446</v>
      </c>
      <c r="L562" s="8" t="str">
        <f>IF(Table1346[[#This Row],[Home Team Score]]&gt;Table1346[[#This Row],[Away Team Score]],"Win",IF(Table1346[[#This Row],[Home Team Score]]=Table1346[[#This Row],[Away Team Score]],"Tie","Lose"))</f>
        <v>Lose</v>
      </c>
      <c r="M562" t="s">
        <v>68</v>
      </c>
      <c r="N562">
        <v>43</v>
      </c>
      <c r="O562" s="3">
        <v>1.3888888888888889E-3</v>
      </c>
      <c r="P562" t="s">
        <v>31</v>
      </c>
      <c r="Q562" t="s">
        <v>222</v>
      </c>
      <c r="R562" t="e">
        <f>IF([1]!Table13[[#This Row],[Goal_assist]]="",1,0)</f>
        <v>#REF!</v>
      </c>
    </row>
    <row r="563" spans="1:18" x14ac:dyDescent="0.35">
      <c r="A563" t="s">
        <v>64</v>
      </c>
      <c r="B563" s="4">
        <v>41609</v>
      </c>
      <c r="C563" t="s">
        <v>65</v>
      </c>
      <c r="D563">
        <v>12</v>
      </c>
      <c r="E563" s="2">
        <v>41230</v>
      </c>
      <c r="F563" t="s">
        <v>16</v>
      </c>
      <c r="G563" t="s">
        <v>66</v>
      </c>
      <c r="H563" t="s">
        <v>93</v>
      </c>
      <c r="I563" s="3">
        <v>0.12569444444444444</v>
      </c>
      <c r="J563" s="8" t="s">
        <v>442</v>
      </c>
      <c r="K563" s="8" t="s">
        <v>444</v>
      </c>
      <c r="L563" s="8" t="str">
        <f>IF(Table1346[[#This Row],[Home Team Score]]&gt;Table1346[[#This Row],[Away Team Score]],"Win",IF(Table1346[[#This Row],[Home Team Score]]=Table1346[[#This Row],[Away Team Score]],"Tie","Lose"))</f>
        <v>Win</v>
      </c>
      <c r="M563" t="s">
        <v>68</v>
      </c>
      <c r="N563">
        <v>15</v>
      </c>
      <c r="O563" s="3">
        <v>4.1666666666666664E-2</v>
      </c>
      <c r="P563" t="s">
        <v>31</v>
      </c>
      <c r="Q563" t="s">
        <v>243</v>
      </c>
      <c r="R563" t="e">
        <f>IF([1]!Table13[[#This Row],[Goal_assist]]="",1,0)</f>
        <v>#REF!</v>
      </c>
    </row>
    <row r="564" spans="1:18" x14ac:dyDescent="0.35">
      <c r="A564" t="s">
        <v>64</v>
      </c>
      <c r="B564" s="4">
        <v>41609</v>
      </c>
      <c r="C564" t="s">
        <v>65</v>
      </c>
      <c r="D564">
        <v>12</v>
      </c>
      <c r="E564" s="2">
        <v>41230</v>
      </c>
      <c r="F564" t="s">
        <v>16</v>
      </c>
      <c r="G564" t="s">
        <v>66</v>
      </c>
      <c r="H564" t="s">
        <v>93</v>
      </c>
      <c r="I564" s="3">
        <v>0.12569444444444444</v>
      </c>
      <c r="J564" s="8" t="s">
        <v>442</v>
      </c>
      <c r="K564" s="8" t="s">
        <v>444</v>
      </c>
      <c r="L564" s="8" t="str">
        <f>IF(Table1346[[#This Row],[Home Team Score]]&gt;Table1346[[#This Row],[Away Team Score]],"Win",IF(Table1346[[#This Row],[Home Team Score]]=Table1346[[#This Row],[Away Team Score]],"Tie","Lose"))</f>
        <v>Win</v>
      </c>
      <c r="M564" t="s">
        <v>68</v>
      </c>
      <c r="N564">
        <v>60</v>
      </c>
      <c r="O564" s="3">
        <v>0.12569444444444444</v>
      </c>
      <c r="P564" t="s">
        <v>31</v>
      </c>
      <c r="Q564" t="s">
        <v>247</v>
      </c>
      <c r="R564" t="e">
        <f>IF([1]!Table13[[#This Row],[Goal_assist]]="",1,0)</f>
        <v>#REF!</v>
      </c>
    </row>
    <row r="565" spans="1:18" x14ac:dyDescent="0.35">
      <c r="A565" t="s">
        <v>64</v>
      </c>
      <c r="B565" s="4">
        <v>41609</v>
      </c>
      <c r="C565" t="s">
        <v>75</v>
      </c>
      <c r="D565" t="s">
        <v>76</v>
      </c>
      <c r="E565" s="2">
        <v>41233</v>
      </c>
      <c r="F565" t="s">
        <v>24</v>
      </c>
      <c r="G565" t="s">
        <v>66</v>
      </c>
      <c r="H565" t="s">
        <v>245</v>
      </c>
      <c r="I565" s="3">
        <v>2.0833333333333333E-3</v>
      </c>
      <c r="J565" s="8" t="s">
        <v>443</v>
      </c>
      <c r="K565" s="8" t="s">
        <v>442</v>
      </c>
      <c r="L565" s="8" t="str">
        <f>IF(Table1346[[#This Row],[Home Team Score]]&gt;Table1346[[#This Row],[Away Team Score]],"Win",IF(Table1346[[#This Row],[Home Team Score]]=Table1346[[#This Row],[Away Team Score]],"Tie","Lose"))</f>
        <v>Lose</v>
      </c>
      <c r="M565" t="s">
        <v>68</v>
      </c>
      <c r="N565">
        <v>39</v>
      </c>
      <c r="O565" s="3">
        <v>2.0833333333333333E-3</v>
      </c>
      <c r="P565" t="s">
        <v>31</v>
      </c>
      <c r="Q565" t="s">
        <v>186</v>
      </c>
      <c r="R565" t="e">
        <f>IF([1]!Table13[[#This Row],[Goal_assist]]="",1,0)</f>
        <v>#REF!</v>
      </c>
    </row>
    <row r="566" spans="1:18" x14ac:dyDescent="0.35">
      <c r="A566" t="s">
        <v>64</v>
      </c>
      <c r="B566" s="4">
        <v>41609</v>
      </c>
      <c r="C566" t="s">
        <v>75</v>
      </c>
      <c r="D566" t="s">
        <v>76</v>
      </c>
      <c r="E566" s="2">
        <v>41233</v>
      </c>
      <c r="F566" t="s">
        <v>24</v>
      </c>
      <c r="G566" t="s">
        <v>66</v>
      </c>
      <c r="H566" t="s">
        <v>245</v>
      </c>
      <c r="I566" s="3">
        <v>2.0833333333333333E-3</v>
      </c>
      <c r="J566" s="8" t="s">
        <v>443</v>
      </c>
      <c r="K566" s="8" t="s">
        <v>442</v>
      </c>
      <c r="L566" s="8" t="str">
        <f>IF(Table1346[[#This Row],[Home Team Score]]&gt;Table1346[[#This Row],[Away Team Score]],"Win",IF(Table1346[[#This Row],[Home Team Score]]=Table1346[[#This Row],[Away Team Score]],"Tie","Lose"))</f>
        <v>Lose</v>
      </c>
      <c r="M566" t="s">
        <v>68</v>
      </c>
      <c r="N566">
        <v>27</v>
      </c>
      <c r="O566" s="3">
        <v>1.3888888888888889E-3</v>
      </c>
      <c r="P566" t="s">
        <v>26</v>
      </c>
      <c r="R566" t="e">
        <f>IF([1]!Table13[[#This Row],[Goal_assist]]="",1,0)</f>
        <v>#REF!</v>
      </c>
    </row>
    <row r="567" spans="1:18" x14ac:dyDescent="0.35">
      <c r="A567" t="s">
        <v>64</v>
      </c>
      <c r="B567" s="4">
        <v>41609</v>
      </c>
      <c r="C567" t="s">
        <v>65</v>
      </c>
      <c r="D567">
        <v>13</v>
      </c>
      <c r="E567" s="2">
        <v>41238</v>
      </c>
      <c r="F567" t="s">
        <v>24</v>
      </c>
      <c r="G567" t="s">
        <v>66</v>
      </c>
      <c r="H567" t="s">
        <v>127</v>
      </c>
      <c r="I567" s="3">
        <v>2.7777777777777779E-3</v>
      </c>
      <c r="J567" s="8" t="s">
        <v>443</v>
      </c>
      <c r="K567" s="8" t="s">
        <v>446</v>
      </c>
      <c r="L567" s="8" t="str">
        <f>IF(Table1346[[#This Row],[Home Team Score]]&gt;Table1346[[#This Row],[Away Team Score]],"Win",IF(Table1346[[#This Row],[Home Team Score]]=Table1346[[#This Row],[Away Team Score]],"Tie","Lose"))</f>
        <v>Lose</v>
      </c>
      <c r="M567" t="s">
        <v>68</v>
      </c>
      <c r="N567">
        <v>46</v>
      </c>
      <c r="O567" s="3">
        <v>6.9444444444444447E-4</v>
      </c>
      <c r="P567" t="s">
        <v>31</v>
      </c>
      <c r="Q567" t="s">
        <v>99</v>
      </c>
      <c r="R567" t="e">
        <f>IF([1]!Table13[[#This Row],[Goal_assist]]="",1,0)</f>
        <v>#REF!</v>
      </c>
    </row>
    <row r="568" spans="1:18" x14ac:dyDescent="0.35">
      <c r="A568" t="s">
        <v>64</v>
      </c>
      <c r="B568" s="4">
        <v>41609</v>
      </c>
      <c r="C568" t="s">
        <v>65</v>
      </c>
      <c r="D568">
        <v>13</v>
      </c>
      <c r="E568" s="2">
        <v>41238</v>
      </c>
      <c r="F568" t="s">
        <v>24</v>
      </c>
      <c r="G568" t="s">
        <v>66</v>
      </c>
      <c r="H568" t="s">
        <v>127</v>
      </c>
      <c r="I568" s="3">
        <v>2.7777777777777779E-3</v>
      </c>
      <c r="J568" s="8" t="s">
        <v>443</v>
      </c>
      <c r="K568" s="8" t="s">
        <v>446</v>
      </c>
      <c r="L568" s="8" t="str">
        <f>IF(Table1346[[#This Row],[Home Team Score]]&gt;Table1346[[#This Row],[Away Team Score]],"Win",IF(Table1346[[#This Row],[Home Team Score]]=Table1346[[#This Row],[Away Team Score]],"Tie","Lose"))</f>
        <v>Lose</v>
      </c>
      <c r="M568" t="s">
        <v>68</v>
      </c>
      <c r="N568">
        <v>51</v>
      </c>
      <c r="O568" s="3">
        <v>1.3888888888888889E-3</v>
      </c>
      <c r="P568" t="s">
        <v>31</v>
      </c>
      <c r="Q568" t="s">
        <v>99</v>
      </c>
      <c r="R568" t="e">
        <f>IF([1]!Table13[[#This Row],[Goal_assist]]="",1,0)</f>
        <v>#REF!</v>
      </c>
    </row>
    <row r="569" spans="1:18" x14ac:dyDescent="0.35">
      <c r="A569" t="s">
        <v>64</v>
      </c>
      <c r="B569" s="4">
        <v>41609</v>
      </c>
      <c r="C569" t="s">
        <v>65</v>
      </c>
      <c r="D569">
        <v>14</v>
      </c>
      <c r="E569" s="2">
        <v>41244</v>
      </c>
      <c r="F569" t="s">
        <v>16</v>
      </c>
      <c r="G569" t="s">
        <v>66</v>
      </c>
      <c r="H569" t="s">
        <v>86</v>
      </c>
      <c r="I569" s="3">
        <v>0.20902777777777778</v>
      </c>
      <c r="J569" s="8" t="s">
        <v>448</v>
      </c>
      <c r="K569" s="8" t="s">
        <v>444</v>
      </c>
      <c r="L569" s="8" t="str">
        <f>IF(Table1346[[#This Row],[Home Team Score]]&gt;Table1346[[#This Row],[Away Team Score]],"Win",IF(Table1346[[#This Row],[Home Team Score]]=Table1346[[#This Row],[Away Team Score]],"Tie","Lose"))</f>
        <v>Win</v>
      </c>
      <c r="M569" t="s">
        <v>68</v>
      </c>
      <c r="N569">
        <v>24</v>
      </c>
      <c r="O569" s="3">
        <v>8.3333333333333329E-2</v>
      </c>
      <c r="P569" t="s">
        <v>31</v>
      </c>
      <c r="Q569" t="s">
        <v>106</v>
      </c>
      <c r="R569" t="e">
        <f>IF([1]!Table13[[#This Row],[Goal_assist]]="",1,0)</f>
        <v>#REF!</v>
      </c>
    </row>
    <row r="570" spans="1:18" x14ac:dyDescent="0.35">
      <c r="A570" t="s">
        <v>64</v>
      </c>
      <c r="B570" s="4">
        <v>41609</v>
      </c>
      <c r="C570" t="s">
        <v>65</v>
      </c>
      <c r="D570">
        <v>14</v>
      </c>
      <c r="E570" s="2">
        <v>41244</v>
      </c>
      <c r="F570" t="s">
        <v>16</v>
      </c>
      <c r="G570" t="s">
        <v>66</v>
      </c>
      <c r="H570" t="s">
        <v>86</v>
      </c>
      <c r="I570" s="3">
        <v>0.20902777777777778</v>
      </c>
      <c r="J570" s="8" t="s">
        <v>448</v>
      </c>
      <c r="K570" s="8" t="s">
        <v>444</v>
      </c>
      <c r="L570" s="8" t="str">
        <f>IF(Table1346[[#This Row],[Home Team Score]]&gt;Table1346[[#This Row],[Away Team Score]],"Win",IF(Table1346[[#This Row],[Home Team Score]]=Table1346[[#This Row],[Away Team Score]],"Tie","Lose"))</f>
        <v>Win</v>
      </c>
      <c r="M570" t="s">
        <v>68</v>
      </c>
      <c r="N570">
        <v>69</v>
      </c>
      <c r="O570" s="3">
        <v>0.20902777777777778</v>
      </c>
      <c r="P570" t="s">
        <v>26</v>
      </c>
      <c r="Q570" t="s">
        <v>186</v>
      </c>
      <c r="R570" t="e">
        <f>IF([1]!Table13[[#This Row],[Goal_assist]]="",1,0)</f>
        <v>#REF!</v>
      </c>
    </row>
    <row r="571" spans="1:18" x14ac:dyDescent="0.35">
      <c r="A571" t="s">
        <v>14</v>
      </c>
      <c r="B571" s="4">
        <v>41609</v>
      </c>
      <c r="C571" t="s">
        <v>65</v>
      </c>
      <c r="D571">
        <v>14</v>
      </c>
      <c r="E571" s="2">
        <v>41244</v>
      </c>
      <c r="F571" t="s">
        <v>16</v>
      </c>
      <c r="G571" t="s">
        <v>112</v>
      </c>
      <c r="H571" t="s">
        <v>119</v>
      </c>
      <c r="I571" s="3">
        <v>8.3333333333333329E-2</v>
      </c>
      <c r="J571" s="8" t="s">
        <v>445</v>
      </c>
      <c r="K571" s="8" t="s">
        <v>443</v>
      </c>
      <c r="L571" s="8" t="str">
        <f>IF(Table1346[[#This Row],[Home Team Score]]&gt;Table1346[[#This Row],[Away Team Score]],"Win",IF(Table1346[[#This Row],[Home Team Score]]=Table1346[[#This Row],[Away Team Score]],"Tie","Lose"))</f>
        <v>Win</v>
      </c>
      <c r="M571" t="s">
        <v>19</v>
      </c>
      <c r="N571">
        <v>16</v>
      </c>
      <c r="O571" s="3">
        <v>4.1666666666666664E-2</v>
      </c>
      <c r="P571" t="s">
        <v>39</v>
      </c>
      <c r="R571" t="e">
        <f>IF([1]!Table13[[#This Row],[Goal_assist]]="",1,0)</f>
        <v>#REF!</v>
      </c>
    </row>
    <row r="572" spans="1:18" x14ac:dyDescent="0.35">
      <c r="A572" t="s">
        <v>14</v>
      </c>
      <c r="B572" s="4">
        <v>41609</v>
      </c>
      <c r="C572" t="s">
        <v>75</v>
      </c>
      <c r="D572" t="s">
        <v>76</v>
      </c>
      <c r="E572" s="2">
        <v>41247</v>
      </c>
      <c r="F572" t="s">
        <v>16</v>
      </c>
      <c r="G572" t="s">
        <v>112</v>
      </c>
      <c r="H572" t="s">
        <v>214</v>
      </c>
      <c r="I572" s="3">
        <v>0.1673611111111111</v>
      </c>
      <c r="J572" s="8" t="s">
        <v>446</v>
      </c>
      <c r="K572" s="8" t="s">
        <v>444</v>
      </c>
      <c r="L572" s="8" t="str">
        <f>IF(Table1346[[#This Row],[Home Team Score]]&gt;Table1346[[#This Row],[Away Team Score]],"Win",IF(Table1346[[#This Row],[Home Team Score]]=Table1346[[#This Row],[Away Team Score]],"Tie","Lose"))</f>
        <v>Win</v>
      </c>
      <c r="M572" t="s">
        <v>19</v>
      </c>
      <c r="N572">
        <v>13</v>
      </c>
      <c r="O572" s="3">
        <v>4.1666666666666664E-2</v>
      </c>
      <c r="P572" t="s">
        <v>26</v>
      </c>
      <c r="Q572" t="s">
        <v>183</v>
      </c>
      <c r="R572" t="e">
        <f>IF([1]!Table13[[#This Row],[Goal_assist]]="",1,0)</f>
        <v>#REF!</v>
      </c>
    </row>
    <row r="573" spans="1:18" x14ac:dyDescent="0.35">
      <c r="A573" t="s">
        <v>64</v>
      </c>
      <c r="B573" s="4">
        <v>41609</v>
      </c>
      <c r="C573" t="s">
        <v>65</v>
      </c>
      <c r="D573">
        <v>15</v>
      </c>
      <c r="E573" s="2">
        <v>41252</v>
      </c>
      <c r="F573" t="s">
        <v>24</v>
      </c>
      <c r="G573" t="s">
        <v>66</v>
      </c>
      <c r="H573" t="s">
        <v>95</v>
      </c>
      <c r="I573" s="3">
        <v>4.3055555555555555E-2</v>
      </c>
      <c r="J573" s="8" t="s">
        <v>444</v>
      </c>
      <c r="K573" s="8" t="s">
        <v>445</v>
      </c>
      <c r="L573" s="8" t="str">
        <f>IF(Table1346[[#This Row],[Home Team Score]]&gt;Table1346[[#This Row],[Away Team Score]],"Win",IF(Table1346[[#This Row],[Home Team Score]]=Table1346[[#This Row],[Away Team Score]],"Tie","Lose"))</f>
        <v>Lose</v>
      </c>
      <c r="M573" t="s">
        <v>68</v>
      </c>
      <c r="N573">
        <v>16</v>
      </c>
      <c r="O573" s="3">
        <v>6.9444444444444447E-4</v>
      </c>
      <c r="P573" t="s">
        <v>31</v>
      </c>
      <c r="Q573" t="s">
        <v>99</v>
      </c>
      <c r="R573" t="e">
        <f>IF([1]!Table13[[#This Row],[Goal_assist]]="",1,0)</f>
        <v>#REF!</v>
      </c>
    </row>
    <row r="574" spans="1:18" x14ac:dyDescent="0.35">
      <c r="A574" t="s">
        <v>64</v>
      </c>
      <c r="B574" s="4">
        <v>41609</v>
      </c>
      <c r="C574" t="s">
        <v>65</v>
      </c>
      <c r="D574">
        <v>15</v>
      </c>
      <c r="E574" s="2">
        <v>41252</v>
      </c>
      <c r="F574" t="s">
        <v>24</v>
      </c>
      <c r="G574" t="s">
        <v>66</v>
      </c>
      <c r="H574" t="s">
        <v>95</v>
      </c>
      <c r="I574" s="3">
        <v>4.3055555555555555E-2</v>
      </c>
      <c r="J574" s="8" t="s">
        <v>444</v>
      </c>
      <c r="K574" s="8" t="s">
        <v>445</v>
      </c>
      <c r="L574" s="8" t="str">
        <f>IF(Table1346[[#This Row],[Home Team Score]]&gt;Table1346[[#This Row],[Away Team Score]],"Win",IF(Table1346[[#This Row],[Home Team Score]]=Table1346[[#This Row],[Away Team Score]],"Tie","Lose"))</f>
        <v>Lose</v>
      </c>
      <c r="M574" t="s">
        <v>68</v>
      </c>
      <c r="N574">
        <v>25</v>
      </c>
      <c r="O574" s="3">
        <v>1.3888888888888889E-3</v>
      </c>
      <c r="P574" t="s">
        <v>31</v>
      </c>
      <c r="Q574" t="s">
        <v>99</v>
      </c>
      <c r="R574" t="e">
        <f>IF([1]!Table13[[#This Row],[Goal_assist]]="",1,0)</f>
        <v>#REF!</v>
      </c>
    </row>
    <row r="575" spans="1:18" x14ac:dyDescent="0.35">
      <c r="A575" t="s">
        <v>64</v>
      </c>
      <c r="B575" s="4">
        <v>41609</v>
      </c>
      <c r="C575" t="s">
        <v>91</v>
      </c>
      <c r="D575" t="s">
        <v>143</v>
      </c>
      <c r="E575" s="2">
        <v>41255</v>
      </c>
      <c r="F575" t="s">
        <v>24</v>
      </c>
      <c r="G575" t="s">
        <v>66</v>
      </c>
      <c r="H575" t="s">
        <v>248</v>
      </c>
      <c r="I575" s="3">
        <v>1.3888888888888889E-3</v>
      </c>
      <c r="J575" s="8" t="s">
        <v>443</v>
      </c>
      <c r="K575" s="8" t="s">
        <v>445</v>
      </c>
      <c r="L575" s="8" t="str">
        <f>IF(Table1346[[#This Row],[Home Team Score]]&gt;Table1346[[#This Row],[Away Team Score]],"Win",IF(Table1346[[#This Row],[Home Team Score]]=Table1346[[#This Row],[Away Team Score]],"Tie","Lose"))</f>
        <v>Lose</v>
      </c>
      <c r="M575" t="s">
        <v>68</v>
      </c>
      <c r="N575">
        <v>10</v>
      </c>
      <c r="O575" s="3">
        <v>6.9444444444444447E-4</v>
      </c>
      <c r="P575" t="s">
        <v>31</v>
      </c>
      <c r="Q575" t="s">
        <v>208</v>
      </c>
      <c r="R575" t="e">
        <f>IF([1]!Table13[[#This Row],[Goal_assist]]="",1,0)</f>
        <v>#REF!</v>
      </c>
    </row>
    <row r="576" spans="1:18" x14ac:dyDescent="0.35">
      <c r="A576" t="s">
        <v>64</v>
      </c>
      <c r="B576" s="4">
        <v>41609</v>
      </c>
      <c r="C576" t="s">
        <v>91</v>
      </c>
      <c r="D576" t="s">
        <v>143</v>
      </c>
      <c r="E576" s="2">
        <v>41255</v>
      </c>
      <c r="F576" t="s">
        <v>24</v>
      </c>
      <c r="G576" t="s">
        <v>66</v>
      </c>
      <c r="H576" t="s">
        <v>248</v>
      </c>
      <c r="I576" s="3">
        <v>1.3888888888888889E-3</v>
      </c>
      <c r="J576" s="8" t="s">
        <v>443</v>
      </c>
      <c r="K576" s="8" t="s">
        <v>445</v>
      </c>
      <c r="L576" s="8" t="str">
        <f>IF(Table1346[[#This Row],[Home Team Score]]&gt;Table1346[[#This Row],[Away Team Score]],"Win",IF(Table1346[[#This Row],[Home Team Score]]=Table1346[[#This Row],[Away Team Score]],"Tie","Lose"))</f>
        <v>Lose</v>
      </c>
      <c r="M576" t="s">
        <v>68</v>
      </c>
      <c r="N576">
        <v>73</v>
      </c>
      <c r="O576" s="3">
        <v>1.3888888888888889E-3</v>
      </c>
      <c r="P576" t="s">
        <v>31</v>
      </c>
      <c r="Q576" t="s">
        <v>234</v>
      </c>
      <c r="R576" t="e">
        <f>IF([1]!Table13[[#This Row],[Goal_assist]]="",1,0)</f>
        <v>#REF!</v>
      </c>
    </row>
    <row r="577" spans="1:18" x14ac:dyDescent="0.35">
      <c r="A577" t="s">
        <v>14</v>
      </c>
      <c r="B577" s="4">
        <v>41609</v>
      </c>
      <c r="C577" t="s">
        <v>91</v>
      </c>
      <c r="D577" t="s">
        <v>143</v>
      </c>
      <c r="E577" s="2">
        <v>41255</v>
      </c>
      <c r="F577" t="s">
        <v>24</v>
      </c>
      <c r="G577" t="s">
        <v>112</v>
      </c>
      <c r="H577" t="s">
        <v>98</v>
      </c>
      <c r="I577" s="3">
        <v>8.4027777777777785E-2</v>
      </c>
      <c r="J577" s="8" t="s">
        <v>445</v>
      </c>
      <c r="K577" s="8" t="s">
        <v>444</v>
      </c>
      <c r="L577" s="8" t="str">
        <f>IF(Table1346[[#This Row],[Home Team Score]]&gt;Table1346[[#This Row],[Away Team Score]],"Win",IF(Table1346[[#This Row],[Home Team Score]]=Table1346[[#This Row],[Away Team Score]],"Tie","Lose"))</f>
        <v>Win</v>
      </c>
      <c r="M577" t="s">
        <v>19</v>
      </c>
      <c r="N577">
        <v>87</v>
      </c>
      <c r="O577" s="3">
        <v>8.4027777777777785E-2</v>
      </c>
      <c r="P577" t="s">
        <v>31</v>
      </c>
      <c r="Q577" t="s">
        <v>205</v>
      </c>
      <c r="R577" t="e">
        <f>IF([1]!Table13[[#This Row],[Goal_assist]]="",1,0)</f>
        <v>#REF!</v>
      </c>
    </row>
    <row r="578" spans="1:18" x14ac:dyDescent="0.35">
      <c r="A578" t="s">
        <v>64</v>
      </c>
      <c r="B578" s="4">
        <v>41609</v>
      </c>
      <c r="C578" t="s">
        <v>65</v>
      </c>
      <c r="D578">
        <v>16</v>
      </c>
      <c r="E578" s="2">
        <v>41259</v>
      </c>
      <c r="F578" t="s">
        <v>16</v>
      </c>
      <c r="G578" t="s">
        <v>66</v>
      </c>
      <c r="H578" t="s">
        <v>119</v>
      </c>
      <c r="I578" s="3">
        <v>0.1673611111111111</v>
      </c>
      <c r="J578" s="8" t="s">
        <v>446</v>
      </c>
      <c r="K578" s="8" t="s">
        <v>444</v>
      </c>
      <c r="L578" s="8" t="str">
        <f>IF(Table1346[[#This Row],[Home Team Score]]&gt;Table1346[[#This Row],[Away Team Score]],"Win",IF(Table1346[[#This Row],[Home Team Score]]=Table1346[[#This Row],[Away Team Score]],"Tie","Lose"))</f>
        <v>Win</v>
      </c>
      <c r="M578" t="s">
        <v>68</v>
      </c>
      <c r="N578">
        <v>88</v>
      </c>
      <c r="O578" s="3">
        <v>0.1673611111111111</v>
      </c>
      <c r="P578" t="s">
        <v>31</v>
      </c>
      <c r="R578" t="e">
        <f>IF([1]!Table13[[#This Row],[Goal_assist]]="",1,0)</f>
        <v>#REF!</v>
      </c>
    </row>
    <row r="579" spans="1:18" x14ac:dyDescent="0.35">
      <c r="A579" t="s">
        <v>64</v>
      </c>
      <c r="B579" s="4">
        <v>41609</v>
      </c>
      <c r="C579" t="s">
        <v>65</v>
      </c>
      <c r="D579">
        <v>16</v>
      </c>
      <c r="E579" s="2">
        <v>41259</v>
      </c>
      <c r="F579" t="s">
        <v>16</v>
      </c>
      <c r="G579" t="s">
        <v>66</v>
      </c>
      <c r="H579" t="s">
        <v>119</v>
      </c>
      <c r="I579" s="3">
        <v>0.1673611111111111</v>
      </c>
      <c r="J579" s="8" t="s">
        <v>446</v>
      </c>
      <c r="K579" s="8" t="s">
        <v>444</v>
      </c>
      <c r="L579" s="8" t="str">
        <f>IF(Table1346[[#This Row],[Home Team Score]]&gt;Table1346[[#This Row],[Away Team Score]],"Win",IF(Table1346[[#This Row],[Home Team Score]]=Table1346[[#This Row],[Away Team Score]],"Tie","Lose"))</f>
        <v>Win</v>
      </c>
      <c r="M579" t="s">
        <v>68</v>
      </c>
      <c r="N579">
        <v>58</v>
      </c>
      <c r="O579" s="3">
        <v>0.12569444444444444</v>
      </c>
      <c r="P579" t="s">
        <v>31</v>
      </c>
      <c r="Q579" t="s">
        <v>234</v>
      </c>
      <c r="R579" t="e">
        <f>IF([1]!Table13[[#This Row],[Goal_assist]]="",1,0)</f>
        <v>#REF!</v>
      </c>
    </row>
    <row r="580" spans="1:18" x14ac:dyDescent="0.35">
      <c r="A580" t="s">
        <v>14</v>
      </c>
      <c r="B580" s="4">
        <v>41609</v>
      </c>
      <c r="C580" t="s">
        <v>65</v>
      </c>
      <c r="D580">
        <v>16</v>
      </c>
      <c r="E580" s="2">
        <v>41259</v>
      </c>
      <c r="F580" t="s">
        <v>16</v>
      </c>
      <c r="G580" t="s">
        <v>112</v>
      </c>
      <c r="H580" t="s">
        <v>121</v>
      </c>
      <c r="I580" s="3">
        <v>8.4722222222222227E-2</v>
      </c>
      <c r="J580" s="8" t="s">
        <v>445</v>
      </c>
      <c r="K580" s="8" t="s">
        <v>445</v>
      </c>
      <c r="L580" s="8" t="str">
        <f>IF(Table1346[[#This Row],[Home Team Score]]&gt;Table1346[[#This Row],[Away Team Score]],"Win",IF(Table1346[[#This Row],[Home Team Score]]=Table1346[[#This Row],[Away Team Score]],"Tie","Lose"))</f>
        <v>Tie</v>
      </c>
      <c r="M580" t="s">
        <v>68</v>
      </c>
      <c r="N580">
        <v>45</v>
      </c>
      <c r="O580" s="3">
        <v>4.2361111111111113E-2</v>
      </c>
      <c r="P580" t="s">
        <v>26</v>
      </c>
      <c r="Q580" t="s">
        <v>219</v>
      </c>
      <c r="R580" t="e">
        <f>IF([1]!Table13[[#This Row],[Goal_assist]]="",1,0)</f>
        <v>#REF!</v>
      </c>
    </row>
    <row r="581" spans="1:18" x14ac:dyDescent="0.35">
      <c r="A581" t="s">
        <v>64</v>
      </c>
      <c r="B581" s="4">
        <v>41609</v>
      </c>
      <c r="C581" t="s">
        <v>65</v>
      </c>
      <c r="D581">
        <v>17</v>
      </c>
      <c r="E581" s="2">
        <v>41265</v>
      </c>
      <c r="F581" t="s">
        <v>24</v>
      </c>
      <c r="G581" t="s">
        <v>66</v>
      </c>
      <c r="H581" t="s">
        <v>197</v>
      </c>
      <c r="I581" s="3">
        <v>4.3749999999999997E-2</v>
      </c>
      <c r="J581" s="8" t="s">
        <v>444</v>
      </c>
      <c r="K581" s="8" t="s">
        <v>442</v>
      </c>
      <c r="L581" s="8" t="str">
        <f>IF(Table1346[[#This Row],[Home Team Score]]&gt;Table1346[[#This Row],[Away Team Score]],"Win",IF(Table1346[[#This Row],[Home Team Score]]=Table1346[[#This Row],[Away Team Score]],"Tie","Lose"))</f>
        <v>Lose</v>
      </c>
      <c r="M581" t="s">
        <v>68</v>
      </c>
      <c r="N581">
        <v>59</v>
      </c>
      <c r="O581" s="3">
        <v>1.3888888888888889E-3</v>
      </c>
      <c r="P581" t="s">
        <v>31</v>
      </c>
      <c r="Q581" t="s">
        <v>106</v>
      </c>
      <c r="R581" t="e">
        <f>IF([1]!Table13[[#This Row],[Goal_assist]]="",1,0)</f>
        <v>#REF!</v>
      </c>
    </row>
    <row r="582" spans="1:18" x14ac:dyDescent="0.35">
      <c r="A582" t="s">
        <v>64</v>
      </c>
      <c r="B582" s="4">
        <v>41609</v>
      </c>
      <c r="C582" t="s">
        <v>65</v>
      </c>
      <c r="D582">
        <v>18</v>
      </c>
      <c r="E582" s="2">
        <v>41280</v>
      </c>
      <c r="F582" t="s">
        <v>16</v>
      </c>
      <c r="G582" t="s">
        <v>66</v>
      </c>
      <c r="H582" t="s">
        <v>121</v>
      </c>
      <c r="I582" s="3">
        <v>0.16666666666666666</v>
      </c>
      <c r="J582" s="8" t="s">
        <v>446</v>
      </c>
      <c r="K582" s="8" t="s">
        <v>443</v>
      </c>
      <c r="L582" s="8" t="str">
        <f>IF(Table1346[[#This Row],[Home Team Score]]&gt;Table1346[[#This Row],[Away Team Score]],"Win",IF(Table1346[[#This Row],[Home Team Score]]=Table1346[[#This Row],[Away Team Score]],"Tie","Lose"))</f>
        <v>Win</v>
      </c>
      <c r="M582" t="s">
        <v>68</v>
      </c>
      <c r="N582">
        <v>28</v>
      </c>
      <c r="O582" s="3">
        <v>0.16666666666666666</v>
      </c>
      <c r="P582" t="s">
        <v>83</v>
      </c>
      <c r="R582" t="e">
        <f>IF([1]!Table13[[#This Row],[Goal_assist]]="",1,0)</f>
        <v>#REF!</v>
      </c>
    </row>
    <row r="583" spans="1:18" x14ac:dyDescent="0.35">
      <c r="A583" t="s">
        <v>14</v>
      </c>
      <c r="B583" s="4">
        <v>41609</v>
      </c>
      <c r="C583" t="s">
        <v>65</v>
      </c>
      <c r="D583">
        <v>18</v>
      </c>
      <c r="E583" s="2">
        <v>41280</v>
      </c>
      <c r="F583" t="s">
        <v>16</v>
      </c>
      <c r="G583" t="s">
        <v>112</v>
      </c>
      <c r="H583" t="s">
        <v>217</v>
      </c>
      <c r="I583" s="3">
        <v>0.16875000000000001</v>
      </c>
      <c r="J583" s="8" t="s">
        <v>446</v>
      </c>
      <c r="K583" s="8" t="s">
        <v>442</v>
      </c>
      <c r="L583" s="8" t="str">
        <f>IF(Table1346[[#This Row],[Home Team Score]]&gt;Table1346[[#This Row],[Away Team Score]],"Win",IF(Table1346[[#This Row],[Home Team Score]]=Table1346[[#This Row],[Away Team Score]],"Tie","Lose"))</f>
        <v>Win</v>
      </c>
      <c r="M583" t="s">
        <v>249</v>
      </c>
      <c r="N583">
        <v>67</v>
      </c>
      <c r="O583" s="3">
        <v>0.12638888888888888</v>
      </c>
      <c r="P583" t="s">
        <v>31</v>
      </c>
      <c r="Q583" t="s">
        <v>183</v>
      </c>
      <c r="R583" t="e">
        <f>IF([1]!Table13[[#This Row],[Goal_assist]]="",1,0)</f>
        <v>#REF!</v>
      </c>
    </row>
    <row r="584" spans="1:18" x14ac:dyDescent="0.35">
      <c r="A584" t="s">
        <v>14</v>
      </c>
      <c r="B584" s="4">
        <v>41609</v>
      </c>
      <c r="C584" t="s">
        <v>65</v>
      </c>
      <c r="D584">
        <v>18</v>
      </c>
      <c r="E584" s="2">
        <v>41280</v>
      </c>
      <c r="F584" t="s">
        <v>16</v>
      </c>
      <c r="G584" t="s">
        <v>112</v>
      </c>
      <c r="H584" t="s">
        <v>217</v>
      </c>
      <c r="I584" s="3">
        <v>0.16875000000000001</v>
      </c>
      <c r="J584" s="8" t="s">
        <v>446</v>
      </c>
      <c r="K584" s="8" t="s">
        <v>442</v>
      </c>
      <c r="L584" s="8" t="str">
        <f>IF(Table1346[[#This Row],[Home Team Score]]&gt;Table1346[[#This Row],[Away Team Score]],"Win",IF(Table1346[[#This Row],[Home Team Score]]=Table1346[[#This Row],[Away Team Score]],"Tie","Lose"))</f>
        <v>Win</v>
      </c>
      <c r="M584" t="s">
        <v>249</v>
      </c>
      <c r="N584">
        <v>70</v>
      </c>
      <c r="O584" s="3">
        <v>0.16805555555555557</v>
      </c>
      <c r="P584" t="s">
        <v>39</v>
      </c>
      <c r="R584" t="e">
        <f>IF([1]!Table13[[#This Row],[Goal_assist]]="",1,0)</f>
        <v>#REF!</v>
      </c>
    </row>
    <row r="585" spans="1:18" x14ac:dyDescent="0.35">
      <c r="A585" t="s">
        <v>14</v>
      </c>
      <c r="B585" s="4">
        <v>41609</v>
      </c>
      <c r="C585" t="s">
        <v>91</v>
      </c>
      <c r="D585" t="s">
        <v>143</v>
      </c>
      <c r="E585" s="2">
        <v>41283</v>
      </c>
      <c r="F585" t="s">
        <v>16</v>
      </c>
      <c r="G585" t="s">
        <v>112</v>
      </c>
      <c r="H585" t="s">
        <v>98</v>
      </c>
      <c r="I585" s="3">
        <v>0.16666666666666666</v>
      </c>
      <c r="J585" s="8" t="s">
        <v>446</v>
      </c>
      <c r="K585" s="8" t="s">
        <v>443</v>
      </c>
      <c r="L585" s="8" t="str">
        <f>IF(Table1346[[#This Row],[Home Team Score]]&gt;Table1346[[#This Row],[Away Team Score]],"Win",IF(Table1346[[#This Row],[Home Team Score]]=Table1346[[#This Row],[Away Team Score]],"Tie","Lose"))</f>
        <v>Win</v>
      </c>
      <c r="M585" t="s">
        <v>19</v>
      </c>
      <c r="N585">
        <v>24</v>
      </c>
      <c r="O585" s="3">
        <v>8.3333333333333329E-2</v>
      </c>
      <c r="P585" t="s">
        <v>31</v>
      </c>
      <c r="Q585" t="s">
        <v>250</v>
      </c>
      <c r="R585" t="e">
        <f>IF([1]!Table13[[#This Row],[Goal_assist]]="",1,0)</f>
        <v>#REF!</v>
      </c>
    </row>
    <row r="586" spans="1:18" x14ac:dyDescent="0.35">
      <c r="A586" t="s">
        <v>14</v>
      </c>
      <c r="B586" s="4">
        <v>41609</v>
      </c>
      <c r="C586" t="s">
        <v>91</v>
      </c>
      <c r="D586" t="s">
        <v>143</v>
      </c>
      <c r="E586" s="2">
        <v>41283</v>
      </c>
      <c r="F586" t="s">
        <v>16</v>
      </c>
      <c r="G586" t="s">
        <v>112</v>
      </c>
      <c r="H586" t="s">
        <v>98</v>
      </c>
      <c r="I586" s="3">
        <v>0.16666666666666666</v>
      </c>
      <c r="J586" s="8" t="s">
        <v>446</v>
      </c>
      <c r="K586" s="8" t="s">
        <v>443</v>
      </c>
      <c r="L586" s="8" t="str">
        <f>IF(Table1346[[#This Row],[Home Team Score]]&gt;Table1346[[#This Row],[Away Team Score]],"Win",IF(Table1346[[#This Row],[Home Team Score]]=Table1346[[#This Row],[Away Team Score]],"Tie","Lose"))</f>
        <v>Win</v>
      </c>
      <c r="M586" t="s">
        <v>19</v>
      </c>
      <c r="N586">
        <v>87</v>
      </c>
      <c r="O586" s="3">
        <v>0.125</v>
      </c>
      <c r="P586" t="s">
        <v>31</v>
      </c>
      <c r="Q586" t="s">
        <v>188</v>
      </c>
      <c r="R586" t="e">
        <f>IF([1]!Table13[[#This Row],[Goal_assist]]="",1,0)</f>
        <v>#REF!</v>
      </c>
    </row>
    <row r="587" spans="1:18" x14ac:dyDescent="0.35">
      <c r="A587" t="s">
        <v>14</v>
      </c>
      <c r="B587" s="4">
        <v>41609</v>
      </c>
      <c r="C587" t="s">
        <v>91</v>
      </c>
      <c r="D587" t="s">
        <v>143</v>
      </c>
      <c r="E587" s="2">
        <v>41283</v>
      </c>
      <c r="F587" t="s">
        <v>16</v>
      </c>
      <c r="G587" t="s">
        <v>112</v>
      </c>
      <c r="H587" t="s">
        <v>98</v>
      </c>
      <c r="I587" s="3">
        <v>0.16666666666666666</v>
      </c>
      <c r="J587" s="8" t="s">
        <v>446</v>
      </c>
      <c r="K587" s="8" t="s">
        <v>443</v>
      </c>
      <c r="L587" s="8" t="str">
        <f>IF(Table1346[[#This Row],[Home Team Score]]&gt;Table1346[[#This Row],[Away Team Score]],"Win",IF(Table1346[[#This Row],[Home Team Score]]=Table1346[[#This Row],[Away Team Score]],"Tie","Lose"))</f>
        <v>Win</v>
      </c>
      <c r="M587" t="s">
        <v>19</v>
      </c>
      <c r="N587">
        <v>2</v>
      </c>
      <c r="O587" s="3">
        <v>4.1666666666666664E-2</v>
      </c>
      <c r="P587" t="s">
        <v>26</v>
      </c>
      <c r="Q587" t="s">
        <v>229</v>
      </c>
      <c r="R587" t="e">
        <f>IF([1]!Table13[[#This Row],[Goal_assist]]="",1,0)</f>
        <v>#REF!</v>
      </c>
    </row>
    <row r="588" spans="1:18" x14ac:dyDescent="0.35">
      <c r="A588" t="s">
        <v>64</v>
      </c>
      <c r="B588" s="4">
        <v>41609</v>
      </c>
      <c r="C588" t="s">
        <v>65</v>
      </c>
      <c r="D588">
        <v>19</v>
      </c>
      <c r="E588" s="2">
        <v>41287</v>
      </c>
      <c r="F588" t="s">
        <v>24</v>
      </c>
      <c r="G588" t="s">
        <v>66</v>
      </c>
      <c r="H588" t="s">
        <v>157</v>
      </c>
      <c r="I588" s="3">
        <v>4.3749999999999997E-2</v>
      </c>
      <c r="J588" s="8" t="s">
        <v>444</v>
      </c>
      <c r="K588" s="8" t="s">
        <v>442</v>
      </c>
      <c r="L588" s="8" t="str">
        <f>IF(Table1346[[#This Row],[Home Team Score]]&gt;Table1346[[#This Row],[Away Team Score]],"Win",IF(Table1346[[#This Row],[Home Team Score]]=Table1346[[#This Row],[Away Team Score]],"Tie","Lose"))</f>
        <v>Lose</v>
      </c>
      <c r="M588" t="s">
        <v>68</v>
      </c>
      <c r="N588">
        <v>26</v>
      </c>
      <c r="O588" s="3">
        <v>6.9444444444444447E-4</v>
      </c>
      <c r="P588" t="s">
        <v>26</v>
      </c>
      <c r="R588" t="e">
        <f>IF([1]!Table13[[#This Row],[Goal_assist]]="",1,0)</f>
        <v>#REF!</v>
      </c>
    </row>
    <row r="589" spans="1:18" x14ac:dyDescent="0.35">
      <c r="A589" t="s">
        <v>64</v>
      </c>
      <c r="B589" s="4">
        <v>41609</v>
      </c>
      <c r="C589" t="s">
        <v>91</v>
      </c>
      <c r="D589" t="s">
        <v>92</v>
      </c>
      <c r="E589" s="2">
        <v>41290</v>
      </c>
      <c r="F589" t="s">
        <v>16</v>
      </c>
      <c r="G589" t="s">
        <v>66</v>
      </c>
      <c r="H589" t="s">
        <v>157</v>
      </c>
      <c r="I589" s="3">
        <v>8.4722222222222227E-2</v>
      </c>
      <c r="J589" s="8" t="s">
        <v>445</v>
      </c>
      <c r="K589" s="8" t="s">
        <v>445</v>
      </c>
      <c r="L589" s="8" t="str">
        <f>IF(Table1346[[#This Row],[Home Team Score]]&gt;Table1346[[#This Row],[Away Team Score]],"Win",IF(Table1346[[#This Row],[Home Team Score]]=Table1346[[#This Row],[Away Team Score]],"Tie","Lose"))</f>
        <v>Tie</v>
      </c>
      <c r="M589" t="s">
        <v>68</v>
      </c>
      <c r="N589">
        <v>29</v>
      </c>
      <c r="O589" s="3">
        <v>4.2361111111111113E-2</v>
      </c>
      <c r="P589" t="s">
        <v>31</v>
      </c>
      <c r="R589" t="e">
        <f>IF([1]!Table13[[#This Row],[Goal_assist]]="",1,0)</f>
        <v>#REF!</v>
      </c>
    </row>
    <row r="590" spans="1:18" x14ac:dyDescent="0.35">
      <c r="A590" t="s">
        <v>64</v>
      </c>
      <c r="B590" s="4">
        <v>41609</v>
      </c>
      <c r="C590" t="s">
        <v>65</v>
      </c>
      <c r="D590">
        <v>20</v>
      </c>
      <c r="E590" s="2">
        <v>41293</v>
      </c>
      <c r="F590" t="s">
        <v>24</v>
      </c>
      <c r="G590" t="s">
        <v>66</v>
      </c>
      <c r="H590" t="s">
        <v>217</v>
      </c>
      <c r="I590" s="3">
        <v>0.12638888888888888</v>
      </c>
      <c r="J590" s="8" t="s">
        <v>442</v>
      </c>
      <c r="K590" s="8" t="s">
        <v>445</v>
      </c>
      <c r="L590" s="8" t="str">
        <f>IF(Table1346[[#This Row],[Home Team Score]]&gt;Table1346[[#This Row],[Away Team Score]],"Win",IF(Table1346[[#This Row],[Home Team Score]]=Table1346[[#This Row],[Away Team Score]],"Tie","Lose"))</f>
        <v>Win</v>
      </c>
      <c r="M590" t="s">
        <v>68</v>
      </c>
      <c r="N590">
        <v>6</v>
      </c>
      <c r="O590" s="3">
        <v>6.9444444444444447E-4</v>
      </c>
      <c r="P590" t="s">
        <v>31</v>
      </c>
      <c r="Q590" t="s">
        <v>99</v>
      </c>
      <c r="R590" t="e">
        <f>IF([1]!Table13[[#This Row],[Goal_assist]]="",1,0)</f>
        <v>#REF!</v>
      </c>
    </row>
    <row r="591" spans="1:18" x14ac:dyDescent="0.35">
      <c r="A591" t="s">
        <v>14</v>
      </c>
      <c r="B591" s="4">
        <v>41609</v>
      </c>
      <c r="C591" t="s">
        <v>65</v>
      </c>
      <c r="D591">
        <v>20</v>
      </c>
      <c r="E591" s="2">
        <v>41294</v>
      </c>
      <c r="F591" t="s">
        <v>24</v>
      </c>
      <c r="G591" t="s">
        <v>112</v>
      </c>
      <c r="H591" t="s">
        <v>148</v>
      </c>
      <c r="I591" s="3">
        <v>3.472222222222222E-3</v>
      </c>
      <c r="J591" s="8" t="s">
        <v>443</v>
      </c>
      <c r="K591" s="8" t="s">
        <v>448</v>
      </c>
      <c r="L591" s="8" t="str">
        <f>IF(Table1346[[#This Row],[Home Team Score]]&gt;Table1346[[#This Row],[Away Team Score]],"Win",IF(Table1346[[#This Row],[Home Team Score]]=Table1346[[#This Row],[Away Team Score]],"Tie","Lose"))</f>
        <v>Lose</v>
      </c>
      <c r="M591" t="s">
        <v>19</v>
      </c>
      <c r="N591">
        <v>41</v>
      </c>
      <c r="O591" s="3">
        <v>2.7777777777777779E-3</v>
      </c>
      <c r="P591" t="s">
        <v>26</v>
      </c>
      <c r="Q591" t="s">
        <v>204</v>
      </c>
      <c r="R591" t="e">
        <f>IF([1]!Table13[[#This Row],[Goal_assist]]="",1,0)</f>
        <v>#REF!</v>
      </c>
    </row>
    <row r="592" spans="1:18" x14ac:dyDescent="0.35">
      <c r="A592" t="s">
        <v>14</v>
      </c>
      <c r="B592" s="4">
        <v>41609</v>
      </c>
      <c r="C592" t="s">
        <v>65</v>
      </c>
      <c r="D592">
        <v>20</v>
      </c>
      <c r="E592" s="2">
        <v>41294</v>
      </c>
      <c r="F592" t="s">
        <v>24</v>
      </c>
      <c r="G592" t="s">
        <v>112</v>
      </c>
      <c r="H592" t="s">
        <v>148</v>
      </c>
      <c r="I592" s="3">
        <v>3.472222222222222E-3</v>
      </c>
      <c r="J592" s="8" t="s">
        <v>443</v>
      </c>
      <c r="K592" s="8" t="s">
        <v>448</v>
      </c>
      <c r="L592" s="8" t="str">
        <f>IF(Table1346[[#This Row],[Home Team Score]]&gt;Table1346[[#This Row],[Away Team Score]],"Win",IF(Table1346[[#This Row],[Home Team Score]]=Table1346[[#This Row],[Away Team Score]],"Tie","Lose"))</f>
        <v>Lose</v>
      </c>
      <c r="M592" t="s">
        <v>19</v>
      </c>
      <c r="N592">
        <v>35</v>
      </c>
      <c r="O592" s="3">
        <v>2.0833333333333333E-3</v>
      </c>
      <c r="P592" t="s">
        <v>31</v>
      </c>
      <c r="Q592" t="s">
        <v>235</v>
      </c>
      <c r="R592" t="e">
        <f>IF([1]!Table13[[#This Row],[Goal_assist]]="",1,0)</f>
        <v>#REF!</v>
      </c>
    </row>
    <row r="593" spans="1:18" x14ac:dyDescent="0.35">
      <c r="A593" t="s">
        <v>64</v>
      </c>
      <c r="B593" s="4">
        <v>41609</v>
      </c>
      <c r="C593" t="s">
        <v>91</v>
      </c>
      <c r="D593" t="s">
        <v>92</v>
      </c>
      <c r="E593" s="2">
        <v>41298</v>
      </c>
      <c r="F593" t="s">
        <v>24</v>
      </c>
      <c r="G593" t="s">
        <v>66</v>
      </c>
      <c r="H593" t="s">
        <v>157</v>
      </c>
      <c r="I593" s="3">
        <v>8.611111111111111E-2</v>
      </c>
      <c r="J593" s="8" t="s">
        <v>445</v>
      </c>
      <c r="K593" s="8" t="s">
        <v>446</v>
      </c>
      <c r="L593" s="8" t="str">
        <f>IF(Table1346[[#This Row],[Home Team Score]]&gt;Table1346[[#This Row],[Away Team Score]],"Win",IF(Table1346[[#This Row],[Home Team Score]]=Table1346[[#This Row],[Away Team Score]],"Tie","Lose"))</f>
        <v>Lose</v>
      </c>
      <c r="M593" t="s">
        <v>68</v>
      </c>
      <c r="N593">
        <v>79</v>
      </c>
      <c r="O593" s="3">
        <v>8.611111111111111E-2</v>
      </c>
      <c r="P593" t="s">
        <v>22</v>
      </c>
      <c r="Q593" t="s">
        <v>155</v>
      </c>
      <c r="R593" t="e">
        <f>IF([1]!Table13[[#This Row],[Goal_assist]]="",1,0)</f>
        <v>#REF!</v>
      </c>
    </row>
    <row r="594" spans="1:18" x14ac:dyDescent="0.35">
      <c r="A594" t="s">
        <v>64</v>
      </c>
      <c r="B594" s="4">
        <v>41609</v>
      </c>
      <c r="C594" t="s">
        <v>65</v>
      </c>
      <c r="D594">
        <v>21</v>
      </c>
      <c r="E594" s="2">
        <v>41301</v>
      </c>
      <c r="F594" t="s">
        <v>16</v>
      </c>
      <c r="G594" t="s">
        <v>66</v>
      </c>
      <c r="H594" t="s">
        <v>100</v>
      </c>
      <c r="I594" s="3">
        <v>0.20902777777777778</v>
      </c>
      <c r="J594" s="8" t="s">
        <v>448</v>
      </c>
      <c r="K594" s="8" t="s">
        <v>444</v>
      </c>
      <c r="L594" s="8" t="str">
        <f>IF(Table1346[[#This Row],[Home Team Score]]&gt;Table1346[[#This Row],[Away Team Score]],"Win",IF(Table1346[[#This Row],[Home Team Score]]=Table1346[[#This Row],[Away Team Score]],"Tie","Lose"))</f>
        <v>Win</v>
      </c>
      <c r="M594" t="s">
        <v>68</v>
      </c>
      <c r="N594">
        <v>58</v>
      </c>
      <c r="O594" s="3">
        <v>0.20902777777777778</v>
      </c>
      <c r="P594" t="s">
        <v>31</v>
      </c>
      <c r="Q594" t="s">
        <v>215</v>
      </c>
      <c r="R594" t="e">
        <f>IF([1]!Table13[[#This Row],[Goal_assist]]="",1,0)</f>
        <v>#REF!</v>
      </c>
    </row>
    <row r="595" spans="1:18" x14ac:dyDescent="0.35">
      <c r="A595" t="s">
        <v>64</v>
      </c>
      <c r="B595" s="4">
        <v>41609</v>
      </c>
      <c r="C595" t="s">
        <v>65</v>
      </c>
      <c r="D595">
        <v>21</v>
      </c>
      <c r="E595" s="2">
        <v>41301</v>
      </c>
      <c r="F595" t="s">
        <v>16</v>
      </c>
      <c r="G595" t="s">
        <v>66</v>
      </c>
      <c r="H595" t="s">
        <v>100</v>
      </c>
      <c r="I595" s="3">
        <v>0.20902777777777778</v>
      </c>
      <c r="J595" s="8" t="s">
        <v>448</v>
      </c>
      <c r="K595" s="8" t="s">
        <v>444</v>
      </c>
      <c r="L595" s="8" t="str">
        <f>IF(Table1346[[#This Row],[Home Team Score]]&gt;Table1346[[#This Row],[Away Team Score]],"Win",IF(Table1346[[#This Row],[Home Team Score]]=Table1346[[#This Row],[Away Team Score]],"Tie","Lose"))</f>
        <v>Win</v>
      </c>
      <c r="M595" t="s">
        <v>68</v>
      </c>
      <c r="N595">
        <v>28</v>
      </c>
      <c r="O595" s="3">
        <v>8.4027777777777785E-2</v>
      </c>
      <c r="P595" t="s">
        <v>83</v>
      </c>
      <c r="R595" t="e">
        <f>IF([1]!Table13[[#This Row],[Goal_assist]]="",1,0)</f>
        <v>#REF!</v>
      </c>
    </row>
    <row r="596" spans="1:18" x14ac:dyDescent="0.35">
      <c r="A596" t="s">
        <v>14</v>
      </c>
      <c r="B596" s="4">
        <v>41609</v>
      </c>
      <c r="C596" t="s">
        <v>65</v>
      </c>
      <c r="D596">
        <v>21</v>
      </c>
      <c r="E596" s="2">
        <v>41301</v>
      </c>
      <c r="F596" t="s">
        <v>16</v>
      </c>
      <c r="G596" t="s">
        <v>112</v>
      </c>
      <c r="H596" t="s">
        <v>117</v>
      </c>
      <c r="I596" s="3">
        <v>0.16666666666666666</v>
      </c>
      <c r="J596" s="8" t="s">
        <v>446</v>
      </c>
      <c r="K596" s="8" t="s">
        <v>443</v>
      </c>
      <c r="L596" s="8" t="str">
        <f>IF(Table1346[[#This Row],[Home Team Score]]&gt;Table1346[[#This Row],[Away Team Score]],"Win",IF(Table1346[[#This Row],[Home Team Score]]=Table1346[[#This Row],[Away Team Score]],"Tie","Lose"))</f>
        <v>Win</v>
      </c>
      <c r="M596" t="s">
        <v>19</v>
      </c>
      <c r="N596">
        <v>72</v>
      </c>
      <c r="O596" s="3">
        <v>0.16666666666666666</v>
      </c>
      <c r="P596" t="s">
        <v>83</v>
      </c>
      <c r="R596" t="e">
        <f>IF([1]!Table13[[#This Row],[Goal_assist]]="",1,0)</f>
        <v>#REF!</v>
      </c>
    </row>
    <row r="597" spans="1:18" x14ac:dyDescent="0.35">
      <c r="A597" t="s">
        <v>14</v>
      </c>
      <c r="B597" s="4">
        <v>41609</v>
      </c>
      <c r="C597" t="s">
        <v>65</v>
      </c>
      <c r="D597">
        <v>21</v>
      </c>
      <c r="E597" s="2">
        <v>41301</v>
      </c>
      <c r="F597" t="s">
        <v>16</v>
      </c>
      <c r="G597" t="s">
        <v>112</v>
      </c>
      <c r="H597" t="s">
        <v>117</v>
      </c>
      <c r="I597" s="3">
        <v>0.16666666666666666</v>
      </c>
      <c r="J597" s="8" t="s">
        <v>446</v>
      </c>
      <c r="K597" s="8" t="s">
        <v>443</v>
      </c>
      <c r="L597" s="8" t="str">
        <f>IF(Table1346[[#This Row],[Home Team Score]]&gt;Table1346[[#This Row],[Away Team Score]],"Win",IF(Table1346[[#This Row],[Home Team Score]]=Table1346[[#This Row],[Away Team Score]],"Tie","Lose"))</f>
        <v>Win</v>
      </c>
      <c r="M597" t="s">
        <v>19</v>
      </c>
      <c r="N597">
        <v>65</v>
      </c>
      <c r="O597" s="3">
        <v>0.125</v>
      </c>
      <c r="P597" t="s">
        <v>22</v>
      </c>
      <c r="Q597" t="s">
        <v>207</v>
      </c>
      <c r="R597" t="e">
        <f>IF([1]!Table13[[#This Row],[Goal_assist]]="",1,0)</f>
        <v>#REF!</v>
      </c>
    </row>
    <row r="598" spans="1:18" x14ac:dyDescent="0.35">
      <c r="A598" t="s">
        <v>14</v>
      </c>
      <c r="B598" s="4">
        <v>41609</v>
      </c>
      <c r="C598" t="s">
        <v>65</v>
      </c>
      <c r="D598">
        <v>21</v>
      </c>
      <c r="E598" s="2">
        <v>41301</v>
      </c>
      <c r="F598" t="s">
        <v>16</v>
      </c>
      <c r="G598" t="s">
        <v>112</v>
      </c>
      <c r="H598" t="s">
        <v>117</v>
      </c>
      <c r="I598" s="3">
        <v>0.16666666666666666</v>
      </c>
      <c r="J598" s="8" t="s">
        <v>446</v>
      </c>
      <c r="K598" s="8" t="s">
        <v>443</v>
      </c>
      <c r="L598" s="8" t="str">
        <f>IF(Table1346[[#This Row],[Home Team Score]]&gt;Table1346[[#This Row],[Away Team Score]],"Win",IF(Table1346[[#This Row],[Home Team Score]]=Table1346[[#This Row],[Away Team Score]],"Tie","Lose"))</f>
        <v>Win</v>
      </c>
      <c r="M598" t="s">
        <v>19</v>
      </c>
      <c r="N598">
        <v>62</v>
      </c>
      <c r="O598" s="3">
        <v>8.3333333333333329E-2</v>
      </c>
      <c r="P598" t="s">
        <v>31</v>
      </c>
      <c r="Q598" t="s">
        <v>204</v>
      </c>
      <c r="R598" t="e">
        <f>IF([1]!Table13[[#This Row],[Goal_assist]]="",1,0)</f>
        <v>#REF!</v>
      </c>
    </row>
    <row r="599" spans="1:18" x14ac:dyDescent="0.35">
      <c r="A599" t="s">
        <v>64</v>
      </c>
      <c r="B599" s="4">
        <v>41609</v>
      </c>
      <c r="C599" t="s">
        <v>65</v>
      </c>
      <c r="D599">
        <v>21</v>
      </c>
      <c r="E599" s="2">
        <v>41301</v>
      </c>
      <c r="F599" t="s">
        <v>16</v>
      </c>
      <c r="G599" t="s">
        <v>66</v>
      </c>
      <c r="H599" t="s">
        <v>100</v>
      </c>
      <c r="I599" s="3">
        <v>0.20902777777777778</v>
      </c>
      <c r="J599" s="8" t="s">
        <v>448</v>
      </c>
      <c r="K599" s="8" t="s">
        <v>444</v>
      </c>
      <c r="L599" s="8" t="str">
        <f>IF(Table1346[[#This Row],[Home Team Score]]&gt;Table1346[[#This Row],[Away Team Score]],"Win",IF(Table1346[[#This Row],[Home Team Score]]=Table1346[[#This Row],[Away Team Score]],"Tie","Lose"))</f>
        <v>Win</v>
      </c>
      <c r="M599" t="s">
        <v>68</v>
      </c>
      <c r="N599">
        <v>11</v>
      </c>
      <c r="O599" s="3">
        <v>4.1666666666666664E-2</v>
      </c>
      <c r="P599" t="s">
        <v>26</v>
      </c>
      <c r="Q599" t="s">
        <v>106</v>
      </c>
      <c r="R599" t="e">
        <f>IF([1]!Table13[[#This Row],[Goal_assist]]="",1,0)</f>
        <v>#REF!</v>
      </c>
    </row>
    <row r="600" spans="1:18" x14ac:dyDescent="0.35">
      <c r="A600" t="s">
        <v>64</v>
      </c>
      <c r="B600" s="4">
        <v>41609</v>
      </c>
      <c r="C600" t="s">
        <v>65</v>
      </c>
      <c r="D600">
        <v>21</v>
      </c>
      <c r="E600" s="2">
        <v>41301</v>
      </c>
      <c r="F600" t="s">
        <v>16</v>
      </c>
      <c r="G600" t="s">
        <v>66</v>
      </c>
      <c r="H600" t="s">
        <v>100</v>
      </c>
      <c r="I600" s="3">
        <v>0.20902777777777778</v>
      </c>
      <c r="J600" s="8" t="s">
        <v>448</v>
      </c>
      <c r="K600" s="8" t="s">
        <v>444</v>
      </c>
      <c r="L600" s="8" t="str">
        <f>IF(Table1346[[#This Row],[Home Team Score]]&gt;Table1346[[#This Row],[Away Team Score]],"Win",IF(Table1346[[#This Row],[Home Team Score]]=Table1346[[#This Row],[Away Team Score]],"Tie","Lose"))</f>
        <v>Win</v>
      </c>
      <c r="M600" t="s">
        <v>68</v>
      </c>
      <c r="N600">
        <v>56</v>
      </c>
      <c r="O600" s="3">
        <v>0.1673611111111111</v>
      </c>
      <c r="P600" t="s">
        <v>31</v>
      </c>
      <c r="Q600" t="s">
        <v>208</v>
      </c>
      <c r="R600" t="e">
        <f>IF([1]!Table13[[#This Row],[Goal_assist]]="",1,0)</f>
        <v>#REF!</v>
      </c>
    </row>
    <row r="601" spans="1:18" x14ac:dyDescent="0.35">
      <c r="A601" t="s">
        <v>64</v>
      </c>
      <c r="B601" s="4">
        <v>41609</v>
      </c>
      <c r="C601" t="s">
        <v>65</v>
      </c>
      <c r="D601">
        <v>22</v>
      </c>
      <c r="E601" s="2">
        <v>41308</v>
      </c>
      <c r="F601" t="s">
        <v>24</v>
      </c>
      <c r="G601" t="s">
        <v>66</v>
      </c>
      <c r="H601" t="s">
        <v>148</v>
      </c>
      <c r="I601" s="3">
        <v>4.2361111111111113E-2</v>
      </c>
      <c r="J601" s="8" t="s">
        <v>444</v>
      </c>
      <c r="K601" s="8" t="s">
        <v>444</v>
      </c>
      <c r="L601" s="8" t="str">
        <f>IF(Table1346[[#This Row],[Home Team Score]]&gt;Table1346[[#This Row],[Away Team Score]],"Win",IF(Table1346[[#This Row],[Home Team Score]]=Table1346[[#This Row],[Away Team Score]],"Tie","Lose"))</f>
        <v>Tie</v>
      </c>
      <c r="M601" t="s">
        <v>68</v>
      </c>
      <c r="N601">
        <v>39</v>
      </c>
      <c r="O601" s="3">
        <v>4.2361111111111113E-2</v>
      </c>
      <c r="P601" t="s">
        <v>83</v>
      </c>
      <c r="R601" t="e">
        <f>IF([1]!Table13[[#This Row],[Goal_assist]]="",1,0)</f>
        <v>#REF!</v>
      </c>
    </row>
    <row r="602" spans="1:18" x14ac:dyDescent="0.35">
      <c r="A602" t="s">
        <v>14</v>
      </c>
      <c r="B602" s="4">
        <v>41609</v>
      </c>
      <c r="C602" t="s">
        <v>65</v>
      </c>
      <c r="D602">
        <v>23</v>
      </c>
      <c r="E602" s="2">
        <v>41314</v>
      </c>
      <c r="F602" t="s">
        <v>16</v>
      </c>
      <c r="G602" t="s">
        <v>112</v>
      </c>
      <c r="H602" t="s">
        <v>105</v>
      </c>
      <c r="I602" s="3">
        <v>0.1673611111111111</v>
      </c>
      <c r="J602" s="8" t="s">
        <v>446</v>
      </c>
      <c r="K602" s="8" t="s">
        <v>444</v>
      </c>
      <c r="L602" s="8" t="str">
        <f>IF(Table1346[[#This Row],[Home Team Score]]&gt;Table1346[[#This Row],[Away Team Score]],"Win",IF(Table1346[[#This Row],[Home Team Score]]=Table1346[[#This Row],[Away Team Score]],"Tie","Lose"))</f>
        <v>Win</v>
      </c>
      <c r="M602" t="s">
        <v>19</v>
      </c>
      <c r="N602">
        <v>26</v>
      </c>
      <c r="O602" s="3">
        <v>8.3333333333333329E-2</v>
      </c>
      <c r="P602" t="s">
        <v>31</v>
      </c>
      <c r="Q602" t="s">
        <v>198</v>
      </c>
      <c r="R602" t="e">
        <f>IF([1]!Table13[[#This Row],[Goal_assist]]="",1,0)</f>
        <v>#REF!</v>
      </c>
    </row>
    <row r="603" spans="1:18" x14ac:dyDescent="0.35">
      <c r="A603" t="s">
        <v>14</v>
      </c>
      <c r="B603" s="4">
        <v>41609</v>
      </c>
      <c r="C603" t="s">
        <v>65</v>
      </c>
      <c r="D603">
        <v>23</v>
      </c>
      <c r="E603" s="2">
        <v>41314</v>
      </c>
      <c r="F603" t="s">
        <v>16</v>
      </c>
      <c r="G603" t="s">
        <v>112</v>
      </c>
      <c r="H603" t="s">
        <v>105</v>
      </c>
      <c r="I603" s="3">
        <v>0.1673611111111111</v>
      </c>
      <c r="J603" s="8" t="s">
        <v>446</v>
      </c>
      <c r="K603" s="8" t="s">
        <v>444</v>
      </c>
      <c r="L603" s="8" t="str">
        <f>IF(Table1346[[#This Row],[Home Team Score]]&gt;Table1346[[#This Row],[Away Team Score]],"Win",IF(Table1346[[#This Row],[Home Team Score]]=Table1346[[#This Row],[Away Team Score]],"Tie","Lose"))</f>
        <v>Win</v>
      </c>
      <c r="M603" t="s">
        <v>19</v>
      </c>
      <c r="N603">
        <v>59</v>
      </c>
      <c r="O603" s="3">
        <v>0.16666666666666666</v>
      </c>
      <c r="P603" t="s">
        <v>26</v>
      </c>
      <c r="Q603" t="s">
        <v>188</v>
      </c>
      <c r="R603" t="e">
        <f>IF([1]!Table13[[#This Row],[Goal_assist]]="",1,0)</f>
        <v>#REF!</v>
      </c>
    </row>
    <row r="604" spans="1:18" x14ac:dyDescent="0.35">
      <c r="A604" t="s">
        <v>14</v>
      </c>
      <c r="B604" s="4">
        <v>41609</v>
      </c>
      <c r="C604" t="s">
        <v>65</v>
      </c>
      <c r="D604">
        <v>23</v>
      </c>
      <c r="E604" s="2">
        <v>41314</v>
      </c>
      <c r="F604" t="s">
        <v>16</v>
      </c>
      <c r="G604" t="s">
        <v>112</v>
      </c>
      <c r="H604" t="s">
        <v>105</v>
      </c>
      <c r="I604" s="3">
        <v>0.1673611111111111</v>
      </c>
      <c r="J604" s="8" t="s">
        <v>446</v>
      </c>
      <c r="K604" s="8" t="s">
        <v>444</v>
      </c>
      <c r="L604" s="8" t="str">
        <f>IF(Table1346[[#This Row],[Home Team Score]]&gt;Table1346[[#This Row],[Away Team Score]],"Win",IF(Table1346[[#This Row],[Home Team Score]]=Table1346[[#This Row],[Away Team Score]],"Tie","Lose"))</f>
        <v>Win</v>
      </c>
      <c r="M604" t="s">
        <v>19</v>
      </c>
      <c r="N604">
        <v>46</v>
      </c>
      <c r="O604" s="3">
        <v>0.125</v>
      </c>
      <c r="P604" t="s">
        <v>31</v>
      </c>
      <c r="Q604" t="s">
        <v>229</v>
      </c>
      <c r="R604" t="e">
        <f>IF([1]!Table13[[#This Row],[Goal_assist]]="",1,0)</f>
        <v>#REF!</v>
      </c>
    </row>
    <row r="605" spans="1:18" x14ac:dyDescent="0.35">
      <c r="A605" t="s">
        <v>64</v>
      </c>
      <c r="B605" s="4">
        <v>41609</v>
      </c>
      <c r="C605" t="s">
        <v>65</v>
      </c>
      <c r="D605">
        <v>23</v>
      </c>
      <c r="E605" s="2">
        <v>41315</v>
      </c>
      <c r="F605" t="s">
        <v>16</v>
      </c>
      <c r="G605" t="s">
        <v>66</v>
      </c>
      <c r="H605" t="s">
        <v>117</v>
      </c>
      <c r="I605" s="3">
        <v>0.25069444444444444</v>
      </c>
      <c r="J605" s="8" t="s">
        <v>450</v>
      </c>
      <c r="K605" s="8" t="s">
        <v>444</v>
      </c>
      <c r="L605" s="8" t="str">
        <f>IF(Table1346[[#This Row],[Home Team Score]]&gt;Table1346[[#This Row],[Away Team Score]],"Win",IF(Table1346[[#This Row],[Home Team Score]]=Table1346[[#This Row],[Away Team Score]],"Tie","Lose"))</f>
        <v>Win</v>
      </c>
      <c r="M605" t="s">
        <v>68</v>
      </c>
      <c r="N605">
        <v>13</v>
      </c>
      <c r="O605" s="3">
        <v>8.3333333333333329E-2</v>
      </c>
      <c r="P605" t="s">
        <v>31</v>
      </c>
      <c r="Q605" t="s">
        <v>213</v>
      </c>
      <c r="R605" t="e">
        <f>IF([1]!Table13[[#This Row],[Goal_assist]]="",1,0)</f>
        <v>#REF!</v>
      </c>
    </row>
    <row r="606" spans="1:18" x14ac:dyDescent="0.35">
      <c r="A606" t="s">
        <v>14</v>
      </c>
      <c r="B606" s="4">
        <v>41609</v>
      </c>
      <c r="C606" t="s">
        <v>75</v>
      </c>
      <c r="D606" t="s">
        <v>143</v>
      </c>
      <c r="E606" s="2">
        <v>41318</v>
      </c>
      <c r="F606" t="s">
        <v>16</v>
      </c>
      <c r="G606" t="s">
        <v>112</v>
      </c>
      <c r="H606" t="s">
        <v>36</v>
      </c>
      <c r="I606" s="3">
        <v>4.2361111111111113E-2</v>
      </c>
      <c r="J606" s="8" t="s">
        <v>444</v>
      </c>
      <c r="K606" s="8" t="s">
        <v>444</v>
      </c>
      <c r="L606" s="8" t="str">
        <f>IF(Table1346[[#This Row],[Home Team Score]]&gt;Table1346[[#This Row],[Away Team Score]],"Win",IF(Table1346[[#This Row],[Home Team Score]]=Table1346[[#This Row],[Away Team Score]],"Tie","Lose"))</f>
        <v>Tie</v>
      </c>
      <c r="M606" t="s">
        <v>19</v>
      </c>
      <c r="N606">
        <v>30</v>
      </c>
      <c r="O606" s="3">
        <v>4.2361111111111113E-2</v>
      </c>
      <c r="P606" t="s">
        <v>22</v>
      </c>
      <c r="Q606" t="s">
        <v>207</v>
      </c>
      <c r="R606" t="e">
        <f>IF([1]!Table13[[#This Row],[Goal_assist]]="",1,0)</f>
        <v>#REF!</v>
      </c>
    </row>
    <row r="607" spans="1:18" x14ac:dyDescent="0.35">
      <c r="A607" t="s">
        <v>64</v>
      </c>
      <c r="B607" s="4">
        <v>41609</v>
      </c>
      <c r="C607" t="s">
        <v>65</v>
      </c>
      <c r="D607">
        <v>24</v>
      </c>
      <c r="E607" s="2">
        <v>41321</v>
      </c>
      <c r="F607" t="s">
        <v>24</v>
      </c>
      <c r="G607" t="s">
        <v>66</v>
      </c>
      <c r="H607" t="s">
        <v>233</v>
      </c>
      <c r="I607" s="3">
        <v>4.3055555555555555E-2</v>
      </c>
      <c r="J607" s="8" t="s">
        <v>444</v>
      </c>
      <c r="K607" s="8" t="s">
        <v>445</v>
      </c>
      <c r="L607" s="8" t="str">
        <f>IF(Table1346[[#This Row],[Home Team Score]]&gt;Table1346[[#This Row],[Away Team Score]],"Win",IF(Table1346[[#This Row],[Home Team Score]]=Table1346[[#This Row],[Away Team Score]],"Tie","Lose"))</f>
        <v>Lose</v>
      </c>
      <c r="M607" t="s">
        <v>68</v>
      </c>
      <c r="N607">
        <v>49</v>
      </c>
      <c r="O607" s="3">
        <v>4.2361111111111113E-2</v>
      </c>
      <c r="P607" t="s">
        <v>31</v>
      </c>
      <c r="R607" t="e">
        <f>IF([1]!Table13[[#This Row],[Goal_assist]]="",1,0)</f>
        <v>#REF!</v>
      </c>
    </row>
    <row r="608" spans="1:18" x14ac:dyDescent="0.35">
      <c r="A608" t="s">
        <v>64</v>
      </c>
      <c r="B608" s="4">
        <v>41609</v>
      </c>
      <c r="C608" t="s">
        <v>65</v>
      </c>
      <c r="D608">
        <v>24</v>
      </c>
      <c r="E608" s="2">
        <v>41321</v>
      </c>
      <c r="F608" t="s">
        <v>24</v>
      </c>
      <c r="G608" t="s">
        <v>66</v>
      </c>
      <c r="H608" t="s">
        <v>233</v>
      </c>
      <c r="I608" s="3">
        <v>4.3055555555555555E-2</v>
      </c>
      <c r="J608" s="8" t="s">
        <v>444</v>
      </c>
      <c r="K608" s="8" t="s">
        <v>445</v>
      </c>
      <c r="L608" s="8" t="str">
        <f>IF(Table1346[[#This Row],[Home Team Score]]&gt;Table1346[[#This Row],[Away Team Score]],"Win",IF(Table1346[[#This Row],[Home Team Score]]=Table1346[[#This Row],[Away Team Score]],"Tie","Lose"))</f>
        <v>Lose</v>
      </c>
      <c r="M608" t="s">
        <v>68</v>
      </c>
      <c r="N608">
        <v>72</v>
      </c>
      <c r="O608" s="3">
        <v>4.3055555555555555E-2</v>
      </c>
      <c r="P608" t="s">
        <v>39</v>
      </c>
      <c r="R608" t="e">
        <f>IF([1]!Table13[[#This Row],[Goal_assist]]="",1,0)</f>
        <v>#REF!</v>
      </c>
    </row>
    <row r="609" spans="1:18" x14ac:dyDescent="0.35">
      <c r="A609" t="s">
        <v>64</v>
      </c>
      <c r="B609" s="4">
        <v>41609</v>
      </c>
      <c r="C609" t="s">
        <v>65</v>
      </c>
      <c r="D609">
        <v>25</v>
      </c>
      <c r="E609" s="2">
        <v>41328</v>
      </c>
      <c r="F609" t="s">
        <v>16</v>
      </c>
      <c r="G609" t="s">
        <v>66</v>
      </c>
      <c r="H609" t="s">
        <v>105</v>
      </c>
      <c r="I609" s="3">
        <v>8.4027777777777785E-2</v>
      </c>
      <c r="J609" s="8" t="s">
        <v>445</v>
      </c>
      <c r="K609" s="8" t="s">
        <v>444</v>
      </c>
      <c r="L609" s="8" t="str">
        <f>IF(Table1346[[#This Row],[Home Team Score]]&gt;Table1346[[#This Row],[Away Team Score]],"Win",IF(Table1346[[#This Row],[Home Team Score]]=Table1346[[#This Row],[Away Team Score]],"Tie","Lose"))</f>
        <v>Win</v>
      </c>
      <c r="M609" t="s">
        <v>68</v>
      </c>
      <c r="N609">
        <v>60</v>
      </c>
      <c r="O609" s="3">
        <v>8.4027777777777785E-2</v>
      </c>
      <c r="P609" t="s">
        <v>31</v>
      </c>
      <c r="Q609" t="s">
        <v>237</v>
      </c>
      <c r="R609" t="e">
        <f>IF([1]!Table13[[#This Row],[Goal_assist]]="",1,0)</f>
        <v>#REF!</v>
      </c>
    </row>
    <row r="610" spans="1:18" x14ac:dyDescent="0.35">
      <c r="A610" t="s">
        <v>14</v>
      </c>
      <c r="B610" s="4">
        <v>41609</v>
      </c>
      <c r="C610" t="s">
        <v>91</v>
      </c>
      <c r="D610" t="s">
        <v>62</v>
      </c>
      <c r="E610" s="2">
        <v>41331</v>
      </c>
      <c r="F610" t="s">
        <v>24</v>
      </c>
      <c r="G610" t="s">
        <v>112</v>
      </c>
      <c r="H610" t="s">
        <v>66</v>
      </c>
      <c r="I610" s="3">
        <v>4.3749999999999997E-2</v>
      </c>
      <c r="J610" s="8" t="s">
        <v>444</v>
      </c>
      <c r="K610" s="8" t="s">
        <v>442</v>
      </c>
      <c r="L610" s="8" t="str">
        <f>IF(Table1346[[#This Row],[Home Team Score]]&gt;Table1346[[#This Row],[Away Team Score]],"Win",IF(Table1346[[#This Row],[Home Team Score]]=Table1346[[#This Row],[Away Team Score]],"Tie","Lose"))</f>
        <v>Lose</v>
      </c>
      <c r="M610" t="s">
        <v>19</v>
      </c>
      <c r="N610">
        <v>12</v>
      </c>
      <c r="O610" s="3">
        <v>6.9444444444444447E-4</v>
      </c>
      <c r="P610" t="s">
        <v>83</v>
      </c>
      <c r="R610" t="e">
        <f>IF([1]!Table13[[#This Row],[Goal_assist]]="",1,0)</f>
        <v>#REF!</v>
      </c>
    </row>
    <row r="611" spans="1:18" x14ac:dyDescent="0.35">
      <c r="A611" t="s">
        <v>14</v>
      </c>
      <c r="B611" s="4">
        <v>41609</v>
      </c>
      <c r="C611" t="s">
        <v>91</v>
      </c>
      <c r="D611" t="s">
        <v>62</v>
      </c>
      <c r="E611" s="2">
        <v>41331</v>
      </c>
      <c r="F611" t="s">
        <v>24</v>
      </c>
      <c r="G611" t="s">
        <v>112</v>
      </c>
      <c r="H611" t="s">
        <v>66</v>
      </c>
      <c r="I611" s="3">
        <v>4.3749999999999997E-2</v>
      </c>
      <c r="J611" s="8" t="s">
        <v>444</v>
      </c>
      <c r="K611" s="8" t="s">
        <v>442</v>
      </c>
      <c r="L611" s="8" t="str">
        <f>IF(Table1346[[#This Row],[Home Team Score]]&gt;Table1346[[#This Row],[Away Team Score]],"Win",IF(Table1346[[#This Row],[Home Team Score]]=Table1346[[#This Row],[Away Team Score]],"Tie","Lose"))</f>
        <v>Lose</v>
      </c>
      <c r="M611" t="s">
        <v>19</v>
      </c>
      <c r="N611">
        <v>57</v>
      </c>
      <c r="O611" s="3">
        <v>1.3888888888888889E-3</v>
      </c>
      <c r="P611" t="s">
        <v>31</v>
      </c>
      <c r="R611" t="e">
        <f>IF([1]!Table13[[#This Row],[Goal_assist]]="",1,0)</f>
        <v>#REF!</v>
      </c>
    </row>
    <row r="612" spans="1:18" x14ac:dyDescent="0.35">
      <c r="A612" t="s">
        <v>64</v>
      </c>
      <c r="B612" s="4">
        <v>41609</v>
      </c>
      <c r="C612" t="s">
        <v>65</v>
      </c>
      <c r="D612">
        <v>26</v>
      </c>
      <c r="E612" s="2">
        <v>41335</v>
      </c>
      <c r="F612" t="s">
        <v>24</v>
      </c>
      <c r="G612" t="s">
        <v>66</v>
      </c>
      <c r="H612" t="s">
        <v>112</v>
      </c>
      <c r="I612" s="3">
        <v>8.4027777777777785E-2</v>
      </c>
      <c r="J612" s="8" t="s">
        <v>445</v>
      </c>
      <c r="K612" s="8" t="s">
        <v>444</v>
      </c>
      <c r="L612" s="8" t="str">
        <f>IF(Table1346[[#This Row],[Home Team Score]]&gt;Table1346[[#This Row],[Away Team Score]],"Win",IF(Table1346[[#This Row],[Home Team Score]]=Table1346[[#This Row],[Away Team Score]],"Tie","Lose"))</f>
        <v>Win</v>
      </c>
      <c r="M612" t="s">
        <v>68</v>
      </c>
      <c r="N612">
        <v>18</v>
      </c>
      <c r="O612" s="3">
        <v>4.2361111111111113E-2</v>
      </c>
      <c r="P612" t="s">
        <v>31</v>
      </c>
      <c r="Q612" t="s">
        <v>155</v>
      </c>
      <c r="R612" t="e">
        <f>IF([1]!Table13[[#This Row],[Goal_assist]]="",1,0)</f>
        <v>#REF!</v>
      </c>
    </row>
    <row r="613" spans="1:18" x14ac:dyDescent="0.35">
      <c r="A613" t="s">
        <v>14</v>
      </c>
      <c r="B613" s="4">
        <v>41609</v>
      </c>
      <c r="C613" t="s">
        <v>75</v>
      </c>
      <c r="D613" t="s">
        <v>143</v>
      </c>
      <c r="E613" s="2">
        <v>41338</v>
      </c>
      <c r="F613" t="s">
        <v>24</v>
      </c>
      <c r="G613" t="s">
        <v>112</v>
      </c>
      <c r="H613" t="s">
        <v>36</v>
      </c>
      <c r="I613" s="3">
        <v>4.3055555555555555E-2</v>
      </c>
      <c r="J613" s="8" t="s">
        <v>444</v>
      </c>
      <c r="K613" s="8" t="s">
        <v>445</v>
      </c>
      <c r="L613" s="8" t="str">
        <f>IF(Table1346[[#This Row],[Home Team Score]]&gt;Table1346[[#This Row],[Away Team Score]],"Win",IF(Table1346[[#This Row],[Home Team Score]]=Table1346[[#This Row],[Away Team Score]],"Tie","Lose"))</f>
        <v>Lose</v>
      </c>
      <c r="M613" t="s">
        <v>19</v>
      </c>
      <c r="N613">
        <v>69</v>
      </c>
      <c r="O613" s="3">
        <v>4.3055555555555555E-2</v>
      </c>
      <c r="P613" t="s">
        <v>26</v>
      </c>
      <c r="Q613" t="s">
        <v>188</v>
      </c>
      <c r="R613" t="e">
        <f>IF([1]!Table13[[#This Row],[Goal_assist]]="",1,0)</f>
        <v>#REF!</v>
      </c>
    </row>
    <row r="614" spans="1:18" x14ac:dyDescent="0.35">
      <c r="A614" t="s">
        <v>64</v>
      </c>
      <c r="B614" s="4">
        <v>41609</v>
      </c>
      <c r="C614" t="s">
        <v>65</v>
      </c>
      <c r="D614">
        <v>27</v>
      </c>
      <c r="E614" s="2">
        <v>41342</v>
      </c>
      <c r="F614" t="s">
        <v>16</v>
      </c>
      <c r="G614" t="s">
        <v>66</v>
      </c>
      <c r="H614" t="s">
        <v>115</v>
      </c>
      <c r="I614" s="3">
        <v>8.3333333333333329E-2</v>
      </c>
      <c r="J614" s="8" t="s">
        <v>445</v>
      </c>
      <c r="K614" s="8" t="s">
        <v>443</v>
      </c>
      <c r="L614" s="8" t="str">
        <f>IF(Table1346[[#This Row],[Home Team Score]]&gt;Table1346[[#This Row],[Away Team Score]],"Win",IF(Table1346[[#This Row],[Home Team Score]]=Table1346[[#This Row],[Away Team Score]],"Tie","Lose"))</f>
        <v>Win</v>
      </c>
      <c r="M614" t="s">
        <v>68</v>
      </c>
      <c r="N614">
        <v>88</v>
      </c>
      <c r="O614" s="3">
        <v>8.3333333333333329E-2</v>
      </c>
      <c r="P614" t="s">
        <v>31</v>
      </c>
      <c r="Q614" t="s">
        <v>234</v>
      </c>
      <c r="R614" t="e">
        <f>IF([1]!Table13[[#This Row],[Goal_assist]]="",1,0)</f>
        <v>#REF!</v>
      </c>
    </row>
    <row r="615" spans="1:18" x14ac:dyDescent="0.35">
      <c r="A615" t="s">
        <v>14</v>
      </c>
      <c r="B615" s="4">
        <v>41609</v>
      </c>
      <c r="C615" t="s">
        <v>65</v>
      </c>
      <c r="D615">
        <v>27</v>
      </c>
      <c r="E615" s="2">
        <v>41343</v>
      </c>
      <c r="F615" t="s">
        <v>24</v>
      </c>
      <c r="G615" t="s">
        <v>112</v>
      </c>
      <c r="H615" t="s">
        <v>98</v>
      </c>
      <c r="I615" s="3">
        <v>4.3055555555555555E-2</v>
      </c>
      <c r="J615" s="8" t="s">
        <v>444</v>
      </c>
      <c r="K615" s="8" t="s">
        <v>445</v>
      </c>
      <c r="L615" s="8" t="str">
        <f>IF(Table1346[[#This Row],[Home Team Score]]&gt;Table1346[[#This Row],[Away Team Score]],"Win",IF(Table1346[[#This Row],[Home Team Score]]=Table1346[[#This Row],[Away Team Score]],"Tie","Lose"))</f>
        <v>Lose</v>
      </c>
      <c r="M615" t="s">
        <v>19</v>
      </c>
      <c r="N615">
        <v>71</v>
      </c>
      <c r="O615" s="3">
        <v>4.3055555555555555E-2</v>
      </c>
      <c r="P615" t="s">
        <v>83</v>
      </c>
      <c r="R615" t="e">
        <f>IF([1]!Table13[[#This Row],[Goal_assist]]="",1,0)</f>
        <v>#REF!</v>
      </c>
    </row>
    <row r="616" spans="1:18" x14ac:dyDescent="0.35">
      <c r="A616" t="s">
        <v>14</v>
      </c>
      <c r="B616" s="4">
        <v>41609</v>
      </c>
      <c r="C616" t="s">
        <v>65</v>
      </c>
      <c r="D616">
        <v>27</v>
      </c>
      <c r="E616" s="2">
        <v>41343</v>
      </c>
      <c r="F616" t="s">
        <v>24</v>
      </c>
      <c r="G616" t="s">
        <v>112</v>
      </c>
      <c r="H616" t="s">
        <v>98</v>
      </c>
      <c r="I616" s="3">
        <v>4.3055555555555555E-2</v>
      </c>
      <c r="J616" s="8" t="s">
        <v>444</v>
      </c>
      <c r="K616" s="8" t="s">
        <v>445</v>
      </c>
      <c r="L616" s="8" t="str">
        <f>IF(Table1346[[#This Row],[Home Team Score]]&gt;Table1346[[#This Row],[Away Team Score]],"Win",IF(Table1346[[#This Row],[Home Team Score]]=Table1346[[#This Row],[Away Team Score]],"Tie","Lose"))</f>
        <v>Lose</v>
      </c>
      <c r="M616" t="s">
        <v>19</v>
      </c>
      <c r="N616">
        <v>61</v>
      </c>
      <c r="O616" s="3">
        <v>6.9444444444444447E-4</v>
      </c>
      <c r="P616" t="s">
        <v>31</v>
      </c>
      <c r="Q616" t="s">
        <v>244</v>
      </c>
      <c r="R616" t="e">
        <f>IF([1]!Table13[[#This Row],[Goal_assist]]="",1,0)</f>
        <v>#REF!</v>
      </c>
    </row>
    <row r="617" spans="1:18" x14ac:dyDescent="0.35">
      <c r="A617" t="s">
        <v>64</v>
      </c>
      <c r="B617" s="4">
        <v>41609</v>
      </c>
      <c r="C617" t="s">
        <v>75</v>
      </c>
      <c r="D617" t="s">
        <v>143</v>
      </c>
      <c r="E617" s="2">
        <v>41345</v>
      </c>
      <c r="F617" t="s">
        <v>16</v>
      </c>
      <c r="G617" t="s">
        <v>66</v>
      </c>
      <c r="H617" t="s">
        <v>118</v>
      </c>
      <c r="I617" s="3">
        <v>0.16666666666666666</v>
      </c>
      <c r="J617" s="8" t="s">
        <v>446</v>
      </c>
      <c r="K617" s="8" t="s">
        <v>443</v>
      </c>
      <c r="L617" s="8" t="str">
        <f>IF(Table1346[[#This Row],[Home Team Score]]&gt;Table1346[[#This Row],[Away Team Score]],"Win",IF(Table1346[[#This Row],[Home Team Score]]=Table1346[[#This Row],[Away Team Score]],"Tie","Lose"))</f>
        <v>Win</v>
      </c>
      <c r="M617" t="s">
        <v>68</v>
      </c>
      <c r="N617">
        <v>5</v>
      </c>
      <c r="O617" s="3">
        <v>4.1666666666666664E-2</v>
      </c>
      <c r="P617" t="s">
        <v>31</v>
      </c>
      <c r="Q617" t="s">
        <v>106</v>
      </c>
      <c r="R617" t="e">
        <f>IF([1]!Table13[[#This Row],[Goal_assist]]="",1,0)</f>
        <v>#REF!</v>
      </c>
    </row>
    <row r="618" spans="1:18" x14ac:dyDescent="0.35">
      <c r="A618" t="s">
        <v>64</v>
      </c>
      <c r="B618" s="4">
        <v>41609</v>
      </c>
      <c r="C618" t="s">
        <v>75</v>
      </c>
      <c r="D618" t="s">
        <v>143</v>
      </c>
      <c r="E618" s="2">
        <v>41345</v>
      </c>
      <c r="F618" t="s">
        <v>16</v>
      </c>
      <c r="G618" t="s">
        <v>66</v>
      </c>
      <c r="H618" t="s">
        <v>118</v>
      </c>
      <c r="I618" s="3">
        <v>0.16666666666666666</v>
      </c>
      <c r="J618" s="8" t="s">
        <v>446</v>
      </c>
      <c r="K618" s="8" t="s">
        <v>443</v>
      </c>
      <c r="L618" s="8" t="str">
        <f>IF(Table1346[[#This Row],[Home Team Score]]&gt;Table1346[[#This Row],[Away Team Score]],"Win",IF(Table1346[[#This Row],[Home Team Score]]=Table1346[[#This Row],[Away Team Score]],"Tie","Lose"))</f>
        <v>Win</v>
      </c>
      <c r="M618" t="s">
        <v>68</v>
      </c>
      <c r="N618">
        <v>40</v>
      </c>
      <c r="O618" s="3">
        <v>8.3333333333333329E-2</v>
      </c>
      <c r="P618" t="s">
        <v>31</v>
      </c>
      <c r="Q618" t="s">
        <v>99</v>
      </c>
      <c r="R618" t="e">
        <f>IF([1]!Table13[[#This Row],[Goal_assist]]="",1,0)</f>
        <v>#REF!</v>
      </c>
    </row>
    <row r="619" spans="1:18" x14ac:dyDescent="0.35">
      <c r="A619" t="s">
        <v>14</v>
      </c>
      <c r="B619" s="4">
        <v>41609</v>
      </c>
      <c r="C619" t="s">
        <v>65</v>
      </c>
      <c r="D619">
        <v>28</v>
      </c>
      <c r="E619" s="2">
        <v>41349</v>
      </c>
      <c r="F619" t="s">
        <v>16</v>
      </c>
      <c r="G619" t="s">
        <v>112</v>
      </c>
      <c r="H619" t="s">
        <v>89</v>
      </c>
      <c r="I619" s="3">
        <v>0.20972222222222223</v>
      </c>
      <c r="J619" s="8" t="s">
        <v>448</v>
      </c>
      <c r="K619" s="8" t="s">
        <v>445</v>
      </c>
      <c r="L619" s="8" t="str">
        <f>IF(Table1346[[#This Row],[Home Team Score]]&gt;Table1346[[#This Row],[Away Team Score]],"Win",IF(Table1346[[#This Row],[Home Team Score]]=Table1346[[#This Row],[Away Team Score]],"Tie","Lose"))</f>
        <v>Win</v>
      </c>
      <c r="M619" t="s">
        <v>19</v>
      </c>
      <c r="N619">
        <v>52</v>
      </c>
      <c r="O619" s="3">
        <v>8.4722222222222227E-2</v>
      </c>
      <c r="P619" t="s">
        <v>22</v>
      </c>
      <c r="Q619" t="s">
        <v>204</v>
      </c>
      <c r="R619" t="e">
        <f>IF([1]!Table13[[#This Row],[Goal_assist]]="",1,0)</f>
        <v>#REF!</v>
      </c>
    </row>
    <row r="620" spans="1:18" x14ac:dyDescent="0.35">
      <c r="A620" t="s">
        <v>64</v>
      </c>
      <c r="B620" s="4">
        <v>41609</v>
      </c>
      <c r="C620" t="s">
        <v>65</v>
      </c>
      <c r="D620">
        <v>28</v>
      </c>
      <c r="E620" s="2">
        <v>41350</v>
      </c>
      <c r="F620" t="s">
        <v>16</v>
      </c>
      <c r="G620" t="s">
        <v>66</v>
      </c>
      <c r="H620" t="s">
        <v>225</v>
      </c>
      <c r="I620" s="3">
        <v>0.12569444444444444</v>
      </c>
      <c r="J620" s="8" t="s">
        <v>442</v>
      </c>
      <c r="K620" s="8" t="s">
        <v>444</v>
      </c>
      <c r="L620" s="8" t="str">
        <f>IF(Table1346[[#This Row],[Home Team Score]]&gt;Table1346[[#This Row],[Away Team Score]],"Win",IF(Table1346[[#This Row],[Home Team Score]]=Table1346[[#This Row],[Away Team Score]],"Tie","Lose"))</f>
        <v>Win</v>
      </c>
      <c r="M620" t="s">
        <v>68</v>
      </c>
      <c r="N620">
        <v>40</v>
      </c>
      <c r="O620" s="3">
        <v>8.3333333333333329E-2</v>
      </c>
      <c r="P620" t="s">
        <v>31</v>
      </c>
      <c r="Q620" t="s">
        <v>208</v>
      </c>
      <c r="R620" t="e">
        <f>IF([1]!Table13[[#This Row],[Goal_assist]]="",1,0)</f>
        <v>#REF!</v>
      </c>
    </row>
    <row r="621" spans="1:18" x14ac:dyDescent="0.35">
      <c r="A621" t="s">
        <v>64</v>
      </c>
      <c r="B621" s="4">
        <v>41609</v>
      </c>
      <c r="C621" t="s">
        <v>65</v>
      </c>
      <c r="D621">
        <v>28</v>
      </c>
      <c r="E621" s="2">
        <v>41350</v>
      </c>
      <c r="F621" t="s">
        <v>16</v>
      </c>
      <c r="G621" t="s">
        <v>66</v>
      </c>
      <c r="H621" t="s">
        <v>225</v>
      </c>
      <c r="I621" s="3">
        <v>0.12569444444444444</v>
      </c>
      <c r="J621" s="8" t="s">
        <v>442</v>
      </c>
      <c r="K621" s="8" t="s">
        <v>444</v>
      </c>
      <c r="L621" s="8" t="str">
        <f>IF(Table1346[[#This Row],[Home Team Score]]&gt;Table1346[[#This Row],[Away Team Score]],"Win",IF(Table1346[[#This Row],[Home Team Score]]=Table1346[[#This Row],[Away Team Score]],"Tie","Lose"))</f>
        <v>Win</v>
      </c>
      <c r="M621" t="s">
        <v>68</v>
      </c>
      <c r="N621">
        <v>57</v>
      </c>
      <c r="O621" s="3">
        <v>0.125</v>
      </c>
      <c r="P621" t="s">
        <v>31</v>
      </c>
      <c r="Q621" t="s">
        <v>208</v>
      </c>
      <c r="R621" t="e">
        <f>IF([1]!Table13[[#This Row],[Goal_assist]]="",1,0)</f>
        <v>#REF!</v>
      </c>
    </row>
    <row r="622" spans="1:18" x14ac:dyDescent="0.35">
      <c r="A622" t="s">
        <v>64</v>
      </c>
      <c r="B622" s="4">
        <v>41609</v>
      </c>
      <c r="C622" t="s">
        <v>65</v>
      </c>
      <c r="D622">
        <v>29</v>
      </c>
      <c r="E622" s="2">
        <v>41363</v>
      </c>
      <c r="F622" t="s">
        <v>24</v>
      </c>
      <c r="G622" t="s">
        <v>66</v>
      </c>
      <c r="H622" t="s">
        <v>98</v>
      </c>
      <c r="I622" s="3">
        <v>8.4722222222222227E-2</v>
      </c>
      <c r="J622" s="8" t="s">
        <v>445</v>
      </c>
      <c r="K622" s="8" t="s">
        <v>445</v>
      </c>
      <c r="L622" s="8" t="str">
        <f>IF(Table1346[[#This Row],[Home Team Score]]&gt;Table1346[[#This Row],[Away Team Score]],"Win",IF(Table1346[[#This Row],[Home Team Score]]=Table1346[[#This Row],[Away Team Score]],"Tie","Lose"))</f>
        <v>Tie</v>
      </c>
      <c r="M622" t="s">
        <v>251</v>
      </c>
      <c r="N622">
        <v>73</v>
      </c>
      <c r="O622" s="3">
        <v>4.3055555555555555E-2</v>
      </c>
      <c r="P622" t="s">
        <v>31</v>
      </c>
      <c r="Q622" t="s">
        <v>237</v>
      </c>
      <c r="R622" t="e">
        <f>IF([1]!Table13[[#This Row],[Goal_assist]]="",1,0)</f>
        <v>#REF!</v>
      </c>
    </row>
    <row r="623" spans="1:18" x14ac:dyDescent="0.35">
      <c r="A623" t="s">
        <v>14</v>
      </c>
      <c r="B623" s="4">
        <v>41609</v>
      </c>
      <c r="C623" t="s">
        <v>65</v>
      </c>
      <c r="D623">
        <v>29</v>
      </c>
      <c r="E623" s="2">
        <v>41363</v>
      </c>
      <c r="F623" t="s">
        <v>24</v>
      </c>
      <c r="G623" t="s">
        <v>112</v>
      </c>
      <c r="H623" t="s">
        <v>93</v>
      </c>
      <c r="I623" s="3">
        <v>4.2361111111111113E-2</v>
      </c>
      <c r="J623" s="8" t="s">
        <v>444</v>
      </c>
      <c r="K623" s="8" t="s">
        <v>444</v>
      </c>
      <c r="L623" s="8" t="str">
        <f>IF(Table1346[[#This Row],[Home Team Score]]&gt;Table1346[[#This Row],[Away Team Score]],"Win",IF(Table1346[[#This Row],[Home Team Score]]=Table1346[[#This Row],[Away Team Score]],"Tie","Lose"))</f>
        <v>Tie</v>
      </c>
      <c r="M623" t="s">
        <v>19</v>
      </c>
      <c r="N623">
        <v>38</v>
      </c>
      <c r="O623" s="3">
        <v>4.2361111111111113E-2</v>
      </c>
      <c r="P623" t="s">
        <v>170</v>
      </c>
      <c r="R623" t="e">
        <f>IF([1]!Table13[[#This Row],[Goal_assist]]="",1,0)</f>
        <v>#REF!</v>
      </c>
    </row>
    <row r="624" spans="1:18" x14ac:dyDescent="0.35">
      <c r="A624" t="s">
        <v>64</v>
      </c>
      <c r="B624" s="4">
        <v>41609</v>
      </c>
      <c r="C624" t="s">
        <v>75</v>
      </c>
      <c r="D624" t="s">
        <v>92</v>
      </c>
      <c r="E624" s="2">
        <v>41366</v>
      </c>
      <c r="F624" t="s">
        <v>24</v>
      </c>
      <c r="G624" t="s">
        <v>66</v>
      </c>
      <c r="H624" t="s">
        <v>252</v>
      </c>
      <c r="I624" s="3">
        <v>8.4722222222222227E-2</v>
      </c>
      <c r="J624" s="8" t="s">
        <v>445</v>
      </c>
      <c r="K624" s="8" t="s">
        <v>445</v>
      </c>
      <c r="L624" s="8" t="str">
        <f>IF(Table1346[[#This Row],[Home Team Score]]&gt;Table1346[[#This Row],[Away Team Score]],"Win",IF(Table1346[[#This Row],[Home Team Score]]=Table1346[[#This Row],[Away Team Score]],"Tie","Lose"))</f>
        <v>Tie</v>
      </c>
      <c r="M624" t="s">
        <v>68</v>
      </c>
      <c r="N624">
        <v>38</v>
      </c>
      <c r="O624" s="3">
        <v>6.9444444444444447E-4</v>
      </c>
      <c r="P624" t="s">
        <v>31</v>
      </c>
      <c r="Q624" t="s">
        <v>155</v>
      </c>
      <c r="R624" t="e">
        <f>IF([1]!Table13[[#This Row],[Goal_assist]]="",1,0)</f>
        <v>#REF!</v>
      </c>
    </row>
    <row r="625" spans="1:18" x14ac:dyDescent="0.35">
      <c r="A625" t="s">
        <v>14</v>
      </c>
      <c r="B625" s="4">
        <v>41609</v>
      </c>
      <c r="C625" t="s">
        <v>75</v>
      </c>
      <c r="D625" t="s">
        <v>92</v>
      </c>
      <c r="E625" s="2">
        <v>41367</v>
      </c>
      <c r="F625" t="s">
        <v>16</v>
      </c>
      <c r="G625" t="s">
        <v>112</v>
      </c>
      <c r="H625" t="s">
        <v>253</v>
      </c>
      <c r="I625" s="3">
        <v>0.125</v>
      </c>
      <c r="J625" s="8" t="s">
        <v>442</v>
      </c>
      <c r="K625" s="8" t="s">
        <v>443</v>
      </c>
      <c r="L625" s="8" t="str">
        <f>IF(Table1346[[#This Row],[Home Team Score]]&gt;Table1346[[#This Row],[Away Team Score]],"Win",IF(Table1346[[#This Row],[Home Team Score]]=Table1346[[#This Row],[Away Team Score]],"Tie","Lose"))</f>
        <v>Win</v>
      </c>
      <c r="M625" t="s">
        <v>19</v>
      </c>
      <c r="N625">
        <v>9</v>
      </c>
      <c r="O625" s="3">
        <v>4.1666666666666664E-2</v>
      </c>
      <c r="P625" t="s">
        <v>31</v>
      </c>
      <c r="Q625" t="s">
        <v>204</v>
      </c>
      <c r="R625" t="e">
        <f>IF([1]!Table13[[#This Row],[Goal_assist]]="",1,0)</f>
        <v>#REF!</v>
      </c>
    </row>
    <row r="626" spans="1:18" x14ac:dyDescent="0.35">
      <c r="A626" t="s">
        <v>14</v>
      </c>
      <c r="B626" s="4">
        <v>41609</v>
      </c>
      <c r="C626" t="s">
        <v>65</v>
      </c>
      <c r="D626">
        <v>30</v>
      </c>
      <c r="E626" s="2">
        <v>41370</v>
      </c>
      <c r="F626" t="s">
        <v>16</v>
      </c>
      <c r="G626" t="s">
        <v>112</v>
      </c>
      <c r="H626" t="s">
        <v>127</v>
      </c>
      <c r="I626" s="3">
        <v>0.20902777777777778</v>
      </c>
      <c r="J626" s="8" t="s">
        <v>448</v>
      </c>
      <c r="K626" s="8" t="s">
        <v>444</v>
      </c>
      <c r="L626" s="8" t="str">
        <f>IF(Table1346[[#This Row],[Home Team Score]]&gt;Table1346[[#This Row],[Away Team Score]],"Win",IF(Table1346[[#This Row],[Home Team Score]]=Table1346[[#This Row],[Away Team Score]],"Tie","Lose"))</f>
        <v>Win</v>
      </c>
      <c r="M626" t="s">
        <v>68</v>
      </c>
      <c r="N626">
        <v>84</v>
      </c>
      <c r="O626" s="3">
        <v>0.12569444444444444</v>
      </c>
      <c r="P626" t="s">
        <v>26</v>
      </c>
      <c r="Q626" t="s">
        <v>188</v>
      </c>
      <c r="R626" t="e">
        <f>IF([1]!Table13[[#This Row],[Goal_assist]]="",1,0)</f>
        <v>#REF!</v>
      </c>
    </row>
    <row r="627" spans="1:18" x14ac:dyDescent="0.35">
      <c r="A627" t="s">
        <v>14</v>
      </c>
      <c r="B627" s="4">
        <v>41609</v>
      </c>
      <c r="C627" t="s">
        <v>75</v>
      </c>
      <c r="D627" t="s">
        <v>92</v>
      </c>
      <c r="E627" s="2">
        <v>41373</v>
      </c>
      <c r="F627" t="s">
        <v>24</v>
      </c>
      <c r="G627" t="s">
        <v>112</v>
      </c>
      <c r="H627" t="s">
        <v>253</v>
      </c>
      <c r="I627" s="3">
        <v>0.12638888888888888</v>
      </c>
      <c r="J627" s="8" t="s">
        <v>442</v>
      </c>
      <c r="K627" s="8" t="s">
        <v>445</v>
      </c>
      <c r="L627" s="8" t="str">
        <f>IF(Table1346[[#This Row],[Home Team Score]]&gt;Table1346[[#This Row],[Away Team Score]],"Win",IF(Table1346[[#This Row],[Home Team Score]]=Table1346[[#This Row],[Away Team Score]],"Tie","Lose"))</f>
        <v>Win</v>
      </c>
      <c r="M627" t="s">
        <v>19</v>
      </c>
      <c r="N627" t="s">
        <v>141</v>
      </c>
      <c r="O627" s="3">
        <v>0.12638888888888888</v>
      </c>
      <c r="P627" t="s">
        <v>26</v>
      </c>
      <c r="Q627" t="s">
        <v>183</v>
      </c>
      <c r="R627" t="e">
        <f>IF([1]!Table13[[#This Row],[Goal_assist]]="",1,0)</f>
        <v>#REF!</v>
      </c>
    </row>
    <row r="628" spans="1:18" x14ac:dyDescent="0.35">
      <c r="A628" t="s">
        <v>14</v>
      </c>
      <c r="B628" s="4">
        <v>41609</v>
      </c>
      <c r="C628" t="s">
        <v>75</v>
      </c>
      <c r="D628" t="s">
        <v>92</v>
      </c>
      <c r="E628" s="2">
        <v>41373</v>
      </c>
      <c r="F628" t="s">
        <v>24</v>
      </c>
      <c r="G628" t="s">
        <v>112</v>
      </c>
      <c r="H628" t="s">
        <v>253</v>
      </c>
      <c r="I628" s="3">
        <v>0.12638888888888888</v>
      </c>
      <c r="J628" s="8" t="s">
        <v>442</v>
      </c>
      <c r="K628" s="8" t="s">
        <v>445</v>
      </c>
      <c r="L628" s="8" t="str">
        <f>IF(Table1346[[#This Row],[Home Team Score]]&gt;Table1346[[#This Row],[Away Team Score]],"Win",IF(Table1346[[#This Row],[Home Team Score]]=Table1346[[#This Row],[Away Team Score]],"Tie","Lose"))</f>
        <v>Win</v>
      </c>
      <c r="M628" t="s">
        <v>19</v>
      </c>
      <c r="N628">
        <v>8</v>
      </c>
      <c r="O628" s="3">
        <v>6.9444444444444447E-4</v>
      </c>
      <c r="P628" t="s">
        <v>26</v>
      </c>
      <c r="Q628" t="s">
        <v>219</v>
      </c>
      <c r="R628" t="e">
        <f>IF([1]!Table13[[#This Row],[Goal_assist]]="",1,0)</f>
        <v>#REF!</v>
      </c>
    </row>
    <row r="629" spans="1:18" x14ac:dyDescent="0.35">
      <c r="A629" t="s">
        <v>14</v>
      </c>
      <c r="B629" s="4">
        <v>41609</v>
      </c>
      <c r="C629" t="s">
        <v>65</v>
      </c>
      <c r="D629">
        <v>31</v>
      </c>
      <c r="E629" s="2">
        <v>41378</v>
      </c>
      <c r="F629" t="s">
        <v>24</v>
      </c>
      <c r="G629" t="s">
        <v>112</v>
      </c>
      <c r="H629" t="s">
        <v>86</v>
      </c>
      <c r="I629" s="3">
        <v>2.0833333333333333E-3</v>
      </c>
      <c r="J629" s="8" t="s">
        <v>443</v>
      </c>
      <c r="K629" s="8" t="s">
        <v>442</v>
      </c>
      <c r="L629" s="8" t="str">
        <f>IF(Table1346[[#This Row],[Home Team Score]]&gt;Table1346[[#This Row],[Away Team Score]],"Win",IF(Table1346[[#This Row],[Home Team Score]]=Table1346[[#This Row],[Away Team Score]],"Tie","Lose"))</f>
        <v>Lose</v>
      </c>
      <c r="M629" t="s">
        <v>19</v>
      </c>
      <c r="N629">
        <v>2</v>
      </c>
      <c r="O629" s="3">
        <v>6.9444444444444447E-4</v>
      </c>
      <c r="P629" t="s">
        <v>39</v>
      </c>
      <c r="R629" t="e">
        <f>IF([1]!Table13[[#This Row],[Goal_assist]]="",1,0)</f>
        <v>#REF!</v>
      </c>
    </row>
    <row r="630" spans="1:18" x14ac:dyDescent="0.35">
      <c r="A630" t="s">
        <v>14</v>
      </c>
      <c r="B630" s="4">
        <v>41609</v>
      </c>
      <c r="C630" t="s">
        <v>65</v>
      </c>
      <c r="D630">
        <v>31</v>
      </c>
      <c r="E630" s="2">
        <v>41378</v>
      </c>
      <c r="F630" t="s">
        <v>24</v>
      </c>
      <c r="G630" t="s">
        <v>112</v>
      </c>
      <c r="H630" t="s">
        <v>86</v>
      </c>
      <c r="I630" s="3">
        <v>2.0833333333333333E-3</v>
      </c>
      <c r="J630" s="8" t="s">
        <v>443</v>
      </c>
      <c r="K630" s="8" t="s">
        <v>442</v>
      </c>
      <c r="L630" s="8" t="str">
        <f>IF(Table1346[[#This Row],[Home Team Score]]&gt;Table1346[[#This Row],[Away Team Score]],"Win",IF(Table1346[[#This Row],[Home Team Score]]=Table1346[[#This Row],[Away Team Score]],"Tie","Lose"))</f>
        <v>Lose</v>
      </c>
      <c r="M630" t="s">
        <v>19</v>
      </c>
      <c r="N630">
        <v>68</v>
      </c>
      <c r="O630" s="3">
        <v>1.3888888888888889E-3</v>
      </c>
      <c r="P630" t="s">
        <v>22</v>
      </c>
      <c r="Q630" t="s">
        <v>205</v>
      </c>
      <c r="R630" t="e">
        <f>IF([1]!Table13[[#This Row],[Goal_assist]]="",1,0)</f>
        <v>#REF!</v>
      </c>
    </row>
    <row r="631" spans="1:18" x14ac:dyDescent="0.35">
      <c r="A631" t="s">
        <v>14</v>
      </c>
      <c r="B631" s="4">
        <v>41609</v>
      </c>
      <c r="C631" t="s">
        <v>75</v>
      </c>
      <c r="D631" t="s">
        <v>62</v>
      </c>
      <c r="E631" s="2">
        <v>41388</v>
      </c>
      <c r="F631" t="s">
        <v>24</v>
      </c>
      <c r="G631" t="s">
        <v>112</v>
      </c>
      <c r="H631" t="s">
        <v>246</v>
      </c>
      <c r="I631" s="3">
        <v>0.1673611111111111</v>
      </c>
      <c r="J631" s="8" t="s">
        <v>446</v>
      </c>
      <c r="K631" s="8" t="s">
        <v>444</v>
      </c>
      <c r="L631" s="8" t="str">
        <f>IF(Table1346[[#This Row],[Home Team Score]]&gt;Table1346[[#This Row],[Away Team Score]],"Win",IF(Table1346[[#This Row],[Home Team Score]]=Table1346[[#This Row],[Away Team Score]],"Tie","Lose"))</f>
        <v>Win</v>
      </c>
      <c r="M631" t="s">
        <v>19</v>
      </c>
      <c r="N631">
        <v>43</v>
      </c>
      <c r="O631" s="3">
        <v>4.2361111111111113E-2</v>
      </c>
      <c r="P631" t="s">
        <v>26</v>
      </c>
      <c r="Q631" t="s">
        <v>188</v>
      </c>
      <c r="R631" t="e">
        <f>IF([1]!Table13[[#This Row],[Goal_assist]]="",1,0)</f>
        <v>#REF!</v>
      </c>
    </row>
    <row r="632" spans="1:18" x14ac:dyDescent="0.35">
      <c r="A632" t="s">
        <v>64</v>
      </c>
      <c r="B632" s="4">
        <v>41609</v>
      </c>
      <c r="C632" t="s">
        <v>65</v>
      </c>
      <c r="D632">
        <v>33</v>
      </c>
      <c r="E632" s="2">
        <v>41391</v>
      </c>
      <c r="F632" t="s">
        <v>24</v>
      </c>
      <c r="G632" t="s">
        <v>66</v>
      </c>
      <c r="H632" t="s">
        <v>86</v>
      </c>
      <c r="I632" s="3">
        <v>8.4722222222222227E-2</v>
      </c>
      <c r="J632" s="8" t="s">
        <v>445</v>
      </c>
      <c r="K632" s="8" t="s">
        <v>445</v>
      </c>
      <c r="L632" s="8" t="str">
        <f>IF(Table1346[[#This Row],[Home Team Score]]&gt;Table1346[[#This Row],[Away Team Score]],"Win",IF(Table1346[[#This Row],[Home Team Score]]=Table1346[[#This Row],[Away Team Score]],"Tie","Lose"))</f>
        <v>Tie</v>
      </c>
      <c r="M632" t="s">
        <v>68</v>
      </c>
      <c r="N632">
        <v>67</v>
      </c>
      <c r="O632" s="3">
        <v>4.2361111111111113E-2</v>
      </c>
      <c r="P632" t="s">
        <v>31</v>
      </c>
      <c r="Q632" t="s">
        <v>213</v>
      </c>
      <c r="R632" t="e">
        <f>IF([1]!Table13[[#This Row],[Goal_assist]]="",1,0)</f>
        <v>#REF!</v>
      </c>
    </row>
    <row r="633" spans="1:18" x14ac:dyDescent="0.35">
      <c r="A633" t="s">
        <v>14</v>
      </c>
      <c r="B633" s="4">
        <v>41609</v>
      </c>
      <c r="C633" t="s">
        <v>65</v>
      </c>
      <c r="D633">
        <v>34</v>
      </c>
      <c r="E633" s="2">
        <v>41398</v>
      </c>
      <c r="F633" t="s">
        <v>16</v>
      </c>
      <c r="G633" t="s">
        <v>112</v>
      </c>
      <c r="H633" t="s">
        <v>197</v>
      </c>
      <c r="I633" s="3">
        <v>0.16875000000000001</v>
      </c>
      <c r="J633" s="8" t="s">
        <v>446</v>
      </c>
      <c r="K633" s="8" t="s">
        <v>442</v>
      </c>
      <c r="L633" s="8" t="str">
        <f>IF(Table1346[[#This Row],[Home Team Score]]&gt;Table1346[[#This Row],[Away Team Score]],"Win",IF(Table1346[[#This Row],[Home Team Score]]=Table1346[[#This Row],[Away Team Score]],"Tie","Lose"))</f>
        <v>Win</v>
      </c>
      <c r="M633" t="s">
        <v>19</v>
      </c>
      <c r="N633">
        <v>32</v>
      </c>
      <c r="O633" s="3">
        <v>8.4027777777777785E-2</v>
      </c>
      <c r="P633" t="s">
        <v>22</v>
      </c>
      <c r="Q633" t="s">
        <v>207</v>
      </c>
      <c r="R633" t="e">
        <f>IF([1]!Table13[[#This Row],[Goal_assist]]="",1,0)</f>
        <v>#REF!</v>
      </c>
    </row>
    <row r="634" spans="1:18" x14ac:dyDescent="0.35">
      <c r="A634" t="s">
        <v>14</v>
      </c>
      <c r="B634" s="4">
        <v>41609</v>
      </c>
      <c r="C634" t="s">
        <v>65</v>
      </c>
      <c r="D634">
        <v>34</v>
      </c>
      <c r="E634" s="2">
        <v>41398</v>
      </c>
      <c r="F634" t="s">
        <v>16</v>
      </c>
      <c r="G634" t="s">
        <v>112</v>
      </c>
      <c r="H634" t="s">
        <v>197</v>
      </c>
      <c r="I634" s="3">
        <v>0.16875000000000001</v>
      </c>
      <c r="J634" s="8" t="s">
        <v>446</v>
      </c>
      <c r="K634" s="8" t="s">
        <v>442</v>
      </c>
      <c r="L634" s="8" t="str">
        <f>IF(Table1346[[#This Row],[Home Team Score]]&gt;Table1346[[#This Row],[Away Team Score]],"Win",IF(Table1346[[#This Row],[Home Team Score]]=Table1346[[#This Row],[Away Team Score]],"Tie","Lose"))</f>
        <v>Win</v>
      </c>
      <c r="M634" t="s">
        <v>19</v>
      </c>
      <c r="N634">
        <v>70</v>
      </c>
      <c r="O634" s="3">
        <v>0.16805555555555557</v>
      </c>
      <c r="P634" t="s">
        <v>22</v>
      </c>
      <c r="Q634" t="s">
        <v>204</v>
      </c>
      <c r="R634" t="e">
        <f>IF([1]!Table13[[#This Row],[Goal_assist]]="",1,0)</f>
        <v>#REF!</v>
      </c>
    </row>
    <row r="635" spans="1:18" x14ac:dyDescent="0.35">
      <c r="A635" t="s">
        <v>64</v>
      </c>
      <c r="B635" s="4">
        <v>41609</v>
      </c>
      <c r="C635" t="s">
        <v>65</v>
      </c>
      <c r="D635">
        <v>34</v>
      </c>
      <c r="E635" s="2">
        <v>41399</v>
      </c>
      <c r="F635" t="s">
        <v>16</v>
      </c>
      <c r="G635" t="s">
        <v>66</v>
      </c>
      <c r="H635" t="s">
        <v>95</v>
      </c>
      <c r="I635" s="3">
        <v>0.16805555555555557</v>
      </c>
      <c r="J635" s="8" t="s">
        <v>446</v>
      </c>
      <c r="K635" s="8" t="s">
        <v>445</v>
      </c>
      <c r="L635" s="8" t="str">
        <f>IF(Table1346[[#This Row],[Home Team Score]]&gt;Table1346[[#This Row],[Away Team Score]],"Win",IF(Table1346[[#This Row],[Home Team Score]]=Table1346[[#This Row],[Away Team Score]],"Tie","Lose"))</f>
        <v>Win</v>
      </c>
      <c r="M635" t="s">
        <v>68</v>
      </c>
      <c r="N635">
        <v>60</v>
      </c>
      <c r="O635" s="3">
        <v>0.12638888888888888</v>
      </c>
      <c r="P635" t="s">
        <v>39</v>
      </c>
      <c r="R635" t="e">
        <f>IF([1]!Table13[[#This Row],[Goal_assist]]="",1,0)</f>
        <v>#REF!</v>
      </c>
    </row>
    <row r="636" spans="1:18" x14ac:dyDescent="0.35">
      <c r="A636" t="s">
        <v>64</v>
      </c>
      <c r="B636" s="4">
        <v>41609</v>
      </c>
      <c r="C636" t="s">
        <v>65</v>
      </c>
      <c r="D636">
        <v>34</v>
      </c>
      <c r="E636" s="2">
        <v>41399</v>
      </c>
      <c r="F636" t="s">
        <v>16</v>
      </c>
      <c r="G636" t="s">
        <v>66</v>
      </c>
      <c r="H636" t="s">
        <v>95</v>
      </c>
      <c r="I636" s="3">
        <v>0.16805555555555557</v>
      </c>
      <c r="J636" s="8" t="s">
        <v>446</v>
      </c>
      <c r="K636" s="8" t="s">
        <v>445</v>
      </c>
      <c r="L636" s="8" t="str">
        <f>IF(Table1346[[#This Row],[Home Team Score]]&gt;Table1346[[#This Row],[Away Team Score]],"Win",IF(Table1346[[#This Row],[Home Team Score]]=Table1346[[#This Row],[Away Team Score]],"Tie","Lose"))</f>
        <v>Win</v>
      </c>
      <c r="M636" t="s">
        <v>68</v>
      </c>
      <c r="N636">
        <v>71</v>
      </c>
      <c r="O636" s="3">
        <v>0.16805555555555557</v>
      </c>
      <c r="P636" t="s">
        <v>31</v>
      </c>
      <c r="Q636" t="s">
        <v>234</v>
      </c>
      <c r="R636" t="e">
        <f>IF([1]!Table13[[#This Row],[Goal_assist]]="",1,0)</f>
        <v>#REF!</v>
      </c>
    </row>
    <row r="637" spans="1:18" x14ac:dyDescent="0.35">
      <c r="A637" t="s">
        <v>14</v>
      </c>
      <c r="B637" s="4">
        <v>41609</v>
      </c>
      <c r="C637" t="s">
        <v>65</v>
      </c>
      <c r="D637">
        <v>36</v>
      </c>
      <c r="E637" s="2">
        <v>41402</v>
      </c>
      <c r="F637" t="s">
        <v>16</v>
      </c>
      <c r="G637" t="s">
        <v>112</v>
      </c>
      <c r="H637" t="s">
        <v>157</v>
      </c>
      <c r="I637" s="3">
        <v>0.25138888888888888</v>
      </c>
      <c r="J637" s="8" t="s">
        <v>450</v>
      </c>
      <c r="K637" s="8" t="s">
        <v>445</v>
      </c>
      <c r="L637" s="8" t="str">
        <f>IF(Table1346[[#This Row],[Home Team Score]]&gt;Table1346[[#This Row],[Away Team Score]],"Win",IF(Table1346[[#This Row],[Home Team Score]]=Table1346[[#This Row],[Away Team Score]],"Tie","Lose"))</f>
        <v>Win</v>
      </c>
      <c r="M637" t="s">
        <v>249</v>
      </c>
      <c r="N637">
        <v>26</v>
      </c>
      <c r="O637" s="3">
        <v>8.4027777777777785E-2</v>
      </c>
      <c r="P637" t="s">
        <v>26</v>
      </c>
      <c r="Q637" t="s">
        <v>205</v>
      </c>
      <c r="R637" t="e">
        <f>IF([1]!Table13[[#This Row],[Goal_assist]]="",1,0)</f>
        <v>#REF!</v>
      </c>
    </row>
    <row r="638" spans="1:18" x14ac:dyDescent="0.35">
      <c r="A638" t="s">
        <v>14</v>
      </c>
      <c r="B638" s="4">
        <v>41609</v>
      </c>
      <c r="C638" t="s">
        <v>91</v>
      </c>
      <c r="D638" t="s">
        <v>46</v>
      </c>
      <c r="E638" s="2">
        <v>41411</v>
      </c>
      <c r="F638" t="s">
        <v>24</v>
      </c>
      <c r="G638" t="s">
        <v>112</v>
      </c>
      <c r="H638" t="s">
        <v>119</v>
      </c>
      <c r="I638" s="3">
        <v>8.4027777777777785E-2</v>
      </c>
      <c r="J638" s="8">
        <v>2</v>
      </c>
      <c r="K638" s="8">
        <v>1</v>
      </c>
      <c r="L638" s="8" t="str">
        <f>IF(Table1346[[#This Row],[Home Team Score]]&gt;Table1346[[#This Row],[Away Team Score]],"Win",IF(Table1346[[#This Row],[Home Team Score]]=Table1346[[#This Row],[Away Team Score]],"Tie","Lose"))</f>
        <v>Win</v>
      </c>
      <c r="M638" t="s">
        <v>19</v>
      </c>
      <c r="N638">
        <v>14</v>
      </c>
      <c r="O638" s="3">
        <v>6.9444444444444447E-4</v>
      </c>
      <c r="P638" t="s">
        <v>22</v>
      </c>
      <c r="Q638" t="s">
        <v>250</v>
      </c>
      <c r="R638" t="e">
        <f>IF([1]!Table13[[#This Row],[Goal_assist]]="",1,0)</f>
        <v>#REF!</v>
      </c>
    </row>
    <row r="639" spans="1:18" x14ac:dyDescent="0.35">
      <c r="A639" t="s">
        <v>64</v>
      </c>
      <c r="B639" t="s">
        <v>255</v>
      </c>
      <c r="C639" t="s">
        <v>65</v>
      </c>
      <c r="D639">
        <v>1</v>
      </c>
      <c r="E639" s="2">
        <v>41504</v>
      </c>
      <c r="F639" t="s">
        <v>16</v>
      </c>
      <c r="G639" t="s">
        <v>66</v>
      </c>
      <c r="H639" t="s">
        <v>127</v>
      </c>
      <c r="I639" s="3">
        <v>0.29166666666666669</v>
      </c>
      <c r="J639" s="8" t="s">
        <v>449</v>
      </c>
      <c r="K639" s="8" t="s">
        <v>443</v>
      </c>
      <c r="L639" s="8" t="str">
        <f>IF(Table1346[[#This Row],[Home Team Score]]&gt;Table1346[[#This Row],[Away Team Score]],"Win",IF(Table1346[[#This Row],[Home Team Score]]=Table1346[[#This Row],[Away Team Score]],"Tie","Lose"))</f>
        <v>Win</v>
      </c>
      <c r="M639" t="s">
        <v>68</v>
      </c>
      <c r="N639">
        <v>42</v>
      </c>
      <c r="O639" s="3">
        <v>0.20833333333333334</v>
      </c>
      <c r="P639" t="s">
        <v>83</v>
      </c>
      <c r="R639" t="e">
        <f>IF([1]!Table13[[#This Row],[Goal_assist]]="",1,0)</f>
        <v>#REF!</v>
      </c>
    </row>
    <row r="640" spans="1:18" x14ac:dyDescent="0.35">
      <c r="A640" t="s">
        <v>64</v>
      </c>
      <c r="B640" t="s">
        <v>255</v>
      </c>
      <c r="C640" t="s">
        <v>65</v>
      </c>
      <c r="D640">
        <v>1</v>
      </c>
      <c r="E640" s="2">
        <v>41504</v>
      </c>
      <c r="F640" t="s">
        <v>16</v>
      </c>
      <c r="G640" t="s">
        <v>66</v>
      </c>
      <c r="H640" t="s">
        <v>127</v>
      </c>
      <c r="I640" s="3">
        <v>0.29166666666666669</v>
      </c>
      <c r="J640" s="8" t="s">
        <v>449</v>
      </c>
      <c r="K640" s="8" t="s">
        <v>443</v>
      </c>
      <c r="L640" s="8" t="str">
        <f>IF(Table1346[[#This Row],[Home Team Score]]&gt;Table1346[[#This Row],[Away Team Score]],"Win",IF(Table1346[[#This Row],[Home Team Score]]=Table1346[[#This Row],[Away Team Score]],"Tie","Lose"))</f>
        <v>Win</v>
      </c>
      <c r="M640" t="s">
        <v>68</v>
      </c>
      <c r="N640">
        <v>13</v>
      </c>
      <c r="O640" s="3">
        <v>8.3333333333333329E-2</v>
      </c>
      <c r="P640" t="s">
        <v>31</v>
      </c>
      <c r="Q640" t="s">
        <v>186</v>
      </c>
      <c r="R640" t="e">
        <f>IF([1]!Table13[[#This Row],[Goal_assist]]="",1,0)</f>
        <v>#REF!</v>
      </c>
    </row>
    <row r="641" spans="1:18" x14ac:dyDescent="0.35">
      <c r="A641" t="s">
        <v>14</v>
      </c>
      <c r="B641" t="s">
        <v>255</v>
      </c>
      <c r="C641" t="s">
        <v>65</v>
      </c>
      <c r="D641">
        <v>3</v>
      </c>
      <c r="E641" s="2">
        <v>41518</v>
      </c>
      <c r="F641" t="s">
        <v>16</v>
      </c>
      <c r="G641" t="s">
        <v>112</v>
      </c>
      <c r="H641" t="s">
        <v>86</v>
      </c>
      <c r="I641" s="3">
        <v>0.12569444444444444</v>
      </c>
      <c r="J641" s="8" t="s">
        <v>442</v>
      </c>
      <c r="K641" s="8" t="s">
        <v>444</v>
      </c>
      <c r="L641" s="8" t="str">
        <f>IF(Table1346[[#This Row],[Home Team Score]]&gt;Table1346[[#This Row],[Away Team Score]],"Win",IF(Table1346[[#This Row],[Home Team Score]]=Table1346[[#This Row],[Away Team Score]],"Tie","Lose"))</f>
        <v>Win</v>
      </c>
      <c r="M641" t="s">
        <v>19</v>
      </c>
      <c r="N641">
        <v>45</v>
      </c>
      <c r="O641" s="3">
        <v>8.3333333333333329E-2</v>
      </c>
      <c r="P641" t="s">
        <v>22</v>
      </c>
      <c r="Q641" t="s">
        <v>207</v>
      </c>
      <c r="R641" t="e">
        <f>IF([1]!Table13[[#This Row],[Goal_assist]]="",1,0)</f>
        <v>#REF!</v>
      </c>
    </row>
    <row r="642" spans="1:18" x14ac:dyDescent="0.35">
      <c r="A642" t="s">
        <v>64</v>
      </c>
      <c r="B642" t="s">
        <v>255</v>
      </c>
      <c r="C642" t="s">
        <v>65</v>
      </c>
      <c r="D642">
        <v>3</v>
      </c>
      <c r="E642" s="2">
        <v>41518</v>
      </c>
      <c r="F642" t="s">
        <v>24</v>
      </c>
      <c r="G642" t="s">
        <v>66</v>
      </c>
      <c r="H642" t="s">
        <v>148</v>
      </c>
      <c r="I642" s="3">
        <v>8.5416666666666669E-2</v>
      </c>
      <c r="J642" s="8" t="s">
        <v>445</v>
      </c>
      <c r="K642" s="8" t="s">
        <v>442</v>
      </c>
      <c r="L642" s="8" t="str">
        <f>IF(Table1346[[#This Row],[Home Team Score]]&gt;Table1346[[#This Row],[Away Team Score]],"Win",IF(Table1346[[#This Row],[Home Team Score]]=Table1346[[#This Row],[Away Team Score]],"Tie","Lose"))</f>
        <v>Lose</v>
      </c>
      <c r="M642" t="s">
        <v>68</v>
      </c>
      <c r="N642">
        <v>41</v>
      </c>
      <c r="O642" s="3">
        <v>2.0833333333333333E-3</v>
      </c>
      <c r="P642" t="s">
        <v>31</v>
      </c>
      <c r="Q642" t="s">
        <v>256</v>
      </c>
      <c r="R642" t="e">
        <f>IF([1]!Table13[[#This Row],[Goal_assist]]="",1,0)</f>
        <v>#REF!</v>
      </c>
    </row>
    <row r="643" spans="1:18" x14ac:dyDescent="0.35">
      <c r="A643" t="s">
        <v>64</v>
      </c>
      <c r="B643" t="s">
        <v>255</v>
      </c>
      <c r="C643" t="s">
        <v>65</v>
      </c>
      <c r="D643">
        <v>3</v>
      </c>
      <c r="E643" s="2">
        <v>41518</v>
      </c>
      <c r="F643" t="s">
        <v>24</v>
      </c>
      <c r="G643" t="s">
        <v>66</v>
      </c>
      <c r="H643" t="s">
        <v>148</v>
      </c>
      <c r="I643" s="3">
        <v>8.5416666666666669E-2</v>
      </c>
      <c r="J643" s="8" t="s">
        <v>445</v>
      </c>
      <c r="K643" s="8" t="s">
        <v>442</v>
      </c>
      <c r="L643" s="8" t="str">
        <f>IF(Table1346[[#This Row],[Home Team Score]]&gt;Table1346[[#This Row],[Away Team Score]],"Win",IF(Table1346[[#This Row],[Home Team Score]]=Table1346[[#This Row],[Away Team Score]],"Tie","Lose"))</f>
        <v>Lose</v>
      </c>
      <c r="M643" t="s">
        <v>68</v>
      </c>
      <c r="N643">
        <v>39</v>
      </c>
      <c r="O643" s="3">
        <v>1.3888888888888889E-3</v>
      </c>
      <c r="P643" t="s">
        <v>26</v>
      </c>
      <c r="Q643" t="s">
        <v>224</v>
      </c>
      <c r="R643" t="e">
        <f>IF([1]!Table13[[#This Row],[Goal_assist]]="",1,0)</f>
        <v>#REF!</v>
      </c>
    </row>
    <row r="644" spans="1:18" x14ac:dyDescent="0.35">
      <c r="A644" t="s">
        <v>64</v>
      </c>
      <c r="B644" t="s">
        <v>255</v>
      </c>
      <c r="C644" t="s">
        <v>65</v>
      </c>
      <c r="D644">
        <v>3</v>
      </c>
      <c r="E644" s="2">
        <v>41518</v>
      </c>
      <c r="F644" t="s">
        <v>24</v>
      </c>
      <c r="G644" t="s">
        <v>66</v>
      </c>
      <c r="H644" t="s">
        <v>148</v>
      </c>
      <c r="I644" s="3">
        <v>8.5416666666666669E-2</v>
      </c>
      <c r="J644" s="8" t="s">
        <v>445</v>
      </c>
      <c r="K644" s="8" t="s">
        <v>442</v>
      </c>
      <c r="L644" s="8" t="str">
        <f>IF(Table1346[[#This Row],[Home Team Score]]&gt;Table1346[[#This Row],[Away Team Score]],"Win",IF(Table1346[[#This Row],[Home Team Score]]=Table1346[[#This Row],[Away Team Score]],"Tie","Lose"))</f>
        <v>Lose</v>
      </c>
      <c r="M644" t="s">
        <v>68</v>
      </c>
      <c r="N644">
        <v>11</v>
      </c>
      <c r="O644" s="3">
        <v>6.9444444444444447E-4</v>
      </c>
      <c r="P644" t="s">
        <v>31</v>
      </c>
      <c r="Q644" t="s">
        <v>224</v>
      </c>
      <c r="R644" t="e">
        <f>IF([1]!Table13[[#This Row],[Goal_assist]]="",1,0)</f>
        <v>#REF!</v>
      </c>
    </row>
    <row r="645" spans="1:18" x14ac:dyDescent="0.35">
      <c r="A645" t="s">
        <v>64</v>
      </c>
      <c r="B645" t="s">
        <v>255</v>
      </c>
      <c r="C645" t="s">
        <v>65</v>
      </c>
      <c r="D645">
        <v>4</v>
      </c>
      <c r="E645" s="2">
        <v>41531</v>
      </c>
      <c r="F645" t="s">
        <v>16</v>
      </c>
      <c r="G645" t="s">
        <v>66</v>
      </c>
      <c r="H645" t="s">
        <v>105</v>
      </c>
      <c r="I645" s="3">
        <v>0.12638888888888888</v>
      </c>
      <c r="J645" s="8" t="s">
        <v>442</v>
      </c>
      <c r="K645" s="8" t="s">
        <v>445</v>
      </c>
      <c r="L645" s="8" t="str">
        <f>IF(Table1346[[#This Row],[Home Team Score]]&gt;Table1346[[#This Row],[Away Team Score]],"Win",IF(Table1346[[#This Row],[Home Team Score]]=Table1346[[#This Row],[Away Team Score]],"Tie","Lose"))</f>
        <v>Win</v>
      </c>
      <c r="M645" t="s">
        <v>68</v>
      </c>
      <c r="N645">
        <v>75</v>
      </c>
      <c r="O645" s="3">
        <v>8.3333333333333329E-2</v>
      </c>
      <c r="P645" t="s">
        <v>31</v>
      </c>
      <c r="Q645" t="s">
        <v>256</v>
      </c>
      <c r="R645" t="e">
        <f>IF([1]!Table13[[#This Row],[Goal_assist]]="",1,0)</f>
        <v>#REF!</v>
      </c>
    </row>
    <row r="646" spans="1:18" x14ac:dyDescent="0.35">
      <c r="A646" t="s">
        <v>14</v>
      </c>
      <c r="B646" t="s">
        <v>255</v>
      </c>
      <c r="C646" t="s">
        <v>65</v>
      </c>
      <c r="D646">
        <v>4</v>
      </c>
      <c r="E646" s="2">
        <v>41531</v>
      </c>
      <c r="F646" t="s">
        <v>24</v>
      </c>
      <c r="G646" t="s">
        <v>112</v>
      </c>
      <c r="H646" t="s">
        <v>180</v>
      </c>
      <c r="I646" s="3">
        <v>8.4722222222222227E-2</v>
      </c>
      <c r="J646" s="8" t="s">
        <v>445</v>
      </c>
      <c r="K646" s="8" t="s">
        <v>445</v>
      </c>
      <c r="L646" s="8" t="str">
        <f>IF(Table1346[[#This Row],[Home Team Score]]&gt;Table1346[[#This Row],[Away Team Score]],"Win",IF(Table1346[[#This Row],[Home Team Score]]=Table1346[[#This Row],[Away Team Score]],"Tie","Lose"))</f>
        <v>Tie</v>
      </c>
      <c r="M646" t="s">
        <v>19</v>
      </c>
      <c r="N646">
        <v>64</v>
      </c>
      <c r="O646" s="3">
        <v>4.3055555555555555E-2</v>
      </c>
      <c r="P646" t="s">
        <v>26</v>
      </c>
      <c r="R646" t="e">
        <f>IF([1]!Table13[[#This Row],[Goal_assist]]="",1,0)</f>
        <v>#REF!</v>
      </c>
    </row>
    <row r="647" spans="1:18" x14ac:dyDescent="0.35">
      <c r="A647" t="s">
        <v>14</v>
      </c>
      <c r="B647" t="s">
        <v>255</v>
      </c>
      <c r="C647" t="s">
        <v>75</v>
      </c>
      <c r="D647" t="s">
        <v>76</v>
      </c>
      <c r="E647" s="2">
        <v>41534</v>
      </c>
      <c r="F647" t="s">
        <v>24</v>
      </c>
      <c r="G647" t="s">
        <v>112</v>
      </c>
      <c r="H647" t="s">
        <v>253</v>
      </c>
      <c r="I647" s="3">
        <v>4.583333333333333E-2</v>
      </c>
      <c r="J647" s="8" t="s">
        <v>444</v>
      </c>
      <c r="K647" s="8" t="s">
        <v>450</v>
      </c>
      <c r="L647" s="8" t="str">
        <f>IF(Table1346[[#This Row],[Home Team Score]]&gt;Table1346[[#This Row],[Away Team Score]],"Win",IF(Table1346[[#This Row],[Home Team Score]]=Table1346[[#This Row],[Away Team Score]],"Tie","Lose"))</f>
        <v>Lose</v>
      </c>
      <c r="M647" t="s">
        <v>19</v>
      </c>
      <c r="N647">
        <v>90</v>
      </c>
      <c r="O647" s="3">
        <v>4.583333333333333E-2</v>
      </c>
      <c r="P647" t="s">
        <v>31</v>
      </c>
      <c r="Q647" t="s">
        <v>183</v>
      </c>
      <c r="R647" t="e">
        <f>IF([1]!Table13[[#This Row],[Goal_assist]]="",1,0)</f>
        <v>#REF!</v>
      </c>
    </row>
    <row r="648" spans="1:18" x14ac:dyDescent="0.35">
      <c r="A648" t="s">
        <v>14</v>
      </c>
      <c r="B648" t="s">
        <v>255</v>
      </c>
      <c r="C648" t="s">
        <v>75</v>
      </c>
      <c r="D648" t="s">
        <v>76</v>
      </c>
      <c r="E648" s="2">
        <v>41534</v>
      </c>
      <c r="F648" t="s">
        <v>24</v>
      </c>
      <c r="G648" t="s">
        <v>112</v>
      </c>
      <c r="H648" t="s">
        <v>253</v>
      </c>
      <c r="I648" s="3">
        <v>4.583333333333333E-2</v>
      </c>
      <c r="J648" s="8" t="s">
        <v>444</v>
      </c>
      <c r="K648" s="8" t="s">
        <v>450</v>
      </c>
      <c r="L648" s="8" t="str">
        <f>IF(Table1346[[#This Row],[Home Team Score]]&gt;Table1346[[#This Row],[Away Team Score]],"Win",IF(Table1346[[#This Row],[Home Team Score]]=Table1346[[#This Row],[Away Team Score]],"Tie","Lose"))</f>
        <v>Lose</v>
      </c>
      <c r="M648" t="s">
        <v>19</v>
      </c>
      <c r="N648">
        <v>66</v>
      </c>
      <c r="O648" s="3">
        <v>2.7777777777777779E-3</v>
      </c>
      <c r="P648" t="s">
        <v>55</v>
      </c>
      <c r="Q648" t="s">
        <v>202</v>
      </c>
      <c r="R648" t="e">
        <f>IF([1]!Table13[[#This Row],[Goal_assist]]="",1,0)</f>
        <v>#REF!</v>
      </c>
    </row>
    <row r="649" spans="1:18" x14ac:dyDescent="0.35">
      <c r="A649" t="s">
        <v>14</v>
      </c>
      <c r="B649" t="s">
        <v>255</v>
      </c>
      <c r="C649" t="s">
        <v>75</v>
      </c>
      <c r="D649" t="s">
        <v>76</v>
      </c>
      <c r="E649" s="2">
        <v>41534</v>
      </c>
      <c r="F649" t="s">
        <v>24</v>
      </c>
      <c r="G649" t="s">
        <v>112</v>
      </c>
      <c r="H649" t="s">
        <v>253</v>
      </c>
      <c r="I649" s="3">
        <v>4.583333333333333E-2</v>
      </c>
      <c r="J649" s="8" t="s">
        <v>444</v>
      </c>
      <c r="K649" s="8" t="s">
        <v>450</v>
      </c>
      <c r="L649" s="8" t="str">
        <f>IF(Table1346[[#This Row],[Home Team Score]]&gt;Table1346[[#This Row],[Away Team Score]],"Win",IF(Table1346[[#This Row],[Home Team Score]]=Table1346[[#This Row],[Away Team Score]],"Tie","Lose"))</f>
        <v>Lose</v>
      </c>
      <c r="M649" t="s">
        <v>19</v>
      </c>
      <c r="N649">
        <v>63</v>
      </c>
      <c r="O649" s="3">
        <v>2.0833333333333333E-3</v>
      </c>
      <c r="P649" t="s">
        <v>31</v>
      </c>
      <c r="Q649" t="s">
        <v>257</v>
      </c>
      <c r="R649" t="e">
        <f>IF([1]!Table13[[#This Row],[Goal_assist]]="",1,0)</f>
        <v>#REF!</v>
      </c>
    </row>
    <row r="650" spans="1:18" x14ac:dyDescent="0.35">
      <c r="A650" t="s">
        <v>64</v>
      </c>
      <c r="B650" t="s">
        <v>255</v>
      </c>
      <c r="C650" t="s">
        <v>75</v>
      </c>
      <c r="D650" t="s">
        <v>76</v>
      </c>
      <c r="E650" s="2">
        <v>41535</v>
      </c>
      <c r="F650" t="s">
        <v>16</v>
      </c>
      <c r="G650" t="s">
        <v>66</v>
      </c>
      <c r="H650" t="s">
        <v>214</v>
      </c>
      <c r="I650" s="3">
        <v>0.16666666666666666</v>
      </c>
      <c r="J650" s="8" t="s">
        <v>446</v>
      </c>
      <c r="K650" s="8" t="s">
        <v>443</v>
      </c>
      <c r="L650" s="8" t="str">
        <f>IF(Table1346[[#This Row],[Home Team Score]]&gt;Table1346[[#This Row],[Away Team Score]],"Win",IF(Table1346[[#This Row],[Home Team Score]]=Table1346[[#This Row],[Away Team Score]],"Tie","Lose"))</f>
        <v>Win</v>
      </c>
      <c r="M650" t="s">
        <v>68</v>
      </c>
      <c r="N650">
        <v>75</v>
      </c>
      <c r="O650" s="3">
        <v>0.16666666666666666</v>
      </c>
      <c r="P650" t="s">
        <v>31</v>
      </c>
      <c r="Q650" t="s">
        <v>106</v>
      </c>
      <c r="R650" t="e">
        <f>IF([1]!Table13[[#This Row],[Goal_assist]]="",1,0)</f>
        <v>#REF!</v>
      </c>
    </row>
    <row r="651" spans="1:18" x14ac:dyDescent="0.35">
      <c r="A651" t="s">
        <v>64</v>
      </c>
      <c r="B651" t="s">
        <v>255</v>
      </c>
      <c r="C651" t="s">
        <v>75</v>
      </c>
      <c r="D651" t="s">
        <v>76</v>
      </c>
      <c r="E651" s="2">
        <v>41535</v>
      </c>
      <c r="F651" t="s">
        <v>16</v>
      </c>
      <c r="G651" t="s">
        <v>66</v>
      </c>
      <c r="H651" t="s">
        <v>214</v>
      </c>
      <c r="I651" s="3">
        <v>0.16666666666666666</v>
      </c>
      <c r="J651" s="8" t="s">
        <v>446</v>
      </c>
      <c r="K651" s="8" t="s">
        <v>443</v>
      </c>
      <c r="L651" s="8" t="str">
        <f>IF(Table1346[[#This Row],[Home Team Score]]&gt;Table1346[[#This Row],[Away Team Score]],"Win",IF(Table1346[[#This Row],[Home Team Score]]=Table1346[[#This Row],[Away Team Score]],"Tie","Lose"))</f>
        <v>Win</v>
      </c>
      <c r="M651" t="s">
        <v>68</v>
      </c>
      <c r="N651">
        <v>55</v>
      </c>
      <c r="O651" s="3">
        <v>8.3333333333333329E-2</v>
      </c>
      <c r="P651" t="s">
        <v>31</v>
      </c>
      <c r="Q651" t="s">
        <v>222</v>
      </c>
      <c r="R651" t="e">
        <f>IF([1]!Table13[[#This Row],[Goal_assist]]="",1,0)</f>
        <v>#REF!</v>
      </c>
    </row>
    <row r="652" spans="1:18" x14ac:dyDescent="0.35">
      <c r="A652" t="s">
        <v>64</v>
      </c>
      <c r="B652" t="s">
        <v>255</v>
      </c>
      <c r="C652" t="s">
        <v>75</v>
      </c>
      <c r="D652" t="s">
        <v>76</v>
      </c>
      <c r="E652" s="2">
        <v>41535</v>
      </c>
      <c r="F652" t="s">
        <v>16</v>
      </c>
      <c r="G652" t="s">
        <v>66</v>
      </c>
      <c r="H652" t="s">
        <v>214</v>
      </c>
      <c r="I652" s="3">
        <v>0.16666666666666666</v>
      </c>
      <c r="J652" s="8" t="s">
        <v>446</v>
      </c>
      <c r="K652" s="8" t="s">
        <v>443</v>
      </c>
      <c r="L652" s="8" t="str">
        <f>IF(Table1346[[#This Row],[Home Team Score]]&gt;Table1346[[#This Row],[Away Team Score]],"Win",IF(Table1346[[#This Row],[Home Team Score]]=Table1346[[#This Row],[Away Team Score]],"Tie","Lose"))</f>
        <v>Win</v>
      </c>
      <c r="M652" t="s">
        <v>68</v>
      </c>
      <c r="N652">
        <v>22</v>
      </c>
      <c r="O652" s="3">
        <v>4.1666666666666664E-2</v>
      </c>
      <c r="P652" t="s">
        <v>39</v>
      </c>
      <c r="R652" t="e">
        <f>IF([1]!Table13[[#This Row],[Goal_assist]]="",1,0)</f>
        <v>#REF!</v>
      </c>
    </row>
    <row r="653" spans="1:18" x14ac:dyDescent="0.35">
      <c r="A653" t="s">
        <v>14</v>
      </c>
      <c r="B653" t="s">
        <v>255</v>
      </c>
      <c r="C653" t="s">
        <v>65</v>
      </c>
      <c r="D653">
        <v>5</v>
      </c>
      <c r="E653" s="2">
        <v>41539</v>
      </c>
      <c r="F653" t="s">
        <v>16</v>
      </c>
      <c r="G653" t="s">
        <v>112</v>
      </c>
      <c r="H653" t="s">
        <v>117</v>
      </c>
      <c r="I653" s="3">
        <v>0.1673611111111111</v>
      </c>
      <c r="J653" s="8" t="s">
        <v>446</v>
      </c>
      <c r="K653" s="8" t="s">
        <v>444</v>
      </c>
      <c r="L653" s="8" t="str">
        <f>IF(Table1346[[#This Row],[Home Team Score]]&gt;Table1346[[#This Row],[Away Team Score]],"Win",IF(Table1346[[#This Row],[Home Team Score]]=Table1346[[#This Row],[Away Team Score]],"Tie","Lose"))</f>
        <v>Win</v>
      </c>
      <c r="M653" t="s">
        <v>19</v>
      </c>
      <c r="N653">
        <v>90</v>
      </c>
      <c r="O653" s="3">
        <v>0.1673611111111111</v>
      </c>
      <c r="P653" t="s">
        <v>26</v>
      </c>
      <c r="Q653" t="s">
        <v>219</v>
      </c>
      <c r="R653" t="e">
        <f>IF([1]!Table13[[#This Row],[Goal_assist]]="",1,0)</f>
        <v>#REF!</v>
      </c>
    </row>
    <row r="654" spans="1:18" x14ac:dyDescent="0.35">
      <c r="A654" t="s">
        <v>14</v>
      </c>
      <c r="B654" t="s">
        <v>255</v>
      </c>
      <c r="C654" t="s">
        <v>65</v>
      </c>
      <c r="D654">
        <v>5</v>
      </c>
      <c r="E654" s="2">
        <v>41539</v>
      </c>
      <c r="F654" t="s">
        <v>16</v>
      </c>
      <c r="G654" t="s">
        <v>112</v>
      </c>
      <c r="H654" t="s">
        <v>117</v>
      </c>
      <c r="I654" s="3">
        <v>0.1673611111111111</v>
      </c>
      <c r="J654" s="8" t="s">
        <v>446</v>
      </c>
      <c r="K654" s="8" t="s">
        <v>444</v>
      </c>
      <c r="L654" s="8" t="str">
        <f>IF(Table1346[[#This Row],[Home Team Score]]&gt;Table1346[[#This Row],[Away Team Score]],"Win",IF(Table1346[[#This Row],[Home Team Score]]=Table1346[[#This Row],[Away Team Score]],"Tie","Lose"))</f>
        <v>Win</v>
      </c>
      <c r="M654" t="s">
        <v>19</v>
      </c>
      <c r="N654">
        <v>34</v>
      </c>
      <c r="O654" s="3">
        <v>8.4027777777777785E-2</v>
      </c>
      <c r="P654" t="s">
        <v>83</v>
      </c>
      <c r="R654" t="e">
        <f>IF([1]!Table13[[#This Row],[Goal_assist]]="",1,0)</f>
        <v>#REF!</v>
      </c>
    </row>
    <row r="655" spans="1:18" x14ac:dyDescent="0.35">
      <c r="A655" t="s">
        <v>64</v>
      </c>
      <c r="B655" t="s">
        <v>255</v>
      </c>
      <c r="C655" t="s">
        <v>65</v>
      </c>
      <c r="D655">
        <v>6</v>
      </c>
      <c r="E655" s="2">
        <v>41541</v>
      </c>
      <c r="F655" t="s">
        <v>16</v>
      </c>
      <c r="G655" t="s">
        <v>66</v>
      </c>
      <c r="H655" t="s">
        <v>217</v>
      </c>
      <c r="I655" s="3">
        <v>0.1673611111111111</v>
      </c>
      <c r="J655" s="8" t="s">
        <v>446</v>
      </c>
      <c r="K655" s="8" t="s">
        <v>444</v>
      </c>
      <c r="L655" s="8" t="str">
        <f>IF(Table1346[[#This Row],[Home Team Score]]&gt;Table1346[[#This Row],[Away Team Score]],"Win",IF(Table1346[[#This Row],[Home Team Score]]=Table1346[[#This Row],[Away Team Score]],"Tie","Lose"))</f>
        <v>Win</v>
      </c>
      <c r="M655" t="s">
        <v>68</v>
      </c>
      <c r="N655">
        <v>8</v>
      </c>
      <c r="O655" s="3">
        <v>8.3333333333333329E-2</v>
      </c>
      <c r="P655" t="s">
        <v>22</v>
      </c>
      <c r="Q655" t="s">
        <v>256</v>
      </c>
      <c r="R655" t="e">
        <f>IF([1]!Table13[[#This Row],[Goal_assist]]="",1,0)</f>
        <v>#REF!</v>
      </c>
    </row>
    <row r="656" spans="1:18" x14ac:dyDescent="0.35">
      <c r="A656" t="s">
        <v>14</v>
      </c>
      <c r="B656" t="s">
        <v>255</v>
      </c>
      <c r="C656" t="s">
        <v>65</v>
      </c>
      <c r="D656">
        <v>6</v>
      </c>
      <c r="E656" s="2">
        <v>41542</v>
      </c>
      <c r="F656" t="s">
        <v>24</v>
      </c>
      <c r="G656" t="s">
        <v>112</v>
      </c>
      <c r="H656" t="s">
        <v>258</v>
      </c>
      <c r="I656" s="3">
        <v>4.3055555555555555E-2</v>
      </c>
      <c r="J656" s="8" t="s">
        <v>444</v>
      </c>
      <c r="K656" s="8" t="s">
        <v>445</v>
      </c>
      <c r="L656" s="8" t="str">
        <f>IF(Table1346[[#This Row],[Home Team Score]]&gt;Table1346[[#This Row],[Away Team Score]],"Win",IF(Table1346[[#This Row],[Home Team Score]]=Table1346[[#This Row],[Away Team Score]],"Tie","Lose"))</f>
        <v>Lose</v>
      </c>
      <c r="M656" t="s">
        <v>19</v>
      </c>
      <c r="N656">
        <v>51</v>
      </c>
      <c r="O656" s="3">
        <v>6.9444444444444447E-4</v>
      </c>
      <c r="P656" t="s">
        <v>39</v>
      </c>
      <c r="R656" t="e">
        <f>IF([1]!Table13[[#This Row],[Goal_assist]]="",1,0)</f>
        <v>#REF!</v>
      </c>
    </row>
    <row r="657" spans="1:18" x14ac:dyDescent="0.35">
      <c r="A657" t="s">
        <v>14</v>
      </c>
      <c r="B657" t="s">
        <v>255</v>
      </c>
      <c r="C657" t="s">
        <v>65</v>
      </c>
      <c r="D657">
        <v>6</v>
      </c>
      <c r="E657" s="2">
        <v>41542</v>
      </c>
      <c r="F657" t="s">
        <v>24</v>
      </c>
      <c r="G657" t="s">
        <v>112</v>
      </c>
      <c r="H657" t="s">
        <v>258</v>
      </c>
      <c r="I657" s="3">
        <v>4.3055555555555555E-2</v>
      </c>
      <c r="J657" s="8" t="s">
        <v>444</v>
      </c>
      <c r="K657" s="8" t="s">
        <v>445</v>
      </c>
      <c r="L657" s="8" t="str">
        <f>IF(Table1346[[#This Row],[Home Team Score]]&gt;Table1346[[#This Row],[Away Team Score]],"Win",IF(Table1346[[#This Row],[Home Team Score]]=Table1346[[#This Row],[Away Team Score]],"Tie","Lose"))</f>
        <v>Lose</v>
      </c>
      <c r="M657" t="s">
        <v>19</v>
      </c>
      <c r="N657" t="s">
        <v>259</v>
      </c>
      <c r="O657" s="3">
        <v>4.3055555555555555E-2</v>
      </c>
      <c r="P657" t="s">
        <v>83</v>
      </c>
      <c r="R657" t="e">
        <f>IF([1]!Table13[[#This Row],[Goal_assist]]="",1,0)</f>
        <v>#REF!</v>
      </c>
    </row>
    <row r="658" spans="1:18" x14ac:dyDescent="0.35">
      <c r="A658" t="s">
        <v>64</v>
      </c>
      <c r="B658" t="s">
        <v>255</v>
      </c>
      <c r="C658" t="s">
        <v>65</v>
      </c>
      <c r="D658">
        <v>7</v>
      </c>
      <c r="E658" s="2">
        <v>41545</v>
      </c>
      <c r="F658" t="s">
        <v>24</v>
      </c>
      <c r="G658" t="s">
        <v>66</v>
      </c>
      <c r="H658" t="s">
        <v>131</v>
      </c>
      <c r="I658" s="3">
        <v>1.3888888888888889E-3</v>
      </c>
      <c r="J658" s="8" t="s">
        <v>443</v>
      </c>
      <c r="K658" s="8" t="s">
        <v>445</v>
      </c>
      <c r="L658" s="8" t="str">
        <f>IF(Table1346[[#This Row],[Home Team Score]]&gt;Table1346[[#This Row],[Away Team Score]],"Win",IF(Table1346[[#This Row],[Home Team Score]]=Table1346[[#This Row],[Away Team Score]],"Tie","Lose"))</f>
        <v>Lose</v>
      </c>
      <c r="M658" t="s">
        <v>68</v>
      </c>
      <c r="N658">
        <v>21</v>
      </c>
      <c r="O658" s="3">
        <v>6.9444444444444447E-4</v>
      </c>
      <c r="P658" t="s">
        <v>31</v>
      </c>
      <c r="Q658" t="s">
        <v>186</v>
      </c>
      <c r="R658" t="e">
        <f>IF([1]!Table13[[#This Row],[Goal_assist]]="",1,0)</f>
        <v>#REF!</v>
      </c>
    </row>
    <row r="659" spans="1:18" x14ac:dyDescent="0.35">
      <c r="A659" t="s">
        <v>14</v>
      </c>
      <c r="B659" t="s">
        <v>255</v>
      </c>
      <c r="C659" t="s">
        <v>75</v>
      </c>
      <c r="D659" t="s">
        <v>76</v>
      </c>
      <c r="E659" s="2">
        <v>41549</v>
      </c>
      <c r="F659" t="s">
        <v>16</v>
      </c>
      <c r="G659" t="s">
        <v>112</v>
      </c>
      <c r="H659" t="s">
        <v>206</v>
      </c>
      <c r="I659" s="3">
        <v>0.16666666666666666</v>
      </c>
      <c r="J659" s="8" t="s">
        <v>446</v>
      </c>
      <c r="K659" s="8" t="s">
        <v>443</v>
      </c>
      <c r="L659" s="8" t="str">
        <f>IF(Table1346[[#This Row],[Home Team Score]]&gt;Table1346[[#This Row],[Away Team Score]],"Win",IF(Table1346[[#This Row],[Home Team Score]]=Table1346[[#This Row],[Away Team Score]],"Tie","Lose"))</f>
        <v>Win</v>
      </c>
      <c r="M659" t="s">
        <v>19</v>
      </c>
      <c r="N659">
        <v>21</v>
      </c>
      <c r="O659" s="3">
        <v>4.1666666666666664E-2</v>
      </c>
      <c r="P659" t="s">
        <v>22</v>
      </c>
      <c r="Q659" t="s">
        <v>201</v>
      </c>
      <c r="R659" t="e">
        <f>IF([1]!Table13[[#This Row],[Goal_assist]]="",1,0)</f>
        <v>#REF!</v>
      </c>
    </row>
    <row r="660" spans="1:18" x14ac:dyDescent="0.35">
      <c r="A660" t="s">
        <v>14</v>
      </c>
      <c r="B660" t="s">
        <v>255</v>
      </c>
      <c r="C660" t="s">
        <v>75</v>
      </c>
      <c r="D660" t="s">
        <v>76</v>
      </c>
      <c r="E660" s="2">
        <v>41549</v>
      </c>
      <c r="F660" t="s">
        <v>16</v>
      </c>
      <c r="G660" t="s">
        <v>112</v>
      </c>
      <c r="H660" t="s">
        <v>206</v>
      </c>
      <c r="I660" s="3">
        <v>0.16666666666666666</v>
      </c>
      <c r="J660" s="8" t="s">
        <v>446</v>
      </c>
      <c r="K660" s="8" t="s">
        <v>443</v>
      </c>
      <c r="L660" s="8" t="str">
        <f>IF(Table1346[[#This Row],[Home Team Score]]&gt;Table1346[[#This Row],[Away Team Score]],"Win",IF(Table1346[[#This Row],[Home Team Score]]=Table1346[[#This Row],[Away Team Score]],"Tie","Lose"))</f>
        <v>Win</v>
      </c>
      <c r="M660" t="s">
        <v>19</v>
      </c>
      <c r="N660">
        <v>65</v>
      </c>
      <c r="O660" s="3">
        <v>8.3333333333333329E-2</v>
      </c>
      <c r="P660" t="s">
        <v>22</v>
      </c>
      <c r="Q660" t="s">
        <v>207</v>
      </c>
      <c r="R660" t="e">
        <f>IF([1]!Table13[[#This Row],[Goal_assist]]="",1,0)</f>
        <v>#REF!</v>
      </c>
    </row>
    <row r="661" spans="1:18" x14ac:dyDescent="0.35">
      <c r="A661" t="s">
        <v>14</v>
      </c>
      <c r="B661" t="s">
        <v>255</v>
      </c>
      <c r="C661" t="s">
        <v>65</v>
      </c>
      <c r="D661">
        <v>8</v>
      </c>
      <c r="E661" s="2">
        <v>41552</v>
      </c>
      <c r="F661" t="s">
        <v>24</v>
      </c>
      <c r="G661" t="s">
        <v>112</v>
      </c>
      <c r="H661" t="s">
        <v>127</v>
      </c>
      <c r="I661" s="3">
        <v>8.5416666666666669E-2</v>
      </c>
      <c r="J661" s="8" t="s">
        <v>445</v>
      </c>
      <c r="K661" s="8" t="s">
        <v>442</v>
      </c>
      <c r="L661" s="8" t="str">
        <f>IF(Table1346[[#This Row],[Home Team Score]]&gt;Table1346[[#This Row],[Away Team Score]],"Win",IF(Table1346[[#This Row],[Home Team Score]]=Table1346[[#This Row],[Away Team Score]],"Tie","Lose"))</f>
        <v>Lose</v>
      </c>
      <c r="M661" t="s">
        <v>19</v>
      </c>
      <c r="N661" t="s">
        <v>239</v>
      </c>
      <c r="O661" s="3">
        <v>8.5416666666666669E-2</v>
      </c>
      <c r="P661" t="s">
        <v>26</v>
      </c>
      <c r="Q661" t="s">
        <v>250</v>
      </c>
      <c r="R661" t="e">
        <f>IF([1]!Table13[[#This Row],[Goal_assist]]="",1,0)</f>
        <v>#REF!</v>
      </c>
    </row>
    <row r="662" spans="1:18" x14ac:dyDescent="0.35">
      <c r="A662" t="s">
        <v>14</v>
      </c>
      <c r="B662" t="s">
        <v>255</v>
      </c>
      <c r="C662" t="s">
        <v>65</v>
      </c>
      <c r="D662">
        <v>9</v>
      </c>
      <c r="E662" s="2">
        <v>41566</v>
      </c>
      <c r="F662" t="s">
        <v>16</v>
      </c>
      <c r="G662" t="s">
        <v>112</v>
      </c>
      <c r="H662" t="s">
        <v>157</v>
      </c>
      <c r="I662" s="3">
        <v>8.3333333333333329E-2</v>
      </c>
      <c r="J662" s="8" t="s">
        <v>445</v>
      </c>
      <c r="K662" s="8" t="s">
        <v>443</v>
      </c>
      <c r="L662" s="8" t="str">
        <f>IF(Table1346[[#This Row],[Home Team Score]]&gt;Table1346[[#This Row],[Away Team Score]],"Win",IF(Table1346[[#This Row],[Home Team Score]]=Table1346[[#This Row],[Away Team Score]],"Tie","Lose"))</f>
        <v>Win</v>
      </c>
      <c r="M662" t="s">
        <v>19</v>
      </c>
      <c r="N662" t="s">
        <v>69</v>
      </c>
      <c r="O662" s="3">
        <v>8.3333333333333329E-2</v>
      </c>
      <c r="P662" t="s">
        <v>83</v>
      </c>
      <c r="R662" t="e">
        <f>IF([1]!Table13[[#This Row],[Goal_assist]]="",1,0)</f>
        <v>#REF!</v>
      </c>
    </row>
    <row r="663" spans="1:18" x14ac:dyDescent="0.35">
      <c r="A663" t="s">
        <v>64</v>
      </c>
      <c r="B663" t="s">
        <v>255</v>
      </c>
      <c r="C663" t="s">
        <v>75</v>
      </c>
      <c r="D663" t="s">
        <v>76</v>
      </c>
      <c r="E663" s="2">
        <v>41569</v>
      </c>
      <c r="F663" t="s">
        <v>24</v>
      </c>
      <c r="G663" t="s">
        <v>66</v>
      </c>
      <c r="H663" t="s">
        <v>118</v>
      </c>
      <c r="I663" s="3">
        <v>4.2361111111111113E-2</v>
      </c>
      <c r="J663" s="8" t="s">
        <v>444</v>
      </c>
      <c r="K663" s="8" t="s">
        <v>444</v>
      </c>
      <c r="L663" s="8" t="str">
        <f>IF(Table1346[[#This Row],[Home Team Score]]&gt;Table1346[[#This Row],[Away Team Score]],"Win",IF(Table1346[[#This Row],[Home Team Score]]=Table1346[[#This Row],[Away Team Score]],"Tie","Lose"))</f>
        <v>Tie</v>
      </c>
      <c r="M663" t="s">
        <v>68</v>
      </c>
      <c r="N663">
        <v>23</v>
      </c>
      <c r="O663" s="3">
        <v>4.2361111111111113E-2</v>
      </c>
      <c r="P663" t="s">
        <v>31</v>
      </c>
      <c r="Q663" t="s">
        <v>99</v>
      </c>
      <c r="R663" t="e">
        <f>IF([1]!Table13[[#This Row],[Goal_assist]]="",1,0)</f>
        <v>#REF!</v>
      </c>
    </row>
    <row r="664" spans="1:18" x14ac:dyDescent="0.35">
      <c r="A664" t="s">
        <v>14</v>
      </c>
      <c r="B664" t="s">
        <v>255</v>
      </c>
      <c r="C664" t="s">
        <v>75</v>
      </c>
      <c r="D664" t="s">
        <v>76</v>
      </c>
      <c r="E664" s="2">
        <v>41570</v>
      </c>
      <c r="F664" t="s">
        <v>16</v>
      </c>
      <c r="G664" t="s">
        <v>112</v>
      </c>
      <c r="H664" t="s">
        <v>260</v>
      </c>
      <c r="I664" s="3">
        <v>8.4027777777777785E-2</v>
      </c>
      <c r="J664" s="8" t="s">
        <v>445</v>
      </c>
      <c r="K664" s="8" t="s">
        <v>444</v>
      </c>
      <c r="L664" s="8" t="str">
        <f>IF(Table1346[[#This Row],[Home Team Score]]&gt;Table1346[[#This Row],[Away Team Score]],"Win",IF(Table1346[[#This Row],[Home Team Score]]=Table1346[[#This Row],[Away Team Score]],"Tie","Lose"))</f>
        <v>Win</v>
      </c>
      <c r="M664" t="s">
        <v>19</v>
      </c>
      <c r="N664">
        <v>29</v>
      </c>
      <c r="O664" s="3">
        <v>8.4027777777777785E-2</v>
      </c>
      <c r="P664" t="s">
        <v>83</v>
      </c>
      <c r="R664" t="e">
        <f>IF([1]!Table13[[#This Row],[Goal_assist]]="",1,0)</f>
        <v>#REF!</v>
      </c>
    </row>
    <row r="665" spans="1:18" x14ac:dyDescent="0.35">
      <c r="A665" t="s">
        <v>14</v>
      </c>
      <c r="B665" t="s">
        <v>255</v>
      </c>
      <c r="C665" t="s">
        <v>75</v>
      </c>
      <c r="D665" t="s">
        <v>76</v>
      </c>
      <c r="E665" s="2">
        <v>41570</v>
      </c>
      <c r="F665" t="s">
        <v>16</v>
      </c>
      <c r="G665" t="s">
        <v>112</v>
      </c>
      <c r="H665" t="s">
        <v>260</v>
      </c>
      <c r="I665" s="3">
        <v>8.4027777777777785E-2</v>
      </c>
      <c r="J665" s="8" t="s">
        <v>445</v>
      </c>
      <c r="K665" s="8" t="s">
        <v>444</v>
      </c>
      <c r="L665" s="8" t="str">
        <f>IF(Table1346[[#This Row],[Home Team Score]]&gt;Table1346[[#This Row],[Away Team Score]],"Win",IF(Table1346[[#This Row],[Home Team Score]]=Table1346[[#This Row],[Away Team Score]],"Tie","Lose"))</f>
        <v>Win</v>
      </c>
      <c r="M665" t="s">
        <v>19</v>
      </c>
      <c r="N665">
        <v>4</v>
      </c>
      <c r="O665" s="3">
        <v>4.1666666666666664E-2</v>
      </c>
      <c r="P665" t="s">
        <v>26</v>
      </c>
      <c r="Q665" t="s">
        <v>207</v>
      </c>
      <c r="R665" t="e">
        <f>IF([1]!Table13[[#This Row],[Goal_assist]]="",1,0)</f>
        <v>#REF!</v>
      </c>
    </row>
    <row r="666" spans="1:18" x14ac:dyDescent="0.35">
      <c r="A666" t="s">
        <v>14</v>
      </c>
      <c r="B666" t="s">
        <v>255</v>
      </c>
      <c r="C666" t="s">
        <v>65</v>
      </c>
      <c r="D666">
        <v>11</v>
      </c>
      <c r="E666" s="2">
        <v>41577</v>
      </c>
      <c r="F666" t="s">
        <v>16</v>
      </c>
      <c r="G666" t="s">
        <v>112</v>
      </c>
      <c r="H666" t="s">
        <v>105</v>
      </c>
      <c r="I666" s="3">
        <v>0.29375000000000001</v>
      </c>
      <c r="J666" s="8" t="s">
        <v>449</v>
      </c>
      <c r="K666" s="8" t="s">
        <v>442</v>
      </c>
      <c r="L666" s="8" t="str">
        <f>IF(Table1346[[#This Row],[Home Team Score]]&gt;Table1346[[#This Row],[Away Team Score]],"Win",IF(Table1346[[#This Row],[Home Team Score]]=Table1346[[#This Row],[Away Team Score]],"Tie","Lose"))</f>
        <v>Win</v>
      </c>
      <c r="M666" t="s">
        <v>19</v>
      </c>
      <c r="N666">
        <v>71</v>
      </c>
      <c r="O666" s="3">
        <v>0.25208333333333333</v>
      </c>
      <c r="P666" t="s">
        <v>26</v>
      </c>
      <c r="Q666" t="s">
        <v>183</v>
      </c>
      <c r="R666" t="e">
        <f>IF([1]!Table13[[#This Row],[Goal_assist]]="",1,0)</f>
        <v>#REF!</v>
      </c>
    </row>
    <row r="667" spans="1:18" x14ac:dyDescent="0.35">
      <c r="A667" t="s">
        <v>14</v>
      </c>
      <c r="B667" t="s">
        <v>255</v>
      </c>
      <c r="C667" t="s">
        <v>65</v>
      </c>
      <c r="D667">
        <v>11</v>
      </c>
      <c r="E667" s="2">
        <v>41577</v>
      </c>
      <c r="F667" t="s">
        <v>16</v>
      </c>
      <c r="G667" t="s">
        <v>112</v>
      </c>
      <c r="H667" t="s">
        <v>105</v>
      </c>
      <c r="I667" s="3">
        <v>0.29375000000000001</v>
      </c>
      <c r="J667" s="8" t="s">
        <v>449</v>
      </c>
      <c r="K667" s="8" t="s">
        <v>442</v>
      </c>
      <c r="L667" s="8" t="str">
        <f>IF(Table1346[[#This Row],[Home Team Score]]&gt;Table1346[[#This Row],[Away Team Score]],"Win",IF(Table1346[[#This Row],[Home Team Score]]=Table1346[[#This Row],[Away Team Score]],"Tie","Lose"))</f>
        <v>Win</v>
      </c>
      <c r="M667" t="s">
        <v>19</v>
      </c>
      <c r="N667">
        <v>31</v>
      </c>
      <c r="O667" s="3">
        <v>0.125</v>
      </c>
      <c r="P667" t="s">
        <v>83</v>
      </c>
      <c r="R667" t="e">
        <f>IF([1]!Table13[[#This Row],[Goal_assist]]="",1,0)</f>
        <v>#REF!</v>
      </c>
    </row>
    <row r="668" spans="1:18" x14ac:dyDescent="0.35">
      <c r="A668" t="s">
        <v>14</v>
      </c>
      <c r="B668" t="s">
        <v>255</v>
      </c>
      <c r="C668" t="s">
        <v>65</v>
      </c>
      <c r="D668">
        <v>11</v>
      </c>
      <c r="E668" s="2">
        <v>41577</v>
      </c>
      <c r="F668" t="s">
        <v>16</v>
      </c>
      <c r="G668" t="s">
        <v>112</v>
      </c>
      <c r="H668" t="s">
        <v>105</v>
      </c>
      <c r="I668" s="3">
        <v>0.29375000000000001</v>
      </c>
      <c r="J668" s="8" t="s">
        <v>449</v>
      </c>
      <c r="K668" s="8" t="s">
        <v>442</v>
      </c>
      <c r="L668" s="8" t="str">
        <f>IF(Table1346[[#This Row],[Home Team Score]]&gt;Table1346[[#This Row],[Away Team Score]],"Win",IF(Table1346[[#This Row],[Home Team Score]]=Table1346[[#This Row],[Away Team Score]],"Tie","Lose"))</f>
        <v>Win</v>
      </c>
      <c r="M668" t="s">
        <v>19</v>
      </c>
      <c r="N668">
        <v>60</v>
      </c>
      <c r="O668" s="3">
        <v>0.20972222222222223</v>
      </c>
      <c r="P668" t="s">
        <v>26</v>
      </c>
      <c r="Q668" t="s">
        <v>261</v>
      </c>
      <c r="R668" t="e">
        <f>IF([1]!Table13[[#This Row],[Goal_assist]]="",1,0)</f>
        <v>#REF!</v>
      </c>
    </row>
    <row r="669" spans="1:18" x14ac:dyDescent="0.35">
      <c r="A669" t="s">
        <v>14</v>
      </c>
      <c r="B669" t="s">
        <v>255</v>
      </c>
      <c r="C669" t="s">
        <v>65</v>
      </c>
      <c r="D669">
        <v>12</v>
      </c>
      <c r="E669" s="2">
        <v>41580</v>
      </c>
      <c r="F669" t="s">
        <v>24</v>
      </c>
      <c r="G669" t="s">
        <v>112</v>
      </c>
      <c r="H669" t="s">
        <v>225</v>
      </c>
      <c r="I669" s="3">
        <v>8.5416666666666669E-2</v>
      </c>
      <c r="J669" s="8" t="s">
        <v>445</v>
      </c>
      <c r="K669" s="8" t="s">
        <v>442</v>
      </c>
      <c r="L669" s="8" t="str">
        <f>IF(Table1346[[#This Row],[Home Team Score]]&gt;Table1346[[#This Row],[Away Team Score]],"Win",IF(Table1346[[#This Row],[Home Team Score]]=Table1346[[#This Row],[Away Team Score]],"Tie","Lose"))</f>
        <v>Lose</v>
      </c>
      <c r="M669" t="s">
        <v>19</v>
      </c>
      <c r="N669">
        <v>48</v>
      </c>
      <c r="O669" s="3">
        <v>2.0833333333333333E-3</v>
      </c>
      <c r="P669" t="s">
        <v>26</v>
      </c>
      <c r="Q669" t="s">
        <v>261</v>
      </c>
      <c r="R669" t="e">
        <f>IF([1]!Table13[[#This Row],[Goal_assist]]="",1,0)</f>
        <v>#REF!</v>
      </c>
    </row>
    <row r="670" spans="1:18" x14ac:dyDescent="0.35">
      <c r="A670" t="s">
        <v>14</v>
      </c>
      <c r="B670" t="s">
        <v>255</v>
      </c>
      <c r="C670" t="s">
        <v>65</v>
      </c>
      <c r="D670">
        <v>12</v>
      </c>
      <c r="E670" s="2">
        <v>41580</v>
      </c>
      <c r="F670" t="s">
        <v>24</v>
      </c>
      <c r="G670" t="s">
        <v>112</v>
      </c>
      <c r="H670" t="s">
        <v>225</v>
      </c>
      <c r="I670" s="3">
        <v>8.5416666666666669E-2</v>
      </c>
      <c r="J670" s="8" t="s">
        <v>445</v>
      </c>
      <c r="K670" s="8" t="s">
        <v>442</v>
      </c>
      <c r="L670" s="8" t="str">
        <f>IF(Table1346[[#This Row],[Home Team Score]]&gt;Table1346[[#This Row],[Away Team Score]],"Win",IF(Table1346[[#This Row],[Home Team Score]]=Table1346[[#This Row],[Away Team Score]],"Tie","Lose"))</f>
        <v>Lose</v>
      </c>
      <c r="M670" t="s">
        <v>19</v>
      </c>
      <c r="N670">
        <v>3</v>
      </c>
      <c r="O670" s="3">
        <v>6.9444444444444447E-4</v>
      </c>
      <c r="P670" t="s">
        <v>26</v>
      </c>
      <c r="Q670" t="s">
        <v>250</v>
      </c>
      <c r="R670" t="e">
        <f>IF([1]!Table13[[#This Row],[Goal_assist]]="",1,0)</f>
        <v>#REF!</v>
      </c>
    </row>
    <row r="671" spans="1:18" x14ac:dyDescent="0.35">
      <c r="A671" t="s">
        <v>14</v>
      </c>
      <c r="B671" t="s">
        <v>255</v>
      </c>
      <c r="C671" t="s">
        <v>75</v>
      </c>
      <c r="D671" t="s">
        <v>76</v>
      </c>
      <c r="E671" s="2">
        <v>41583</v>
      </c>
      <c r="F671" t="s">
        <v>24</v>
      </c>
      <c r="G671" t="s">
        <v>112</v>
      </c>
      <c r="H671" t="s">
        <v>260</v>
      </c>
      <c r="I671" s="3">
        <v>8.4722222222222227E-2</v>
      </c>
      <c r="J671" s="8" t="s">
        <v>445</v>
      </c>
      <c r="K671" s="8" t="s">
        <v>445</v>
      </c>
      <c r="L671" s="8" t="str">
        <f>IF(Table1346[[#This Row],[Home Team Score]]&gt;Table1346[[#This Row],[Away Team Score]],"Win",IF(Table1346[[#This Row],[Home Team Score]]=Table1346[[#This Row],[Away Team Score]],"Tie","Lose"))</f>
        <v>Tie</v>
      </c>
      <c r="M671" t="s">
        <v>19</v>
      </c>
      <c r="N671">
        <v>52</v>
      </c>
      <c r="O671" s="3">
        <v>4.2361111111111113E-2</v>
      </c>
      <c r="P671" t="s">
        <v>26</v>
      </c>
      <c r="Q671" t="s">
        <v>183</v>
      </c>
      <c r="R671" t="e">
        <f>IF([1]!Table13[[#This Row],[Goal_assist]]="",1,0)</f>
        <v>#REF!</v>
      </c>
    </row>
    <row r="672" spans="1:18" x14ac:dyDescent="0.35">
      <c r="A672" t="s">
        <v>64</v>
      </c>
      <c r="B672" t="s">
        <v>255</v>
      </c>
      <c r="C672" t="s">
        <v>75</v>
      </c>
      <c r="D672" t="s">
        <v>76</v>
      </c>
      <c r="E672" s="2">
        <v>41584</v>
      </c>
      <c r="F672" t="s">
        <v>16</v>
      </c>
      <c r="G672" t="s">
        <v>66</v>
      </c>
      <c r="H672" t="s">
        <v>118</v>
      </c>
      <c r="I672" s="3">
        <v>0.12569444444444444</v>
      </c>
      <c r="J672" s="8" t="s">
        <v>442</v>
      </c>
      <c r="K672" s="8" t="s">
        <v>444</v>
      </c>
      <c r="L672" s="8" t="str">
        <f>IF(Table1346[[#This Row],[Home Team Score]]&gt;Table1346[[#This Row],[Away Team Score]],"Win",IF(Table1346[[#This Row],[Home Team Score]]=Table1346[[#This Row],[Away Team Score]],"Tie","Lose"))</f>
        <v>Win</v>
      </c>
      <c r="M672" t="s">
        <v>68</v>
      </c>
      <c r="N672">
        <v>83</v>
      </c>
      <c r="O672" s="3">
        <v>0.12569444444444444</v>
      </c>
      <c r="P672" t="s">
        <v>31</v>
      </c>
      <c r="Q672" t="s">
        <v>224</v>
      </c>
      <c r="R672" t="e">
        <f>IF([1]!Table13[[#This Row],[Goal_assist]]="",1,0)</f>
        <v>#REF!</v>
      </c>
    </row>
    <row r="673" spans="1:18" x14ac:dyDescent="0.35">
      <c r="A673" t="s">
        <v>64</v>
      </c>
      <c r="B673" t="s">
        <v>255</v>
      </c>
      <c r="C673" t="s">
        <v>75</v>
      </c>
      <c r="D673" t="s">
        <v>76</v>
      </c>
      <c r="E673" s="2">
        <v>41584</v>
      </c>
      <c r="F673" t="s">
        <v>16</v>
      </c>
      <c r="G673" t="s">
        <v>66</v>
      </c>
      <c r="H673" t="s">
        <v>118</v>
      </c>
      <c r="I673" s="3">
        <v>0.12569444444444444</v>
      </c>
      <c r="J673" s="8" t="s">
        <v>442</v>
      </c>
      <c r="K673" s="8" t="s">
        <v>444</v>
      </c>
      <c r="L673" s="8" t="str">
        <f>IF(Table1346[[#This Row],[Home Team Score]]&gt;Table1346[[#This Row],[Away Team Score]],"Win",IF(Table1346[[#This Row],[Home Team Score]]=Table1346[[#This Row],[Away Team Score]],"Tie","Lose"))</f>
        <v>Win</v>
      </c>
      <c r="M673" t="s">
        <v>68</v>
      </c>
      <c r="N673">
        <v>30</v>
      </c>
      <c r="O673" s="3">
        <v>4.1666666666666664E-2</v>
      </c>
      <c r="P673" t="s">
        <v>83</v>
      </c>
      <c r="R673" t="e">
        <f>IF([1]!Table13[[#This Row],[Goal_assist]]="",1,0)</f>
        <v>#REF!</v>
      </c>
    </row>
    <row r="674" spans="1:18" x14ac:dyDescent="0.35">
      <c r="A674" t="s">
        <v>14</v>
      </c>
      <c r="B674" t="s">
        <v>255</v>
      </c>
      <c r="C674" t="s">
        <v>65</v>
      </c>
      <c r="D674">
        <v>13</v>
      </c>
      <c r="E674" s="2">
        <v>41587</v>
      </c>
      <c r="F674" t="s">
        <v>16</v>
      </c>
      <c r="G674" t="s">
        <v>112</v>
      </c>
      <c r="H674" t="s">
        <v>217</v>
      </c>
      <c r="I674" s="3">
        <v>0.20902777777777778</v>
      </c>
      <c r="J674" s="8" t="s">
        <v>448</v>
      </c>
      <c r="K674" s="8" t="s">
        <v>444</v>
      </c>
      <c r="L674" s="8" t="str">
        <f>IF(Table1346[[#This Row],[Home Team Score]]&gt;Table1346[[#This Row],[Away Team Score]],"Win",IF(Table1346[[#This Row],[Home Team Score]]=Table1346[[#This Row],[Away Team Score]],"Tie","Lose"))</f>
        <v>Win</v>
      </c>
      <c r="M674" t="s">
        <v>19</v>
      </c>
      <c r="N674">
        <v>76</v>
      </c>
      <c r="O674" s="3">
        <v>0.20902777777777778</v>
      </c>
      <c r="P674" t="s">
        <v>39</v>
      </c>
      <c r="R674" t="e">
        <f>IF([1]!Table13[[#This Row],[Goal_assist]]="",1,0)</f>
        <v>#REF!</v>
      </c>
    </row>
    <row r="675" spans="1:18" x14ac:dyDescent="0.35">
      <c r="A675" t="s">
        <v>14</v>
      </c>
      <c r="B675" t="s">
        <v>255</v>
      </c>
      <c r="C675" t="s">
        <v>65</v>
      </c>
      <c r="D675">
        <v>13</v>
      </c>
      <c r="E675" s="2">
        <v>41587</v>
      </c>
      <c r="F675" t="s">
        <v>16</v>
      </c>
      <c r="G675" t="s">
        <v>112</v>
      </c>
      <c r="H675" t="s">
        <v>217</v>
      </c>
      <c r="I675" s="3">
        <v>0.20902777777777778</v>
      </c>
      <c r="J675" s="8" t="s">
        <v>448</v>
      </c>
      <c r="K675" s="8" t="s">
        <v>444</v>
      </c>
      <c r="L675" s="8" t="str">
        <f>IF(Table1346[[#This Row],[Home Team Score]]&gt;Table1346[[#This Row],[Away Team Score]],"Win",IF(Table1346[[#This Row],[Home Team Score]]=Table1346[[#This Row],[Away Team Score]],"Tie","Lose"))</f>
        <v>Win</v>
      </c>
      <c r="M675" t="s">
        <v>19</v>
      </c>
      <c r="N675">
        <v>27</v>
      </c>
      <c r="O675" s="3">
        <v>0.125</v>
      </c>
      <c r="P675" t="s">
        <v>83</v>
      </c>
      <c r="R675" t="e">
        <f>IF([1]!Table13[[#This Row],[Goal_assist]]="",1,0)</f>
        <v>#REF!</v>
      </c>
    </row>
    <row r="676" spans="1:18" x14ac:dyDescent="0.35">
      <c r="A676" t="s">
        <v>14</v>
      </c>
      <c r="B676" t="s">
        <v>255</v>
      </c>
      <c r="C676" t="s">
        <v>65</v>
      </c>
      <c r="D676">
        <v>13</v>
      </c>
      <c r="E676" s="2">
        <v>41587</v>
      </c>
      <c r="F676" t="s">
        <v>16</v>
      </c>
      <c r="G676" t="s">
        <v>112</v>
      </c>
      <c r="H676" t="s">
        <v>217</v>
      </c>
      <c r="I676" s="3">
        <v>0.20902777777777778</v>
      </c>
      <c r="J676" s="8" t="s">
        <v>448</v>
      </c>
      <c r="K676" s="8" t="s">
        <v>444</v>
      </c>
      <c r="L676" s="8" t="str">
        <f>IF(Table1346[[#This Row],[Home Team Score]]&gt;Table1346[[#This Row],[Away Team Score]],"Win",IF(Table1346[[#This Row],[Home Team Score]]=Table1346[[#This Row],[Away Team Score]],"Tie","Lose"))</f>
        <v>Win</v>
      </c>
      <c r="M676" t="s">
        <v>19</v>
      </c>
      <c r="N676">
        <v>12</v>
      </c>
      <c r="O676" s="3">
        <v>4.1666666666666664E-2</v>
      </c>
      <c r="P676" t="s">
        <v>26</v>
      </c>
      <c r="Q676" t="s">
        <v>183</v>
      </c>
      <c r="R676" t="e">
        <f>IF([1]!Table13[[#This Row],[Goal_assist]]="",1,0)</f>
        <v>#REF!</v>
      </c>
    </row>
    <row r="677" spans="1:18" x14ac:dyDescent="0.35">
      <c r="A677" t="s">
        <v>14</v>
      </c>
      <c r="B677" t="s">
        <v>255</v>
      </c>
      <c r="C677" t="s">
        <v>65</v>
      </c>
      <c r="D677">
        <v>14</v>
      </c>
      <c r="E677" s="2">
        <v>41601</v>
      </c>
      <c r="F677" t="s">
        <v>24</v>
      </c>
      <c r="G677" t="s">
        <v>112</v>
      </c>
      <c r="H677" t="s">
        <v>187</v>
      </c>
      <c r="I677" s="3">
        <v>3.472222222222222E-3</v>
      </c>
      <c r="J677" s="8" t="s">
        <v>443</v>
      </c>
      <c r="K677" s="8" t="s">
        <v>448</v>
      </c>
      <c r="L677" s="8" t="str">
        <f>IF(Table1346[[#This Row],[Home Team Score]]&gt;Table1346[[#This Row],[Away Team Score]],"Win",IF(Table1346[[#This Row],[Home Team Score]]=Table1346[[#This Row],[Away Team Score]],"Tie","Lose"))</f>
        <v>Lose</v>
      </c>
      <c r="M677" t="s">
        <v>19</v>
      </c>
      <c r="N677">
        <v>3</v>
      </c>
      <c r="O677" s="3">
        <v>6.9444444444444447E-4</v>
      </c>
      <c r="P677" t="s">
        <v>31</v>
      </c>
      <c r="Q677" t="s">
        <v>257</v>
      </c>
      <c r="R677" t="e">
        <f>IF([1]!Table13[[#This Row],[Goal_assist]]="",1,0)</f>
        <v>#REF!</v>
      </c>
    </row>
    <row r="678" spans="1:18" x14ac:dyDescent="0.35">
      <c r="A678" t="s">
        <v>14</v>
      </c>
      <c r="B678" t="s">
        <v>255</v>
      </c>
      <c r="C678" t="s">
        <v>75</v>
      </c>
      <c r="D678" t="s">
        <v>76</v>
      </c>
      <c r="E678" s="2">
        <v>41618</v>
      </c>
      <c r="F678" t="s">
        <v>24</v>
      </c>
      <c r="G678" t="s">
        <v>112</v>
      </c>
      <c r="H678" t="s">
        <v>206</v>
      </c>
      <c r="I678" s="3">
        <v>1.3888888888888889E-3</v>
      </c>
      <c r="J678" s="8" t="s">
        <v>443</v>
      </c>
      <c r="K678" s="8" t="s">
        <v>445</v>
      </c>
      <c r="L678" s="8" t="str">
        <f>IF(Table1346[[#This Row],[Home Team Score]]&gt;Table1346[[#This Row],[Away Team Score]],"Win",IF(Table1346[[#This Row],[Home Team Score]]=Table1346[[#This Row],[Away Team Score]],"Tie","Lose"))</f>
        <v>Lose</v>
      </c>
      <c r="M678" t="s">
        <v>19</v>
      </c>
      <c r="N678">
        <v>48</v>
      </c>
      <c r="O678" s="3">
        <v>1.3888888888888889E-3</v>
      </c>
      <c r="P678" t="s">
        <v>26</v>
      </c>
      <c r="Q678" t="s">
        <v>182</v>
      </c>
      <c r="R678" t="e">
        <f>IF([1]!Table13[[#This Row],[Goal_assist]]="",1,0)</f>
        <v>#REF!</v>
      </c>
    </row>
    <row r="679" spans="1:18" x14ac:dyDescent="0.35">
      <c r="A679" t="s">
        <v>14</v>
      </c>
      <c r="B679" t="s">
        <v>255</v>
      </c>
      <c r="C679" t="s">
        <v>65</v>
      </c>
      <c r="D679">
        <v>17</v>
      </c>
      <c r="E679" s="2">
        <v>41630</v>
      </c>
      <c r="F679" t="s">
        <v>24</v>
      </c>
      <c r="G679" t="s">
        <v>112</v>
      </c>
      <c r="H679" t="s">
        <v>148</v>
      </c>
      <c r="I679" s="3">
        <v>8.5416666666666669E-2</v>
      </c>
      <c r="J679" s="8" t="s">
        <v>445</v>
      </c>
      <c r="K679" s="8" t="s">
        <v>442</v>
      </c>
      <c r="L679" s="8" t="str">
        <f>IF(Table1346[[#This Row],[Home Team Score]]&gt;Table1346[[#This Row],[Away Team Score]],"Win",IF(Table1346[[#This Row],[Home Team Score]]=Table1346[[#This Row],[Away Team Score]],"Tie","Lose"))</f>
        <v>Lose</v>
      </c>
      <c r="M679" t="s">
        <v>19</v>
      </c>
      <c r="N679">
        <v>40</v>
      </c>
      <c r="O679" s="3">
        <v>4.3055555555555555E-2</v>
      </c>
      <c r="P679" t="s">
        <v>22</v>
      </c>
      <c r="Q679" t="s">
        <v>207</v>
      </c>
      <c r="R679" t="e">
        <f>IF([1]!Table13[[#This Row],[Goal_assist]]="",1,0)</f>
        <v>#REF!</v>
      </c>
    </row>
    <row r="680" spans="1:18" x14ac:dyDescent="0.35">
      <c r="A680" t="s">
        <v>14</v>
      </c>
      <c r="B680" t="s">
        <v>255</v>
      </c>
      <c r="C680" t="s">
        <v>65</v>
      </c>
      <c r="D680">
        <v>18</v>
      </c>
      <c r="E680" s="2">
        <v>41645</v>
      </c>
      <c r="F680" t="s">
        <v>16</v>
      </c>
      <c r="G680" t="s">
        <v>112</v>
      </c>
      <c r="H680" t="s">
        <v>98</v>
      </c>
      <c r="I680" s="3">
        <v>0.125</v>
      </c>
      <c r="J680" s="8" t="s">
        <v>442</v>
      </c>
      <c r="K680" s="8" t="s">
        <v>443</v>
      </c>
      <c r="L680" s="8" t="str">
        <f>IF(Table1346[[#This Row],[Home Team Score]]&gt;Table1346[[#This Row],[Away Team Score]],"Win",IF(Table1346[[#This Row],[Home Team Score]]=Table1346[[#This Row],[Away Team Score]],"Tie","Lose"))</f>
        <v>Win</v>
      </c>
      <c r="M680" t="s">
        <v>19</v>
      </c>
      <c r="N680">
        <v>82</v>
      </c>
      <c r="O680" s="3">
        <v>8.3333333333333329E-2</v>
      </c>
      <c r="P680" t="s">
        <v>26</v>
      </c>
      <c r="Q680" t="s">
        <v>262</v>
      </c>
      <c r="R680" t="e">
        <f>IF([1]!Table13[[#This Row],[Goal_assist]]="",1,0)</f>
        <v>#REF!</v>
      </c>
    </row>
    <row r="681" spans="1:18" x14ac:dyDescent="0.35">
      <c r="A681" t="s">
        <v>14</v>
      </c>
      <c r="B681" t="s">
        <v>255</v>
      </c>
      <c r="C681" t="s">
        <v>65</v>
      </c>
      <c r="D681">
        <v>18</v>
      </c>
      <c r="E681" s="2">
        <v>41645</v>
      </c>
      <c r="F681" t="s">
        <v>16</v>
      </c>
      <c r="G681" t="s">
        <v>112</v>
      </c>
      <c r="H681" t="s">
        <v>98</v>
      </c>
      <c r="I681" s="3">
        <v>0.125</v>
      </c>
      <c r="J681" s="8" t="s">
        <v>442</v>
      </c>
      <c r="K681" s="8" t="s">
        <v>443</v>
      </c>
      <c r="L681" s="8" t="str">
        <f>IF(Table1346[[#This Row],[Home Team Score]]&gt;Table1346[[#This Row],[Away Team Score]],"Win",IF(Table1346[[#This Row],[Home Team Score]]=Table1346[[#This Row],[Away Team Score]],"Tie","Lose"))</f>
        <v>Win</v>
      </c>
      <c r="M681" t="s">
        <v>19</v>
      </c>
      <c r="N681">
        <v>90</v>
      </c>
      <c r="O681" s="3">
        <v>0.125</v>
      </c>
      <c r="P681" t="s">
        <v>26</v>
      </c>
      <c r="Q681" t="s">
        <v>261</v>
      </c>
      <c r="R681" t="e">
        <f>IF([1]!Table13[[#This Row],[Goal_assist]]="",1,0)</f>
        <v>#REF!</v>
      </c>
    </row>
    <row r="682" spans="1:18" x14ac:dyDescent="0.35">
      <c r="A682" t="s">
        <v>64</v>
      </c>
      <c r="B682" t="s">
        <v>255</v>
      </c>
      <c r="C682" t="s">
        <v>91</v>
      </c>
      <c r="D682" t="s">
        <v>143</v>
      </c>
      <c r="E682" s="2">
        <v>41647</v>
      </c>
      <c r="F682" t="s">
        <v>16</v>
      </c>
      <c r="G682" t="s">
        <v>66</v>
      </c>
      <c r="H682" t="s">
        <v>117</v>
      </c>
      <c r="I682" s="3">
        <v>0.16666666666666666</v>
      </c>
      <c r="J682" s="8" t="s">
        <v>446</v>
      </c>
      <c r="K682" s="8" t="s">
        <v>443</v>
      </c>
      <c r="L682" s="8" t="str">
        <f>IF(Table1346[[#This Row],[Home Team Score]]&gt;Table1346[[#This Row],[Away Team Score]],"Win",IF(Table1346[[#This Row],[Home Team Score]]=Table1346[[#This Row],[Away Team Score]],"Tie","Lose"))</f>
        <v>Win</v>
      </c>
      <c r="M682" t="s">
        <v>68</v>
      </c>
      <c r="N682">
        <v>90</v>
      </c>
      <c r="O682" s="3">
        <v>0.125</v>
      </c>
      <c r="P682" t="s">
        <v>31</v>
      </c>
      <c r="Q682" t="s">
        <v>247</v>
      </c>
      <c r="R682" t="e">
        <f>IF([1]!Table13[[#This Row],[Goal_assist]]="",1,0)</f>
        <v>#REF!</v>
      </c>
    </row>
    <row r="683" spans="1:18" x14ac:dyDescent="0.35">
      <c r="A683" t="s">
        <v>64</v>
      </c>
      <c r="B683" t="s">
        <v>255</v>
      </c>
      <c r="C683" t="s">
        <v>91</v>
      </c>
      <c r="D683" t="s">
        <v>143</v>
      </c>
      <c r="E683" s="2">
        <v>41647</v>
      </c>
      <c r="F683" t="s">
        <v>16</v>
      </c>
      <c r="G683" t="s">
        <v>66</v>
      </c>
      <c r="H683" t="s">
        <v>117</v>
      </c>
      <c r="I683" s="3">
        <v>0.16666666666666666</v>
      </c>
      <c r="J683" s="8" t="s">
        <v>446</v>
      </c>
      <c r="K683" s="8" t="s">
        <v>443</v>
      </c>
      <c r="L683" s="8" t="str">
        <f>IF(Table1346[[#This Row],[Home Team Score]]&gt;Table1346[[#This Row],[Away Team Score]],"Win",IF(Table1346[[#This Row],[Home Team Score]]=Table1346[[#This Row],[Away Team Score]],"Tie","Lose"))</f>
        <v>Win</v>
      </c>
      <c r="M683" t="s">
        <v>68</v>
      </c>
      <c r="N683" t="s">
        <v>141</v>
      </c>
      <c r="O683" s="3">
        <v>0.16666666666666666</v>
      </c>
      <c r="P683" t="s">
        <v>31</v>
      </c>
      <c r="Q683" t="s">
        <v>263</v>
      </c>
      <c r="R683" t="e">
        <f>IF([1]!Table13[[#This Row],[Goal_assist]]="",1,0)</f>
        <v>#REF!</v>
      </c>
    </row>
    <row r="684" spans="1:18" x14ac:dyDescent="0.35">
      <c r="A684" t="s">
        <v>14</v>
      </c>
      <c r="B684" t="s">
        <v>255</v>
      </c>
      <c r="C684" t="s">
        <v>91</v>
      </c>
      <c r="D684" t="s">
        <v>143</v>
      </c>
      <c r="E684" s="2">
        <v>41654</v>
      </c>
      <c r="F684" t="s">
        <v>24</v>
      </c>
      <c r="G684" t="s">
        <v>112</v>
      </c>
      <c r="H684" t="s">
        <v>100</v>
      </c>
      <c r="I684" s="3">
        <v>1.3888888888888889E-3</v>
      </c>
      <c r="J684" s="8" t="s">
        <v>443</v>
      </c>
      <c r="K684" s="8" t="s">
        <v>445</v>
      </c>
      <c r="L684" s="8" t="str">
        <f>IF(Table1346[[#This Row],[Home Team Score]]&gt;Table1346[[#This Row],[Away Team Score]],"Win",IF(Table1346[[#This Row],[Home Team Score]]=Table1346[[#This Row],[Away Team Score]],"Tie","Lose"))</f>
        <v>Lose</v>
      </c>
      <c r="M684" t="s">
        <v>19</v>
      </c>
      <c r="N684">
        <v>22</v>
      </c>
      <c r="O684" s="3">
        <v>6.9444444444444447E-4</v>
      </c>
      <c r="P684" t="s">
        <v>39</v>
      </c>
      <c r="R684" t="e">
        <f>IF([1]!Table13[[#This Row],[Goal_assist]]="",1,0)</f>
        <v>#REF!</v>
      </c>
    </row>
    <row r="685" spans="1:18" x14ac:dyDescent="0.35">
      <c r="A685" t="s">
        <v>64</v>
      </c>
      <c r="B685" t="s">
        <v>255</v>
      </c>
      <c r="C685" t="s">
        <v>91</v>
      </c>
      <c r="D685" t="s">
        <v>143</v>
      </c>
      <c r="E685" s="2">
        <v>41655</v>
      </c>
      <c r="F685" t="s">
        <v>24</v>
      </c>
      <c r="G685" t="s">
        <v>66</v>
      </c>
      <c r="H685" t="s">
        <v>117</v>
      </c>
      <c r="I685" s="3">
        <v>1.3888888888888889E-3</v>
      </c>
      <c r="J685" s="8" t="s">
        <v>443</v>
      </c>
      <c r="K685" s="8" t="s">
        <v>445</v>
      </c>
      <c r="L685" s="8" t="str">
        <f>IF(Table1346[[#This Row],[Home Team Score]]&gt;Table1346[[#This Row],[Away Team Score]],"Win",IF(Table1346[[#This Row],[Home Team Score]]=Table1346[[#This Row],[Away Team Score]],"Tie","Lose"))</f>
        <v>Lose</v>
      </c>
      <c r="M685" t="s">
        <v>68</v>
      </c>
      <c r="N685">
        <v>43</v>
      </c>
      <c r="O685" s="3">
        <v>6.9444444444444447E-4</v>
      </c>
      <c r="P685" t="s">
        <v>26</v>
      </c>
      <c r="Q685" t="s">
        <v>237</v>
      </c>
      <c r="R685" t="e">
        <f>IF([1]!Table13[[#This Row],[Goal_assist]]="",1,0)</f>
        <v>#REF!</v>
      </c>
    </row>
    <row r="686" spans="1:18" x14ac:dyDescent="0.35">
      <c r="A686" t="s">
        <v>64</v>
      </c>
      <c r="B686" t="s">
        <v>255</v>
      </c>
      <c r="C686" t="s">
        <v>91</v>
      </c>
      <c r="D686" t="s">
        <v>143</v>
      </c>
      <c r="E686" s="2">
        <v>41655</v>
      </c>
      <c r="F686" t="s">
        <v>24</v>
      </c>
      <c r="G686" t="s">
        <v>66</v>
      </c>
      <c r="H686" t="s">
        <v>117</v>
      </c>
      <c r="I686" s="3">
        <v>1.3888888888888889E-3</v>
      </c>
      <c r="J686" s="8" t="s">
        <v>443</v>
      </c>
      <c r="K686" s="8" t="s">
        <v>445</v>
      </c>
      <c r="L686" s="8" t="str">
        <f>IF(Table1346[[#This Row],[Home Team Score]]&gt;Table1346[[#This Row],[Away Team Score]],"Win",IF(Table1346[[#This Row],[Home Team Score]]=Table1346[[#This Row],[Away Team Score]],"Tie","Lose"))</f>
        <v>Lose</v>
      </c>
      <c r="M686" t="s">
        <v>68</v>
      </c>
      <c r="N686">
        <v>63</v>
      </c>
      <c r="O686" s="3">
        <v>1.3888888888888889E-3</v>
      </c>
      <c r="P686" t="s">
        <v>31</v>
      </c>
      <c r="R686" t="e">
        <f>IF([1]!Table13[[#This Row],[Goal_assist]]="",1,0)</f>
        <v>#REF!</v>
      </c>
    </row>
    <row r="687" spans="1:18" x14ac:dyDescent="0.35">
      <c r="A687" t="s">
        <v>14</v>
      </c>
      <c r="B687" t="s">
        <v>255</v>
      </c>
      <c r="C687" t="s">
        <v>65</v>
      </c>
      <c r="D687">
        <v>20</v>
      </c>
      <c r="E687" s="2">
        <v>41657</v>
      </c>
      <c r="F687" t="s">
        <v>24</v>
      </c>
      <c r="G687" t="s">
        <v>112</v>
      </c>
      <c r="H687" t="s">
        <v>95</v>
      </c>
      <c r="I687" s="3">
        <v>3.472222222222222E-3</v>
      </c>
      <c r="J687" s="8" t="s">
        <v>443</v>
      </c>
      <c r="K687" s="8" t="s">
        <v>448</v>
      </c>
      <c r="L687" s="8" t="str">
        <f>IF(Table1346[[#This Row],[Home Team Score]]&gt;Table1346[[#This Row],[Away Team Score]],"Win",IF(Table1346[[#This Row],[Home Team Score]]=Table1346[[#This Row],[Away Team Score]],"Tie","Lose"))</f>
        <v>Lose</v>
      </c>
      <c r="M687" t="s">
        <v>19</v>
      </c>
      <c r="N687">
        <v>10</v>
      </c>
      <c r="O687" s="3">
        <v>6.9444444444444447E-4</v>
      </c>
      <c r="P687" t="s">
        <v>26</v>
      </c>
      <c r="Q687" t="s">
        <v>207</v>
      </c>
      <c r="R687" t="e">
        <f>IF([1]!Table13[[#This Row],[Goal_assist]]="",1,0)</f>
        <v>#REF!</v>
      </c>
    </row>
    <row r="688" spans="1:18" x14ac:dyDescent="0.35">
      <c r="A688" t="s">
        <v>14</v>
      </c>
      <c r="B688" t="s">
        <v>255</v>
      </c>
      <c r="C688" t="s">
        <v>65</v>
      </c>
      <c r="D688">
        <v>21</v>
      </c>
      <c r="E688" s="2">
        <v>41664</v>
      </c>
      <c r="F688" t="s">
        <v>16</v>
      </c>
      <c r="G688" t="s">
        <v>112</v>
      </c>
      <c r="H688" t="s">
        <v>233</v>
      </c>
      <c r="I688" s="3">
        <v>8.3333333333333329E-2</v>
      </c>
      <c r="J688" s="8" t="s">
        <v>445</v>
      </c>
      <c r="K688" s="8" t="s">
        <v>443</v>
      </c>
      <c r="L688" s="8" t="str">
        <f>IF(Table1346[[#This Row],[Home Team Score]]&gt;Table1346[[#This Row],[Away Team Score]],"Win",IF(Table1346[[#This Row],[Home Team Score]]=Table1346[[#This Row],[Away Team Score]],"Tie","Lose"))</f>
        <v>Win</v>
      </c>
      <c r="M688" t="s">
        <v>19</v>
      </c>
      <c r="N688">
        <v>57</v>
      </c>
      <c r="O688" s="3">
        <v>4.1666666666666664E-2</v>
      </c>
      <c r="P688" t="s">
        <v>26</v>
      </c>
      <c r="Q688" t="s">
        <v>250</v>
      </c>
      <c r="R688" t="e">
        <f>IF([1]!Table13[[#This Row],[Goal_assist]]="",1,0)</f>
        <v>#REF!</v>
      </c>
    </row>
    <row r="689" spans="1:18" x14ac:dyDescent="0.35">
      <c r="A689" t="s">
        <v>64</v>
      </c>
      <c r="B689" t="s">
        <v>255</v>
      </c>
      <c r="C689" t="s">
        <v>65</v>
      </c>
      <c r="D689">
        <v>22</v>
      </c>
      <c r="E689" s="2">
        <v>41671</v>
      </c>
      <c r="F689" t="s">
        <v>16</v>
      </c>
      <c r="G689" t="s">
        <v>66</v>
      </c>
      <c r="H689" t="s">
        <v>148</v>
      </c>
      <c r="I689" s="3">
        <v>8.5416666666666669E-2</v>
      </c>
      <c r="J689" s="8" t="s">
        <v>445</v>
      </c>
      <c r="K689" s="8" t="s">
        <v>442</v>
      </c>
      <c r="L689" s="8" t="str">
        <f>IF(Table1346[[#This Row],[Home Team Score]]&gt;Table1346[[#This Row],[Away Team Score]],"Win",IF(Table1346[[#This Row],[Home Team Score]]=Table1346[[#This Row],[Away Team Score]],"Tie","Lose"))</f>
        <v>Lose</v>
      </c>
      <c r="M689" t="s">
        <v>68</v>
      </c>
      <c r="N689">
        <v>54</v>
      </c>
      <c r="O689" s="3">
        <v>8.4722222222222227E-2</v>
      </c>
      <c r="P689" t="s">
        <v>83</v>
      </c>
      <c r="R689" t="e">
        <f>IF([1]!Table13[[#This Row],[Goal_assist]]="",1,0)</f>
        <v>#REF!</v>
      </c>
    </row>
    <row r="690" spans="1:18" x14ac:dyDescent="0.35">
      <c r="A690" t="s">
        <v>64</v>
      </c>
      <c r="B690" t="s">
        <v>255</v>
      </c>
      <c r="C690" t="s">
        <v>65</v>
      </c>
      <c r="D690">
        <v>23</v>
      </c>
      <c r="E690" s="2">
        <v>41679</v>
      </c>
      <c r="F690" t="s">
        <v>24</v>
      </c>
      <c r="G690" t="s">
        <v>66</v>
      </c>
      <c r="H690" t="s">
        <v>105</v>
      </c>
      <c r="I690" s="3">
        <v>4.4444444444444446E-2</v>
      </c>
      <c r="J690" s="8" t="s">
        <v>444</v>
      </c>
      <c r="K690" s="8" t="s">
        <v>446</v>
      </c>
      <c r="L690" s="8" t="str">
        <f>IF(Table1346[[#This Row],[Home Team Score]]&gt;Table1346[[#This Row],[Away Team Score]],"Win",IF(Table1346[[#This Row],[Home Team Score]]=Table1346[[#This Row],[Away Team Score]],"Tie","Lose"))</f>
        <v>Lose</v>
      </c>
      <c r="M690" t="s">
        <v>68</v>
      </c>
      <c r="N690">
        <v>44</v>
      </c>
      <c r="O690" s="3">
        <v>4.3055555555555555E-2</v>
      </c>
      <c r="P690" t="s">
        <v>31</v>
      </c>
      <c r="Q690" t="s">
        <v>186</v>
      </c>
      <c r="R690" t="e">
        <f>IF([1]!Table13[[#This Row],[Goal_assist]]="",1,0)</f>
        <v>#REF!</v>
      </c>
    </row>
    <row r="691" spans="1:18" x14ac:dyDescent="0.35">
      <c r="A691" t="s">
        <v>64</v>
      </c>
      <c r="B691" t="s">
        <v>255</v>
      </c>
      <c r="C691" t="s">
        <v>65</v>
      </c>
      <c r="D691">
        <v>23</v>
      </c>
      <c r="E691" s="2">
        <v>41679</v>
      </c>
      <c r="F691" t="s">
        <v>24</v>
      </c>
      <c r="G691" t="s">
        <v>66</v>
      </c>
      <c r="H691" t="s">
        <v>105</v>
      </c>
      <c r="I691" s="3">
        <v>4.4444444444444446E-2</v>
      </c>
      <c r="J691" s="8" t="s">
        <v>444</v>
      </c>
      <c r="K691" s="8" t="s">
        <v>446</v>
      </c>
      <c r="L691" s="8" t="str">
        <f>IF(Table1346[[#This Row],[Home Team Score]]&gt;Table1346[[#This Row],[Away Team Score]],"Win",IF(Table1346[[#This Row],[Home Team Score]]=Table1346[[#This Row],[Away Team Score]],"Tie","Lose"))</f>
        <v>Lose</v>
      </c>
      <c r="M691" t="s">
        <v>68</v>
      </c>
      <c r="N691">
        <v>56</v>
      </c>
      <c r="O691" s="3">
        <v>4.3749999999999997E-2</v>
      </c>
      <c r="P691" t="s">
        <v>31</v>
      </c>
      <c r="Q691" t="s">
        <v>99</v>
      </c>
      <c r="R691" t="e">
        <f>IF([1]!Table13[[#This Row],[Goal_assist]]="",1,0)</f>
        <v>#REF!</v>
      </c>
    </row>
    <row r="692" spans="1:18" x14ac:dyDescent="0.35">
      <c r="A692" t="s">
        <v>14</v>
      </c>
      <c r="B692" t="s">
        <v>255</v>
      </c>
      <c r="C692" t="s">
        <v>91</v>
      </c>
      <c r="D692" t="s">
        <v>62</v>
      </c>
      <c r="E692" s="2">
        <v>41681</v>
      </c>
      <c r="F692" t="s">
        <v>24</v>
      </c>
      <c r="G692" t="s">
        <v>112</v>
      </c>
      <c r="H692" t="s">
        <v>119</v>
      </c>
      <c r="I692" s="3">
        <v>1.3888888888888889E-3</v>
      </c>
      <c r="J692" s="8" t="s">
        <v>443</v>
      </c>
      <c r="K692" s="8" t="s">
        <v>445</v>
      </c>
      <c r="L692" s="8" t="str">
        <f>IF(Table1346[[#This Row],[Home Team Score]]&gt;Table1346[[#This Row],[Away Team Score]],"Win",IF(Table1346[[#This Row],[Home Team Score]]=Table1346[[#This Row],[Away Team Score]],"Tie","Lose"))</f>
        <v>Lose</v>
      </c>
      <c r="M692" t="s">
        <v>19</v>
      </c>
      <c r="N692">
        <v>15</v>
      </c>
      <c r="O692" s="3">
        <v>1.3888888888888889E-3</v>
      </c>
      <c r="P692" t="s">
        <v>83</v>
      </c>
      <c r="R692" t="e">
        <f>IF([1]!Table13[[#This Row],[Goal_assist]]="",1,0)</f>
        <v>#REF!</v>
      </c>
    </row>
    <row r="693" spans="1:18" x14ac:dyDescent="0.35">
      <c r="A693" t="s">
        <v>14</v>
      </c>
      <c r="B693" t="s">
        <v>255</v>
      </c>
      <c r="C693" t="s">
        <v>91</v>
      </c>
      <c r="D693" t="s">
        <v>62</v>
      </c>
      <c r="E693" s="2">
        <v>41681</v>
      </c>
      <c r="F693" t="s">
        <v>24</v>
      </c>
      <c r="G693" t="s">
        <v>112</v>
      </c>
      <c r="H693" t="s">
        <v>119</v>
      </c>
      <c r="I693" s="3">
        <v>1.3888888888888889E-3</v>
      </c>
      <c r="J693" s="8" t="s">
        <v>443</v>
      </c>
      <c r="K693" s="8" t="s">
        <v>445</v>
      </c>
      <c r="L693" s="8" t="str">
        <f>IF(Table1346[[#This Row],[Home Team Score]]&gt;Table1346[[#This Row],[Away Team Score]],"Win",IF(Table1346[[#This Row],[Home Team Score]]=Table1346[[#This Row],[Away Team Score]],"Tie","Lose"))</f>
        <v>Lose</v>
      </c>
      <c r="M693" t="s">
        <v>19</v>
      </c>
      <c r="N693">
        <v>6</v>
      </c>
      <c r="O693" s="3">
        <v>6.9444444444444447E-4</v>
      </c>
      <c r="P693" t="s">
        <v>83</v>
      </c>
      <c r="R693" t="e">
        <f>IF([1]!Table13[[#This Row],[Goal_assist]]="",1,0)</f>
        <v>#REF!</v>
      </c>
    </row>
    <row r="694" spans="1:18" x14ac:dyDescent="0.35">
      <c r="A694" t="s">
        <v>64</v>
      </c>
      <c r="B694" t="s">
        <v>255</v>
      </c>
      <c r="C694" t="s">
        <v>91</v>
      </c>
      <c r="D694" t="s">
        <v>62</v>
      </c>
      <c r="E694" s="2">
        <v>41682</v>
      </c>
      <c r="F694" t="s">
        <v>24</v>
      </c>
      <c r="G694" t="s">
        <v>66</v>
      </c>
      <c r="H694" t="s">
        <v>217</v>
      </c>
      <c r="I694" s="3">
        <v>4.2361111111111113E-2</v>
      </c>
      <c r="J694" s="8" t="s">
        <v>444</v>
      </c>
      <c r="K694" s="8" t="s">
        <v>444</v>
      </c>
      <c r="L694" s="8" t="str">
        <f>IF(Table1346[[#This Row],[Home Team Score]]&gt;Table1346[[#This Row],[Away Team Score]],"Win",IF(Table1346[[#This Row],[Home Team Score]]=Table1346[[#This Row],[Away Team Score]],"Tie","Lose"))</f>
        <v>Tie</v>
      </c>
      <c r="M694" t="s">
        <v>68</v>
      </c>
      <c r="N694">
        <v>26</v>
      </c>
      <c r="O694" s="3">
        <v>6.9444444444444447E-4</v>
      </c>
      <c r="P694" t="s">
        <v>20</v>
      </c>
      <c r="R694" t="e">
        <f>IF([1]!Table13[[#This Row],[Goal_assist]]="",1,0)</f>
        <v>#REF!</v>
      </c>
    </row>
    <row r="695" spans="1:18" x14ac:dyDescent="0.35">
      <c r="A695" t="s">
        <v>64</v>
      </c>
      <c r="B695" t="s">
        <v>255</v>
      </c>
      <c r="C695" t="s">
        <v>65</v>
      </c>
      <c r="D695">
        <v>24</v>
      </c>
      <c r="E695" s="2">
        <v>41685</v>
      </c>
      <c r="F695" t="s">
        <v>16</v>
      </c>
      <c r="G695" t="s">
        <v>66</v>
      </c>
      <c r="H695" t="s">
        <v>225</v>
      </c>
      <c r="I695" s="3">
        <v>0.25</v>
      </c>
      <c r="J695" s="8" t="s">
        <v>450</v>
      </c>
      <c r="K695" s="8" t="s">
        <v>443</v>
      </c>
      <c r="L695" s="8" t="str">
        <f>IF(Table1346[[#This Row],[Home Team Score]]&gt;Table1346[[#This Row],[Away Team Score]],"Win",IF(Table1346[[#This Row],[Home Team Score]]=Table1346[[#This Row],[Away Team Score]],"Tie","Lose"))</f>
        <v>Win</v>
      </c>
      <c r="M695" t="s">
        <v>68</v>
      </c>
      <c r="N695">
        <v>36</v>
      </c>
      <c r="O695" s="3">
        <v>8.3333333333333329E-2</v>
      </c>
      <c r="P695" t="s">
        <v>31</v>
      </c>
      <c r="Q695" t="s">
        <v>224</v>
      </c>
      <c r="R695" t="e">
        <f>IF([1]!Table13[[#This Row],[Goal_assist]]="",1,0)</f>
        <v>#REF!</v>
      </c>
    </row>
    <row r="696" spans="1:18" x14ac:dyDescent="0.35">
      <c r="A696" t="s">
        <v>64</v>
      </c>
      <c r="B696" t="s">
        <v>255</v>
      </c>
      <c r="C696" t="s">
        <v>65</v>
      </c>
      <c r="D696">
        <v>24</v>
      </c>
      <c r="E696" s="2">
        <v>41685</v>
      </c>
      <c r="F696" t="s">
        <v>16</v>
      </c>
      <c r="G696" t="s">
        <v>66</v>
      </c>
      <c r="H696" t="s">
        <v>225</v>
      </c>
      <c r="I696" s="3">
        <v>0.25</v>
      </c>
      <c r="J696" s="8" t="s">
        <v>450</v>
      </c>
      <c r="K696" s="8" t="s">
        <v>443</v>
      </c>
      <c r="L696" s="8" t="str">
        <f>IF(Table1346[[#This Row],[Home Team Score]]&gt;Table1346[[#This Row],[Away Team Score]],"Win",IF(Table1346[[#This Row],[Home Team Score]]=Table1346[[#This Row],[Away Team Score]],"Tie","Lose"))</f>
        <v>Win</v>
      </c>
      <c r="M696" t="s">
        <v>68</v>
      </c>
      <c r="N696">
        <v>68</v>
      </c>
      <c r="O696" s="3">
        <v>0.20833333333333334</v>
      </c>
      <c r="P696" t="s">
        <v>31</v>
      </c>
      <c r="Q696" t="s">
        <v>234</v>
      </c>
      <c r="R696" t="e">
        <f>IF([1]!Table13[[#This Row],[Goal_assist]]="",1,0)</f>
        <v>#REF!</v>
      </c>
    </row>
    <row r="697" spans="1:18" x14ac:dyDescent="0.35">
      <c r="A697" t="s">
        <v>64</v>
      </c>
      <c r="B697" t="s">
        <v>255</v>
      </c>
      <c r="C697" t="s">
        <v>75</v>
      </c>
      <c r="D697" t="s">
        <v>143</v>
      </c>
      <c r="E697" s="2">
        <v>41688</v>
      </c>
      <c r="F697" t="s">
        <v>24</v>
      </c>
      <c r="G697" t="s">
        <v>66</v>
      </c>
      <c r="H697" t="s">
        <v>41</v>
      </c>
      <c r="I697" s="3">
        <v>1.3888888888888889E-3</v>
      </c>
      <c r="J697" s="8" t="s">
        <v>443</v>
      </c>
      <c r="K697" s="8" t="s">
        <v>445</v>
      </c>
      <c r="L697" s="8" t="str">
        <f>IF(Table1346[[#This Row],[Home Team Score]]&gt;Table1346[[#This Row],[Away Team Score]],"Win",IF(Table1346[[#This Row],[Home Team Score]]=Table1346[[#This Row],[Away Team Score]],"Tie","Lose"))</f>
        <v>Lose</v>
      </c>
      <c r="M697" t="s">
        <v>68</v>
      </c>
      <c r="N697">
        <v>54</v>
      </c>
      <c r="O697" s="3">
        <v>6.9444444444444447E-4</v>
      </c>
      <c r="P697" t="s">
        <v>83</v>
      </c>
      <c r="R697" t="e">
        <f>IF([1]!Table13[[#This Row],[Goal_assist]]="",1,0)</f>
        <v>#REF!</v>
      </c>
    </row>
    <row r="698" spans="1:18" x14ac:dyDescent="0.35">
      <c r="A698" t="s">
        <v>64</v>
      </c>
      <c r="B698" t="s">
        <v>255</v>
      </c>
      <c r="C698" t="s">
        <v>65</v>
      </c>
      <c r="D698">
        <v>25</v>
      </c>
      <c r="E698" s="2">
        <v>41692</v>
      </c>
      <c r="F698" t="s">
        <v>24</v>
      </c>
      <c r="G698" t="s">
        <v>66</v>
      </c>
      <c r="H698" t="s">
        <v>217</v>
      </c>
      <c r="I698" s="3">
        <v>0.12569444444444444</v>
      </c>
      <c r="J698" s="8" t="s">
        <v>442</v>
      </c>
      <c r="K698" s="8" t="s">
        <v>444</v>
      </c>
      <c r="L698" s="8" t="str">
        <f>IF(Table1346[[#This Row],[Home Team Score]]&gt;Table1346[[#This Row],[Away Team Score]],"Win",IF(Table1346[[#This Row],[Home Team Score]]=Table1346[[#This Row],[Away Team Score]],"Tie","Lose"))</f>
        <v>Win</v>
      </c>
      <c r="M698" t="s">
        <v>68</v>
      </c>
      <c r="N698">
        <v>36</v>
      </c>
      <c r="O698" s="3">
        <v>4.2361111111111113E-2</v>
      </c>
      <c r="P698" t="s">
        <v>31</v>
      </c>
      <c r="Q698" t="s">
        <v>247</v>
      </c>
      <c r="R698" t="e">
        <f>IF([1]!Table13[[#This Row],[Goal_assist]]="",1,0)</f>
        <v>#REF!</v>
      </c>
    </row>
    <row r="699" spans="1:18" x14ac:dyDescent="0.35">
      <c r="A699" t="s">
        <v>14</v>
      </c>
      <c r="B699" t="s">
        <v>255</v>
      </c>
      <c r="C699" t="s">
        <v>75</v>
      </c>
      <c r="D699" t="s">
        <v>143</v>
      </c>
      <c r="E699" s="2">
        <v>41696</v>
      </c>
      <c r="F699" t="s">
        <v>24</v>
      </c>
      <c r="G699" t="s">
        <v>112</v>
      </c>
      <c r="H699" t="s">
        <v>264</v>
      </c>
      <c r="I699" s="3">
        <v>4.583333333333333E-2</v>
      </c>
      <c r="J699" s="8" t="s">
        <v>444</v>
      </c>
      <c r="K699" s="8" t="s">
        <v>450</v>
      </c>
      <c r="L699" s="8" t="str">
        <f>IF(Table1346[[#This Row],[Home Team Score]]&gt;Table1346[[#This Row],[Away Team Score]],"Win",IF(Table1346[[#This Row],[Home Team Score]]=Table1346[[#This Row],[Away Team Score]],"Tie","Lose"))</f>
        <v>Lose</v>
      </c>
      <c r="M699" t="s">
        <v>19</v>
      </c>
      <c r="N699">
        <v>52</v>
      </c>
      <c r="O699" s="3">
        <v>2.0833333333333333E-3</v>
      </c>
      <c r="P699" t="s">
        <v>31</v>
      </c>
      <c r="Q699" t="s">
        <v>261</v>
      </c>
      <c r="R699" t="e">
        <f>IF([1]!Table13[[#This Row],[Goal_assist]]="",1,0)</f>
        <v>#REF!</v>
      </c>
    </row>
    <row r="700" spans="1:18" x14ac:dyDescent="0.35">
      <c r="A700" t="s">
        <v>14</v>
      </c>
      <c r="B700" t="s">
        <v>255</v>
      </c>
      <c r="C700" t="s">
        <v>75</v>
      </c>
      <c r="D700" t="s">
        <v>143</v>
      </c>
      <c r="E700" s="2">
        <v>41696</v>
      </c>
      <c r="F700" t="s">
        <v>24</v>
      </c>
      <c r="G700" t="s">
        <v>112</v>
      </c>
      <c r="H700" t="s">
        <v>264</v>
      </c>
      <c r="I700" s="3">
        <v>4.583333333333333E-2</v>
      </c>
      <c r="J700" s="8" t="s">
        <v>444</v>
      </c>
      <c r="K700" s="8" t="s">
        <v>450</v>
      </c>
      <c r="L700" s="8" t="str">
        <f>IF(Table1346[[#This Row],[Home Team Score]]&gt;Table1346[[#This Row],[Away Team Score]],"Win",IF(Table1346[[#This Row],[Home Team Score]]=Table1346[[#This Row],[Away Team Score]],"Tie","Lose"))</f>
        <v>Lose</v>
      </c>
      <c r="M700" t="s">
        <v>19</v>
      </c>
      <c r="N700">
        <v>89</v>
      </c>
      <c r="O700" s="3">
        <v>4.1666666666666666E-3</v>
      </c>
      <c r="P700" t="s">
        <v>26</v>
      </c>
      <c r="Q700" t="s">
        <v>183</v>
      </c>
      <c r="R700" t="e">
        <f>IF([1]!Table13[[#This Row],[Goal_assist]]="",1,0)</f>
        <v>#REF!</v>
      </c>
    </row>
    <row r="701" spans="1:18" x14ac:dyDescent="0.35">
      <c r="A701" t="s">
        <v>64</v>
      </c>
      <c r="B701" t="s">
        <v>255</v>
      </c>
      <c r="C701" t="s">
        <v>65</v>
      </c>
      <c r="D701">
        <v>26</v>
      </c>
      <c r="E701" s="2">
        <v>41700</v>
      </c>
      <c r="F701" t="s">
        <v>16</v>
      </c>
      <c r="G701" t="s">
        <v>66</v>
      </c>
      <c r="H701" t="s">
        <v>131</v>
      </c>
      <c r="I701" s="3">
        <v>0.1673611111111111</v>
      </c>
      <c r="J701" s="8" t="s">
        <v>446</v>
      </c>
      <c r="K701" s="8" t="s">
        <v>444</v>
      </c>
      <c r="L701" s="8" t="str">
        <f>IF(Table1346[[#This Row],[Home Team Score]]&gt;Table1346[[#This Row],[Away Team Score]],"Win",IF(Table1346[[#This Row],[Home Team Score]]=Table1346[[#This Row],[Away Team Score]],"Tie","Lose"))</f>
        <v>Win</v>
      </c>
      <c r="M701" t="s">
        <v>68</v>
      </c>
      <c r="N701">
        <v>24</v>
      </c>
      <c r="O701" s="3">
        <v>8.3333333333333329E-2</v>
      </c>
      <c r="P701" t="s">
        <v>39</v>
      </c>
      <c r="R701" t="e">
        <f>IF([1]!Table13[[#This Row],[Goal_assist]]="",1,0)</f>
        <v>#REF!</v>
      </c>
    </row>
    <row r="702" spans="1:18" x14ac:dyDescent="0.35">
      <c r="A702" t="s">
        <v>14</v>
      </c>
      <c r="B702" t="s">
        <v>255</v>
      </c>
      <c r="C702" t="s">
        <v>65</v>
      </c>
      <c r="D702">
        <v>26</v>
      </c>
      <c r="E702" s="2">
        <v>41700</v>
      </c>
      <c r="F702" t="s">
        <v>24</v>
      </c>
      <c r="G702" t="s">
        <v>112</v>
      </c>
      <c r="H702" t="s">
        <v>119</v>
      </c>
      <c r="I702" s="3">
        <v>8.4722222222222227E-2</v>
      </c>
      <c r="J702" s="8" t="s">
        <v>445</v>
      </c>
      <c r="K702" s="8" t="s">
        <v>445</v>
      </c>
      <c r="L702" s="8" t="str">
        <f>IF(Table1346[[#This Row],[Home Team Score]]&gt;Table1346[[#This Row],[Away Team Score]],"Win",IF(Table1346[[#This Row],[Home Team Score]]=Table1346[[#This Row],[Away Team Score]],"Tie","Lose"))</f>
        <v>Tie</v>
      </c>
      <c r="M702" t="s">
        <v>19</v>
      </c>
      <c r="N702">
        <v>82</v>
      </c>
      <c r="O702" s="3">
        <v>8.4722222222222227E-2</v>
      </c>
      <c r="P702" t="s">
        <v>26</v>
      </c>
      <c r="Q702" t="s">
        <v>261</v>
      </c>
      <c r="R702" t="e">
        <f>IF([1]!Table13[[#This Row],[Goal_assist]]="",1,0)</f>
        <v>#REF!</v>
      </c>
    </row>
    <row r="703" spans="1:18" x14ac:dyDescent="0.35">
      <c r="A703" t="s">
        <v>14</v>
      </c>
      <c r="B703" t="s">
        <v>255</v>
      </c>
      <c r="C703" t="s">
        <v>65</v>
      </c>
      <c r="D703">
        <v>27</v>
      </c>
      <c r="E703" s="2">
        <v>41707</v>
      </c>
      <c r="F703" t="s">
        <v>16</v>
      </c>
      <c r="G703" t="s">
        <v>112</v>
      </c>
      <c r="H703" t="s">
        <v>127</v>
      </c>
      <c r="I703" s="3">
        <v>0.125</v>
      </c>
      <c r="J703" s="8" t="s">
        <v>442</v>
      </c>
      <c r="K703" s="8" t="s">
        <v>443</v>
      </c>
      <c r="L703" s="8" t="str">
        <f>IF(Table1346[[#This Row],[Home Team Score]]&gt;Table1346[[#This Row],[Away Team Score]],"Win",IF(Table1346[[#This Row],[Home Team Score]]=Table1346[[#This Row],[Away Team Score]],"Tie","Lose"))</f>
        <v>Win</v>
      </c>
      <c r="M703" t="s">
        <v>19</v>
      </c>
      <c r="N703">
        <v>11</v>
      </c>
      <c r="O703" s="3">
        <v>4.1666666666666664E-2</v>
      </c>
      <c r="P703" t="s">
        <v>22</v>
      </c>
      <c r="Q703" t="s">
        <v>207</v>
      </c>
      <c r="R703" t="e">
        <f>IF([1]!Table13[[#This Row],[Goal_assist]]="",1,0)</f>
        <v>#REF!</v>
      </c>
    </row>
    <row r="704" spans="1:18" x14ac:dyDescent="0.35">
      <c r="A704" t="s">
        <v>64</v>
      </c>
      <c r="B704" t="s">
        <v>255</v>
      </c>
      <c r="C704" t="s">
        <v>75</v>
      </c>
      <c r="D704" t="s">
        <v>143</v>
      </c>
      <c r="E704" s="2">
        <v>41710</v>
      </c>
      <c r="F704" t="s">
        <v>16</v>
      </c>
      <c r="G704" t="s">
        <v>66</v>
      </c>
      <c r="H704" t="s">
        <v>41</v>
      </c>
      <c r="I704" s="3">
        <v>8.4027777777777785E-2</v>
      </c>
      <c r="J704" s="8" t="s">
        <v>445</v>
      </c>
      <c r="K704" s="8" t="s">
        <v>444</v>
      </c>
      <c r="L704" s="8" t="str">
        <f>IF(Table1346[[#This Row],[Home Team Score]]&gt;Table1346[[#This Row],[Away Team Score]],"Win",IF(Table1346[[#This Row],[Home Team Score]]=Table1346[[#This Row],[Away Team Score]],"Tie","Lose"))</f>
        <v>Win</v>
      </c>
      <c r="M704" t="s">
        <v>68</v>
      </c>
      <c r="N704">
        <v>67</v>
      </c>
      <c r="O704" s="3">
        <v>4.1666666666666664E-2</v>
      </c>
      <c r="P704" t="s">
        <v>31</v>
      </c>
      <c r="R704" t="e">
        <f>IF([1]!Table13[[#This Row],[Goal_assist]]="",1,0)</f>
        <v>#REF!</v>
      </c>
    </row>
    <row r="705" spans="1:18" x14ac:dyDescent="0.35">
      <c r="A705" t="s">
        <v>14</v>
      </c>
      <c r="B705" t="s">
        <v>255</v>
      </c>
      <c r="C705" t="s">
        <v>65</v>
      </c>
      <c r="D705">
        <v>28</v>
      </c>
      <c r="E705" s="2">
        <v>41713</v>
      </c>
      <c r="F705" t="s">
        <v>24</v>
      </c>
      <c r="G705" t="s">
        <v>112</v>
      </c>
      <c r="H705" t="s">
        <v>157</v>
      </c>
      <c r="I705" s="3">
        <v>6.9444444444444447E-4</v>
      </c>
      <c r="J705" s="8" t="s">
        <v>443</v>
      </c>
      <c r="K705" s="8" t="s">
        <v>444</v>
      </c>
      <c r="L705" s="8" t="str">
        <f>IF(Table1346[[#This Row],[Home Team Score]]&gt;Table1346[[#This Row],[Away Team Score]],"Win",IF(Table1346[[#This Row],[Home Team Score]]=Table1346[[#This Row],[Away Team Score]],"Tie","Lose"))</f>
        <v>Lose</v>
      </c>
      <c r="M705" t="s">
        <v>19</v>
      </c>
      <c r="N705">
        <v>23</v>
      </c>
      <c r="O705" s="3">
        <v>6.9444444444444447E-4</v>
      </c>
      <c r="P705" t="s">
        <v>26</v>
      </c>
      <c r="Q705" t="s">
        <v>261</v>
      </c>
      <c r="R705" t="e">
        <f>IF([1]!Table13[[#This Row],[Goal_assist]]="",1,0)</f>
        <v>#REF!</v>
      </c>
    </row>
    <row r="706" spans="1:18" x14ac:dyDescent="0.35">
      <c r="A706" t="s">
        <v>64</v>
      </c>
      <c r="B706" t="s">
        <v>255</v>
      </c>
      <c r="C706" t="s">
        <v>65</v>
      </c>
      <c r="D706">
        <v>28</v>
      </c>
      <c r="E706" s="2">
        <v>41714</v>
      </c>
      <c r="F706" t="s">
        <v>16</v>
      </c>
      <c r="G706" t="s">
        <v>66</v>
      </c>
      <c r="H706" t="s">
        <v>100</v>
      </c>
      <c r="I706" s="3">
        <v>0.29166666666666669</v>
      </c>
      <c r="J706" s="8" t="s">
        <v>449</v>
      </c>
      <c r="K706" s="8" t="s">
        <v>443</v>
      </c>
      <c r="L706" s="8" t="str">
        <f>IF(Table1346[[#This Row],[Home Team Score]]&gt;Table1346[[#This Row],[Away Team Score]],"Win",IF(Table1346[[#This Row],[Home Team Score]]=Table1346[[#This Row],[Away Team Score]],"Tie","Lose"))</f>
        <v>Win</v>
      </c>
      <c r="M706" t="s">
        <v>68</v>
      </c>
      <c r="N706">
        <v>18</v>
      </c>
      <c r="O706" s="3">
        <v>4.1666666666666664E-2</v>
      </c>
      <c r="P706" t="s">
        <v>31</v>
      </c>
      <c r="Q706" t="s">
        <v>234</v>
      </c>
      <c r="R706" t="e">
        <f>IF([1]!Table13[[#This Row],[Goal_assist]]="",1,0)</f>
        <v>#REF!</v>
      </c>
    </row>
    <row r="707" spans="1:18" x14ac:dyDescent="0.35">
      <c r="A707" t="s">
        <v>64</v>
      </c>
      <c r="B707" t="s">
        <v>255</v>
      </c>
      <c r="C707" t="s">
        <v>65</v>
      </c>
      <c r="D707">
        <v>28</v>
      </c>
      <c r="E707" s="2">
        <v>41714</v>
      </c>
      <c r="F707" t="s">
        <v>16</v>
      </c>
      <c r="G707" t="s">
        <v>66</v>
      </c>
      <c r="H707" t="s">
        <v>100</v>
      </c>
      <c r="I707" s="3">
        <v>0.29166666666666669</v>
      </c>
      <c r="J707" s="8" t="s">
        <v>449</v>
      </c>
      <c r="K707" s="8" t="s">
        <v>443</v>
      </c>
      <c r="L707" s="8" t="str">
        <f>IF(Table1346[[#This Row],[Home Team Score]]&gt;Table1346[[#This Row],[Away Team Score]],"Win",IF(Table1346[[#This Row],[Home Team Score]]=Table1346[[#This Row],[Away Team Score]],"Tie","Lose"))</f>
        <v>Win</v>
      </c>
      <c r="M707" t="s">
        <v>68</v>
      </c>
      <c r="N707">
        <v>63</v>
      </c>
      <c r="O707" s="3">
        <v>0.16666666666666666</v>
      </c>
      <c r="P707" t="s">
        <v>31</v>
      </c>
      <c r="Q707" t="s">
        <v>99</v>
      </c>
      <c r="R707" t="e">
        <f>IF([1]!Table13[[#This Row],[Goal_assist]]="",1,0)</f>
        <v>#REF!</v>
      </c>
    </row>
    <row r="708" spans="1:18" x14ac:dyDescent="0.35">
      <c r="A708" t="s">
        <v>64</v>
      </c>
      <c r="B708" t="s">
        <v>255</v>
      </c>
      <c r="C708" t="s">
        <v>65</v>
      </c>
      <c r="D708">
        <v>28</v>
      </c>
      <c r="E708" s="2">
        <v>41714</v>
      </c>
      <c r="F708" t="s">
        <v>16</v>
      </c>
      <c r="G708" t="s">
        <v>66</v>
      </c>
      <c r="H708" t="s">
        <v>100</v>
      </c>
      <c r="I708" s="3">
        <v>0.29166666666666669</v>
      </c>
      <c r="J708" s="8" t="s">
        <v>449</v>
      </c>
      <c r="K708" s="8" t="s">
        <v>443</v>
      </c>
      <c r="L708" s="8" t="str">
        <f>IF(Table1346[[#This Row],[Home Team Score]]&gt;Table1346[[#This Row],[Away Team Score]],"Win",IF(Table1346[[#This Row],[Home Team Score]]=Table1346[[#This Row],[Away Team Score]],"Tie","Lose"))</f>
        <v>Win</v>
      </c>
      <c r="M708" t="s">
        <v>68</v>
      </c>
      <c r="N708">
        <v>88</v>
      </c>
      <c r="O708" s="3">
        <v>0.25</v>
      </c>
      <c r="P708" t="s">
        <v>26</v>
      </c>
      <c r="Q708" t="s">
        <v>155</v>
      </c>
      <c r="R708" t="e">
        <f>IF([1]!Table13[[#This Row],[Goal_assist]]="",1,0)</f>
        <v>#REF!</v>
      </c>
    </row>
    <row r="709" spans="1:18" x14ac:dyDescent="0.35">
      <c r="A709" t="s">
        <v>14</v>
      </c>
      <c r="B709" t="s">
        <v>255</v>
      </c>
      <c r="C709" t="s">
        <v>75</v>
      </c>
      <c r="D709" t="s">
        <v>143</v>
      </c>
      <c r="E709" s="2">
        <v>41716</v>
      </c>
      <c r="F709" t="s">
        <v>16</v>
      </c>
      <c r="G709" t="s">
        <v>112</v>
      </c>
      <c r="H709" t="s">
        <v>264</v>
      </c>
      <c r="I709" s="3">
        <v>0.12569444444444444</v>
      </c>
      <c r="J709" s="8" t="s">
        <v>442</v>
      </c>
      <c r="K709" s="8" t="s">
        <v>444</v>
      </c>
      <c r="L709" s="8" t="str">
        <f>IF(Table1346[[#This Row],[Home Team Score]]&gt;Table1346[[#This Row],[Away Team Score]],"Win",IF(Table1346[[#This Row],[Home Team Score]]=Table1346[[#This Row],[Away Team Score]],"Tie","Lose"))</f>
        <v>Win</v>
      </c>
      <c r="M709" t="s">
        <v>19</v>
      </c>
      <c r="N709">
        <v>74</v>
      </c>
      <c r="O709" s="3">
        <v>8.4027777777777785E-2</v>
      </c>
      <c r="P709" t="s">
        <v>26</v>
      </c>
      <c r="R709" t="e">
        <f>IF([1]!Table13[[#This Row],[Goal_assist]]="",1,0)</f>
        <v>#REF!</v>
      </c>
    </row>
    <row r="710" spans="1:18" x14ac:dyDescent="0.35">
      <c r="A710" t="s">
        <v>14</v>
      </c>
      <c r="B710" t="s">
        <v>255</v>
      </c>
      <c r="C710" t="s">
        <v>75</v>
      </c>
      <c r="D710" t="s">
        <v>143</v>
      </c>
      <c r="E710" s="2">
        <v>41716</v>
      </c>
      <c r="F710" t="s">
        <v>16</v>
      </c>
      <c r="G710" t="s">
        <v>112</v>
      </c>
      <c r="H710" t="s">
        <v>264</v>
      </c>
      <c r="I710" s="3">
        <v>0.12569444444444444</v>
      </c>
      <c r="J710" s="8" t="s">
        <v>442</v>
      </c>
      <c r="K710" s="8" t="s">
        <v>444</v>
      </c>
      <c r="L710" s="8" t="str">
        <f>IF(Table1346[[#This Row],[Home Team Score]]&gt;Table1346[[#This Row],[Away Team Score]],"Win",IF(Table1346[[#This Row],[Home Team Score]]=Table1346[[#This Row],[Away Team Score]],"Tie","Lose"))</f>
        <v>Win</v>
      </c>
      <c r="M710" t="s">
        <v>19</v>
      </c>
      <c r="N710">
        <v>22</v>
      </c>
      <c r="O710" s="3">
        <v>4.1666666666666664E-2</v>
      </c>
      <c r="P710" t="s">
        <v>26</v>
      </c>
      <c r="Q710" t="s">
        <v>261</v>
      </c>
      <c r="R710" t="e">
        <f>IF([1]!Table13[[#This Row],[Goal_assist]]="",1,0)</f>
        <v>#REF!</v>
      </c>
    </row>
    <row r="711" spans="1:18" x14ac:dyDescent="0.35">
      <c r="A711" t="s">
        <v>14</v>
      </c>
      <c r="B711" t="s">
        <v>255</v>
      </c>
      <c r="C711" t="s">
        <v>65</v>
      </c>
      <c r="D711">
        <v>29</v>
      </c>
      <c r="E711" s="2">
        <v>41721</v>
      </c>
      <c r="F711" t="s">
        <v>16</v>
      </c>
      <c r="G711" t="s">
        <v>112</v>
      </c>
      <c r="H711" t="s">
        <v>66</v>
      </c>
      <c r="I711" s="3">
        <v>0.12777777777777777</v>
      </c>
      <c r="J711" s="8" t="s">
        <v>442</v>
      </c>
      <c r="K711" s="8" t="s">
        <v>446</v>
      </c>
      <c r="L711" s="8" t="str">
        <f>IF(Table1346[[#This Row],[Home Team Score]]&gt;Table1346[[#This Row],[Away Team Score]],"Win",IF(Table1346[[#This Row],[Home Team Score]]=Table1346[[#This Row],[Away Team Score]],"Tie","Lose"))</f>
        <v>Lose</v>
      </c>
      <c r="M711" t="s">
        <v>19</v>
      </c>
      <c r="N711">
        <v>55</v>
      </c>
      <c r="O711" s="3">
        <v>0.12638888888888888</v>
      </c>
      <c r="P711" t="s">
        <v>83</v>
      </c>
      <c r="R711" t="e">
        <f>IF([1]!Table13[[#This Row],[Goal_assist]]="",1,0)</f>
        <v>#REF!</v>
      </c>
    </row>
    <row r="712" spans="1:18" x14ac:dyDescent="0.35">
      <c r="A712" t="s">
        <v>64</v>
      </c>
      <c r="B712" t="s">
        <v>255</v>
      </c>
      <c r="C712" t="s">
        <v>65</v>
      </c>
      <c r="D712">
        <v>29</v>
      </c>
      <c r="E712" s="2">
        <v>41721</v>
      </c>
      <c r="F712" t="s">
        <v>24</v>
      </c>
      <c r="G712" t="s">
        <v>66</v>
      </c>
      <c r="H712" t="s">
        <v>112</v>
      </c>
      <c r="I712" s="3">
        <v>0.12777777777777777</v>
      </c>
      <c r="J712" s="8" t="s">
        <v>442</v>
      </c>
      <c r="K712" s="8" t="s">
        <v>446</v>
      </c>
      <c r="L712" s="8" t="str">
        <f>IF(Table1346[[#This Row],[Home Team Score]]&gt;Table1346[[#This Row],[Away Team Score]],"Win",IF(Table1346[[#This Row],[Home Team Score]]=Table1346[[#This Row],[Away Team Score]],"Tie","Lose"))</f>
        <v>Lose</v>
      </c>
      <c r="M712" t="s">
        <v>68</v>
      </c>
      <c r="N712">
        <v>42</v>
      </c>
      <c r="O712" s="3">
        <v>8.4722222222222227E-2</v>
      </c>
      <c r="P712" t="s">
        <v>31</v>
      </c>
      <c r="Q712" t="s">
        <v>256</v>
      </c>
      <c r="R712" t="e">
        <f>IF([1]!Table13[[#This Row],[Goal_assist]]="",1,0)</f>
        <v>#REF!</v>
      </c>
    </row>
    <row r="713" spans="1:18" x14ac:dyDescent="0.35">
      <c r="A713" t="s">
        <v>64</v>
      </c>
      <c r="B713" t="s">
        <v>255</v>
      </c>
      <c r="C713" t="s">
        <v>65</v>
      </c>
      <c r="D713">
        <v>29</v>
      </c>
      <c r="E713" s="2">
        <v>41721</v>
      </c>
      <c r="F713" t="s">
        <v>24</v>
      </c>
      <c r="G713" t="s">
        <v>66</v>
      </c>
      <c r="H713" t="s">
        <v>112</v>
      </c>
      <c r="I713" s="3">
        <v>0.12777777777777777</v>
      </c>
      <c r="J713" s="8" t="s">
        <v>442</v>
      </c>
      <c r="K713" s="8" t="s">
        <v>446</v>
      </c>
      <c r="L713" s="8" t="str">
        <f>IF(Table1346[[#This Row],[Home Team Score]]&gt;Table1346[[#This Row],[Away Team Score]],"Win",IF(Table1346[[#This Row],[Home Team Score]]=Table1346[[#This Row],[Away Team Score]],"Tie","Lose"))</f>
        <v>Lose</v>
      </c>
      <c r="M713" t="s">
        <v>68</v>
      </c>
      <c r="N713">
        <v>84</v>
      </c>
      <c r="O713" s="3">
        <v>0.12777777777777777</v>
      </c>
      <c r="P713" t="s">
        <v>83</v>
      </c>
      <c r="R713" t="e">
        <f>IF([1]!Table13[[#This Row],[Goal_assist]]="",1,0)</f>
        <v>#REF!</v>
      </c>
    </row>
    <row r="714" spans="1:18" x14ac:dyDescent="0.35">
      <c r="A714" t="s">
        <v>64</v>
      </c>
      <c r="B714" t="s">
        <v>255</v>
      </c>
      <c r="C714" t="s">
        <v>65</v>
      </c>
      <c r="D714">
        <v>29</v>
      </c>
      <c r="E714" s="2">
        <v>41721</v>
      </c>
      <c r="F714" t="s">
        <v>24</v>
      </c>
      <c r="G714" t="s">
        <v>66</v>
      </c>
      <c r="H714" t="s">
        <v>112</v>
      </c>
      <c r="I714" s="3">
        <v>0.12777777777777777</v>
      </c>
      <c r="J714" s="8" t="s">
        <v>442</v>
      </c>
      <c r="K714" s="8" t="s">
        <v>446</v>
      </c>
      <c r="L714" s="8" t="str">
        <f>IF(Table1346[[#This Row],[Home Team Score]]&gt;Table1346[[#This Row],[Away Team Score]],"Win",IF(Table1346[[#This Row],[Home Team Score]]=Table1346[[#This Row],[Away Team Score]],"Tie","Lose"))</f>
        <v>Lose</v>
      </c>
      <c r="M714" t="s">
        <v>68</v>
      </c>
      <c r="N714">
        <v>65</v>
      </c>
      <c r="O714" s="3">
        <v>0.12708333333333333</v>
      </c>
      <c r="P714" t="s">
        <v>83</v>
      </c>
      <c r="R714" t="e">
        <f>IF([1]!Table13[[#This Row],[Goal_assist]]="",1,0)</f>
        <v>#REF!</v>
      </c>
    </row>
    <row r="715" spans="1:18" x14ac:dyDescent="0.35">
      <c r="A715" t="s">
        <v>64</v>
      </c>
      <c r="B715" t="s">
        <v>255</v>
      </c>
      <c r="C715" t="s">
        <v>65</v>
      </c>
      <c r="D715">
        <v>30</v>
      </c>
      <c r="E715" s="2">
        <v>41724</v>
      </c>
      <c r="F715" t="s">
        <v>16</v>
      </c>
      <c r="G715" t="s">
        <v>66</v>
      </c>
      <c r="H715" t="s">
        <v>98</v>
      </c>
      <c r="I715" s="3">
        <v>0.125</v>
      </c>
      <c r="J715" s="8" t="s">
        <v>442</v>
      </c>
      <c r="K715" s="8" t="s">
        <v>443</v>
      </c>
      <c r="L715" s="8" t="str">
        <f>IF(Table1346[[#This Row],[Home Team Score]]&gt;Table1346[[#This Row],[Away Team Score]],"Win",IF(Table1346[[#This Row],[Home Team Score]]=Table1346[[#This Row],[Away Team Score]],"Tie","Lose"))</f>
        <v>Win</v>
      </c>
      <c r="M715" t="s">
        <v>68</v>
      </c>
      <c r="N715">
        <v>30</v>
      </c>
      <c r="O715" s="3">
        <v>8.3333333333333329E-2</v>
      </c>
      <c r="P715" t="s">
        <v>26</v>
      </c>
      <c r="Q715" t="s">
        <v>99</v>
      </c>
      <c r="R715" t="e">
        <f>IF([1]!Table13[[#This Row],[Goal_assist]]="",1,0)</f>
        <v>#REF!</v>
      </c>
    </row>
    <row r="716" spans="1:18" x14ac:dyDescent="0.35">
      <c r="A716" t="s">
        <v>14</v>
      </c>
      <c r="B716" t="s">
        <v>255</v>
      </c>
      <c r="C716" t="s">
        <v>65</v>
      </c>
      <c r="D716">
        <v>30</v>
      </c>
      <c r="E716" s="2">
        <v>41724</v>
      </c>
      <c r="F716" t="s">
        <v>24</v>
      </c>
      <c r="G716" t="s">
        <v>112</v>
      </c>
      <c r="H716" t="s">
        <v>105</v>
      </c>
      <c r="I716" s="3">
        <v>8.4027777777777785E-2</v>
      </c>
      <c r="J716" s="8" t="s">
        <v>445</v>
      </c>
      <c r="K716" s="8" t="s">
        <v>444</v>
      </c>
      <c r="L716" s="8" t="str">
        <f>IF(Table1346[[#This Row],[Home Team Score]]&gt;Table1346[[#This Row],[Away Team Score]],"Win",IF(Table1346[[#This Row],[Home Team Score]]=Table1346[[#This Row],[Away Team Score]],"Tie","Lose"))</f>
        <v>Win</v>
      </c>
      <c r="M716" t="s">
        <v>19</v>
      </c>
      <c r="N716">
        <v>14</v>
      </c>
      <c r="O716" s="3">
        <v>6.9444444444444447E-4</v>
      </c>
      <c r="P716" t="s">
        <v>39</v>
      </c>
      <c r="R716" t="e">
        <f>IF([1]!Table13[[#This Row],[Goal_assist]]="",1,0)</f>
        <v>#REF!</v>
      </c>
    </row>
    <row r="717" spans="1:18" x14ac:dyDescent="0.35">
      <c r="A717" t="s">
        <v>64</v>
      </c>
      <c r="B717" t="s">
        <v>255</v>
      </c>
      <c r="C717" t="s">
        <v>65</v>
      </c>
      <c r="D717">
        <v>31</v>
      </c>
      <c r="E717" s="2">
        <v>41727</v>
      </c>
      <c r="F717" t="s">
        <v>24</v>
      </c>
      <c r="G717" t="s">
        <v>66</v>
      </c>
      <c r="H717" t="s">
        <v>121</v>
      </c>
      <c r="I717" s="3">
        <v>6.9444444444444447E-4</v>
      </c>
      <c r="J717" s="8" t="s">
        <v>443</v>
      </c>
      <c r="K717" s="8" t="s">
        <v>444</v>
      </c>
      <c r="L717" s="8" t="str">
        <f>IF(Table1346[[#This Row],[Home Team Score]]&gt;Table1346[[#This Row],[Away Team Score]],"Win",IF(Table1346[[#This Row],[Home Team Score]]=Table1346[[#This Row],[Away Team Score]],"Tie","Lose"))</f>
        <v>Lose</v>
      </c>
      <c r="M717" t="s">
        <v>68</v>
      </c>
      <c r="N717">
        <v>77</v>
      </c>
      <c r="O717" s="3">
        <v>6.9444444444444447E-4</v>
      </c>
      <c r="P717" t="s">
        <v>83</v>
      </c>
      <c r="R717" t="e">
        <f>IF([1]!Table13[[#This Row],[Goal_assist]]="",1,0)</f>
        <v>#REF!</v>
      </c>
    </row>
    <row r="718" spans="1:18" x14ac:dyDescent="0.35">
      <c r="A718" t="s">
        <v>14</v>
      </c>
      <c r="B718" t="s">
        <v>255</v>
      </c>
      <c r="C718" t="s">
        <v>65</v>
      </c>
      <c r="D718">
        <v>31</v>
      </c>
      <c r="E718" s="2">
        <v>41727</v>
      </c>
      <c r="F718" t="s">
        <v>16</v>
      </c>
      <c r="G718" t="s">
        <v>112</v>
      </c>
      <c r="H718" t="s">
        <v>225</v>
      </c>
      <c r="I718" s="3">
        <v>0.20833333333333334</v>
      </c>
      <c r="J718" s="8" t="s">
        <v>448</v>
      </c>
      <c r="K718" s="8" t="s">
        <v>443</v>
      </c>
      <c r="L718" s="8" t="str">
        <f>IF(Table1346[[#This Row],[Home Team Score]]&gt;Table1346[[#This Row],[Away Team Score]],"Win",IF(Table1346[[#This Row],[Home Team Score]]=Table1346[[#This Row],[Away Team Score]],"Tie","Lose"))</f>
        <v>Win</v>
      </c>
      <c r="M718" t="s">
        <v>19</v>
      </c>
      <c r="N718">
        <v>15</v>
      </c>
      <c r="O718" s="3">
        <v>4.1666666666666664E-2</v>
      </c>
      <c r="P718" t="s">
        <v>26</v>
      </c>
      <c r="Q718" t="s">
        <v>261</v>
      </c>
      <c r="R718" t="e">
        <f>IF([1]!Table13[[#This Row],[Goal_assist]]="",1,0)</f>
        <v>#REF!</v>
      </c>
    </row>
    <row r="719" spans="1:18" x14ac:dyDescent="0.35">
      <c r="A719" t="s">
        <v>14</v>
      </c>
      <c r="B719" t="s">
        <v>255</v>
      </c>
      <c r="C719" t="s">
        <v>75</v>
      </c>
      <c r="D719" t="s">
        <v>92</v>
      </c>
      <c r="E719" s="2">
        <v>41731</v>
      </c>
      <c r="F719" t="s">
        <v>16</v>
      </c>
      <c r="G719" t="s">
        <v>112</v>
      </c>
      <c r="H719" t="s">
        <v>246</v>
      </c>
      <c r="I719" s="3">
        <v>0.125</v>
      </c>
      <c r="J719" s="8" t="s">
        <v>442</v>
      </c>
      <c r="K719" s="8" t="s">
        <v>443</v>
      </c>
      <c r="L719" s="8" t="str">
        <f>IF(Table1346[[#This Row],[Home Team Score]]&gt;Table1346[[#This Row],[Away Team Score]],"Win",IF(Table1346[[#This Row],[Home Team Score]]=Table1346[[#This Row],[Away Team Score]],"Tie","Lose"))</f>
        <v>Win</v>
      </c>
      <c r="M719" t="s">
        <v>19</v>
      </c>
      <c r="N719">
        <v>57</v>
      </c>
      <c r="O719" s="3">
        <v>0.125</v>
      </c>
      <c r="P719" t="s">
        <v>31</v>
      </c>
      <c r="Q719" t="s">
        <v>250</v>
      </c>
      <c r="R719" t="e">
        <f>IF([1]!Table13[[#This Row],[Goal_assist]]="",1,0)</f>
        <v>#REF!</v>
      </c>
    </row>
    <row r="720" spans="1:18" x14ac:dyDescent="0.35">
      <c r="A720" t="s">
        <v>64</v>
      </c>
      <c r="B720" t="s">
        <v>255</v>
      </c>
      <c r="C720" t="s">
        <v>65</v>
      </c>
      <c r="D720">
        <v>32</v>
      </c>
      <c r="E720" s="2">
        <v>41734</v>
      </c>
      <c r="F720" t="s">
        <v>16</v>
      </c>
      <c r="G720" t="s">
        <v>66</v>
      </c>
      <c r="H720" t="s">
        <v>95</v>
      </c>
      <c r="I720" s="3">
        <v>0.12569444444444444</v>
      </c>
      <c r="J720" s="8" t="s">
        <v>442</v>
      </c>
      <c r="K720" s="8" t="s">
        <v>444</v>
      </c>
      <c r="L720" s="8" t="str">
        <f>IF(Table1346[[#This Row],[Home Team Score]]&gt;Table1346[[#This Row],[Away Team Score]],"Win",IF(Table1346[[#This Row],[Home Team Score]]=Table1346[[#This Row],[Away Team Score]],"Tie","Lose"))</f>
        <v>Win</v>
      </c>
      <c r="M720" t="s">
        <v>68</v>
      </c>
      <c r="N720">
        <v>86</v>
      </c>
      <c r="O720" s="3">
        <v>0.12569444444444444</v>
      </c>
      <c r="P720" t="s">
        <v>107</v>
      </c>
      <c r="Q720" t="s">
        <v>265</v>
      </c>
      <c r="R720" t="e">
        <f>IF([1]!Table13[[#This Row],[Goal_assist]]="",1,0)</f>
        <v>#REF!</v>
      </c>
    </row>
    <row r="721" spans="1:18" x14ac:dyDescent="0.35">
      <c r="A721" t="s">
        <v>64</v>
      </c>
      <c r="B721" t="s">
        <v>255</v>
      </c>
      <c r="C721" t="s">
        <v>65</v>
      </c>
      <c r="D721">
        <v>32</v>
      </c>
      <c r="E721" s="2">
        <v>41734</v>
      </c>
      <c r="F721" t="s">
        <v>16</v>
      </c>
      <c r="G721" t="s">
        <v>66</v>
      </c>
      <c r="H721" t="s">
        <v>95</v>
      </c>
      <c r="I721" s="3">
        <v>0.12569444444444444</v>
      </c>
      <c r="J721" s="8" t="s">
        <v>442</v>
      </c>
      <c r="K721" s="8" t="s">
        <v>444</v>
      </c>
      <c r="L721" s="8" t="str">
        <f>IF(Table1346[[#This Row],[Home Team Score]]&gt;Table1346[[#This Row],[Away Team Score]],"Win",IF(Table1346[[#This Row],[Home Team Score]]=Table1346[[#This Row],[Away Team Score]],"Tie","Lose"))</f>
        <v>Win</v>
      </c>
      <c r="M721" t="s">
        <v>68</v>
      </c>
      <c r="N721">
        <v>15</v>
      </c>
      <c r="O721" s="3">
        <v>4.1666666666666664E-2</v>
      </c>
      <c r="P721" t="s">
        <v>83</v>
      </c>
      <c r="R721" t="e">
        <f>IF([1]!Table13[[#This Row],[Goal_assist]]="",1,0)</f>
        <v>#REF!</v>
      </c>
    </row>
    <row r="722" spans="1:18" x14ac:dyDescent="0.35">
      <c r="A722" t="s">
        <v>64</v>
      </c>
      <c r="B722" t="s">
        <v>255</v>
      </c>
      <c r="C722" t="s">
        <v>65</v>
      </c>
      <c r="D722">
        <v>34</v>
      </c>
      <c r="E722" s="2">
        <v>41749</v>
      </c>
      <c r="F722" t="s">
        <v>16</v>
      </c>
      <c r="G722" t="s">
        <v>66</v>
      </c>
      <c r="H722" t="s">
        <v>86</v>
      </c>
      <c r="I722" s="3">
        <v>8.4027777777777785E-2</v>
      </c>
      <c r="J722" s="8" t="s">
        <v>445</v>
      </c>
      <c r="K722" s="8" t="s">
        <v>444</v>
      </c>
      <c r="L722" s="8" t="str">
        <f>IF(Table1346[[#This Row],[Home Team Score]]&gt;Table1346[[#This Row],[Away Team Score]],"Win",IF(Table1346[[#This Row],[Home Team Score]]=Table1346[[#This Row],[Away Team Score]],"Tie","Lose"))</f>
        <v>Win</v>
      </c>
      <c r="M722" t="s">
        <v>68</v>
      </c>
      <c r="N722">
        <v>74</v>
      </c>
      <c r="O722" s="3">
        <v>8.4027777777777785E-2</v>
      </c>
      <c r="P722" t="s">
        <v>39</v>
      </c>
      <c r="R722" t="e">
        <f>IF([1]!Table13[[#This Row],[Goal_assist]]="",1,0)</f>
        <v>#REF!</v>
      </c>
    </row>
    <row r="723" spans="1:18" x14ac:dyDescent="0.35">
      <c r="A723" t="s">
        <v>14</v>
      </c>
      <c r="B723" t="s">
        <v>255</v>
      </c>
      <c r="C723" t="s">
        <v>65</v>
      </c>
      <c r="D723">
        <v>35</v>
      </c>
      <c r="E723" s="2">
        <v>41755</v>
      </c>
      <c r="F723" t="s">
        <v>16</v>
      </c>
      <c r="G723" t="s">
        <v>112</v>
      </c>
      <c r="H723" t="s">
        <v>100</v>
      </c>
      <c r="I723" s="3">
        <v>0.16666666666666666</v>
      </c>
      <c r="J723" s="8" t="s">
        <v>446</v>
      </c>
      <c r="K723" s="8" t="s">
        <v>443</v>
      </c>
      <c r="L723" s="8" t="str">
        <f>IF(Table1346[[#This Row],[Home Team Score]]&gt;Table1346[[#This Row],[Away Team Score]],"Win",IF(Table1346[[#This Row],[Home Team Score]]=Table1346[[#This Row],[Away Team Score]],"Tie","Lose"))</f>
        <v>Win</v>
      </c>
      <c r="M723" t="s">
        <v>19</v>
      </c>
      <c r="N723">
        <v>6</v>
      </c>
      <c r="O723" s="3">
        <v>4.1666666666666664E-2</v>
      </c>
      <c r="P723" t="s">
        <v>170</v>
      </c>
      <c r="Q723" t="s">
        <v>207</v>
      </c>
      <c r="R723" t="e">
        <f>IF([1]!Table13[[#This Row],[Goal_assist]]="",1,0)</f>
        <v>#REF!</v>
      </c>
    </row>
    <row r="724" spans="1:18" x14ac:dyDescent="0.35">
      <c r="A724" t="s">
        <v>14</v>
      </c>
      <c r="B724" t="s">
        <v>255</v>
      </c>
      <c r="C724" t="s">
        <v>65</v>
      </c>
      <c r="D724">
        <v>35</v>
      </c>
      <c r="E724" s="2">
        <v>41755</v>
      </c>
      <c r="F724" t="s">
        <v>16</v>
      </c>
      <c r="G724" t="s">
        <v>112</v>
      </c>
      <c r="H724" t="s">
        <v>100</v>
      </c>
      <c r="I724" s="3">
        <v>0.16666666666666666</v>
      </c>
      <c r="J724" s="8" t="s">
        <v>446</v>
      </c>
      <c r="K724" s="8" t="s">
        <v>443</v>
      </c>
      <c r="L724" s="8" t="str">
        <f>IF(Table1346[[#This Row],[Home Team Score]]&gt;Table1346[[#This Row],[Away Team Score]],"Win",IF(Table1346[[#This Row],[Home Team Score]]=Table1346[[#This Row],[Away Team Score]],"Tie","Lose"))</f>
        <v>Win</v>
      </c>
      <c r="M724" t="s">
        <v>19</v>
      </c>
      <c r="N724">
        <v>52</v>
      </c>
      <c r="O724" s="3">
        <v>8.3333333333333329E-2</v>
      </c>
      <c r="P724" t="s">
        <v>170</v>
      </c>
      <c r="Q724" t="s">
        <v>257</v>
      </c>
      <c r="R724" t="e">
        <f>IF([1]!Table13[[#This Row],[Goal_assist]]="",1,0)</f>
        <v>#REF!</v>
      </c>
    </row>
    <row r="725" spans="1:18" x14ac:dyDescent="0.35">
      <c r="A725" t="s">
        <v>64</v>
      </c>
      <c r="B725" t="s">
        <v>255</v>
      </c>
      <c r="C725" t="s">
        <v>65</v>
      </c>
      <c r="D725">
        <v>35</v>
      </c>
      <c r="E725" s="2">
        <v>41756</v>
      </c>
      <c r="F725" t="s">
        <v>24</v>
      </c>
      <c r="G725" t="s">
        <v>66</v>
      </c>
      <c r="H725" t="s">
        <v>180</v>
      </c>
      <c r="I725" s="3">
        <v>8.5416666666666669E-2</v>
      </c>
      <c r="J725" s="8" t="s">
        <v>445</v>
      </c>
      <c r="K725" s="8" t="s">
        <v>442</v>
      </c>
      <c r="L725" s="8" t="str">
        <f>IF(Table1346[[#This Row],[Home Team Score]]&gt;Table1346[[#This Row],[Away Team Score]],"Win",IF(Table1346[[#This Row],[Home Team Score]]=Table1346[[#This Row],[Away Team Score]],"Tie","Lose"))</f>
        <v>Lose</v>
      </c>
      <c r="M725" t="s">
        <v>68</v>
      </c>
      <c r="N725">
        <v>83</v>
      </c>
      <c r="O725" s="3">
        <v>8.5416666666666669E-2</v>
      </c>
      <c r="P725" t="s">
        <v>26</v>
      </c>
      <c r="Q725" t="s">
        <v>224</v>
      </c>
      <c r="R725" t="e">
        <f>IF([1]!Table13[[#This Row],[Goal_assist]]="",1,0)</f>
        <v>#REF!</v>
      </c>
    </row>
    <row r="726" spans="1:18" x14ac:dyDescent="0.35">
      <c r="A726" t="s">
        <v>14</v>
      </c>
      <c r="B726" t="s">
        <v>255</v>
      </c>
      <c r="C726" t="s">
        <v>75</v>
      </c>
      <c r="D726" t="s">
        <v>62</v>
      </c>
      <c r="E726" s="2">
        <v>41758</v>
      </c>
      <c r="F726" t="s">
        <v>24</v>
      </c>
      <c r="G726" t="s">
        <v>112</v>
      </c>
      <c r="H726" t="s">
        <v>168</v>
      </c>
      <c r="I726" s="3">
        <v>2.7777777777777779E-3</v>
      </c>
      <c r="J726" s="8" t="s">
        <v>443</v>
      </c>
      <c r="K726" s="8" t="s">
        <v>446</v>
      </c>
      <c r="L726" s="8" t="str">
        <f>IF(Table1346[[#This Row],[Home Team Score]]&gt;Table1346[[#This Row],[Away Team Score]],"Win",IF(Table1346[[#This Row],[Home Team Score]]=Table1346[[#This Row],[Away Team Score]],"Tie","Lose"))</f>
        <v>Lose</v>
      </c>
      <c r="M726" t="s">
        <v>19</v>
      </c>
      <c r="N726">
        <v>90</v>
      </c>
      <c r="O726" s="3">
        <v>2.7777777777777779E-3</v>
      </c>
      <c r="P726" t="s">
        <v>39</v>
      </c>
      <c r="R726" t="e">
        <f>IF([1]!Table13[[#This Row],[Goal_assist]]="",1,0)</f>
        <v>#REF!</v>
      </c>
    </row>
    <row r="727" spans="1:18" x14ac:dyDescent="0.35">
      <c r="A727" t="s">
        <v>14</v>
      </c>
      <c r="B727" t="s">
        <v>255</v>
      </c>
      <c r="C727" t="s">
        <v>75</v>
      </c>
      <c r="D727" t="s">
        <v>62</v>
      </c>
      <c r="E727" s="2">
        <v>41758</v>
      </c>
      <c r="F727" t="s">
        <v>24</v>
      </c>
      <c r="G727" t="s">
        <v>112</v>
      </c>
      <c r="H727" t="s">
        <v>168</v>
      </c>
      <c r="I727" s="3">
        <v>2.7777777777777779E-3</v>
      </c>
      <c r="J727" s="8" t="s">
        <v>443</v>
      </c>
      <c r="K727" s="8" t="s">
        <v>446</v>
      </c>
      <c r="L727" s="8" t="str">
        <f>IF(Table1346[[#This Row],[Home Team Score]]&gt;Table1346[[#This Row],[Away Team Score]],"Win",IF(Table1346[[#This Row],[Home Team Score]]=Table1346[[#This Row],[Away Team Score]],"Tie","Lose"))</f>
        <v>Lose</v>
      </c>
      <c r="M727" t="s">
        <v>19</v>
      </c>
      <c r="N727">
        <v>34</v>
      </c>
      <c r="O727" s="3">
        <v>2.0833333333333333E-3</v>
      </c>
      <c r="P727" t="s">
        <v>162</v>
      </c>
      <c r="Q727" t="s">
        <v>261</v>
      </c>
      <c r="R727" t="e">
        <f>IF([1]!Table13[[#This Row],[Goal_assist]]="",1,0)</f>
        <v>#REF!</v>
      </c>
    </row>
    <row r="728" spans="1:18" x14ac:dyDescent="0.35">
      <c r="A728" t="s">
        <v>64</v>
      </c>
      <c r="B728" t="s">
        <v>255</v>
      </c>
      <c r="C728" t="s">
        <v>65</v>
      </c>
      <c r="D728">
        <v>36</v>
      </c>
      <c r="E728" s="2">
        <v>41762</v>
      </c>
      <c r="F728" t="s">
        <v>16</v>
      </c>
      <c r="G728" t="s">
        <v>66</v>
      </c>
      <c r="H728" t="s">
        <v>117</v>
      </c>
      <c r="I728" s="3">
        <v>8.4722222222222227E-2</v>
      </c>
      <c r="J728" s="8" t="s">
        <v>445</v>
      </c>
      <c r="K728" s="8" t="s">
        <v>445</v>
      </c>
      <c r="L728" s="8" t="str">
        <f>IF(Table1346[[#This Row],[Home Team Score]]&gt;Table1346[[#This Row],[Away Team Score]],"Win",IF(Table1346[[#This Row],[Home Team Score]]=Table1346[[#This Row],[Away Team Score]],"Tie","Lose"))</f>
        <v>Tie</v>
      </c>
      <c r="M728" t="s">
        <v>68</v>
      </c>
      <c r="N728">
        <v>23</v>
      </c>
      <c r="O728" s="3">
        <v>4.1666666666666664E-2</v>
      </c>
      <c r="P728" t="s">
        <v>31</v>
      </c>
      <c r="Q728" t="s">
        <v>155</v>
      </c>
      <c r="R728" t="e">
        <f>IF([1]!Table13[[#This Row],[Goal_assist]]="",1,0)</f>
        <v>#REF!</v>
      </c>
    </row>
    <row r="729" spans="1:18" x14ac:dyDescent="0.35">
      <c r="A729" t="s">
        <v>14</v>
      </c>
      <c r="B729" t="s">
        <v>255</v>
      </c>
      <c r="C729" t="s">
        <v>65</v>
      </c>
      <c r="D729">
        <v>36</v>
      </c>
      <c r="E729" s="2">
        <v>41763</v>
      </c>
      <c r="F729" t="s">
        <v>16</v>
      </c>
      <c r="G729" t="s">
        <v>112</v>
      </c>
      <c r="H729" t="s">
        <v>148</v>
      </c>
      <c r="I729" s="3">
        <v>8.4722222222222227E-2</v>
      </c>
      <c r="J729" s="8" t="s">
        <v>445</v>
      </c>
      <c r="K729" s="8" t="s">
        <v>445</v>
      </c>
      <c r="L729" s="8" t="str">
        <f>IF(Table1346[[#This Row],[Home Team Score]]&gt;Table1346[[#This Row],[Away Team Score]],"Win",IF(Table1346[[#This Row],[Home Team Score]]=Table1346[[#This Row],[Away Team Score]],"Tie","Lose"))</f>
        <v>Tie</v>
      </c>
      <c r="M729" t="s">
        <v>19</v>
      </c>
      <c r="N729">
        <v>90</v>
      </c>
      <c r="O729" s="3">
        <v>8.4722222222222227E-2</v>
      </c>
      <c r="P729" t="s">
        <v>26</v>
      </c>
      <c r="Q729" t="s">
        <v>207</v>
      </c>
      <c r="R729" t="e">
        <f>IF([1]!Table13[[#This Row],[Goal_assist]]="",1,0)</f>
        <v>#REF!</v>
      </c>
    </row>
    <row r="730" spans="1:18" x14ac:dyDescent="0.35">
      <c r="A730" t="s">
        <v>14</v>
      </c>
      <c r="B730" t="s">
        <v>255</v>
      </c>
      <c r="C730" t="s">
        <v>75</v>
      </c>
      <c r="D730" t="s">
        <v>46</v>
      </c>
      <c r="E730" s="2">
        <v>41783</v>
      </c>
      <c r="F730" t="s">
        <v>16</v>
      </c>
      <c r="G730" t="s">
        <v>112</v>
      </c>
      <c r="H730" t="s">
        <v>119</v>
      </c>
      <c r="I730" s="3">
        <v>0.1673611111111111</v>
      </c>
      <c r="J730" s="8">
        <v>4</v>
      </c>
      <c r="K730" s="8">
        <v>1</v>
      </c>
      <c r="L730" s="8" t="str">
        <f>IF(Table1346[[#This Row],[Home Team Score]]&gt;Table1346[[#This Row],[Away Team Score]],"Win",IF(Table1346[[#This Row],[Home Team Score]]=Table1346[[#This Row],[Away Team Score]],"Tie","Lose"))</f>
        <v>Win</v>
      </c>
      <c r="M730" t="s">
        <v>19</v>
      </c>
      <c r="N730">
        <v>120</v>
      </c>
      <c r="O730" s="3">
        <v>0.1673611111111111</v>
      </c>
      <c r="P730" t="s">
        <v>83</v>
      </c>
      <c r="R730" t="e">
        <f>IF([1]!Table13[[#This Row],[Goal_assist]]="",1,0)</f>
        <v>#REF!</v>
      </c>
    </row>
    <row r="731" spans="1:18" x14ac:dyDescent="0.35">
      <c r="A731" t="s">
        <v>14</v>
      </c>
      <c r="B731" t="s">
        <v>267</v>
      </c>
      <c r="C731" t="s">
        <v>223</v>
      </c>
      <c r="D731" t="s">
        <v>46</v>
      </c>
      <c r="E731" s="2">
        <v>41863</v>
      </c>
      <c r="F731" t="s">
        <v>16</v>
      </c>
      <c r="G731" t="s">
        <v>112</v>
      </c>
      <c r="H731" t="s">
        <v>105</v>
      </c>
      <c r="I731" s="3">
        <v>8.3333333333333329E-2</v>
      </c>
      <c r="J731" s="8" t="s">
        <v>445</v>
      </c>
      <c r="K731" s="8" t="s">
        <v>443</v>
      </c>
      <c r="L731" s="8" t="str">
        <f>IF(Table1346[[#This Row],[Home Team Score]]&gt;Table1346[[#This Row],[Away Team Score]],"Win",IF(Table1346[[#This Row],[Home Team Score]]=Table1346[[#This Row],[Away Team Score]],"Tie","Lose"))</f>
        <v>Win</v>
      </c>
      <c r="M731" t="s">
        <v>19</v>
      </c>
      <c r="N731">
        <v>30</v>
      </c>
      <c r="O731" s="3">
        <v>4.1666666666666664E-2</v>
      </c>
      <c r="P731" t="s">
        <v>26</v>
      </c>
      <c r="Q731" t="s">
        <v>261</v>
      </c>
      <c r="R731" t="e">
        <f>IF([1]!Table13[[#This Row],[Goal_assist]]="",1,0)</f>
        <v>#REF!</v>
      </c>
    </row>
    <row r="732" spans="1:18" x14ac:dyDescent="0.35">
      <c r="A732" t="s">
        <v>14</v>
      </c>
      <c r="B732" t="s">
        <v>267</v>
      </c>
      <c r="C732" t="s">
        <v>223</v>
      </c>
      <c r="D732" t="s">
        <v>46</v>
      </c>
      <c r="E732" s="2">
        <v>41863</v>
      </c>
      <c r="F732" t="s">
        <v>16</v>
      </c>
      <c r="G732" t="s">
        <v>112</v>
      </c>
      <c r="H732" t="s">
        <v>105</v>
      </c>
      <c r="I732" s="3">
        <v>8.3333333333333329E-2</v>
      </c>
      <c r="J732" s="8" t="s">
        <v>445</v>
      </c>
      <c r="K732" s="8" t="s">
        <v>443</v>
      </c>
      <c r="L732" s="8" t="str">
        <f>IF(Table1346[[#This Row],[Home Team Score]]&gt;Table1346[[#This Row],[Away Team Score]],"Win",IF(Table1346[[#This Row],[Home Team Score]]=Table1346[[#This Row],[Away Team Score]],"Tie","Lose"))</f>
        <v>Win</v>
      </c>
      <c r="M732" t="s">
        <v>19</v>
      </c>
      <c r="N732">
        <v>49</v>
      </c>
      <c r="O732" s="3">
        <v>8.3333333333333329E-2</v>
      </c>
      <c r="P732" t="s">
        <v>31</v>
      </c>
      <c r="Q732" t="s">
        <v>183</v>
      </c>
      <c r="R732" t="e">
        <f>IF([1]!Table13[[#This Row],[Goal_assist]]="",1,0)</f>
        <v>#REF!</v>
      </c>
    </row>
    <row r="733" spans="1:18" x14ac:dyDescent="0.35">
      <c r="A733" t="s">
        <v>64</v>
      </c>
      <c r="B733" t="s">
        <v>267</v>
      </c>
      <c r="C733" t="s">
        <v>65</v>
      </c>
      <c r="D733">
        <v>1</v>
      </c>
      <c r="E733" s="2">
        <v>41875</v>
      </c>
      <c r="F733" t="s">
        <v>16</v>
      </c>
      <c r="G733" t="s">
        <v>66</v>
      </c>
      <c r="H733" t="s">
        <v>258</v>
      </c>
      <c r="I733" s="3">
        <v>0.125</v>
      </c>
      <c r="J733" s="8" t="s">
        <v>442</v>
      </c>
      <c r="K733" s="8" t="s">
        <v>443</v>
      </c>
      <c r="L733" s="8" t="str">
        <f>IF(Table1346[[#This Row],[Home Team Score]]&gt;Table1346[[#This Row],[Away Team Score]],"Win",IF(Table1346[[#This Row],[Home Team Score]]=Table1346[[#This Row],[Away Team Score]],"Tie","Lose"))</f>
        <v>Win</v>
      </c>
      <c r="M733" t="s">
        <v>68</v>
      </c>
      <c r="N733">
        <v>64</v>
      </c>
      <c r="O733" s="3">
        <v>0.125</v>
      </c>
      <c r="P733" t="s">
        <v>31</v>
      </c>
      <c r="R733" t="e">
        <f>IF([1]!Table13[[#This Row],[Goal_assist]]="",1,0)</f>
        <v>#REF!</v>
      </c>
    </row>
    <row r="734" spans="1:18" x14ac:dyDescent="0.35">
      <c r="A734" t="s">
        <v>64</v>
      </c>
      <c r="B734" t="s">
        <v>267</v>
      </c>
      <c r="C734" t="s">
        <v>65</v>
      </c>
      <c r="D734">
        <v>1</v>
      </c>
      <c r="E734" s="2">
        <v>41875</v>
      </c>
      <c r="F734" t="s">
        <v>16</v>
      </c>
      <c r="G734" t="s">
        <v>66</v>
      </c>
      <c r="H734" t="s">
        <v>258</v>
      </c>
      <c r="I734" s="3">
        <v>0.125</v>
      </c>
      <c r="J734" s="8" t="s">
        <v>442</v>
      </c>
      <c r="K734" s="8" t="s">
        <v>443</v>
      </c>
      <c r="L734" s="8" t="str">
        <f>IF(Table1346[[#This Row],[Home Team Score]]&gt;Table1346[[#This Row],[Away Team Score]],"Win",IF(Table1346[[#This Row],[Home Team Score]]=Table1346[[#This Row],[Away Team Score]],"Tie","Lose"))</f>
        <v>Win</v>
      </c>
      <c r="M734" t="s">
        <v>68</v>
      </c>
      <c r="N734">
        <v>42</v>
      </c>
      <c r="O734" s="3">
        <v>4.1666666666666664E-2</v>
      </c>
      <c r="P734" t="s">
        <v>31</v>
      </c>
      <c r="Q734" t="s">
        <v>222</v>
      </c>
      <c r="R734" t="e">
        <f>IF([1]!Table13[[#This Row],[Goal_assist]]="",1,0)</f>
        <v>#REF!</v>
      </c>
    </row>
    <row r="735" spans="1:18" x14ac:dyDescent="0.35">
      <c r="A735" t="s">
        <v>14</v>
      </c>
      <c r="B735" t="s">
        <v>267</v>
      </c>
      <c r="C735" t="s">
        <v>65</v>
      </c>
      <c r="D735">
        <v>1</v>
      </c>
      <c r="E735" s="2">
        <v>41876</v>
      </c>
      <c r="F735" t="s">
        <v>16</v>
      </c>
      <c r="G735" t="s">
        <v>112</v>
      </c>
      <c r="H735" t="s">
        <v>248</v>
      </c>
      <c r="I735" s="3">
        <v>8.3333333333333329E-2</v>
      </c>
      <c r="J735" s="8" t="s">
        <v>445</v>
      </c>
      <c r="K735" s="8" t="s">
        <v>443</v>
      </c>
      <c r="L735" s="8" t="str">
        <f>IF(Table1346[[#This Row],[Home Team Score]]&gt;Table1346[[#This Row],[Away Team Score]],"Win",IF(Table1346[[#This Row],[Home Team Score]]=Table1346[[#This Row],[Away Team Score]],"Tie","Lose"))</f>
        <v>Win</v>
      </c>
      <c r="M735" t="s">
        <v>19</v>
      </c>
      <c r="N735">
        <v>90</v>
      </c>
      <c r="O735" s="3">
        <v>8.3333333333333329E-2</v>
      </c>
      <c r="P735" t="s">
        <v>26</v>
      </c>
      <c r="Q735" t="s">
        <v>257</v>
      </c>
      <c r="R735" t="e">
        <f>IF([1]!Table13[[#This Row],[Goal_assist]]="",1,0)</f>
        <v>#REF!</v>
      </c>
    </row>
    <row r="736" spans="1:18" x14ac:dyDescent="0.35">
      <c r="A736" t="s">
        <v>14</v>
      </c>
      <c r="B736" t="s">
        <v>267</v>
      </c>
      <c r="C736" t="s">
        <v>65</v>
      </c>
      <c r="D736">
        <v>3</v>
      </c>
      <c r="E736" s="2">
        <v>41895</v>
      </c>
      <c r="F736" t="s">
        <v>16</v>
      </c>
      <c r="G736" t="s">
        <v>112</v>
      </c>
      <c r="H736" t="s">
        <v>119</v>
      </c>
      <c r="I736" s="3">
        <v>4.3055555555555555E-2</v>
      </c>
      <c r="J736" s="8" t="s">
        <v>444</v>
      </c>
      <c r="K736" s="8" t="s">
        <v>445</v>
      </c>
      <c r="L736" s="8" t="str">
        <f>IF(Table1346[[#This Row],[Home Team Score]]&gt;Table1346[[#This Row],[Away Team Score]],"Win",IF(Table1346[[#This Row],[Home Team Score]]=Table1346[[#This Row],[Away Team Score]],"Tie","Lose"))</f>
        <v>Lose</v>
      </c>
      <c r="M736" t="s">
        <v>19</v>
      </c>
      <c r="N736">
        <v>25</v>
      </c>
      <c r="O736" s="3">
        <v>4.2361111111111113E-2</v>
      </c>
      <c r="P736" t="s">
        <v>83</v>
      </c>
      <c r="R736" t="e">
        <f>IF([1]!Table13[[#This Row],[Goal_assist]]="",1,0)</f>
        <v>#REF!</v>
      </c>
    </row>
    <row r="737" spans="1:18" x14ac:dyDescent="0.35">
      <c r="A737" t="s">
        <v>14</v>
      </c>
      <c r="B737" t="s">
        <v>267</v>
      </c>
      <c r="C737" t="s">
        <v>75</v>
      </c>
      <c r="D737" t="s">
        <v>76</v>
      </c>
      <c r="E737" s="2">
        <v>41898</v>
      </c>
      <c r="F737" t="s">
        <v>16</v>
      </c>
      <c r="G737" t="s">
        <v>112</v>
      </c>
      <c r="H737" t="s">
        <v>154</v>
      </c>
      <c r="I737" s="3">
        <v>0.20902777777777778</v>
      </c>
      <c r="J737" s="8" t="s">
        <v>448</v>
      </c>
      <c r="K737" s="8" t="s">
        <v>444</v>
      </c>
      <c r="L737" s="8" t="str">
        <f>IF(Table1346[[#This Row],[Home Team Score]]&gt;Table1346[[#This Row],[Away Team Score]],"Win",IF(Table1346[[#This Row],[Home Team Score]]=Table1346[[#This Row],[Away Team Score]],"Tie","Lose"))</f>
        <v>Win</v>
      </c>
      <c r="M737" t="s">
        <v>19</v>
      </c>
      <c r="N737">
        <v>31</v>
      </c>
      <c r="O737" s="3">
        <v>0.125</v>
      </c>
      <c r="P737" t="s">
        <v>26</v>
      </c>
      <c r="Q737" t="s">
        <v>261</v>
      </c>
      <c r="R737" t="e">
        <f>IF([1]!Table13[[#This Row],[Goal_assist]]="",1,0)</f>
        <v>#REF!</v>
      </c>
    </row>
    <row r="738" spans="1:18" x14ac:dyDescent="0.35">
      <c r="A738" t="s">
        <v>14</v>
      </c>
      <c r="B738" t="s">
        <v>267</v>
      </c>
      <c r="C738" t="s">
        <v>65</v>
      </c>
      <c r="D738">
        <v>4</v>
      </c>
      <c r="E738" s="2">
        <v>41902</v>
      </c>
      <c r="F738" t="s">
        <v>24</v>
      </c>
      <c r="G738" t="s">
        <v>112</v>
      </c>
      <c r="H738" t="s">
        <v>175</v>
      </c>
      <c r="I738" s="3">
        <v>8.8888888888888892E-2</v>
      </c>
      <c r="J738" s="8" t="s">
        <v>445</v>
      </c>
      <c r="K738" s="8" t="s">
        <v>447</v>
      </c>
      <c r="L738" s="8" t="str">
        <f>IF(Table1346[[#This Row],[Home Team Score]]&gt;Table1346[[#This Row],[Away Team Score]],"Win",IF(Table1346[[#This Row],[Home Team Score]]=Table1346[[#This Row],[Away Team Score]],"Tie","Lose"))</f>
        <v>Lose</v>
      </c>
      <c r="M738" t="s">
        <v>38</v>
      </c>
      <c r="N738">
        <v>29</v>
      </c>
      <c r="O738" s="3">
        <v>6.9444444444444447E-4</v>
      </c>
      <c r="P738" t="s">
        <v>22</v>
      </c>
      <c r="Q738" t="s">
        <v>229</v>
      </c>
      <c r="R738" t="e">
        <f>IF([1]!Table13[[#This Row],[Goal_assist]]="",1,0)</f>
        <v>#REF!</v>
      </c>
    </row>
    <row r="739" spans="1:18" x14ac:dyDescent="0.35">
      <c r="A739" t="s">
        <v>14</v>
      </c>
      <c r="B739" t="s">
        <v>267</v>
      </c>
      <c r="C739" t="s">
        <v>65</v>
      </c>
      <c r="D739">
        <v>4</v>
      </c>
      <c r="E739" s="2">
        <v>41902</v>
      </c>
      <c r="F739" t="s">
        <v>24</v>
      </c>
      <c r="G739" t="s">
        <v>112</v>
      </c>
      <c r="H739" t="s">
        <v>175</v>
      </c>
      <c r="I739" s="3">
        <v>8.8888888888888892E-2</v>
      </c>
      <c r="J739" s="8" t="s">
        <v>445</v>
      </c>
      <c r="K739" s="8" t="s">
        <v>447</v>
      </c>
      <c r="L739" s="8" t="str">
        <f>IF(Table1346[[#This Row],[Home Team Score]]&gt;Table1346[[#This Row],[Away Team Score]],"Win",IF(Table1346[[#This Row],[Home Team Score]]=Table1346[[#This Row],[Away Team Score]],"Tie","Lose"))</f>
        <v>Lose</v>
      </c>
      <c r="M739" t="s">
        <v>38</v>
      </c>
      <c r="N739">
        <v>41</v>
      </c>
      <c r="O739" s="3">
        <v>2.0833333333333333E-3</v>
      </c>
      <c r="P739" t="s">
        <v>31</v>
      </c>
      <c r="Q739" t="s">
        <v>183</v>
      </c>
      <c r="R739" t="e">
        <f>IF([1]!Table13[[#This Row],[Goal_assist]]="",1,0)</f>
        <v>#REF!</v>
      </c>
    </row>
    <row r="740" spans="1:18" x14ac:dyDescent="0.35">
      <c r="A740" t="s">
        <v>14</v>
      </c>
      <c r="B740" t="s">
        <v>267</v>
      </c>
      <c r="C740" t="s">
        <v>65</v>
      </c>
      <c r="D740">
        <v>4</v>
      </c>
      <c r="E740" s="2">
        <v>41902</v>
      </c>
      <c r="F740" t="s">
        <v>24</v>
      </c>
      <c r="G740" t="s">
        <v>112</v>
      </c>
      <c r="H740" t="s">
        <v>175</v>
      </c>
      <c r="I740" s="3">
        <v>8.8888888888888892E-2</v>
      </c>
      <c r="J740" s="8" t="s">
        <v>445</v>
      </c>
      <c r="K740" s="8" t="s">
        <v>447</v>
      </c>
      <c r="L740" s="8" t="str">
        <f>IF(Table1346[[#This Row],[Home Team Score]]&gt;Table1346[[#This Row],[Away Team Score]],"Win",IF(Table1346[[#This Row],[Home Team Score]]=Table1346[[#This Row],[Away Team Score]],"Tie","Lose"))</f>
        <v>Lose</v>
      </c>
      <c r="M740" t="s">
        <v>38</v>
      </c>
      <c r="N740">
        <v>78</v>
      </c>
      <c r="O740" s="3">
        <v>4.583333333333333E-2</v>
      </c>
      <c r="P740" t="s">
        <v>31</v>
      </c>
      <c r="Q740" t="s">
        <v>268</v>
      </c>
      <c r="R740" t="e">
        <f>IF([1]!Table13[[#This Row],[Goal_assist]]="",1,0)</f>
        <v>#REF!</v>
      </c>
    </row>
    <row r="741" spans="1:18" x14ac:dyDescent="0.35">
      <c r="A741" t="s">
        <v>64</v>
      </c>
      <c r="B741" t="s">
        <v>267</v>
      </c>
      <c r="C741" t="s">
        <v>65</v>
      </c>
      <c r="D741">
        <v>4</v>
      </c>
      <c r="E741" s="2">
        <v>41903</v>
      </c>
      <c r="F741" t="s">
        <v>24</v>
      </c>
      <c r="G741" t="s">
        <v>66</v>
      </c>
      <c r="H741" t="s">
        <v>127</v>
      </c>
      <c r="I741" s="3">
        <v>3.472222222222222E-3</v>
      </c>
      <c r="J741" s="8" t="s">
        <v>443</v>
      </c>
      <c r="K741" s="8" t="s">
        <v>448</v>
      </c>
      <c r="L741" s="8" t="str">
        <f>IF(Table1346[[#This Row],[Home Team Score]]&gt;Table1346[[#This Row],[Away Team Score]],"Win",IF(Table1346[[#This Row],[Home Team Score]]=Table1346[[#This Row],[Away Team Score]],"Tie","Lose"))</f>
        <v>Lose</v>
      </c>
      <c r="M741" t="s">
        <v>68</v>
      </c>
      <c r="N741">
        <v>77</v>
      </c>
      <c r="O741" s="3">
        <v>3.472222222222222E-3</v>
      </c>
      <c r="P741" t="s">
        <v>26</v>
      </c>
      <c r="R741" t="e">
        <f>IF([1]!Table13[[#This Row],[Goal_assist]]="",1,0)</f>
        <v>#REF!</v>
      </c>
    </row>
    <row r="742" spans="1:18" x14ac:dyDescent="0.35">
      <c r="A742" t="s">
        <v>14</v>
      </c>
      <c r="B742" t="s">
        <v>267</v>
      </c>
      <c r="C742" t="s">
        <v>65</v>
      </c>
      <c r="D742">
        <v>5</v>
      </c>
      <c r="E742" s="2">
        <v>41905</v>
      </c>
      <c r="F742" t="s">
        <v>16</v>
      </c>
      <c r="G742" t="s">
        <v>112</v>
      </c>
      <c r="H742" t="s">
        <v>258</v>
      </c>
      <c r="I742" s="3">
        <v>0.20902777777777778</v>
      </c>
      <c r="J742" s="8" t="s">
        <v>448</v>
      </c>
      <c r="K742" s="8" t="s">
        <v>444</v>
      </c>
      <c r="L742" s="8" t="str">
        <f>IF(Table1346[[#This Row],[Home Team Score]]&gt;Table1346[[#This Row],[Away Team Score]],"Win",IF(Table1346[[#This Row],[Home Team Score]]=Table1346[[#This Row],[Away Team Score]],"Tie","Lose"))</f>
        <v>Win</v>
      </c>
      <c r="M742" t="s">
        <v>68</v>
      </c>
      <c r="N742">
        <v>28</v>
      </c>
      <c r="O742" s="3">
        <v>8.4027777777777785E-2</v>
      </c>
      <c r="P742" t="s">
        <v>83</v>
      </c>
      <c r="R742" t="e">
        <f>IF([1]!Table13[[#This Row],[Goal_assist]]="",1,0)</f>
        <v>#REF!</v>
      </c>
    </row>
    <row r="743" spans="1:18" x14ac:dyDescent="0.35">
      <c r="A743" t="s">
        <v>14</v>
      </c>
      <c r="B743" t="s">
        <v>267</v>
      </c>
      <c r="C743" t="s">
        <v>65</v>
      </c>
      <c r="D743">
        <v>5</v>
      </c>
      <c r="E743" s="2">
        <v>41905</v>
      </c>
      <c r="F743" t="s">
        <v>16</v>
      </c>
      <c r="G743" t="s">
        <v>112</v>
      </c>
      <c r="H743" t="s">
        <v>258</v>
      </c>
      <c r="I743" s="3">
        <v>0.20902777777777778</v>
      </c>
      <c r="J743" s="8" t="s">
        <v>448</v>
      </c>
      <c r="K743" s="8" t="s">
        <v>444</v>
      </c>
      <c r="L743" s="8" t="str">
        <f>IF(Table1346[[#This Row],[Home Team Score]]&gt;Table1346[[#This Row],[Away Team Score]],"Win",IF(Table1346[[#This Row],[Home Team Score]]=Table1346[[#This Row],[Away Team Score]],"Tie","Lose"))</f>
        <v>Win</v>
      </c>
      <c r="M743" t="s">
        <v>68</v>
      </c>
      <c r="N743">
        <v>90</v>
      </c>
      <c r="O743" s="3">
        <v>0.20902777777777778</v>
      </c>
      <c r="P743" t="s">
        <v>26</v>
      </c>
      <c r="Q743" t="s">
        <v>261</v>
      </c>
      <c r="R743" t="e">
        <f>IF([1]!Table13[[#This Row],[Goal_assist]]="",1,0)</f>
        <v>#REF!</v>
      </c>
    </row>
    <row r="744" spans="1:18" x14ac:dyDescent="0.35">
      <c r="A744" t="s">
        <v>14</v>
      </c>
      <c r="B744" t="s">
        <v>267</v>
      </c>
      <c r="C744" t="s">
        <v>65</v>
      </c>
      <c r="D744">
        <v>5</v>
      </c>
      <c r="E744" s="2">
        <v>41905</v>
      </c>
      <c r="F744" t="s">
        <v>16</v>
      </c>
      <c r="G744" t="s">
        <v>112</v>
      </c>
      <c r="H744" t="s">
        <v>258</v>
      </c>
      <c r="I744" s="3">
        <v>0.20902777777777778</v>
      </c>
      <c r="J744" s="8" t="s">
        <v>448</v>
      </c>
      <c r="K744" s="8" t="s">
        <v>444</v>
      </c>
      <c r="L744" s="8" t="str">
        <f>IF(Table1346[[#This Row],[Home Team Score]]&gt;Table1346[[#This Row],[Away Team Score]],"Win",IF(Table1346[[#This Row],[Home Team Score]]=Table1346[[#This Row],[Away Team Score]],"Tie","Lose"))</f>
        <v>Win</v>
      </c>
      <c r="M744" t="s">
        <v>68</v>
      </c>
      <c r="N744">
        <v>80</v>
      </c>
      <c r="O744" s="3">
        <v>0.1673611111111111</v>
      </c>
      <c r="P744" t="s">
        <v>83</v>
      </c>
      <c r="R744" t="e">
        <f>IF([1]!Table13[[#This Row],[Goal_assist]]="",1,0)</f>
        <v>#REF!</v>
      </c>
    </row>
    <row r="745" spans="1:18" x14ac:dyDescent="0.35">
      <c r="A745" t="s">
        <v>14</v>
      </c>
      <c r="B745" t="s">
        <v>267</v>
      </c>
      <c r="C745" t="s">
        <v>65</v>
      </c>
      <c r="D745">
        <v>5</v>
      </c>
      <c r="E745" s="2">
        <v>41905</v>
      </c>
      <c r="F745" t="s">
        <v>16</v>
      </c>
      <c r="G745" t="s">
        <v>112</v>
      </c>
      <c r="H745" t="s">
        <v>258</v>
      </c>
      <c r="I745" s="3">
        <v>0.20902777777777778</v>
      </c>
      <c r="J745" s="8" t="s">
        <v>448</v>
      </c>
      <c r="K745" s="8" t="s">
        <v>444</v>
      </c>
      <c r="L745" s="8" t="str">
        <f>IF(Table1346[[#This Row],[Home Team Score]]&gt;Table1346[[#This Row],[Away Team Score]],"Win",IF(Table1346[[#This Row],[Home Team Score]]=Table1346[[#This Row],[Away Team Score]],"Tie","Lose"))</f>
        <v>Win</v>
      </c>
      <c r="M745" t="s">
        <v>68</v>
      </c>
      <c r="N745">
        <v>32</v>
      </c>
      <c r="O745" s="3">
        <v>0.12569444444444444</v>
      </c>
      <c r="P745" t="s">
        <v>22</v>
      </c>
      <c r="Q745" t="s">
        <v>201</v>
      </c>
      <c r="R745" t="e">
        <f>IF([1]!Table13[[#This Row],[Goal_assist]]="",1,0)</f>
        <v>#REF!</v>
      </c>
    </row>
    <row r="746" spans="1:18" x14ac:dyDescent="0.35">
      <c r="A746" t="s">
        <v>14</v>
      </c>
      <c r="B746" t="s">
        <v>267</v>
      </c>
      <c r="C746" t="s">
        <v>65</v>
      </c>
      <c r="D746">
        <v>6</v>
      </c>
      <c r="E746" s="2">
        <v>41909</v>
      </c>
      <c r="F746" t="s">
        <v>24</v>
      </c>
      <c r="G746" t="s">
        <v>112</v>
      </c>
      <c r="H746" t="s">
        <v>180</v>
      </c>
      <c r="I746" s="3">
        <v>1.3888888888888889E-3</v>
      </c>
      <c r="J746" s="8" t="s">
        <v>443</v>
      </c>
      <c r="K746" s="8" t="s">
        <v>445</v>
      </c>
      <c r="L746" s="8" t="str">
        <f>IF(Table1346[[#This Row],[Home Team Score]]&gt;Table1346[[#This Row],[Away Team Score]],"Win",IF(Table1346[[#This Row],[Home Team Score]]=Table1346[[#This Row],[Away Team Score]],"Tie","Lose"))</f>
        <v>Lose</v>
      </c>
      <c r="M746" t="s">
        <v>68</v>
      </c>
      <c r="N746">
        <v>40</v>
      </c>
      <c r="O746" s="3">
        <v>1.3888888888888889E-3</v>
      </c>
      <c r="P746" t="s">
        <v>26</v>
      </c>
      <c r="Q746" t="s">
        <v>183</v>
      </c>
      <c r="R746" t="e">
        <f>IF([1]!Table13[[#This Row],[Goal_assist]]="",1,0)</f>
        <v>#REF!</v>
      </c>
    </row>
    <row r="747" spans="1:18" x14ac:dyDescent="0.35">
      <c r="A747" t="s">
        <v>64</v>
      </c>
      <c r="B747" t="s">
        <v>267</v>
      </c>
      <c r="C747" t="s">
        <v>65</v>
      </c>
      <c r="D747">
        <v>6</v>
      </c>
      <c r="E747" s="2">
        <v>41909</v>
      </c>
      <c r="F747" t="s">
        <v>16</v>
      </c>
      <c r="G747" t="s">
        <v>66</v>
      </c>
      <c r="H747" t="s">
        <v>233</v>
      </c>
      <c r="I747" s="3">
        <v>0.25</v>
      </c>
      <c r="J747" s="8" t="s">
        <v>450</v>
      </c>
      <c r="K747" s="8" t="s">
        <v>443</v>
      </c>
      <c r="L747" s="8" t="str">
        <f>IF(Table1346[[#This Row],[Home Team Score]]&gt;Table1346[[#This Row],[Away Team Score]],"Win",IF(Table1346[[#This Row],[Home Team Score]]=Table1346[[#This Row],[Away Team Score]],"Tie","Lose"))</f>
        <v>Win</v>
      </c>
      <c r="M747" t="s">
        <v>68</v>
      </c>
      <c r="N747">
        <v>62</v>
      </c>
      <c r="O747" s="3">
        <v>0.16666666666666666</v>
      </c>
      <c r="P747" t="s">
        <v>22</v>
      </c>
      <c r="Q747" t="s">
        <v>155</v>
      </c>
      <c r="R747" t="e">
        <f>IF([1]!Table13[[#This Row],[Goal_assist]]="",1,0)</f>
        <v>#REF!</v>
      </c>
    </row>
    <row r="748" spans="1:18" x14ac:dyDescent="0.35">
      <c r="A748" t="s">
        <v>64</v>
      </c>
      <c r="B748" t="s">
        <v>267</v>
      </c>
      <c r="C748" t="s">
        <v>65</v>
      </c>
      <c r="D748">
        <v>6</v>
      </c>
      <c r="E748" s="2">
        <v>41909</v>
      </c>
      <c r="F748" t="s">
        <v>16</v>
      </c>
      <c r="G748" t="s">
        <v>66</v>
      </c>
      <c r="H748" t="s">
        <v>233</v>
      </c>
      <c r="I748" s="3">
        <v>0.25</v>
      </c>
      <c r="J748" s="8" t="s">
        <v>450</v>
      </c>
      <c r="K748" s="8" t="s">
        <v>443</v>
      </c>
      <c r="L748" s="8" t="str">
        <f>IF(Table1346[[#This Row],[Home Team Score]]&gt;Table1346[[#This Row],[Away Team Score]],"Win",IF(Table1346[[#This Row],[Home Team Score]]=Table1346[[#This Row],[Away Team Score]],"Tie","Lose"))</f>
        <v>Win</v>
      </c>
      <c r="M748" t="s">
        <v>68</v>
      </c>
      <c r="N748">
        <v>82</v>
      </c>
      <c r="O748" s="3">
        <v>0.25</v>
      </c>
      <c r="P748" t="s">
        <v>26</v>
      </c>
      <c r="R748" t="e">
        <f>IF([1]!Table13[[#This Row],[Goal_assist]]="",1,0)</f>
        <v>#REF!</v>
      </c>
    </row>
    <row r="749" spans="1:18" x14ac:dyDescent="0.35">
      <c r="A749" t="s">
        <v>64</v>
      </c>
      <c r="B749" t="s">
        <v>267</v>
      </c>
      <c r="C749" t="s">
        <v>75</v>
      </c>
      <c r="D749" t="s">
        <v>76</v>
      </c>
      <c r="E749" s="2">
        <v>41912</v>
      </c>
      <c r="F749" t="s">
        <v>24</v>
      </c>
      <c r="G749" t="s">
        <v>66</v>
      </c>
      <c r="H749" t="s">
        <v>252</v>
      </c>
      <c r="I749" s="3">
        <v>0.12638888888888888</v>
      </c>
      <c r="J749" s="8" t="s">
        <v>442</v>
      </c>
      <c r="K749" s="8" t="s">
        <v>445</v>
      </c>
      <c r="L749" s="8" t="str">
        <f>IF(Table1346[[#This Row],[Home Team Score]]&gt;Table1346[[#This Row],[Away Team Score]],"Win",IF(Table1346[[#This Row],[Home Team Score]]=Table1346[[#This Row],[Away Team Score]],"Tie","Lose"))</f>
        <v>Win</v>
      </c>
      <c r="M749" t="s">
        <v>38</v>
      </c>
      <c r="N749">
        <v>12</v>
      </c>
      <c r="O749" s="3">
        <v>4.2361111111111113E-2</v>
      </c>
      <c r="P749" t="s">
        <v>31</v>
      </c>
      <c r="Q749" t="s">
        <v>99</v>
      </c>
      <c r="R749" t="e">
        <f>IF([1]!Table13[[#This Row],[Goal_assist]]="",1,0)</f>
        <v>#REF!</v>
      </c>
    </row>
    <row r="750" spans="1:18" x14ac:dyDescent="0.35">
      <c r="A750" t="s">
        <v>14</v>
      </c>
      <c r="B750" t="s">
        <v>267</v>
      </c>
      <c r="C750" t="s">
        <v>75</v>
      </c>
      <c r="D750" t="s">
        <v>76</v>
      </c>
      <c r="E750" s="2">
        <v>41913</v>
      </c>
      <c r="F750" t="s">
        <v>24</v>
      </c>
      <c r="G750" t="s">
        <v>112</v>
      </c>
      <c r="H750" t="s">
        <v>269</v>
      </c>
      <c r="I750" s="3">
        <v>4.3055555555555555E-2</v>
      </c>
      <c r="J750" s="8" t="s">
        <v>444</v>
      </c>
      <c r="K750" s="8" t="s">
        <v>445</v>
      </c>
      <c r="L750" s="8" t="str">
        <f>IF(Table1346[[#This Row],[Home Team Score]]&gt;Table1346[[#This Row],[Away Team Score]],"Win",IF(Table1346[[#This Row],[Home Team Score]]=Table1346[[#This Row],[Away Team Score]],"Tie","Lose"))</f>
        <v>Lose</v>
      </c>
      <c r="M750" t="s">
        <v>68</v>
      </c>
      <c r="N750">
        <v>25</v>
      </c>
      <c r="O750" s="3">
        <v>4.2361111111111113E-2</v>
      </c>
      <c r="P750" t="s">
        <v>83</v>
      </c>
      <c r="R750" t="e">
        <f>IF([1]!Table13[[#This Row],[Goal_assist]]="",1,0)</f>
        <v>#REF!</v>
      </c>
    </row>
    <row r="751" spans="1:18" x14ac:dyDescent="0.35">
      <c r="A751" t="s">
        <v>64</v>
      </c>
      <c r="B751" t="s">
        <v>267</v>
      </c>
      <c r="C751" t="s">
        <v>65</v>
      </c>
      <c r="D751">
        <v>7</v>
      </c>
      <c r="E751" s="2">
        <v>41916</v>
      </c>
      <c r="F751" t="s">
        <v>24</v>
      </c>
      <c r="G751" t="s">
        <v>66</v>
      </c>
      <c r="H751" t="s">
        <v>225</v>
      </c>
      <c r="I751" s="3">
        <v>1.3888888888888889E-3</v>
      </c>
      <c r="J751" s="8" t="s">
        <v>443</v>
      </c>
      <c r="K751" s="8" t="s">
        <v>445</v>
      </c>
      <c r="L751" s="8" t="str">
        <f>IF(Table1346[[#This Row],[Home Team Score]]&gt;Table1346[[#This Row],[Away Team Score]],"Win",IF(Table1346[[#This Row],[Home Team Score]]=Table1346[[#This Row],[Away Team Score]],"Tie","Lose"))</f>
        <v>Lose</v>
      </c>
      <c r="M751" t="s">
        <v>68</v>
      </c>
      <c r="N751">
        <v>35</v>
      </c>
      <c r="O751" s="3">
        <v>6.9444444444444447E-4</v>
      </c>
      <c r="P751" t="s">
        <v>31</v>
      </c>
      <c r="Q751" t="s">
        <v>166</v>
      </c>
      <c r="R751" t="e">
        <f>IF([1]!Table13[[#This Row],[Goal_assist]]="",1,0)</f>
        <v>#REF!</v>
      </c>
    </row>
    <row r="752" spans="1:18" x14ac:dyDescent="0.35">
      <c r="A752" t="s">
        <v>14</v>
      </c>
      <c r="B752" t="s">
        <v>267</v>
      </c>
      <c r="C752" t="s">
        <v>65</v>
      </c>
      <c r="D752">
        <v>7</v>
      </c>
      <c r="E752" s="2">
        <v>41917</v>
      </c>
      <c r="F752" t="s">
        <v>16</v>
      </c>
      <c r="G752" t="s">
        <v>112</v>
      </c>
      <c r="H752" t="s">
        <v>86</v>
      </c>
      <c r="I752" s="3">
        <v>0.20833333333333334</v>
      </c>
      <c r="J752" s="8" t="s">
        <v>448</v>
      </c>
      <c r="K752" s="8" t="s">
        <v>443</v>
      </c>
      <c r="L752" s="8" t="str">
        <f>IF(Table1346[[#This Row],[Home Team Score]]&gt;Table1346[[#This Row],[Away Team Score]],"Win",IF(Table1346[[#This Row],[Home Team Score]]=Table1346[[#This Row],[Away Team Score]],"Tie","Lose"))</f>
        <v>Win</v>
      </c>
      <c r="M752" t="s">
        <v>19</v>
      </c>
      <c r="N752">
        <v>89</v>
      </c>
      <c r="O752" s="3">
        <v>0.20833333333333334</v>
      </c>
      <c r="P752" t="s">
        <v>129</v>
      </c>
      <c r="Q752" t="s">
        <v>182</v>
      </c>
      <c r="R752" t="e">
        <f>IF([1]!Table13[[#This Row],[Goal_assist]]="",1,0)</f>
        <v>#REF!</v>
      </c>
    </row>
    <row r="753" spans="1:18" x14ac:dyDescent="0.35">
      <c r="A753" t="s">
        <v>14</v>
      </c>
      <c r="B753" t="s">
        <v>267</v>
      </c>
      <c r="C753" t="s">
        <v>65</v>
      </c>
      <c r="D753">
        <v>7</v>
      </c>
      <c r="E753" s="2">
        <v>41917</v>
      </c>
      <c r="F753" t="s">
        <v>16</v>
      </c>
      <c r="G753" t="s">
        <v>112</v>
      </c>
      <c r="H753" t="s">
        <v>86</v>
      </c>
      <c r="I753" s="3">
        <v>0.20833333333333334</v>
      </c>
      <c r="J753" s="8" t="s">
        <v>448</v>
      </c>
      <c r="K753" s="8" t="s">
        <v>443</v>
      </c>
      <c r="L753" s="8" t="str">
        <f>IF(Table1346[[#This Row],[Home Team Score]]&gt;Table1346[[#This Row],[Away Team Score]],"Win",IF(Table1346[[#This Row],[Home Team Score]]=Table1346[[#This Row],[Away Team Score]],"Tie","Lose"))</f>
        <v>Win</v>
      </c>
      <c r="M753" t="s">
        <v>19</v>
      </c>
      <c r="N753">
        <v>3</v>
      </c>
      <c r="O753" s="3">
        <v>4.1666666666666664E-2</v>
      </c>
      <c r="P753" t="s">
        <v>22</v>
      </c>
      <c r="Q753" t="s">
        <v>261</v>
      </c>
      <c r="R753" t="e">
        <f>IF([1]!Table13[[#This Row],[Goal_assist]]="",1,0)</f>
        <v>#REF!</v>
      </c>
    </row>
    <row r="754" spans="1:18" x14ac:dyDescent="0.35">
      <c r="A754" t="s">
        <v>14</v>
      </c>
      <c r="B754" t="s">
        <v>267</v>
      </c>
      <c r="C754" t="s">
        <v>65</v>
      </c>
      <c r="D754">
        <v>7</v>
      </c>
      <c r="E754" s="2">
        <v>41917</v>
      </c>
      <c r="F754" t="s">
        <v>16</v>
      </c>
      <c r="G754" t="s">
        <v>112</v>
      </c>
      <c r="H754" t="s">
        <v>86</v>
      </c>
      <c r="I754" s="3">
        <v>0.20833333333333334</v>
      </c>
      <c r="J754" s="8" t="s">
        <v>448</v>
      </c>
      <c r="K754" s="8" t="s">
        <v>443</v>
      </c>
      <c r="L754" s="8" t="str">
        <f>IF(Table1346[[#This Row],[Home Team Score]]&gt;Table1346[[#This Row],[Away Team Score]],"Win",IF(Table1346[[#This Row],[Home Team Score]]=Table1346[[#This Row],[Away Team Score]],"Tie","Lose"))</f>
        <v>Win</v>
      </c>
      <c r="M754" t="s">
        <v>19</v>
      </c>
      <c r="N754">
        <v>55</v>
      </c>
      <c r="O754" s="3">
        <v>0.125</v>
      </c>
      <c r="P754" t="s">
        <v>26</v>
      </c>
      <c r="Q754" t="s">
        <v>261</v>
      </c>
      <c r="R754" t="e">
        <f>IF([1]!Table13[[#This Row],[Goal_assist]]="",1,0)</f>
        <v>#REF!</v>
      </c>
    </row>
    <row r="755" spans="1:18" x14ac:dyDescent="0.35">
      <c r="A755" t="s">
        <v>64</v>
      </c>
      <c r="B755" t="s">
        <v>267</v>
      </c>
      <c r="C755" t="s">
        <v>65</v>
      </c>
      <c r="D755">
        <v>8</v>
      </c>
      <c r="E755" s="2">
        <v>41930</v>
      </c>
      <c r="F755" t="s">
        <v>16</v>
      </c>
      <c r="G755" t="s">
        <v>66</v>
      </c>
      <c r="H755" t="s">
        <v>270</v>
      </c>
      <c r="I755" s="3">
        <v>0.125</v>
      </c>
      <c r="J755" s="8" t="s">
        <v>442</v>
      </c>
      <c r="K755" s="8" t="s">
        <v>443</v>
      </c>
      <c r="L755" s="8" t="str">
        <f>IF(Table1346[[#This Row],[Home Team Score]]&gt;Table1346[[#This Row],[Away Team Score]],"Win",IF(Table1346[[#This Row],[Home Team Score]]=Table1346[[#This Row],[Away Team Score]],"Tie","Lose"))</f>
        <v>Win</v>
      </c>
      <c r="M755" t="s">
        <v>68</v>
      </c>
      <c r="N755">
        <v>74</v>
      </c>
      <c r="O755" s="3">
        <v>0.125</v>
      </c>
      <c r="P755" t="s">
        <v>31</v>
      </c>
      <c r="Q755" t="s">
        <v>256</v>
      </c>
      <c r="R755" t="e">
        <f>IF([1]!Table13[[#This Row],[Goal_assist]]="",1,0)</f>
        <v>#REF!</v>
      </c>
    </row>
    <row r="756" spans="1:18" x14ac:dyDescent="0.35">
      <c r="A756" t="s">
        <v>14</v>
      </c>
      <c r="B756" t="s">
        <v>267</v>
      </c>
      <c r="C756" t="s">
        <v>65</v>
      </c>
      <c r="D756">
        <v>8</v>
      </c>
      <c r="E756" s="2">
        <v>41930</v>
      </c>
      <c r="F756" t="s">
        <v>24</v>
      </c>
      <c r="G756" t="s">
        <v>112</v>
      </c>
      <c r="H756" t="s">
        <v>127</v>
      </c>
      <c r="I756" s="3">
        <v>3.472222222222222E-3</v>
      </c>
      <c r="J756" s="8" t="s">
        <v>443</v>
      </c>
      <c r="K756" s="8" t="s">
        <v>448</v>
      </c>
      <c r="L756" s="8" t="str">
        <f>IF(Table1346[[#This Row],[Home Team Score]]&gt;Table1346[[#This Row],[Away Team Score]],"Win",IF(Table1346[[#This Row],[Home Team Score]]=Table1346[[#This Row],[Away Team Score]],"Tie","Lose"))</f>
        <v>Lose</v>
      </c>
      <c r="M756" t="s">
        <v>68</v>
      </c>
      <c r="N756">
        <v>13</v>
      </c>
      <c r="O756" s="3">
        <v>6.9444444444444447E-4</v>
      </c>
      <c r="P756" t="s">
        <v>83</v>
      </c>
      <c r="R756" t="e">
        <f>IF([1]!Table13[[#This Row],[Goal_assist]]="",1,0)</f>
        <v>#REF!</v>
      </c>
    </row>
    <row r="757" spans="1:18" x14ac:dyDescent="0.35">
      <c r="A757" t="s">
        <v>14</v>
      </c>
      <c r="B757" t="s">
        <v>267</v>
      </c>
      <c r="C757" t="s">
        <v>65</v>
      </c>
      <c r="D757">
        <v>8</v>
      </c>
      <c r="E757" s="2">
        <v>41930</v>
      </c>
      <c r="F757" t="s">
        <v>24</v>
      </c>
      <c r="G757" t="s">
        <v>112</v>
      </c>
      <c r="H757" t="s">
        <v>127</v>
      </c>
      <c r="I757" s="3">
        <v>3.472222222222222E-3</v>
      </c>
      <c r="J757" s="8" t="s">
        <v>443</v>
      </c>
      <c r="K757" s="8" t="s">
        <v>448</v>
      </c>
      <c r="L757" s="8" t="str">
        <f>IF(Table1346[[#This Row],[Home Team Score]]&gt;Table1346[[#This Row],[Away Team Score]],"Win",IF(Table1346[[#This Row],[Home Team Score]]=Table1346[[#This Row],[Away Team Score]],"Tie","Lose"))</f>
        <v>Lose</v>
      </c>
      <c r="M757" t="s">
        <v>68</v>
      </c>
      <c r="N757">
        <v>61</v>
      </c>
      <c r="O757" s="3">
        <v>2.0833333333333333E-3</v>
      </c>
      <c r="P757" t="s">
        <v>26</v>
      </c>
      <c r="Q757" t="s">
        <v>257</v>
      </c>
      <c r="R757" t="e">
        <f>IF([1]!Table13[[#This Row],[Goal_assist]]="",1,0)</f>
        <v>#REF!</v>
      </c>
    </row>
    <row r="758" spans="1:18" x14ac:dyDescent="0.35">
      <c r="A758" t="s">
        <v>64</v>
      </c>
      <c r="B758" t="s">
        <v>267</v>
      </c>
      <c r="C758" t="s">
        <v>75</v>
      </c>
      <c r="D758" t="s">
        <v>76</v>
      </c>
      <c r="E758" s="2">
        <v>41933</v>
      </c>
      <c r="F758" t="s">
        <v>16</v>
      </c>
      <c r="G758" t="s">
        <v>66</v>
      </c>
      <c r="H758" t="s">
        <v>214</v>
      </c>
      <c r="I758" s="3">
        <v>0.12569444444444444</v>
      </c>
      <c r="J758" s="8" t="s">
        <v>442</v>
      </c>
      <c r="K758" s="8" t="s">
        <v>444</v>
      </c>
      <c r="L758" s="8" t="str">
        <f>IF(Table1346[[#This Row],[Home Team Score]]&gt;Table1346[[#This Row],[Away Team Score]],"Win",IF(Table1346[[#This Row],[Home Team Score]]=Table1346[[#This Row],[Away Team Score]],"Tie","Lose"))</f>
        <v>Win</v>
      </c>
      <c r="M758" t="s">
        <v>68</v>
      </c>
      <c r="N758">
        <v>24</v>
      </c>
      <c r="O758" s="3">
        <v>8.3333333333333329E-2</v>
      </c>
      <c r="P758" t="s">
        <v>31</v>
      </c>
      <c r="Q758" t="s">
        <v>99</v>
      </c>
      <c r="R758" t="e">
        <f>IF([1]!Table13[[#This Row],[Goal_assist]]="",1,0)</f>
        <v>#REF!</v>
      </c>
    </row>
    <row r="759" spans="1:18" x14ac:dyDescent="0.35">
      <c r="A759" t="s">
        <v>14</v>
      </c>
      <c r="B759" t="s">
        <v>267</v>
      </c>
      <c r="C759" t="s">
        <v>75</v>
      </c>
      <c r="D759" t="s">
        <v>76</v>
      </c>
      <c r="E759" s="2">
        <v>41934</v>
      </c>
      <c r="F759" t="s">
        <v>24</v>
      </c>
      <c r="G759" t="s">
        <v>112</v>
      </c>
      <c r="H759" t="s">
        <v>145</v>
      </c>
      <c r="I759" s="3">
        <v>2.0833333333333333E-3</v>
      </c>
      <c r="J759" s="8" t="s">
        <v>443</v>
      </c>
      <c r="K759" s="8" t="s">
        <v>442</v>
      </c>
      <c r="L759" s="8" t="str">
        <f>IF(Table1346[[#This Row],[Home Team Score]]&gt;Table1346[[#This Row],[Away Team Score]],"Win",IF(Table1346[[#This Row],[Home Team Score]]=Table1346[[#This Row],[Away Team Score]],"Tie","Lose"))</f>
        <v>Lose</v>
      </c>
      <c r="M759" t="s">
        <v>68</v>
      </c>
      <c r="N759">
        <v>23</v>
      </c>
      <c r="O759" s="3">
        <v>6.9444444444444447E-4</v>
      </c>
      <c r="P759" t="s">
        <v>26</v>
      </c>
      <c r="Q759" t="s">
        <v>268</v>
      </c>
      <c r="R759" t="e">
        <f>IF([1]!Table13[[#This Row],[Goal_assist]]="",1,0)</f>
        <v>#REF!</v>
      </c>
    </row>
    <row r="760" spans="1:18" x14ac:dyDescent="0.35">
      <c r="A760" t="s">
        <v>14</v>
      </c>
      <c r="B760" t="s">
        <v>267</v>
      </c>
      <c r="C760" t="s">
        <v>65</v>
      </c>
      <c r="D760">
        <v>9</v>
      </c>
      <c r="E760" s="2">
        <v>41937</v>
      </c>
      <c r="F760" t="s">
        <v>16</v>
      </c>
      <c r="G760" t="s">
        <v>112</v>
      </c>
      <c r="H760" t="s">
        <v>66</v>
      </c>
      <c r="I760" s="3">
        <v>0.12569444444444444</v>
      </c>
      <c r="J760" s="8" t="s">
        <v>442</v>
      </c>
      <c r="K760" s="8" t="s">
        <v>444</v>
      </c>
      <c r="L760" s="8" t="str">
        <f>IF(Table1346[[#This Row],[Home Team Score]]&gt;Table1346[[#This Row],[Away Team Score]],"Win",IF(Table1346[[#This Row],[Home Team Score]]=Table1346[[#This Row],[Away Team Score]],"Tie","Lose"))</f>
        <v>Win</v>
      </c>
      <c r="M760" t="s">
        <v>68</v>
      </c>
      <c r="N760">
        <v>35</v>
      </c>
      <c r="O760" s="3">
        <v>4.2361111111111113E-2</v>
      </c>
      <c r="P760" t="s">
        <v>83</v>
      </c>
      <c r="R760" t="e">
        <f>IF([1]!Table13[[#This Row],[Goal_assist]]="",1,0)</f>
        <v>#REF!</v>
      </c>
    </row>
    <row r="761" spans="1:18" x14ac:dyDescent="0.35">
      <c r="A761" t="s">
        <v>14</v>
      </c>
      <c r="B761" t="s">
        <v>267</v>
      </c>
      <c r="C761" t="s">
        <v>65</v>
      </c>
      <c r="D761">
        <v>10</v>
      </c>
      <c r="E761" s="2">
        <v>41944</v>
      </c>
      <c r="F761" t="s">
        <v>24</v>
      </c>
      <c r="G761" t="s">
        <v>112</v>
      </c>
      <c r="H761" t="s">
        <v>233</v>
      </c>
      <c r="I761" s="3">
        <v>2.7777777777777779E-3</v>
      </c>
      <c r="J761" s="8" t="s">
        <v>443</v>
      </c>
      <c r="K761" s="8" t="s">
        <v>446</v>
      </c>
      <c r="L761" s="8" t="str">
        <f>IF(Table1346[[#This Row],[Home Team Score]]&gt;Table1346[[#This Row],[Away Team Score]],"Win",IF(Table1346[[#This Row],[Home Team Score]]=Table1346[[#This Row],[Away Team Score]],"Tie","Lose"))</f>
        <v>Lose</v>
      </c>
      <c r="M761" t="s">
        <v>68</v>
      </c>
      <c r="N761">
        <v>2</v>
      </c>
      <c r="O761" s="3">
        <v>6.9444444444444447E-4</v>
      </c>
      <c r="P761" t="s">
        <v>26</v>
      </c>
      <c r="Q761" t="s">
        <v>183</v>
      </c>
      <c r="R761" t="e">
        <f>IF([1]!Table13[[#This Row],[Goal_assist]]="",1,0)</f>
        <v>#REF!</v>
      </c>
    </row>
    <row r="762" spans="1:18" x14ac:dyDescent="0.35">
      <c r="A762" t="s">
        <v>64</v>
      </c>
      <c r="B762" t="s">
        <v>267</v>
      </c>
      <c r="C762" t="s">
        <v>75</v>
      </c>
      <c r="D762" t="s">
        <v>76</v>
      </c>
      <c r="E762" s="2">
        <v>41948</v>
      </c>
      <c r="F762" t="s">
        <v>24</v>
      </c>
      <c r="G762" t="s">
        <v>66</v>
      </c>
      <c r="H762" t="s">
        <v>214</v>
      </c>
      <c r="I762" s="3">
        <v>1.3888888888888889E-3</v>
      </c>
      <c r="J762" s="8" t="s">
        <v>443</v>
      </c>
      <c r="K762" s="8" t="s">
        <v>445</v>
      </c>
      <c r="L762" s="8" t="str">
        <f>IF(Table1346[[#This Row],[Home Team Score]]&gt;Table1346[[#This Row],[Away Team Score]],"Win",IF(Table1346[[#This Row],[Home Team Score]]=Table1346[[#This Row],[Away Team Score]],"Tie","Lose"))</f>
        <v>Lose</v>
      </c>
      <c r="M762" t="s">
        <v>38</v>
      </c>
      <c r="N762">
        <v>36</v>
      </c>
      <c r="O762" s="3">
        <v>6.9444444444444447E-4</v>
      </c>
      <c r="P762" t="s">
        <v>22</v>
      </c>
      <c r="Q762" t="s">
        <v>271</v>
      </c>
      <c r="R762" t="e">
        <f>IF([1]!Table13[[#This Row],[Goal_assist]]="",1,0)</f>
        <v>#REF!</v>
      </c>
    </row>
    <row r="763" spans="1:18" x14ac:dyDescent="0.35">
      <c r="A763" t="s">
        <v>64</v>
      </c>
      <c r="B763" t="s">
        <v>267</v>
      </c>
      <c r="C763" t="s">
        <v>75</v>
      </c>
      <c r="D763" t="s">
        <v>76</v>
      </c>
      <c r="E763" s="2">
        <v>41948</v>
      </c>
      <c r="F763" t="s">
        <v>24</v>
      </c>
      <c r="G763" t="s">
        <v>66</v>
      </c>
      <c r="H763" t="s">
        <v>214</v>
      </c>
      <c r="I763" s="3">
        <v>1.3888888888888889E-3</v>
      </c>
      <c r="J763" s="8" t="s">
        <v>443</v>
      </c>
      <c r="K763" s="8" t="s">
        <v>445</v>
      </c>
      <c r="L763" s="8" t="str">
        <f>IF(Table1346[[#This Row],[Home Team Score]]&gt;Table1346[[#This Row],[Away Team Score]],"Win",IF(Table1346[[#This Row],[Home Team Score]]=Table1346[[#This Row],[Away Team Score]],"Tie","Lose"))</f>
        <v>Lose</v>
      </c>
      <c r="M763" t="s">
        <v>38</v>
      </c>
      <c r="N763">
        <v>76</v>
      </c>
      <c r="O763" s="3">
        <v>1.3888888888888889E-3</v>
      </c>
      <c r="P763" t="s">
        <v>31</v>
      </c>
      <c r="Q763" t="s">
        <v>186</v>
      </c>
      <c r="R763" t="e">
        <f>IF([1]!Table13[[#This Row],[Goal_assist]]="",1,0)</f>
        <v>#REF!</v>
      </c>
    </row>
    <row r="764" spans="1:18" x14ac:dyDescent="0.35">
      <c r="A764" t="s">
        <v>14</v>
      </c>
      <c r="B764" t="s">
        <v>267</v>
      </c>
      <c r="C764" t="s">
        <v>65</v>
      </c>
      <c r="D764">
        <v>11</v>
      </c>
      <c r="E764" s="2">
        <v>41951</v>
      </c>
      <c r="F764" t="s">
        <v>16</v>
      </c>
      <c r="G764" t="s">
        <v>112</v>
      </c>
      <c r="H764" t="s">
        <v>225</v>
      </c>
      <c r="I764" s="3">
        <v>0.20902777777777778</v>
      </c>
      <c r="J764" s="8" t="s">
        <v>448</v>
      </c>
      <c r="K764" s="8" t="s">
        <v>444</v>
      </c>
      <c r="L764" s="8" t="str">
        <f>IF(Table1346[[#This Row],[Home Team Score]]&gt;Table1346[[#This Row],[Away Team Score]],"Win",IF(Table1346[[#This Row],[Home Team Score]]=Table1346[[#This Row],[Away Team Score]],"Tie","Lose"))</f>
        <v>Win</v>
      </c>
      <c r="M764" t="s">
        <v>68</v>
      </c>
      <c r="N764">
        <v>83</v>
      </c>
      <c r="O764" s="3">
        <v>0.20902777777777778</v>
      </c>
      <c r="P764" t="s">
        <v>26</v>
      </c>
      <c r="Q764" t="s">
        <v>257</v>
      </c>
      <c r="R764" t="e">
        <f>IF([1]!Table13[[#This Row],[Goal_assist]]="",1,0)</f>
        <v>#REF!</v>
      </c>
    </row>
    <row r="765" spans="1:18" x14ac:dyDescent="0.35">
      <c r="A765" t="s">
        <v>14</v>
      </c>
      <c r="B765" t="s">
        <v>267</v>
      </c>
      <c r="C765" t="s">
        <v>65</v>
      </c>
      <c r="D765">
        <v>12</v>
      </c>
      <c r="E765" s="2">
        <v>41965</v>
      </c>
      <c r="F765" t="s">
        <v>24</v>
      </c>
      <c r="G765" t="s">
        <v>112</v>
      </c>
      <c r="H765" t="s">
        <v>270</v>
      </c>
      <c r="I765" s="3">
        <v>2.7777777777777779E-3</v>
      </c>
      <c r="J765" s="8" t="s">
        <v>443</v>
      </c>
      <c r="K765" s="8" t="s">
        <v>446</v>
      </c>
      <c r="L765" s="8" t="str">
        <f>IF(Table1346[[#This Row],[Home Team Score]]&gt;Table1346[[#This Row],[Away Team Score]],"Win",IF(Table1346[[#This Row],[Home Team Score]]=Table1346[[#This Row],[Away Team Score]],"Tie","Lose"))</f>
        <v>Lose</v>
      </c>
      <c r="M765" t="s">
        <v>68</v>
      </c>
      <c r="N765">
        <v>83</v>
      </c>
      <c r="O765" s="3">
        <v>2.7777777777777779E-3</v>
      </c>
      <c r="P765" t="s">
        <v>83</v>
      </c>
      <c r="R765" t="e">
        <f>IF([1]!Table13[[#This Row],[Goal_assist]]="",1,0)</f>
        <v>#REF!</v>
      </c>
    </row>
    <row r="766" spans="1:18" x14ac:dyDescent="0.35">
      <c r="A766" t="s">
        <v>64</v>
      </c>
      <c r="B766" t="s">
        <v>267</v>
      </c>
      <c r="C766" t="s">
        <v>65</v>
      </c>
      <c r="D766">
        <v>12</v>
      </c>
      <c r="E766" s="2">
        <v>41965</v>
      </c>
      <c r="F766" t="s">
        <v>16</v>
      </c>
      <c r="G766" t="s">
        <v>66</v>
      </c>
      <c r="H766" t="s">
        <v>105</v>
      </c>
      <c r="I766" s="3">
        <v>0.20902777777777778</v>
      </c>
      <c r="J766" s="8" t="s">
        <v>448</v>
      </c>
      <c r="K766" s="8" t="s">
        <v>444</v>
      </c>
      <c r="L766" s="8" t="str">
        <f>IF(Table1346[[#This Row],[Home Team Score]]&gt;Table1346[[#This Row],[Away Team Score]],"Win",IF(Table1346[[#This Row],[Home Team Score]]=Table1346[[#This Row],[Away Team Score]],"Tie","Lose"))</f>
        <v>Win</v>
      </c>
      <c r="M766" t="s">
        <v>38</v>
      </c>
      <c r="N766">
        <v>78</v>
      </c>
      <c r="O766" s="3">
        <v>0.20902777777777778</v>
      </c>
      <c r="P766" t="s">
        <v>31</v>
      </c>
      <c r="Q766" t="s">
        <v>256</v>
      </c>
      <c r="R766" t="e">
        <f>IF([1]!Table13[[#This Row],[Goal_assist]]="",1,0)</f>
        <v>#REF!</v>
      </c>
    </row>
    <row r="767" spans="1:18" x14ac:dyDescent="0.35">
      <c r="A767" t="s">
        <v>64</v>
      </c>
      <c r="B767" t="s">
        <v>267</v>
      </c>
      <c r="C767" t="s">
        <v>65</v>
      </c>
      <c r="D767">
        <v>12</v>
      </c>
      <c r="E767" s="2">
        <v>41965</v>
      </c>
      <c r="F767" t="s">
        <v>16</v>
      </c>
      <c r="G767" t="s">
        <v>66</v>
      </c>
      <c r="H767" t="s">
        <v>105</v>
      </c>
      <c r="I767" s="3">
        <v>0.20902777777777778</v>
      </c>
      <c r="J767" s="8" t="s">
        <v>448</v>
      </c>
      <c r="K767" s="8" t="s">
        <v>444</v>
      </c>
      <c r="L767" s="8" t="str">
        <f>IF(Table1346[[#This Row],[Home Team Score]]&gt;Table1346[[#This Row],[Away Team Score]],"Win",IF(Table1346[[#This Row],[Home Team Score]]=Table1346[[#This Row],[Away Team Score]],"Tie","Lose"))</f>
        <v>Win</v>
      </c>
      <c r="M767" t="s">
        <v>38</v>
      </c>
      <c r="N767">
        <v>73</v>
      </c>
      <c r="O767" s="3">
        <v>0.1673611111111111</v>
      </c>
      <c r="P767" t="s">
        <v>55</v>
      </c>
      <c r="Q767" t="s">
        <v>256</v>
      </c>
      <c r="R767" t="e">
        <f>IF([1]!Table13[[#This Row],[Goal_assist]]="",1,0)</f>
        <v>#REF!</v>
      </c>
    </row>
    <row r="768" spans="1:18" x14ac:dyDescent="0.35">
      <c r="A768" t="s">
        <v>64</v>
      </c>
      <c r="B768" t="s">
        <v>267</v>
      </c>
      <c r="C768" t="s">
        <v>65</v>
      </c>
      <c r="D768">
        <v>12</v>
      </c>
      <c r="E768" s="2">
        <v>41965</v>
      </c>
      <c r="F768" t="s">
        <v>16</v>
      </c>
      <c r="G768" t="s">
        <v>66</v>
      </c>
      <c r="H768" t="s">
        <v>105</v>
      </c>
      <c r="I768" s="3">
        <v>0.20902777777777778</v>
      </c>
      <c r="J768" s="8" t="s">
        <v>448</v>
      </c>
      <c r="K768" s="8" t="s">
        <v>444</v>
      </c>
      <c r="L768" s="8" t="str">
        <f>IF(Table1346[[#This Row],[Home Team Score]]&gt;Table1346[[#This Row],[Away Team Score]],"Win",IF(Table1346[[#This Row],[Home Team Score]]=Table1346[[#This Row],[Away Team Score]],"Tie","Lose"))</f>
        <v>Win</v>
      </c>
      <c r="M768" t="s">
        <v>38</v>
      </c>
      <c r="N768">
        <v>21</v>
      </c>
      <c r="O768" s="3">
        <v>4.1666666666666664E-2</v>
      </c>
      <c r="P768" t="s">
        <v>39</v>
      </c>
      <c r="R768" t="e">
        <f>IF([1]!Table13[[#This Row],[Goal_assist]]="",1,0)</f>
        <v>#REF!</v>
      </c>
    </row>
    <row r="769" spans="1:18" x14ac:dyDescent="0.35">
      <c r="A769" t="s">
        <v>14</v>
      </c>
      <c r="B769" t="s">
        <v>267</v>
      </c>
      <c r="C769" t="s">
        <v>65</v>
      </c>
      <c r="D769">
        <v>12</v>
      </c>
      <c r="E769" s="2">
        <v>41965</v>
      </c>
      <c r="F769" t="s">
        <v>24</v>
      </c>
      <c r="G769" t="s">
        <v>112</v>
      </c>
      <c r="H769" t="s">
        <v>270</v>
      </c>
      <c r="I769" s="3">
        <v>2.7777777777777779E-3</v>
      </c>
      <c r="J769" s="8" t="s">
        <v>443</v>
      </c>
      <c r="K769" s="8" t="s">
        <v>446</v>
      </c>
      <c r="L769" s="8" t="str">
        <f>IF(Table1346[[#This Row],[Home Team Score]]&gt;Table1346[[#This Row],[Away Team Score]],"Win",IF(Table1346[[#This Row],[Home Team Score]]=Table1346[[#This Row],[Away Team Score]],"Tie","Lose"))</f>
        <v>Lose</v>
      </c>
      <c r="M769" t="s">
        <v>68</v>
      </c>
      <c r="N769">
        <v>43</v>
      </c>
      <c r="O769" s="3">
        <v>1.3888888888888889E-3</v>
      </c>
      <c r="P769" t="s">
        <v>26</v>
      </c>
      <c r="Q769" t="s">
        <v>262</v>
      </c>
      <c r="R769" t="e">
        <f>IF([1]!Table13[[#This Row],[Goal_assist]]="",1,0)</f>
        <v>#REF!</v>
      </c>
    </row>
    <row r="770" spans="1:18" x14ac:dyDescent="0.35">
      <c r="A770" t="s">
        <v>64</v>
      </c>
      <c r="B770" t="s">
        <v>267</v>
      </c>
      <c r="C770" t="s">
        <v>75</v>
      </c>
      <c r="D770" t="s">
        <v>76</v>
      </c>
      <c r="E770" s="2">
        <v>41968</v>
      </c>
      <c r="F770" t="s">
        <v>24</v>
      </c>
      <c r="G770" t="s">
        <v>66</v>
      </c>
      <c r="H770" t="s">
        <v>241</v>
      </c>
      <c r="I770" s="3">
        <v>2.7777777777777779E-3</v>
      </c>
      <c r="J770" s="8" t="s">
        <v>443</v>
      </c>
      <c r="K770" s="8" t="s">
        <v>446</v>
      </c>
      <c r="L770" s="8" t="str">
        <f>IF(Table1346[[#This Row],[Home Team Score]]&gt;Table1346[[#This Row],[Away Team Score]],"Win",IF(Table1346[[#This Row],[Home Team Score]]=Table1346[[#This Row],[Away Team Score]],"Tie","Lose"))</f>
        <v>Lose</v>
      </c>
      <c r="M770" t="s">
        <v>251</v>
      </c>
      <c r="N770">
        <v>87</v>
      </c>
      <c r="O770" s="3">
        <v>2.7777777777777779E-3</v>
      </c>
      <c r="P770" t="s">
        <v>26</v>
      </c>
      <c r="Q770" t="s">
        <v>186</v>
      </c>
      <c r="R770" t="e">
        <f>IF([1]!Table13[[#This Row],[Goal_assist]]="",1,0)</f>
        <v>#REF!</v>
      </c>
    </row>
    <row r="771" spans="1:18" x14ac:dyDescent="0.35">
      <c r="A771" t="s">
        <v>64</v>
      </c>
      <c r="B771" t="s">
        <v>267</v>
      </c>
      <c r="C771" t="s">
        <v>75</v>
      </c>
      <c r="D771" t="s">
        <v>76</v>
      </c>
      <c r="E771" s="2">
        <v>41968</v>
      </c>
      <c r="F771" t="s">
        <v>24</v>
      </c>
      <c r="G771" t="s">
        <v>66</v>
      </c>
      <c r="H771" t="s">
        <v>241</v>
      </c>
      <c r="I771" s="3">
        <v>2.7777777777777779E-3</v>
      </c>
      <c r="J771" s="8" t="s">
        <v>443</v>
      </c>
      <c r="K771" s="8" t="s">
        <v>446</v>
      </c>
      <c r="L771" s="8" t="str">
        <f>IF(Table1346[[#This Row],[Home Team Score]]&gt;Table1346[[#This Row],[Away Team Score]],"Win",IF(Table1346[[#This Row],[Home Team Score]]=Table1346[[#This Row],[Away Team Score]],"Tie","Lose"))</f>
        <v>Lose</v>
      </c>
      <c r="M771" t="s">
        <v>251</v>
      </c>
      <c r="N771">
        <v>58</v>
      </c>
      <c r="O771" s="3">
        <v>2.0833333333333333E-3</v>
      </c>
      <c r="P771" t="s">
        <v>26</v>
      </c>
      <c r="Q771" t="s">
        <v>155</v>
      </c>
      <c r="R771" t="e">
        <f>IF([1]!Table13[[#This Row],[Goal_assist]]="",1,0)</f>
        <v>#REF!</v>
      </c>
    </row>
    <row r="772" spans="1:18" x14ac:dyDescent="0.35">
      <c r="A772" t="s">
        <v>64</v>
      </c>
      <c r="B772" t="s">
        <v>267</v>
      </c>
      <c r="C772" t="s">
        <v>75</v>
      </c>
      <c r="D772" t="s">
        <v>76</v>
      </c>
      <c r="E772" s="2">
        <v>41968</v>
      </c>
      <c r="F772" t="s">
        <v>24</v>
      </c>
      <c r="G772" t="s">
        <v>66</v>
      </c>
      <c r="H772" t="s">
        <v>241</v>
      </c>
      <c r="I772" s="3">
        <v>2.7777777777777779E-3</v>
      </c>
      <c r="J772" s="8" t="s">
        <v>443</v>
      </c>
      <c r="K772" s="8" t="s">
        <v>446</v>
      </c>
      <c r="L772" s="8" t="str">
        <f>IF(Table1346[[#This Row],[Home Team Score]]&gt;Table1346[[#This Row],[Away Team Score]],"Win",IF(Table1346[[#This Row],[Home Team Score]]=Table1346[[#This Row],[Away Team Score]],"Tie","Lose"))</f>
        <v>Lose</v>
      </c>
      <c r="M772" t="s">
        <v>251</v>
      </c>
      <c r="N772">
        <v>38</v>
      </c>
      <c r="O772" s="3">
        <v>1.3888888888888889E-3</v>
      </c>
      <c r="P772" t="s">
        <v>26</v>
      </c>
      <c r="Q772" t="s">
        <v>272</v>
      </c>
      <c r="R772" t="e">
        <f>IF([1]!Table13[[#This Row],[Goal_assist]]="",1,0)</f>
        <v>#REF!</v>
      </c>
    </row>
    <row r="773" spans="1:18" x14ac:dyDescent="0.35">
      <c r="A773" t="s">
        <v>14</v>
      </c>
      <c r="B773" t="s">
        <v>267</v>
      </c>
      <c r="C773" t="s">
        <v>75</v>
      </c>
      <c r="D773" t="s">
        <v>76</v>
      </c>
      <c r="E773" s="2">
        <v>41969</v>
      </c>
      <c r="F773" t="s">
        <v>24</v>
      </c>
      <c r="G773" t="s">
        <v>112</v>
      </c>
      <c r="H773" t="s">
        <v>154</v>
      </c>
      <c r="I773" s="3">
        <v>6.9444444444444447E-4</v>
      </c>
      <c r="J773" s="8" t="s">
        <v>443</v>
      </c>
      <c r="K773" s="8" t="s">
        <v>444</v>
      </c>
      <c r="L773" s="8" t="str">
        <f>IF(Table1346[[#This Row],[Home Team Score]]&gt;Table1346[[#This Row],[Away Team Score]],"Win",IF(Table1346[[#This Row],[Home Team Score]]=Table1346[[#This Row],[Away Team Score]],"Tie","Lose"))</f>
        <v>Lose</v>
      </c>
      <c r="M773" t="s">
        <v>19</v>
      </c>
      <c r="N773">
        <v>35</v>
      </c>
      <c r="O773" s="3">
        <v>6.9444444444444447E-4</v>
      </c>
      <c r="P773" t="s">
        <v>31</v>
      </c>
      <c r="Q773" t="s">
        <v>183</v>
      </c>
      <c r="R773" t="e">
        <f>IF([1]!Table13[[#This Row],[Goal_assist]]="",1,0)</f>
        <v>#REF!</v>
      </c>
    </row>
    <row r="774" spans="1:18" x14ac:dyDescent="0.35">
      <c r="A774" t="s">
        <v>14</v>
      </c>
      <c r="B774" t="s">
        <v>267</v>
      </c>
      <c r="C774" t="s">
        <v>65</v>
      </c>
      <c r="D774">
        <v>14</v>
      </c>
      <c r="E774" s="2">
        <v>41979</v>
      </c>
      <c r="F774" t="s">
        <v>16</v>
      </c>
      <c r="G774" t="s">
        <v>112</v>
      </c>
      <c r="H774" t="s">
        <v>98</v>
      </c>
      <c r="I774" s="3">
        <v>0.125</v>
      </c>
      <c r="J774" s="8" t="s">
        <v>442</v>
      </c>
      <c r="K774" s="8" t="s">
        <v>443</v>
      </c>
      <c r="L774" s="8" t="str">
        <f>IF(Table1346[[#This Row],[Home Team Score]]&gt;Table1346[[#This Row],[Away Team Score]],"Win",IF(Table1346[[#This Row],[Home Team Score]]=Table1346[[#This Row],[Away Team Score]],"Tie","Lose"))</f>
        <v>Win</v>
      </c>
      <c r="M774" t="s">
        <v>68</v>
      </c>
      <c r="N774">
        <v>65</v>
      </c>
      <c r="O774" s="3">
        <v>8.3333333333333329E-2</v>
      </c>
      <c r="P774" t="s">
        <v>26</v>
      </c>
      <c r="R774" t="e">
        <f>IF([1]!Table13[[#This Row],[Goal_assist]]="",1,0)</f>
        <v>#REF!</v>
      </c>
    </row>
    <row r="775" spans="1:18" x14ac:dyDescent="0.35">
      <c r="A775" t="s">
        <v>14</v>
      </c>
      <c r="B775" t="s">
        <v>267</v>
      </c>
      <c r="C775" t="s">
        <v>65</v>
      </c>
      <c r="D775">
        <v>14</v>
      </c>
      <c r="E775" s="2">
        <v>41979</v>
      </c>
      <c r="F775" t="s">
        <v>16</v>
      </c>
      <c r="G775" t="s">
        <v>112</v>
      </c>
      <c r="H775" t="s">
        <v>98</v>
      </c>
      <c r="I775" s="3">
        <v>0.125</v>
      </c>
      <c r="J775" s="8" t="s">
        <v>442</v>
      </c>
      <c r="K775" s="8" t="s">
        <v>443</v>
      </c>
      <c r="L775" s="8" t="str">
        <f>IF(Table1346[[#This Row],[Home Team Score]]&gt;Table1346[[#This Row],[Away Team Score]],"Win",IF(Table1346[[#This Row],[Home Team Score]]=Table1346[[#This Row],[Away Team Score]],"Tie","Lose"))</f>
        <v>Win</v>
      </c>
      <c r="M775" t="s">
        <v>68</v>
      </c>
      <c r="N775">
        <v>81</v>
      </c>
      <c r="O775" s="3">
        <v>0.125</v>
      </c>
      <c r="P775" t="s">
        <v>31</v>
      </c>
      <c r="Q775" t="s">
        <v>201</v>
      </c>
      <c r="R775" t="e">
        <f>IF([1]!Table13[[#This Row],[Goal_assist]]="",1,0)</f>
        <v>#REF!</v>
      </c>
    </row>
    <row r="776" spans="1:18" x14ac:dyDescent="0.35">
      <c r="A776" t="s">
        <v>14</v>
      </c>
      <c r="B776" t="s">
        <v>267</v>
      </c>
      <c r="C776" t="s">
        <v>65</v>
      </c>
      <c r="D776">
        <v>14</v>
      </c>
      <c r="E776" s="2">
        <v>41979</v>
      </c>
      <c r="F776" t="s">
        <v>16</v>
      </c>
      <c r="G776" t="s">
        <v>112</v>
      </c>
      <c r="H776" t="s">
        <v>98</v>
      </c>
      <c r="I776" s="3">
        <v>0.125</v>
      </c>
      <c r="J776" s="8" t="s">
        <v>442</v>
      </c>
      <c r="K776" s="8" t="s">
        <v>443</v>
      </c>
      <c r="L776" s="8" t="str">
        <f>IF(Table1346[[#This Row],[Home Team Score]]&gt;Table1346[[#This Row],[Away Team Score]],"Win",IF(Table1346[[#This Row],[Home Team Score]]=Table1346[[#This Row],[Away Team Score]],"Tie","Lose"))</f>
        <v>Win</v>
      </c>
      <c r="M776" t="s">
        <v>68</v>
      </c>
      <c r="N776">
        <v>36</v>
      </c>
      <c r="O776" s="3">
        <v>4.1666666666666664E-2</v>
      </c>
      <c r="P776" t="s">
        <v>83</v>
      </c>
      <c r="R776" t="e">
        <f>IF([1]!Table13[[#This Row],[Goal_assist]]="",1,0)</f>
        <v>#REF!</v>
      </c>
    </row>
    <row r="777" spans="1:18" x14ac:dyDescent="0.35">
      <c r="A777" t="s">
        <v>64</v>
      </c>
      <c r="B777" t="s">
        <v>267</v>
      </c>
      <c r="C777" t="s">
        <v>65</v>
      </c>
      <c r="D777">
        <v>14</v>
      </c>
      <c r="E777" s="2">
        <v>41980</v>
      </c>
      <c r="F777" t="s">
        <v>16</v>
      </c>
      <c r="G777" t="s">
        <v>66</v>
      </c>
      <c r="H777" t="s">
        <v>121</v>
      </c>
      <c r="I777" s="3">
        <v>0.20902777777777778</v>
      </c>
      <c r="J777" s="8" t="s">
        <v>448</v>
      </c>
      <c r="K777" s="8" t="s">
        <v>444</v>
      </c>
      <c r="L777" s="8" t="str">
        <f>IF(Table1346[[#This Row],[Home Team Score]]&gt;Table1346[[#This Row],[Away Team Score]],"Win",IF(Table1346[[#This Row],[Home Team Score]]=Table1346[[#This Row],[Away Team Score]],"Tie","Lose"))</f>
        <v>Win</v>
      </c>
      <c r="M777" t="s">
        <v>38</v>
      </c>
      <c r="N777" t="s">
        <v>58</v>
      </c>
      <c r="O777" s="3">
        <v>4.2361111111111113E-2</v>
      </c>
      <c r="P777" t="s">
        <v>31</v>
      </c>
      <c r="Q777" t="s">
        <v>106</v>
      </c>
      <c r="R777" t="e">
        <f>IF([1]!Table13[[#This Row],[Goal_assist]]="",1,0)</f>
        <v>#REF!</v>
      </c>
    </row>
    <row r="778" spans="1:18" x14ac:dyDescent="0.35">
      <c r="A778" t="s">
        <v>64</v>
      </c>
      <c r="B778" t="s">
        <v>267</v>
      </c>
      <c r="C778" t="s">
        <v>65</v>
      </c>
      <c r="D778">
        <v>14</v>
      </c>
      <c r="E778" s="2">
        <v>41980</v>
      </c>
      <c r="F778" t="s">
        <v>16</v>
      </c>
      <c r="G778" t="s">
        <v>66</v>
      </c>
      <c r="H778" t="s">
        <v>121</v>
      </c>
      <c r="I778" s="3">
        <v>0.20902777777777778</v>
      </c>
      <c r="J778" s="8" t="s">
        <v>448</v>
      </c>
      <c r="K778" s="8" t="s">
        <v>444</v>
      </c>
      <c r="L778" s="8" t="str">
        <f>IF(Table1346[[#This Row],[Home Team Score]]&gt;Table1346[[#This Row],[Away Team Score]],"Win",IF(Table1346[[#This Row],[Home Team Score]]=Table1346[[#This Row],[Away Team Score]],"Tie","Lose"))</f>
        <v>Win</v>
      </c>
      <c r="M778" t="s">
        <v>38</v>
      </c>
      <c r="N778">
        <v>50</v>
      </c>
      <c r="O778" s="3">
        <v>8.4027777777777785E-2</v>
      </c>
      <c r="P778" t="s">
        <v>26</v>
      </c>
      <c r="Q778" t="s">
        <v>273</v>
      </c>
      <c r="R778" t="e">
        <f>IF([1]!Table13[[#This Row],[Goal_assist]]="",1,0)</f>
        <v>#REF!</v>
      </c>
    </row>
    <row r="779" spans="1:18" x14ac:dyDescent="0.35">
      <c r="A779" t="s">
        <v>64</v>
      </c>
      <c r="B779" t="s">
        <v>267</v>
      </c>
      <c r="C779" t="s">
        <v>65</v>
      </c>
      <c r="D779">
        <v>14</v>
      </c>
      <c r="E779" s="2">
        <v>41980</v>
      </c>
      <c r="F779" t="s">
        <v>16</v>
      </c>
      <c r="G779" t="s">
        <v>66</v>
      </c>
      <c r="H779" t="s">
        <v>121</v>
      </c>
      <c r="I779" s="3">
        <v>0.20902777777777778</v>
      </c>
      <c r="J779" s="8" t="s">
        <v>448</v>
      </c>
      <c r="K779" s="8" t="s">
        <v>444</v>
      </c>
      <c r="L779" s="8" t="str">
        <f>IF(Table1346[[#This Row],[Home Team Score]]&gt;Table1346[[#This Row],[Away Team Score]],"Win",IF(Table1346[[#This Row],[Home Team Score]]=Table1346[[#This Row],[Away Team Score]],"Tie","Lose"))</f>
        <v>Win</v>
      </c>
      <c r="M779" t="s">
        <v>38</v>
      </c>
      <c r="N779">
        <v>81</v>
      </c>
      <c r="O779" s="3">
        <v>0.20902777777777778</v>
      </c>
      <c r="P779" t="s">
        <v>26</v>
      </c>
      <c r="Q779" t="s">
        <v>186</v>
      </c>
      <c r="R779" t="e">
        <f>IF([1]!Table13[[#This Row],[Goal_assist]]="",1,0)</f>
        <v>#REF!</v>
      </c>
    </row>
    <row r="780" spans="1:18" x14ac:dyDescent="0.35">
      <c r="A780" t="s">
        <v>14</v>
      </c>
      <c r="B780" t="s">
        <v>267</v>
      </c>
      <c r="C780" t="s">
        <v>75</v>
      </c>
      <c r="D780" t="s">
        <v>76</v>
      </c>
      <c r="E780" s="2">
        <v>41982</v>
      </c>
      <c r="F780" t="s">
        <v>16</v>
      </c>
      <c r="G780" t="s">
        <v>112</v>
      </c>
      <c r="H780" t="s">
        <v>269</v>
      </c>
      <c r="I780" s="3">
        <v>0.16666666666666666</v>
      </c>
      <c r="J780" s="8" t="s">
        <v>446</v>
      </c>
      <c r="K780" s="8" t="s">
        <v>443</v>
      </c>
      <c r="L780" s="8" t="str">
        <f>IF(Table1346[[#This Row],[Home Team Score]]&gt;Table1346[[#This Row],[Away Team Score]],"Win",IF(Table1346[[#This Row],[Home Team Score]]=Table1346[[#This Row],[Away Team Score]],"Tie","Lose"))</f>
        <v>Win</v>
      </c>
      <c r="M780" t="s">
        <v>251</v>
      </c>
      <c r="N780">
        <v>20</v>
      </c>
      <c r="O780" s="3">
        <v>4.1666666666666664E-2</v>
      </c>
      <c r="P780" t="s">
        <v>83</v>
      </c>
      <c r="R780" t="e">
        <f>IF([1]!Table13[[#This Row],[Goal_assist]]="",1,0)</f>
        <v>#REF!</v>
      </c>
    </row>
    <row r="781" spans="1:18" x14ac:dyDescent="0.35">
      <c r="A781" t="s">
        <v>64</v>
      </c>
      <c r="B781" t="s">
        <v>267</v>
      </c>
      <c r="C781" t="s">
        <v>75</v>
      </c>
      <c r="D781" t="s">
        <v>76</v>
      </c>
      <c r="E781" s="2">
        <v>41983</v>
      </c>
      <c r="F781" t="s">
        <v>16</v>
      </c>
      <c r="G781" t="s">
        <v>66</v>
      </c>
      <c r="H781" t="s">
        <v>252</v>
      </c>
      <c r="I781" s="3">
        <v>0.12569444444444444</v>
      </c>
      <c r="J781" s="8" t="s">
        <v>442</v>
      </c>
      <c r="K781" s="8" t="s">
        <v>444</v>
      </c>
      <c r="L781" s="8" t="str">
        <f>IF(Table1346[[#This Row],[Home Team Score]]&gt;Table1346[[#This Row],[Away Team Score]],"Win",IF(Table1346[[#This Row],[Home Team Score]]=Table1346[[#This Row],[Away Team Score]],"Tie","Lose"))</f>
        <v>Win</v>
      </c>
      <c r="M781" t="s">
        <v>274</v>
      </c>
      <c r="N781">
        <v>19</v>
      </c>
      <c r="O781" s="3">
        <v>4.2361111111111113E-2</v>
      </c>
      <c r="P781" t="s">
        <v>26</v>
      </c>
      <c r="Q781" t="s">
        <v>273</v>
      </c>
      <c r="R781" t="e">
        <f>IF([1]!Table13[[#This Row],[Goal_assist]]="",1,0)</f>
        <v>#REF!</v>
      </c>
    </row>
    <row r="782" spans="1:18" x14ac:dyDescent="0.35">
      <c r="A782" t="s">
        <v>14</v>
      </c>
      <c r="B782" t="s">
        <v>267</v>
      </c>
      <c r="C782" t="s">
        <v>65</v>
      </c>
      <c r="D782">
        <v>15</v>
      </c>
      <c r="E782" s="2">
        <v>41985</v>
      </c>
      <c r="F782" t="s">
        <v>24</v>
      </c>
      <c r="G782" t="s">
        <v>112</v>
      </c>
      <c r="H782" t="s">
        <v>187</v>
      </c>
      <c r="I782" s="3">
        <v>4.4444444444444446E-2</v>
      </c>
      <c r="J782" s="8" t="s">
        <v>444</v>
      </c>
      <c r="K782" s="8" t="s">
        <v>446</v>
      </c>
      <c r="L782" s="8" t="str">
        <f>IF(Table1346[[#This Row],[Home Team Score]]&gt;Table1346[[#This Row],[Away Team Score]],"Win",IF(Table1346[[#This Row],[Home Team Score]]=Table1346[[#This Row],[Away Team Score]],"Tie","Lose"))</f>
        <v>Lose</v>
      </c>
      <c r="M782" t="s">
        <v>68</v>
      </c>
      <c r="N782">
        <v>81</v>
      </c>
      <c r="O782" s="3">
        <v>4.3749999999999997E-2</v>
      </c>
      <c r="P782" t="s">
        <v>26</v>
      </c>
      <c r="Q782" t="s">
        <v>183</v>
      </c>
      <c r="R782" t="e">
        <f>IF([1]!Table13[[#This Row],[Goal_assist]]="",1,0)</f>
        <v>#REF!</v>
      </c>
    </row>
    <row r="783" spans="1:18" x14ac:dyDescent="0.35">
      <c r="A783" t="s">
        <v>14</v>
      </c>
      <c r="B783" t="s">
        <v>267</v>
      </c>
      <c r="C783" t="s">
        <v>65</v>
      </c>
      <c r="D783">
        <v>15</v>
      </c>
      <c r="E783" s="2">
        <v>41985</v>
      </c>
      <c r="F783" t="s">
        <v>24</v>
      </c>
      <c r="G783" t="s">
        <v>112</v>
      </c>
      <c r="H783" t="s">
        <v>187</v>
      </c>
      <c r="I783" s="3">
        <v>4.4444444444444446E-2</v>
      </c>
      <c r="J783" s="8" t="s">
        <v>444</v>
      </c>
      <c r="K783" s="8" t="s">
        <v>446</v>
      </c>
      <c r="L783" s="8" t="str">
        <f>IF(Table1346[[#This Row],[Home Team Score]]&gt;Table1346[[#This Row],[Away Team Score]],"Win",IF(Table1346[[#This Row],[Home Team Score]]=Table1346[[#This Row],[Away Team Score]],"Tie","Lose"))</f>
        <v>Lose</v>
      </c>
      <c r="M783" t="s">
        <v>68</v>
      </c>
      <c r="N783">
        <v>89</v>
      </c>
      <c r="O783" s="3">
        <v>4.4444444444444446E-2</v>
      </c>
      <c r="P783" t="s">
        <v>26</v>
      </c>
      <c r="Q783" t="s">
        <v>262</v>
      </c>
      <c r="R783" t="e">
        <f>IF([1]!Table13[[#This Row],[Goal_assist]]="",1,0)</f>
        <v>#REF!</v>
      </c>
    </row>
    <row r="784" spans="1:18" x14ac:dyDescent="0.35">
      <c r="A784" t="s">
        <v>64</v>
      </c>
      <c r="B784" t="s">
        <v>267</v>
      </c>
      <c r="C784" t="s">
        <v>65</v>
      </c>
      <c r="D784">
        <v>16</v>
      </c>
      <c r="E784" s="2">
        <v>41993</v>
      </c>
      <c r="F784" t="s">
        <v>16</v>
      </c>
      <c r="G784" t="s">
        <v>66</v>
      </c>
      <c r="H784" t="s">
        <v>248</v>
      </c>
      <c r="I784" s="3">
        <v>0.20833333333333334</v>
      </c>
      <c r="J784" s="8" t="s">
        <v>448</v>
      </c>
      <c r="K784" s="8" t="s">
        <v>443</v>
      </c>
      <c r="L784" s="8" t="str">
        <f>IF(Table1346[[#This Row],[Home Team Score]]&gt;Table1346[[#This Row],[Away Team Score]],"Win",IF(Table1346[[#This Row],[Home Team Score]]=Table1346[[#This Row],[Away Team Score]],"Tie","Lose"))</f>
        <v>Win</v>
      </c>
      <c r="M784" t="s">
        <v>38</v>
      </c>
      <c r="N784">
        <v>82</v>
      </c>
      <c r="O784" s="3">
        <v>0.16666666666666666</v>
      </c>
      <c r="P784" t="s">
        <v>26</v>
      </c>
      <c r="R784" t="e">
        <f>IF([1]!Table13[[#This Row],[Goal_assist]]="",1,0)</f>
        <v>#REF!</v>
      </c>
    </row>
    <row r="785" spans="1:18" x14ac:dyDescent="0.35">
      <c r="A785" t="s">
        <v>64</v>
      </c>
      <c r="B785" t="s">
        <v>267</v>
      </c>
      <c r="C785" t="s">
        <v>65</v>
      </c>
      <c r="D785">
        <v>16</v>
      </c>
      <c r="E785" s="2">
        <v>41993</v>
      </c>
      <c r="F785" t="s">
        <v>16</v>
      </c>
      <c r="G785" t="s">
        <v>66</v>
      </c>
      <c r="H785" t="s">
        <v>248</v>
      </c>
      <c r="I785" s="3">
        <v>0.20833333333333334</v>
      </c>
      <c r="J785" s="8" t="s">
        <v>448</v>
      </c>
      <c r="K785" s="8" t="s">
        <v>443</v>
      </c>
      <c r="L785" s="8" t="str">
        <f>IF(Table1346[[#This Row],[Home Team Score]]&gt;Table1346[[#This Row],[Away Team Score]],"Win",IF(Table1346[[#This Row],[Home Team Score]]=Table1346[[#This Row],[Away Team Score]],"Tie","Lose"))</f>
        <v>Win</v>
      </c>
      <c r="M785" t="s">
        <v>38</v>
      </c>
      <c r="N785">
        <v>90</v>
      </c>
      <c r="O785" s="3">
        <v>0.20833333333333334</v>
      </c>
      <c r="P785" t="s">
        <v>26</v>
      </c>
      <c r="R785" t="e">
        <f>IF([1]!Table13[[#This Row],[Goal_assist]]="",1,0)</f>
        <v>#REF!</v>
      </c>
    </row>
    <row r="786" spans="1:18" x14ac:dyDescent="0.35">
      <c r="A786" t="s">
        <v>14</v>
      </c>
      <c r="B786" t="s">
        <v>267</v>
      </c>
      <c r="C786" t="s">
        <v>65</v>
      </c>
      <c r="D786">
        <v>17</v>
      </c>
      <c r="E786" s="2">
        <v>42008</v>
      </c>
      <c r="F786" t="s">
        <v>24</v>
      </c>
      <c r="G786" t="s">
        <v>112</v>
      </c>
      <c r="H786" t="s">
        <v>148</v>
      </c>
      <c r="I786" s="3">
        <v>8.4027777777777785E-2</v>
      </c>
      <c r="J786" s="8" t="s">
        <v>445</v>
      </c>
      <c r="K786" s="8" t="s">
        <v>444</v>
      </c>
      <c r="L786" s="8" t="str">
        <f>IF(Table1346[[#This Row],[Home Team Score]]&gt;Table1346[[#This Row],[Away Team Score]],"Win",IF(Table1346[[#This Row],[Home Team Score]]=Table1346[[#This Row],[Away Team Score]],"Tie","Lose"))</f>
        <v>Win</v>
      </c>
      <c r="M786" t="s">
        <v>19</v>
      </c>
      <c r="N786">
        <v>14</v>
      </c>
      <c r="O786" s="3">
        <v>6.9444444444444447E-4</v>
      </c>
      <c r="P786" t="s">
        <v>83</v>
      </c>
      <c r="R786" t="e">
        <f>IF([1]!Table13[[#This Row],[Goal_assist]]="",1,0)</f>
        <v>#REF!</v>
      </c>
    </row>
    <row r="787" spans="1:18" x14ac:dyDescent="0.35">
      <c r="A787" t="s">
        <v>64</v>
      </c>
      <c r="B787" t="s">
        <v>267</v>
      </c>
      <c r="C787" t="s">
        <v>91</v>
      </c>
      <c r="D787" t="s">
        <v>143</v>
      </c>
      <c r="E787" s="2">
        <v>42012</v>
      </c>
      <c r="F787" t="s">
        <v>16</v>
      </c>
      <c r="G787" t="s">
        <v>66</v>
      </c>
      <c r="H787" t="s">
        <v>258</v>
      </c>
      <c r="I787" s="3">
        <v>0.20833333333333334</v>
      </c>
      <c r="J787" s="8" t="s">
        <v>448</v>
      </c>
      <c r="K787" s="8" t="s">
        <v>443</v>
      </c>
      <c r="L787" s="8" t="str">
        <f>IF(Table1346[[#This Row],[Home Team Score]]&gt;Table1346[[#This Row],[Away Team Score]],"Win",IF(Table1346[[#This Row],[Home Team Score]]=Table1346[[#This Row],[Away Team Score]],"Tie","Lose"))</f>
        <v>Win</v>
      </c>
      <c r="M787" t="s">
        <v>275</v>
      </c>
      <c r="N787">
        <v>45</v>
      </c>
      <c r="O787" s="3">
        <v>0.125</v>
      </c>
      <c r="P787" t="s">
        <v>83</v>
      </c>
      <c r="R787" t="e">
        <f>IF([1]!Table13[[#This Row],[Goal_assist]]="",1,0)</f>
        <v>#REF!</v>
      </c>
    </row>
    <row r="788" spans="1:18" x14ac:dyDescent="0.35">
      <c r="A788" t="s">
        <v>64</v>
      </c>
      <c r="B788" t="s">
        <v>267</v>
      </c>
      <c r="C788" t="s">
        <v>65</v>
      </c>
      <c r="D788">
        <v>18</v>
      </c>
      <c r="E788" s="2">
        <v>42015</v>
      </c>
      <c r="F788" t="s">
        <v>16</v>
      </c>
      <c r="G788" t="s">
        <v>66</v>
      </c>
      <c r="H788" t="s">
        <v>119</v>
      </c>
      <c r="I788" s="3">
        <v>0.12569444444444444</v>
      </c>
      <c r="J788" s="8" t="s">
        <v>442</v>
      </c>
      <c r="K788" s="8" t="s">
        <v>444</v>
      </c>
      <c r="L788" s="8" t="str">
        <f>IF(Table1346[[#This Row],[Home Team Score]]&gt;Table1346[[#This Row],[Away Team Score]],"Win",IF(Table1346[[#This Row],[Home Team Score]]=Table1346[[#This Row],[Away Team Score]],"Tie","Lose"))</f>
        <v>Win</v>
      </c>
      <c r="M788" t="s">
        <v>38</v>
      </c>
      <c r="N788">
        <v>87</v>
      </c>
      <c r="O788" s="3">
        <v>0.12569444444444444</v>
      </c>
      <c r="P788" t="s">
        <v>31</v>
      </c>
      <c r="R788" t="e">
        <f>IF([1]!Table13[[#This Row],[Goal_assist]]="",1,0)</f>
        <v>#REF!</v>
      </c>
    </row>
    <row r="789" spans="1:18" x14ac:dyDescent="0.35">
      <c r="A789" t="s">
        <v>14</v>
      </c>
      <c r="B789" t="s">
        <v>267</v>
      </c>
      <c r="C789" t="s">
        <v>91</v>
      </c>
      <c r="D789" t="s">
        <v>143</v>
      </c>
      <c r="E789" s="2">
        <v>42019</v>
      </c>
      <c r="F789" t="s">
        <v>16</v>
      </c>
      <c r="G789" t="s">
        <v>112</v>
      </c>
      <c r="H789" t="s">
        <v>119</v>
      </c>
      <c r="I789" s="3">
        <v>8.4722222222222227E-2</v>
      </c>
      <c r="J789" s="8" t="s">
        <v>445</v>
      </c>
      <c r="K789" s="8" t="s">
        <v>445</v>
      </c>
      <c r="L789" s="8" t="str">
        <f>IF(Table1346[[#This Row],[Home Team Score]]&gt;Table1346[[#This Row],[Away Team Score]],"Win",IF(Table1346[[#This Row],[Home Team Score]]=Table1346[[#This Row],[Away Team Score]],"Tie","Lose"))</f>
        <v>Tie</v>
      </c>
      <c r="M789" t="s">
        <v>68</v>
      </c>
      <c r="N789">
        <v>54</v>
      </c>
      <c r="O789" s="3">
        <v>8.4722222222222227E-2</v>
      </c>
      <c r="P789" t="s">
        <v>22</v>
      </c>
      <c r="Q789" t="s">
        <v>261</v>
      </c>
      <c r="R789" t="e">
        <f>IF([1]!Table13[[#This Row],[Goal_assist]]="",1,0)</f>
        <v>#REF!</v>
      </c>
    </row>
    <row r="790" spans="1:18" x14ac:dyDescent="0.35">
      <c r="A790" t="s">
        <v>14</v>
      </c>
      <c r="B790" t="s">
        <v>267</v>
      </c>
      <c r="C790" t="s">
        <v>65</v>
      </c>
      <c r="D790">
        <v>19</v>
      </c>
      <c r="E790" s="2">
        <v>42022</v>
      </c>
      <c r="F790" t="s">
        <v>24</v>
      </c>
      <c r="G790" t="s">
        <v>112</v>
      </c>
      <c r="H790" t="s">
        <v>117</v>
      </c>
      <c r="I790" s="3">
        <v>2.0833333333333333E-3</v>
      </c>
      <c r="J790" s="8" t="s">
        <v>443</v>
      </c>
      <c r="K790" s="8" t="s">
        <v>442</v>
      </c>
      <c r="L790" s="8" t="str">
        <f>IF(Table1346[[#This Row],[Home Team Score]]&gt;Table1346[[#This Row],[Away Team Score]],"Win",IF(Table1346[[#This Row],[Home Team Score]]=Table1346[[#This Row],[Away Team Score]],"Tie","Lose"))</f>
        <v>Lose</v>
      </c>
      <c r="M790" t="s">
        <v>19</v>
      </c>
      <c r="N790">
        <v>63</v>
      </c>
      <c r="O790" s="3">
        <v>6.9444444444444447E-4</v>
      </c>
      <c r="P790" t="s">
        <v>31</v>
      </c>
      <c r="Q790" t="s">
        <v>183</v>
      </c>
      <c r="R790" t="e">
        <f>IF([1]!Table13[[#This Row],[Goal_assist]]="",1,0)</f>
        <v>#REF!</v>
      </c>
    </row>
    <row r="791" spans="1:18" x14ac:dyDescent="0.35">
      <c r="A791" t="s">
        <v>14</v>
      </c>
      <c r="B791" t="s">
        <v>267</v>
      </c>
      <c r="C791" t="s">
        <v>65</v>
      </c>
      <c r="D791">
        <v>19</v>
      </c>
      <c r="E791" s="2">
        <v>42022</v>
      </c>
      <c r="F791" t="s">
        <v>24</v>
      </c>
      <c r="G791" t="s">
        <v>112</v>
      </c>
      <c r="H791" t="s">
        <v>117</v>
      </c>
      <c r="I791" s="3">
        <v>2.0833333333333333E-3</v>
      </c>
      <c r="J791" s="8" t="s">
        <v>443</v>
      </c>
      <c r="K791" s="8" t="s">
        <v>442</v>
      </c>
      <c r="L791" s="8" t="str">
        <f>IF(Table1346[[#This Row],[Home Team Score]]&gt;Table1346[[#This Row],[Away Team Score]],"Win",IF(Table1346[[#This Row],[Home Team Score]]=Table1346[[#This Row],[Away Team Score]],"Tie","Lose"))</f>
        <v>Lose</v>
      </c>
      <c r="M791" t="s">
        <v>19</v>
      </c>
      <c r="N791">
        <v>79</v>
      </c>
      <c r="O791" s="3">
        <v>2.0833333333333333E-3</v>
      </c>
      <c r="P791" t="s">
        <v>22</v>
      </c>
      <c r="Q791" t="s">
        <v>268</v>
      </c>
      <c r="R791" t="e">
        <f>IF([1]!Table13[[#This Row],[Goal_assist]]="",1,0)</f>
        <v>#REF!</v>
      </c>
    </row>
    <row r="792" spans="1:18" x14ac:dyDescent="0.35">
      <c r="A792" t="s">
        <v>64</v>
      </c>
      <c r="B792" t="s">
        <v>267</v>
      </c>
      <c r="C792" t="s">
        <v>65</v>
      </c>
      <c r="D792">
        <v>19</v>
      </c>
      <c r="E792" s="2">
        <v>42022</v>
      </c>
      <c r="F792" t="s">
        <v>24</v>
      </c>
      <c r="G792" t="s">
        <v>66</v>
      </c>
      <c r="H792" t="s">
        <v>115</v>
      </c>
      <c r="I792" s="3">
        <v>2.7777777777777779E-3</v>
      </c>
      <c r="J792" s="8" t="s">
        <v>443</v>
      </c>
      <c r="K792" s="8" t="s">
        <v>446</v>
      </c>
      <c r="L792" s="8" t="str">
        <f>IF(Table1346[[#This Row],[Home Team Score]]&gt;Table1346[[#This Row],[Away Team Score]],"Win",IF(Table1346[[#This Row],[Home Team Score]]=Table1346[[#This Row],[Away Team Score]],"Tie","Lose"))</f>
        <v>Lose</v>
      </c>
      <c r="M792" t="s">
        <v>38</v>
      </c>
      <c r="N792">
        <v>11</v>
      </c>
      <c r="O792" s="3">
        <v>6.9444444444444447E-4</v>
      </c>
      <c r="P792" t="s">
        <v>22</v>
      </c>
      <c r="Q792" t="s">
        <v>276</v>
      </c>
      <c r="R792" t="e">
        <f>IF([1]!Table13[[#This Row],[Goal_assist]]="",1,0)</f>
        <v>#REF!</v>
      </c>
    </row>
    <row r="793" spans="1:18" x14ac:dyDescent="0.35">
      <c r="A793" t="s">
        <v>64</v>
      </c>
      <c r="B793" t="s">
        <v>267</v>
      </c>
      <c r="C793" t="s">
        <v>65</v>
      </c>
      <c r="D793">
        <v>19</v>
      </c>
      <c r="E793" s="2">
        <v>42022</v>
      </c>
      <c r="F793" t="s">
        <v>24</v>
      </c>
      <c r="G793" t="s">
        <v>66</v>
      </c>
      <c r="H793" t="s">
        <v>115</v>
      </c>
      <c r="I793" s="3">
        <v>2.7777777777777779E-3</v>
      </c>
      <c r="J793" s="8" t="s">
        <v>443</v>
      </c>
      <c r="K793" s="8" t="s">
        <v>446</v>
      </c>
      <c r="L793" s="8" t="str">
        <f>IF(Table1346[[#This Row],[Home Team Score]]&gt;Table1346[[#This Row],[Away Team Score]],"Win",IF(Table1346[[#This Row],[Home Team Score]]=Table1346[[#This Row],[Away Team Score]],"Tie","Lose"))</f>
        <v>Lose</v>
      </c>
      <c r="M793" t="s">
        <v>38</v>
      </c>
      <c r="N793">
        <v>33</v>
      </c>
      <c r="O793" s="3">
        <v>1.3888888888888889E-3</v>
      </c>
      <c r="P793" t="s">
        <v>31</v>
      </c>
      <c r="Q793" t="s">
        <v>273</v>
      </c>
      <c r="R793" t="e">
        <f>IF([1]!Table13[[#This Row],[Goal_assist]]="",1,0)</f>
        <v>#REF!</v>
      </c>
    </row>
    <row r="794" spans="1:18" x14ac:dyDescent="0.35">
      <c r="A794" t="s">
        <v>64</v>
      </c>
      <c r="B794" t="s">
        <v>267</v>
      </c>
      <c r="C794" t="s">
        <v>65</v>
      </c>
      <c r="D794">
        <v>19</v>
      </c>
      <c r="E794" s="2">
        <v>42022</v>
      </c>
      <c r="F794" t="s">
        <v>24</v>
      </c>
      <c r="G794" t="s">
        <v>66</v>
      </c>
      <c r="H794" t="s">
        <v>115</v>
      </c>
      <c r="I794" s="3">
        <v>2.7777777777777779E-3</v>
      </c>
      <c r="J794" s="8" t="s">
        <v>443</v>
      </c>
      <c r="K794" s="8" t="s">
        <v>446</v>
      </c>
      <c r="L794" s="8" t="str">
        <f>IF(Table1346[[#This Row],[Home Team Score]]&gt;Table1346[[#This Row],[Away Team Score]],"Win",IF(Table1346[[#This Row],[Home Team Score]]=Table1346[[#This Row],[Away Team Score]],"Tie","Lose"))</f>
        <v>Lose</v>
      </c>
      <c r="M794" t="s">
        <v>38</v>
      </c>
      <c r="N794">
        <v>62</v>
      </c>
      <c r="O794" s="3">
        <v>2.0833333333333333E-3</v>
      </c>
      <c r="P794" t="s">
        <v>31</v>
      </c>
      <c r="Q794" t="s">
        <v>276</v>
      </c>
      <c r="R794" t="e">
        <f>IF([1]!Table13[[#This Row],[Goal_assist]]="",1,0)</f>
        <v>#REF!</v>
      </c>
    </row>
    <row r="795" spans="1:18" x14ac:dyDescent="0.35">
      <c r="A795" t="s">
        <v>64</v>
      </c>
      <c r="B795" t="s">
        <v>267</v>
      </c>
      <c r="C795" t="s">
        <v>91</v>
      </c>
      <c r="D795" t="s">
        <v>92</v>
      </c>
      <c r="E795" s="2">
        <v>42025</v>
      </c>
      <c r="F795" t="s">
        <v>16</v>
      </c>
      <c r="G795" t="s">
        <v>66</v>
      </c>
      <c r="H795" t="s">
        <v>119</v>
      </c>
      <c r="I795" s="3">
        <v>4.1666666666666664E-2</v>
      </c>
      <c r="J795" s="8" t="s">
        <v>444</v>
      </c>
      <c r="K795" s="8" t="s">
        <v>443</v>
      </c>
      <c r="L795" s="8" t="str">
        <f>IF(Table1346[[#This Row],[Home Team Score]]&gt;Table1346[[#This Row],[Away Team Score]],"Win",IF(Table1346[[#This Row],[Home Team Score]]=Table1346[[#This Row],[Away Team Score]],"Tie","Lose"))</f>
        <v>Win</v>
      </c>
      <c r="M795" t="s">
        <v>275</v>
      </c>
      <c r="N795">
        <v>85</v>
      </c>
      <c r="O795" s="3">
        <v>4.1666666666666664E-2</v>
      </c>
      <c r="P795" t="s">
        <v>107</v>
      </c>
      <c r="R795" t="e">
        <f>IF([1]!Table13[[#This Row],[Goal_assist]]="",1,0)</f>
        <v>#REF!</v>
      </c>
    </row>
    <row r="796" spans="1:18" x14ac:dyDescent="0.35">
      <c r="A796" t="s">
        <v>64</v>
      </c>
      <c r="B796" t="s">
        <v>267</v>
      </c>
      <c r="C796" t="s">
        <v>65</v>
      </c>
      <c r="D796">
        <v>20</v>
      </c>
      <c r="E796" s="2">
        <v>42028</v>
      </c>
      <c r="F796" t="s">
        <v>24</v>
      </c>
      <c r="G796" t="s">
        <v>66</v>
      </c>
      <c r="H796" t="s">
        <v>258</v>
      </c>
      <c r="I796" s="3">
        <v>4.1666666666666666E-3</v>
      </c>
      <c r="J796" s="8" t="s">
        <v>443</v>
      </c>
      <c r="K796" s="8" t="s">
        <v>450</v>
      </c>
      <c r="L796" s="8" t="str">
        <f>IF(Table1346[[#This Row],[Home Team Score]]&gt;Table1346[[#This Row],[Away Team Score]],"Win",IF(Table1346[[#This Row],[Home Team Score]]=Table1346[[#This Row],[Away Team Score]],"Tie","Lose"))</f>
        <v>Lose</v>
      </c>
      <c r="M796" t="s">
        <v>68</v>
      </c>
      <c r="N796">
        <v>88</v>
      </c>
      <c r="O796" s="3">
        <v>3.472222222222222E-3</v>
      </c>
      <c r="P796" t="s">
        <v>31</v>
      </c>
      <c r="Q796" t="s">
        <v>271</v>
      </c>
      <c r="R796" t="e">
        <f>IF([1]!Table13[[#This Row],[Goal_assist]]="",1,0)</f>
        <v>#REF!</v>
      </c>
    </row>
    <row r="797" spans="1:18" x14ac:dyDescent="0.35">
      <c r="A797" t="s">
        <v>64</v>
      </c>
      <c r="B797" t="s">
        <v>267</v>
      </c>
      <c r="C797" t="s">
        <v>65</v>
      </c>
      <c r="D797">
        <v>20</v>
      </c>
      <c r="E797" s="2">
        <v>42028</v>
      </c>
      <c r="F797" t="s">
        <v>24</v>
      </c>
      <c r="G797" t="s">
        <v>66</v>
      </c>
      <c r="H797" t="s">
        <v>258</v>
      </c>
      <c r="I797" s="3">
        <v>4.1666666666666666E-3</v>
      </c>
      <c r="J797" s="8" t="s">
        <v>443</v>
      </c>
      <c r="K797" s="8" t="s">
        <v>450</v>
      </c>
      <c r="L797" s="8" t="str">
        <f>IF(Table1346[[#This Row],[Home Team Score]]&gt;Table1346[[#This Row],[Away Team Score]],"Win",IF(Table1346[[#This Row],[Home Team Score]]=Table1346[[#This Row],[Away Team Score]],"Tie","Lose"))</f>
        <v>Lose</v>
      </c>
      <c r="M797" t="s">
        <v>68</v>
      </c>
      <c r="N797">
        <v>55</v>
      </c>
      <c r="O797" s="3">
        <v>1.3888888888888889E-3</v>
      </c>
      <c r="P797" t="s">
        <v>83</v>
      </c>
      <c r="R797" t="e">
        <f>IF([1]!Table13[[#This Row],[Goal_assist]]="",1,0)</f>
        <v>#REF!</v>
      </c>
    </row>
    <row r="798" spans="1:18" x14ac:dyDescent="0.35">
      <c r="A798" t="s">
        <v>64</v>
      </c>
      <c r="B798" t="s">
        <v>267</v>
      </c>
      <c r="C798" t="s">
        <v>65</v>
      </c>
      <c r="D798">
        <v>21</v>
      </c>
      <c r="E798" s="2">
        <v>42036</v>
      </c>
      <c r="F798" t="s">
        <v>16</v>
      </c>
      <c r="G798" t="s">
        <v>66</v>
      </c>
      <c r="H798" t="s">
        <v>180</v>
      </c>
      <c r="I798" s="3">
        <v>0.12638888888888888</v>
      </c>
      <c r="J798" s="8" t="s">
        <v>442</v>
      </c>
      <c r="K798" s="8" t="s">
        <v>445</v>
      </c>
      <c r="L798" s="8" t="str">
        <f>IF(Table1346[[#This Row],[Home Team Score]]&gt;Table1346[[#This Row],[Away Team Score]],"Win",IF(Table1346[[#This Row],[Home Team Score]]=Table1346[[#This Row],[Away Team Score]],"Tie","Lose"))</f>
        <v>Win</v>
      </c>
      <c r="M798" t="s">
        <v>38</v>
      </c>
      <c r="N798">
        <v>55</v>
      </c>
      <c r="O798" s="3">
        <v>0.12638888888888888</v>
      </c>
      <c r="P798" t="s">
        <v>26</v>
      </c>
      <c r="Q798" t="s">
        <v>273</v>
      </c>
      <c r="R798" t="e">
        <f>IF([1]!Table13[[#This Row],[Goal_assist]]="",1,0)</f>
        <v>#REF!</v>
      </c>
    </row>
    <row r="799" spans="1:18" x14ac:dyDescent="0.35">
      <c r="A799" t="s">
        <v>64</v>
      </c>
      <c r="B799" t="s">
        <v>267</v>
      </c>
      <c r="C799" t="s">
        <v>65</v>
      </c>
      <c r="D799">
        <v>22</v>
      </c>
      <c r="E799" s="2">
        <v>42043</v>
      </c>
      <c r="F799" t="s">
        <v>24</v>
      </c>
      <c r="G799" t="s">
        <v>66</v>
      </c>
      <c r="H799" t="s">
        <v>86</v>
      </c>
      <c r="I799" s="3">
        <v>8.6805555555555552E-2</v>
      </c>
      <c r="J799" s="8" t="s">
        <v>445</v>
      </c>
      <c r="K799" s="8" t="s">
        <v>448</v>
      </c>
      <c r="L799" s="8" t="str">
        <f>IF(Table1346[[#This Row],[Home Team Score]]&gt;Table1346[[#This Row],[Away Team Score]],"Win",IF(Table1346[[#This Row],[Home Team Score]]=Table1346[[#This Row],[Away Team Score]],"Tie","Lose"))</f>
        <v>Lose</v>
      </c>
      <c r="M799" t="s">
        <v>38</v>
      </c>
      <c r="N799">
        <v>15</v>
      </c>
      <c r="O799" s="3">
        <v>6.9444444444444447E-4</v>
      </c>
      <c r="P799" t="s">
        <v>39</v>
      </c>
      <c r="R799" t="e">
        <f>IF([1]!Table13[[#This Row],[Goal_assist]]="",1,0)</f>
        <v>#REF!</v>
      </c>
    </row>
    <row r="800" spans="1:18" x14ac:dyDescent="0.35">
      <c r="A800" t="s">
        <v>64</v>
      </c>
      <c r="B800" t="s">
        <v>267</v>
      </c>
      <c r="C800" t="s">
        <v>91</v>
      </c>
      <c r="D800" t="s">
        <v>62</v>
      </c>
      <c r="E800" s="2">
        <v>42046</v>
      </c>
      <c r="F800" t="s">
        <v>16</v>
      </c>
      <c r="G800" t="s">
        <v>66</v>
      </c>
      <c r="H800" t="s">
        <v>180</v>
      </c>
      <c r="I800" s="3">
        <v>0.12569444444444444</v>
      </c>
      <c r="J800" s="8" t="s">
        <v>442</v>
      </c>
      <c r="K800" s="8" t="s">
        <v>444</v>
      </c>
      <c r="L800" s="8" t="str">
        <f>IF(Table1346[[#This Row],[Home Team Score]]&gt;Table1346[[#This Row],[Away Team Score]],"Win",IF(Table1346[[#This Row],[Home Team Score]]=Table1346[[#This Row],[Away Team Score]],"Tie","Lose"))</f>
        <v>Win</v>
      </c>
      <c r="M800" t="s">
        <v>38</v>
      </c>
      <c r="N800">
        <v>41</v>
      </c>
      <c r="O800" s="3">
        <v>4.1666666666666664E-2</v>
      </c>
      <c r="P800" t="s">
        <v>31</v>
      </c>
      <c r="Q800" t="s">
        <v>273</v>
      </c>
      <c r="R800" t="e">
        <f>IF([1]!Table13[[#This Row],[Goal_assist]]="",1,0)</f>
        <v>#REF!</v>
      </c>
    </row>
    <row r="801" spans="1:18" x14ac:dyDescent="0.35">
      <c r="A801" t="s">
        <v>64</v>
      </c>
      <c r="B801" t="s">
        <v>267</v>
      </c>
      <c r="C801" t="s">
        <v>65</v>
      </c>
      <c r="D801">
        <v>23</v>
      </c>
      <c r="E801" s="2">
        <v>42050</v>
      </c>
      <c r="F801" t="s">
        <v>16</v>
      </c>
      <c r="G801" t="s">
        <v>66</v>
      </c>
      <c r="H801" t="s">
        <v>127</v>
      </c>
      <c r="I801" s="3">
        <v>0.20833333333333334</v>
      </c>
      <c r="J801" s="8" t="s">
        <v>448</v>
      </c>
      <c r="K801" s="8" t="s">
        <v>443</v>
      </c>
      <c r="L801" s="8" t="str">
        <f>IF(Table1346[[#This Row],[Home Team Score]]&gt;Table1346[[#This Row],[Away Team Score]],"Win",IF(Table1346[[#This Row],[Home Team Score]]=Table1346[[#This Row],[Away Team Score]],"Tie","Lose"))</f>
        <v>Win</v>
      </c>
      <c r="M801" t="s">
        <v>68</v>
      </c>
      <c r="N801">
        <v>38</v>
      </c>
      <c r="O801" s="3">
        <v>8.3333333333333329E-2</v>
      </c>
      <c r="P801" t="s">
        <v>26</v>
      </c>
      <c r="Q801" t="s">
        <v>271</v>
      </c>
      <c r="R801" t="e">
        <f>IF([1]!Table13[[#This Row],[Goal_assist]]="",1,0)</f>
        <v>#REF!</v>
      </c>
    </row>
    <row r="802" spans="1:18" x14ac:dyDescent="0.35">
      <c r="A802" t="s">
        <v>64</v>
      </c>
      <c r="B802" t="s">
        <v>267</v>
      </c>
      <c r="C802" t="s">
        <v>65</v>
      </c>
      <c r="D802">
        <v>23</v>
      </c>
      <c r="E802" s="2">
        <v>42050</v>
      </c>
      <c r="F802" t="s">
        <v>16</v>
      </c>
      <c r="G802" t="s">
        <v>66</v>
      </c>
      <c r="H802" t="s">
        <v>127</v>
      </c>
      <c r="I802" s="3">
        <v>0.20833333333333334</v>
      </c>
      <c r="J802" s="8" t="s">
        <v>448</v>
      </c>
      <c r="K802" s="8" t="s">
        <v>443</v>
      </c>
      <c r="L802" s="8" t="str">
        <f>IF(Table1346[[#This Row],[Home Team Score]]&gt;Table1346[[#This Row],[Away Team Score]],"Win",IF(Table1346[[#This Row],[Home Team Score]]=Table1346[[#This Row],[Away Team Score]],"Tie","Lose"))</f>
        <v>Win</v>
      </c>
      <c r="M802" t="s">
        <v>68</v>
      </c>
      <c r="N802">
        <v>59</v>
      </c>
      <c r="O802" s="3">
        <v>0.125</v>
      </c>
      <c r="P802" t="s">
        <v>26</v>
      </c>
      <c r="Q802" t="s">
        <v>186</v>
      </c>
      <c r="R802" t="e">
        <f>IF([1]!Table13[[#This Row],[Goal_assist]]="",1,0)</f>
        <v>#REF!</v>
      </c>
    </row>
    <row r="803" spans="1:18" x14ac:dyDescent="0.35">
      <c r="A803" t="s">
        <v>64</v>
      </c>
      <c r="B803" t="s">
        <v>267</v>
      </c>
      <c r="C803" t="s">
        <v>65</v>
      </c>
      <c r="D803">
        <v>23</v>
      </c>
      <c r="E803" s="2">
        <v>42050</v>
      </c>
      <c r="F803" t="s">
        <v>16</v>
      </c>
      <c r="G803" t="s">
        <v>66</v>
      </c>
      <c r="H803" t="s">
        <v>127</v>
      </c>
      <c r="I803" s="3">
        <v>0.20833333333333334</v>
      </c>
      <c r="J803" s="8" t="s">
        <v>448</v>
      </c>
      <c r="K803" s="8" t="s">
        <v>443</v>
      </c>
      <c r="L803" s="8" t="str">
        <f>IF(Table1346[[#This Row],[Home Team Score]]&gt;Table1346[[#This Row],[Away Team Score]],"Win",IF(Table1346[[#This Row],[Home Team Score]]=Table1346[[#This Row],[Away Team Score]],"Tie","Lose"))</f>
        <v>Win</v>
      </c>
      <c r="M803" t="s">
        <v>68</v>
      </c>
      <c r="N803">
        <v>65</v>
      </c>
      <c r="O803" s="3">
        <v>0.16666666666666666</v>
      </c>
      <c r="P803" t="s">
        <v>83</v>
      </c>
      <c r="R803" t="e">
        <f>IF([1]!Table13[[#This Row],[Goal_assist]]="",1,0)</f>
        <v>#REF!</v>
      </c>
    </row>
    <row r="804" spans="1:18" x14ac:dyDescent="0.35">
      <c r="A804" t="s">
        <v>14</v>
      </c>
      <c r="B804" t="s">
        <v>267</v>
      </c>
      <c r="C804" t="s">
        <v>75</v>
      </c>
      <c r="D804" t="s">
        <v>143</v>
      </c>
      <c r="E804" s="2">
        <v>42053</v>
      </c>
      <c r="F804" t="s">
        <v>24</v>
      </c>
      <c r="G804" t="s">
        <v>112</v>
      </c>
      <c r="H804" t="s">
        <v>264</v>
      </c>
      <c r="I804" s="3">
        <v>1.3888888888888889E-3</v>
      </c>
      <c r="J804" s="8" t="s">
        <v>443</v>
      </c>
      <c r="K804" s="8" t="s">
        <v>445</v>
      </c>
      <c r="L804" s="8" t="str">
        <f>IF(Table1346[[#This Row],[Home Team Score]]&gt;Table1346[[#This Row],[Away Team Score]],"Win",IF(Table1346[[#This Row],[Home Team Score]]=Table1346[[#This Row],[Away Team Score]],"Tie","Lose"))</f>
        <v>Lose</v>
      </c>
      <c r="M804" t="s">
        <v>19</v>
      </c>
      <c r="N804">
        <v>26</v>
      </c>
      <c r="O804" s="3">
        <v>6.9444444444444447E-4</v>
      </c>
      <c r="P804" t="s">
        <v>22</v>
      </c>
      <c r="Q804" t="s">
        <v>262</v>
      </c>
      <c r="R804" t="e">
        <f>IF([1]!Table13[[#This Row],[Goal_assist]]="",1,0)</f>
        <v>#REF!</v>
      </c>
    </row>
    <row r="805" spans="1:18" x14ac:dyDescent="0.35">
      <c r="A805" t="s">
        <v>14</v>
      </c>
      <c r="B805" t="s">
        <v>267</v>
      </c>
      <c r="C805" t="s">
        <v>65</v>
      </c>
      <c r="D805">
        <v>24</v>
      </c>
      <c r="E805" s="2">
        <v>42057</v>
      </c>
      <c r="F805" t="s">
        <v>24</v>
      </c>
      <c r="G805" t="s">
        <v>112</v>
      </c>
      <c r="H805" t="s">
        <v>258</v>
      </c>
      <c r="I805" s="3">
        <v>1.3888888888888889E-3</v>
      </c>
      <c r="J805" s="8" t="s">
        <v>443</v>
      </c>
      <c r="K805" s="8" t="s">
        <v>445</v>
      </c>
      <c r="L805" s="8" t="str">
        <f>IF(Table1346[[#This Row],[Home Team Score]]&gt;Table1346[[#This Row],[Away Team Score]],"Win",IF(Table1346[[#This Row],[Home Team Score]]=Table1346[[#This Row],[Away Team Score]],"Tie","Lose"))</f>
        <v>Lose</v>
      </c>
      <c r="M805" t="s">
        <v>68</v>
      </c>
      <c r="N805">
        <v>69</v>
      </c>
      <c r="O805" s="3">
        <v>1.3888888888888889E-3</v>
      </c>
      <c r="P805" t="s">
        <v>22</v>
      </c>
      <c r="Q805" t="s">
        <v>257</v>
      </c>
      <c r="R805" t="e">
        <f>IF([1]!Table13[[#This Row],[Goal_assist]]="",1,0)</f>
        <v>#REF!</v>
      </c>
    </row>
    <row r="806" spans="1:18" x14ac:dyDescent="0.35">
      <c r="A806" t="s">
        <v>64</v>
      </c>
      <c r="B806" t="s">
        <v>267</v>
      </c>
      <c r="C806" t="s">
        <v>65</v>
      </c>
      <c r="D806">
        <v>25</v>
      </c>
      <c r="E806" s="2">
        <v>42063</v>
      </c>
      <c r="F806" t="s">
        <v>24</v>
      </c>
      <c r="G806" t="s">
        <v>66</v>
      </c>
      <c r="H806" t="s">
        <v>233</v>
      </c>
      <c r="I806" s="3">
        <v>4.3749999999999997E-2</v>
      </c>
      <c r="J806" s="8" t="s">
        <v>444</v>
      </c>
      <c r="K806" s="8" t="s">
        <v>442</v>
      </c>
      <c r="L806" s="8" t="str">
        <f>IF(Table1346[[#This Row],[Home Team Score]]&gt;Table1346[[#This Row],[Away Team Score]],"Win",IF(Table1346[[#This Row],[Home Team Score]]=Table1346[[#This Row],[Away Team Score]],"Tie","Lose"))</f>
        <v>Lose</v>
      </c>
      <c r="M806" t="s">
        <v>38</v>
      </c>
      <c r="N806">
        <v>70</v>
      </c>
      <c r="O806" s="3">
        <v>4.3749999999999997E-2</v>
      </c>
      <c r="P806" t="s">
        <v>26</v>
      </c>
      <c r="Q806" t="s">
        <v>273</v>
      </c>
      <c r="R806" t="e">
        <f>IF([1]!Table13[[#This Row],[Goal_assist]]="",1,0)</f>
        <v>#REF!</v>
      </c>
    </row>
    <row r="807" spans="1:18" x14ac:dyDescent="0.35">
      <c r="A807" t="s">
        <v>14</v>
      </c>
      <c r="B807" t="s">
        <v>267</v>
      </c>
      <c r="C807" t="s">
        <v>65</v>
      </c>
      <c r="D807">
        <v>25</v>
      </c>
      <c r="E807" s="2">
        <v>42064</v>
      </c>
      <c r="F807" t="s">
        <v>16</v>
      </c>
      <c r="G807" t="s">
        <v>112</v>
      </c>
      <c r="H807" t="s">
        <v>180</v>
      </c>
      <c r="I807" s="3">
        <v>4.2361111111111113E-2</v>
      </c>
      <c r="J807" s="8" t="s">
        <v>444</v>
      </c>
      <c r="K807" s="8" t="s">
        <v>444</v>
      </c>
      <c r="L807" s="8" t="str">
        <f>IF(Table1346[[#This Row],[Home Team Score]]&gt;Table1346[[#This Row],[Away Team Score]],"Win",IF(Table1346[[#This Row],[Home Team Score]]=Table1346[[#This Row],[Away Team Score]],"Tie","Lose"))</f>
        <v>Tie</v>
      </c>
      <c r="M807" t="s">
        <v>68</v>
      </c>
      <c r="N807">
        <v>52</v>
      </c>
      <c r="O807" s="3">
        <v>4.1666666666666664E-2</v>
      </c>
      <c r="P807" t="s">
        <v>83</v>
      </c>
      <c r="R807" t="e">
        <f>IF([1]!Table13[[#This Row],[Goal_assist]]="",1,0)</f>
        <v>#REF!</v>
      </c>
    </row>
    <row r="808" spans="1:18" x14ac:dyDescent="0.35">
      <c r="A808" t="s">
        <v>64</v>
      </c>
      <c r="B808" t="s">
        <v>267</v>
      </c>
      <c r="C808" t="s">
        <v>65</v>
      </c>
      <c r="D808">
        <v>26</v>
      </c>
      <c r="E808" s="2">
        <v>42071</v>
      </c>
      <c r="F808" t="s">
        <v>16</v>
      </c>
      <c r="G808" t="s">
        <v>66</v>
      </c>
      <c r="H808" t="s">
        <v>225</v>
      </c>
      <c r="I808" s="3">
        <v>0.25069444444444444</v>
      </c>
      <c r="J808" s="8" t="s">
        <v>450</v>
      </c>
      <c r="K808" s="8" t="s">
        <v>444</v>
      </c>
      <c r="L808" s="8" t="str">
        <f>IF(Table1346[[#This Row],[Home Team Score]]&gt;Table1346[[#This Row],[Away Team Score]],"Win",IF(Table1346[[#This Row],[Home Team Score]]=Table1346[[#This Row],[Away Team Score]],"Tie","Lose"))</f>
        <v>Win</v>
      </c>
      <c r="M808" t="s">
        <v>38</v>
      </c>
      <c r="N808">
        <v>56</v>
      </c>
      <c r="O808" s="3">
        <v>0.125</v>
      </c>
      <c r="P808" t="s">
        <v>83</v>
      </c>
      <c r="R808" t="e">
        <f>IF([1]!Table13[[#This Row],[Goal_assist]]="",1,0)</f>
        <v>#REF!</v>
      </c>
    </row>
    <row r="809" spans="1:18" x14ac:dyDescent="0.35">
      <c r="A809" t="s">
        <v>64</v>
      </c>
      <c r="B809" t="s">
        <v>267</v>
      </c>
      <c r="C809" t="s">
        <v>65</v>
      </c>
      <c r="D809">
        <v>26</v>
      </c>
      <c r="E809" s="2">
        <v>42071</v>
      </c>
      <c r="F809" t="s">
        <v>16</v>
      </c>
      <c r="G809" t="s">
        <v>66</v>
      </c>
      <c r="H809" t="s">
        <v>225</v>
      </c>
      <c r="I809" s="3">
        <v>0.25069444444444444</v>
      </c>
      <c r="J809" s="8" t="s">
        <v>450</v>
      </c>
      <c r="K809" s="8" t="s">
        <v>444</v>
      </c>
      <c r="L809" s="8" t="str">
        <f>IF(Table1346[[#This Row],[Home Team Score]]&gt;Table1346[[#This Row],[Away Team Score]],"Win",IF(Table1346[[#This Row],[Home Team Score]]=Table1346[[#This Row],[Away Team Score]],"Tie","Lose"))</f>
        <v>Win</v>
      </c>
      <c r="M809" t="s">
        <v>38</v>
      </c>
      <c r="N809">
        <v>68</v>
      </c>
      <c r="O809" s="3">
        <v>0.20833333333333334</v>
      </c>
      <c r="P809" t="s">
        <v>31</v>
      </c>
      <c r="Q809" t="s">
        <v>186</v>
      </c>
      <c r="R809" t="e">
        <f>IF([1]!Table13[[#This Row],[Goal_assist]]="",1,0)</f>
        <v>#REF!</v>
      </c>
    </row>
    <row r="810" spans="1:18" x14ac:dyDescent="0.35">
      <c r="A810" t="s">
        <v>64</v>
      </c>
      <c r="B810" t="s">
        <v>267</v>
      </c>
      <c r="C810" t="s">
        <v>65</v>
      </c>
      <c r="D810">
        <v>26</v>
      </c>
      <c r="E810" s="2">
        <v>42071</v>
      </c>
      <c r="F810" t="s">
        <v>16</v>
      </c>
      <c r="G810" t="s">
        <v>66</v>
      </c>
      <c r="H810" t="s">
        <v>225</v>
      </c>
      <c r="I810" s="3">
        <v>0.25069444444444444</v>
      </c>
      <c r="J810" s="8" t="s">
        <v>450</v>
      </c>
      <c r="K810" s="8" t="s">
        <v>444</v>
      </c>
      <c r="L810" s="8" t="str">
        <f>IF(Table1346[[#This Row],[Home Team Score]]&gt;Table1346[[#This Row],[Away Team Score]],"Win",IF(Table1346[[#This Row],[Home Team Score]]=Table1346[[#This Row],[Away Team Score]],"Tie","Lose"))</f>
        <v>Win</v>
      </c>
      <c r="M810" t="s">
        <v>38</v>
      </c>
      <c r="N810">
        <v>63</v>
      </c>
      <c r="O810" s="3">
        <v>0.16666666666666666</v>
      </c>
      <c r="P810" t="s">
        <v>55</v>
      </c>
      <c r="R810" t="e">
        <f>IF([1]!Table13[[#This Row],[Goal_assist]]="",1,0)</f>
        <v>#REF!</v>
      </c>
    </row>
    <row r="811" spans="1:18" x14ac:dyDescent="0.35">
      <c r="A811" t="s">
        <v>14</v>
      </c>
      <c r="B811" t="s">
        <v>267</v>
      </c>
      <c r="C811" t="s">
        <v>75</v>
      </c>
      <c r="D811" t="s">
        <v>143</v>
      </c>
      <c r="E811" s="2">
        <v>42073</v>
      </c>
      <c r="F811" t="s">
        <v>16</v>
      </c>
      <c r="G811" t="s">
        <v>112</v>
      </c>
      <c r="H811" t="s">
        <v>264</v>
      </c>
      <c r="I811" s="3">
        <v>0.12777777777777777</v>
      </c>
      <c r="J811" s="8" t="s">
        <v>442</v>
      </c>
      <c r="K811" s="8" t="s">
        <v>446</v>
      </c>
      <c r="L811" s="8" t="str">
        <f>IF(Table1346[[#This Row],[Home Team Score]]&gt;Table1346[[#This Row],[Away Team Score]],"Win",IF(Table1346[[#This Row],[Home Team Score]]=Table1346[[#This Row],[Away Team Score]],"Tie","Lose"))</f>
        <v>Lose</v>
      </c>
      <c r="M811" t="s">
        <v>68</v>
      </c>
      <c r="N811">
        <v>45</v>
      </c>
      <c r="O811" s="3">
        <v>8.4722222222222227E-2</v>
      </c>
      <c r="P811" t="s">
        <v>22</v>
      </c>
      <c r="Q811" t="s">
        <v>235</v>
      </c>
      <c r="R811" t="e">
        <f>IF([1]!Table13[[#This Row],[Goal_assist]]="",1,0)</f>
        <v>#REF!</v>
      </c>
    </row>
    <row r="812" spans="1:18" x14ac:dyDescent="0.35">
      <c r="A812" t="s">
        <v>14</v>
      </c>
      <c r="B812" t="s">
        <v>267</v>
      </c>
      <c r="C812" t="s">
        <v>75</v>
      </c>
      <c r="D812" t="s">
        <v>143</v>
      </c>
      <c r="E812" s="2">
        <v>42073</v>
      </c>
      <c r="F812" t="s">
        <v>16</v>
      </c>
      <c r="G812" t="s">
        <v>112</v>
      </c>
      <c r="H812" t="s">
        <v>264</v>
      </c>
      <c r="I812" s="3">
        <v>0.12777777777777777</v>
      </c>
      <c r="J812" s="8" t="s">
        <v>442</v>
      </c>
      <c r="K812" s="8" t="s">
        <v>446</v>
      </c>
      <c r="L812" s="8" t="str">
        <f>IF(Table1346[[#This Row],[Home Team Score]]&gt;Table1346[[#This Row],[Away Team Score]],"Win",IF(Table1346[[#This Row],[Home Team Score]]=Table1346[[#This Row],[Away Team Score]],"Tie","Lose"))</f>
        <v>Lose</v>
      </c>
      <c r="M812" t="s">
        <v>68</v>
      </c>
      <c r="N812">
        <v>25</v>
      </c>
      <c r="O812" s="3">
        <v>4.2361111111111113E-2</v>
      </c>
      <c r="P812" t="s">
        <v>22</v>
      </c>
      <c r="Q812" t="s">
        <v>277</v>
      </c>
      <c r="R812" t="e">
        <f>IF([1]!Table13[[#This Row],[Goal_assist]]="",1,0)</f>
        <v>#REF!</v>
      </c>
    </row>
    <row r="813" spans="1:18" x14ac:dyDescent="0.35">
      <c r="A813" t="s">
        <v>64</v>
      </c>
      <c r="B813" t="s">
        <v>267</v>
      </c>
      <c r="C813" t="s">
        <v>65</v>
      </c>
      <c r="D813">
        <v>27</v>
      </c>
      <c r="E813" s="2">
        <v>42077</v>
      </c>
      <c r="F813" t="s">
        <v>24</v>
      </c>
      <c r="G813" t="s">
        <v>66</v>
      </c>
      <c r="H813" t="s">
        <v>270</v>
      </c>
      <c r="I813" s="3">
        <v>1.3888888888888889E-3</v>
      </c>
      <c r="J813" s="8" t="s">
        <v>443</v>
      </c>
      <c r="K813" s="8" t="s">
        <v>445</v>
      </c>
      <c r="L813" s="8" t="str">
        <f>IF(Table1346[[#This Row],[Home Team Score]]&gt;Table1346[[#This Row],[Away Team Score]],"Win",IF(Table1346[[#This Row],[Home Team Score]]=Table1346[[#This Row],[Away Team Score]],"Tie","Lose"))</f>
        <v>Lose</v>
      </c>
      <c r="M813" t="s">
        <v>275</v>
      </c>
      <c r="N813">
        <v>55</v>
      </c>
      <c r="O813" s="3">
        <v>1.3888888888888889E-3</v>
      </c>
      <c r="P813" t="s">
        <v>22</v>
      </c>
      <c r="Q813" t="s">
        <v>276</v>
      </c>
      <c r="R813" t="e">
        <f>IF([1]!Table13[[#This Row],[Goal_assist]]="",1,0)</f>
        <v>#REF!</v>
      </c>
    </row>
    <row r="814" spans="1:18" x14ac:dyDescent="0.35">
      <c r="A814" t="s">
        <v>64</v>
      </c>
      <c r="B814" t="s">
        <v>267</v>
      </c>
      <c r="C814" t="s">
        <v>65</v>
      </c>
      <c r="D814">
        <v>27</v>
      </c>
      <c r="E814" s="2">
        <v>42077</v>
      </c>
      <c r="F814" t="s">
        <v>24</v>
      </c>
      <c r="G814" t="s">
        <v>66</v>
      </c>
      <c r="H814" t="s">
        <v>270</v>
      </c>
      <c r="I814" s="3">
        <v>1.3888888888888889E-3</v>
      </c>
      <c r="J814" s="8" t="s">
        <v>443</v>
      </c>
      <c r="K814" s="8" t="s">
        <v>445</v>
      </c>
      <c r="L814" s="8" t="str">
        <f>IF(Table1346[[#This Row],[Home Team Score]]&gt;Table1346[[#This Row],[Away Team Score]],"Win",IF(Table1346[[#This Row],[Home Team Score]]=Table1346[[#This Row],[Away Team Score]],"Tie","Lose"))</f>
        <v>Lose</v>
      </c>
      <c r="M814" t="s">
        <v>275</v>
      </c>
      <c r="N814">
        <v>31</v>
      </c>
      <c r="O814" s="3">
        <v>6.9444444444444447E-4</v>
      </c>
      <c r="P814" t="s">
        <v>83</v>
      </c>
      <c r="R814" t="e">
        <f>IF([1]!Table13[[#This Row],[Goal_assist]]="",1,0)</f>
        <v>#REF!</v>
      </c>
    </row>
    <row r="815" spans="1:18" x14ac:dyDescent="0.35">
      <c r="A815" t="s">
        <v>14</v>
      </c>
      <c r="B815" t="s">
        <v>267</v>
      </c>
      <c r="C815" t="s">
        <v>65</v>
      </c>
      <c r="D815">
        <v>28</v>
      </c>
      <c r="E815" s="2">
        <v>42085</v>
      </c>
      <c r="F815" t="s">
        <v>24</v>
      </c>
      <c r="G815" t="s">
        <v>112</v>
      </c>
      <c r="H815" t="s">
        <v>66</v>
      </c>
      <c r="I815" s="3">
        <v>8.4027777777777785E-2</v>
      </c>
      <c r="J815" s="8" t="s">
        <v>445</v>
      </c>
      <c r="K815" s="8" t="s">
        <v>444</v>
      </c>
      <c r="L815" s="8" t="str">
        <f>IF(Table1346[[#This Row],[Home Team Score]]&gt;Table1346[[#This Row],[Away Team Score]],"Win",IF(Table1346[[#This Row],[Home Team Score]]=Table1346[[#This Row],[Away Team Score]],"Tie","Lose"))</f>
        <v>Win</v>
      </c>
      <c r="M815" t="s">
        <v>19</v>
      </c>
      <c r="N815">
        <v>31</v>
      </c>
      <c r="O815" s="3">
        <v>4.2361111111111113E-2</v>
      </c>
      <c r="P815" t="s">
        <v>26</v>
      </c>
      <c r="Q815" t="s">
        <v>183</v>
      </c>
      <c r="R815" t="e">
        <f>IF([1]!Table13[[#This Row],[Goal_assist]]="",1,0)</f>
        <v>#REF!</v>
      </c>
    </row>
    <row r="816" spans="1:18" x14ac:dyDescent="0.35">
      <c r="A816" t="s">
        <v>14</v>
      </c>
      <c r="B816" t="s">
        <v>267</v>
      </c>
      <c r="C816" t="s">
        <v>65</v>
      </c>
      <c r="D816">
        <v>29</v>
      </c>
      <c r="E816" s="2">
        <v>42099</v>
      </c>
      <c r="F816" t="s">
        <v>16</v>
      </c>
      <c r="G816" t="s">
        <v>112</v>
      </c>
      <c r="H816" t="s">
        <v>233</v>
      </c>
      <c r="I816" s="3">
        <v>0.37569444444444444</v>
      </c>
      <c r="J816" s="8" t="s">
        <v>451</v>
      </c>
      <c r="K816" s="8" t="s">
        <v>444</v>
      </c>
      <c r="L816" s="8" t="str">
        <f>IF(Table1346[[#This Row],[Home Team Score]]&gt;Table1346[[#This Row],[Away Team Score]],"Win",IF(Table1346[[#This Row],[Home Team Score]]=Table1346[[#This Row],[Away Team Score]],"Tie","Lose"))</f>
        <v>Win</v>
      </c>
      <c r="M816" t="s">
        <v>68</v>
      </c>
      <c r="N816">
        <v>38</v>
      </c>
      <c r="O816" s="3">
        <v>0.16666666666666666</v>
      </c>
      <c r="P816" t="s">
        <v>170</v>
      </c>
      <c r="Q816" t="s">
        <v>261</v>
      </c>
      <c r="R816" t="e">
        <f>IF([1]!Table13[[#This Row],[Goal_assist]]="",1,0)</f>
        <v>#REF!</v>
      </c>
    </row>
    <row r="817" spans="1:18" x14ac:dyDescent="0.35">
      <c r="A817" t="s">
        <v>14</v>
      </c>
      <c r="B817" t="s">
        <v>267</v>
      </c>
      <c r="C817" t="s">
        <v>65</v>
      </c>
      <c r="D817">
        <v>29</v>
      </c>
      <c r="E817" s="2">
        <v>42099</v>
      </c>
      <c r="F817" t="s">
        <v>16</v>
      </c>
      <c r="G817" t="s">
        <v>112</v>
      </c>
      <c r="H817" t="s">
        <v>233</v>
      </c>
      <c r="I817" s="3">
        <v>0.37569444444444444</v>
      </c>
      <c r="J817" s="8" t="s">
        <v>451</v>
      </c>
      <c r="K817" s="8" t="s">
        <v>444</v>
      </c>
      <c r="L817" s="8" t="str">
        <f>IF(Table1346[[#This Row],[Home Team Score]]&gt;Table1346[[#This Row],[Away Team Score]],"Win",IF(Table1346[[#This Row],[Home Team Score]]=Table1346[[#This Row],[Away Team Score]],"Tie","Lose"))</f>
        <v>Win</v>
      </c>
      <c r="M817" t="s">
        <v>68</v>
      </c>
      <c r="N817">
        <v>90</v>
      </c>
      <c r="O817" s="3">
        <v>0.37569444444444444</v>
      </c>
      <c r="P817" t="s">
        <v>22</v>
      </c>
      <c r="Q817" t="s">
        <v>250</v>
      </c>
      <c r="R817" t="e">
        <f>IF([1]!Table13[[#This Row],[Goal_assist]]="",1,0)</f>
        <v>#REF!</v>
      </c>
    </row>
    <row r="818" spans="1:18" x14ac:dyDescent="0.35">
      <c r="A818" t="s">
        <v>14</v>
      </c>
      <c r="B818" t="s">
        <v>267</v>
      </c>
      <c r="C818" t="s">
        <v>65</v>
      </c>
      <c r="D818">
        <v>29</v>
      </c>
      <c r="E818" s="2">
        <v>42099</v>
      </c>
      <c r="F818" t="s">
        <v>16</v>
      </c>
      <c r="G818" t="s">
        <v>112</v>
      </c>
      <c r="H818" t="s">
        <v>233</v>
      </c>
      <c r="I818" s="3">
        <v>0.37569444444444444</v>
      </c>
      <c r="J818" s="8" t="s">
        <v>451</v>
      </c>
      <c r="K818" s="8" t="s">
        <v>444</v>
      </c>
      <c r="L818" s="8" t="str">
        <f>IF(Table1346[[#This Row],[Home Team Score]]&gt;Table1346[[#This Row],[Away Team Score]],"Win",IF(Table1346[[#This Row],[Home Team Score]]=Table1346[[#This Row],[Away Team Score]],"Tie","Lose"))</f>
        <v>Win</v>
      </c>
      <c r="M818" t="s">
        <v>68</v>
      </c>
      <c r="N818">
        <v>30</v>
      </c>
      <c r="O818" s="3">
        <v>8.3333333333333329E-2</v>
      </c>
      <c r="P818" t="s">
        <v>26</v>
      </c>
      <c r="Q818" t="s">
        <v>268</v>
      </c>
      <c r="R818" t="e">
        <f>IF([1]!Table13[[#This Row],[Goal_assist]]="",1,0)</f>
        <v>#REF!</v>
      </c>
    </row>
    <row r="819" spans="1:18" x14ac:dyDescent="0.35">
      <c r="A819" t="s">
        <v>14</v>
      </c>
      <c r="B819" t="s">
        <v>267</v>
      </c>
      <c r="C819" t="s">
        <v>65</v>
      </c>
      <c r="D819">
        <v>29</v>
      </c>
      <c r="E819" s="2">
        <v>42099</v>
      </c>
      <c r="F819" t="s">
        <v>16</v>
      </c>
      <c r="G819" t="s">
        <v>112</v>
      </c>
      <c r="H819" t="s">
        <v>233</v>
      </c>
      <c r="I819" s="3">
        <v>0.37569444444444444</v>
      </c>
      <c r="J819" s="8" t="s">
        <v>451</v>
      </c>
      <c r="K819" s="8" t="s">
        <v>444</v>
      </c>
      <c r="L819" s="8" t="str">
        <f>IF(Table1346[[#This Row],[Home Team Score]]&gt;Table1346[[#This Row],[Away Team Score]],"Win",IF(Table1346[[#This Row],[Home Team Score]]=Table1346[[#This Row],[Away Team Score]],"Tie","Lose"))</f>
        <v>Win</v>
      </c>
      <c r="M819" t="s">
        <v>68</v>
      </c>
      <c r="N819">
        <v>36</v>
      </c>
      <c r="O819" s="3">
        <v>0.125</v>
      </c>
      <c r="P819" t="s">
        <v>26</v>
      </c>
      <c r="R819" t="e">
        <f>IF([1]!Table13[[#This Row],[Goal_assist]]="",1,0)</f>
        <v>#REF!</v>
      </c>
    </row>
    <row r="820" spans="1:18" x14ac:dyDescent="0.35">
      <c r="A820" t="s">
        <v>14</v>
      </c>
      <c r="B820" t="s">
        <v>267</v>
      </c>
      <c r="C820" t="s">
        <v>65</v>
      </c>
      <c r="D820">
        <v>29</v>
      </c>
      <c r="E820" s="2">
        <v>42099</v>
      </c>
      <c r="F820" t="s">
        <v>16</v>
      </c>
      <c r="G820" t="s">
        <v>112</v>
      </c>
      <c r="H820" t="s">
        <v>233</v>
      </c>
      <c r="I820" s="3">
        <v>0.37569444444444444</v>
      </c>
      <c r="J820" s="8" t="s">
        <v>451</v>
      </c>
      <c r="K820" s="8" t="s">
        <v>444</v>
      </c>
      <c r="L820" s="8" t="str">
        <f>IF(Table1346[[#This Row],[Home Team Score]]&gt;Table1346[[#This Row],[Away Team Score]],"Win",IF(Table1346[[#This Row],[Home Team Score]]=Table1346[[#This Row],[Away Team Score]],"Tie","Lose"))</f>
        <v>Win</v>
      </c>
      <c r="M820" t="s">
        <v>68</v>
      </c>
      <c r="N820">
        <v>54</v>
      </c>
      <c r="O820" s="3">
        <v>0.25</v>
      </c>
      <c r="P820" t="s">
        <v>22</v>
      </c>
      <c r="Q820" t="s">
        <v>261</v>
      </c>
      <c r="R820" t="e">
        <f>IF([1]!Table13[[#This Row],[Goal_assist]]="",1,0)</f>
        <v>#REF!</v>
      </c>
    </row>
    <row r="821" spans="1:18" x14ac:dyDescent="0.35">
      <c r="A821" t="s">
        <v>14</v>
      </c>
      <c r="B821" t="s">
        <v>267</v>
      </c>
      <c r="C821" t="s">
        <v>65</v>
      </c>
      <c r="D821">
        <v>30</v>
      </c>
      <c r="E821" s="2">
        <v>42102</v>
      </c>
      <c r="F821" t="s">
        <v>24</v>
      </c>
      <c r="G821" t="s">
        <v>112</v>
      </c>
      <c r="H821" t="s">
        <v>225</v>
      </c>
      <c r="I821" s="3">
        <v>1.3888888888888889E-3</v>
      </c>
      <c r="J821" s="8" t="s">
        <v>443</v>
      </c>
      <c r="K821" s="8" t="s">
        <v>445</v>
      </c>
      <c r="L821" s="8" t="str">
        <f>IF(Table1346[[#This Row],[Home Team Score]]&gt;Table1346[[#This Row],[Away Team Score]],"Win",IF(Table1346[[#This Row],[Home Team Score]]=Table1346[[#This Row],[Away Team Score]],"Tie","Lose"))</f>
        <v>Lose</v>
      </c>
      <c r="M821" t="s">
        <v>19</v>
      </c>
      <c r="N821">
        <v>68</v>
      </c>
      <c r="O821" s="3">
        <v>6.9444444444444447E-4</v>
      </c>
      <c r="P821" t="s">
        <v>22</v>
      </c>
      <c r="Q821" t="s">
        <v>262</v>
      </c>
      <c r="R821" t="e">
        <f>IF([1]!Table13[[#This Row],[Goal_assist]]="",1,0)</f>
        <v>#REF!</v>
      </c>
    </row>
    <row r="822" spans="1:18" x14ac:dyDescent="0.35">
      <c r="A822" t="s">
        <v>64</v>
      </c>
      <c r="B822" t="s">
        <v>267</v>
      </c>
      <c r="C822" t="s">
        <v>65</v>
      </c>
      <c r="D822">
        <v>30</v>
      </c>
      <c r="E822" s="2">
        <v>42102</v>
      </c>
      <c r="F822" t="s">
        <v>16</v>
      </c>
      <c r="G822" t="s">
        <v>66</v>
      </c>
      <c r="H822" t="s">
        <v>131</v>
      </c>
      <c r="I822" s="3">
        <v>0.16666666666666666</v>
      </c>
      <c r="J822" s="8" t="s">
        <v>446</v>
      </c>
      <c r="K822" s="8" t="s">
        <v>443</v>
      </c>
      <c r="L822" s="8" t="str">
        <f>IF(Table1346[[#This Row],[Home Team Score]]&gt;Table1346[[#This Row],[Away Team Score]],"Win",IF(Table1346[[#This Row],[Home Team Score]]=Table1346[[#This Row],[Away Team Score]],"Tie","Lose"))</f>
        <v>Win</v>
      </c>
      <c r="M822" t="s">
        <v>38</v>
      </c>
      <c r="N822">
        <v>33</v>
      </c>
      <c r="O822" s="3">
        <v>4.1666666666666664E-2</v>
      </c>
      <c r="P822" t="s">
        <v>31</v>
      </c>
      <c r="Q822" t="s">
        <v>271</v>
      </c>
      <c r="R822" t="e">
        <f>IF([1]!Table13[[#This Row],[Goal_assist]]="",1,0)</f>
        <v>#REF!</v>
      </c>
    </row>
    <row r="823" spans="1:18" x14ac:dyDescent="0.35">
      <c r="A823" t="s">
        <v>64</v>
      </c>
      <c r="B823" t="s">
        <v>267</v>
      </c>
      <c r="C823" t="s">
        <v>65</v>
      </c>
      <c r="D823">
        <v>31</v>
      </c>
      <c r="E823" s="2">
        <v>42105</v>
      </c>
      <c r="F823" t="s">
        <v>24</v>
      </c>
      <c r="G823" t="s">
        <v>66</v>
      </c>
      <c r="H823" t="s">
        <v>105</v>
      </c>
      <c r="I823" s="3">
        <v>8.4722222222222227E-2</v>
      </c>
      <c r="J823" s="8" t="s">
        <v>445</v>
      </c>
      <c r="K823" s="8" t="s">
        <v>445</v>
      </c>
      <c r="L823" s="8" t="str">
        <f>IF(Table1346[[#This Row],[Home Team Score]]&gt;Table1346[[#This Row],[Away Team Score]],"Win",IF(Table1346[[#This Row],[Home Team Score]]=Table1346[[#This Row],[Away Team Score]],"Tie","Lose"))</f>
        <v>Tie</v>
      </c>
      <c r="M823" t="s">
        <v>38</v>
      </c>
      <c r="N823">
        <v>15</v>
      </c>
      <c r="O823" s="3">
        <v>6.9444444444444447E-4</v>
      </c>
      <c r="P823" t="s">
        <v>31</v>
      </c>
      <c r="Q823" t="s">
        <v>256</v>
      </c>
      <c r="R823" t="e">
        <f>IF([1]!Table13[[#This Row],[Goal_assist]]="",1,0)</f>
        <v>#REF!</v>
      </c>
    </row>
    <row r="824" spans="1:18" x14ac:dyDescent="0.35">
      <c r="A824" t="s">
        <v>14</v>
      </c>
      <c r="B824" t="s">
        <v>267</v>
      </c>
      <c r="C824" t="s">
        <v>65</v>
      </c>
      <c r="D824">
        <v>31</v>
      </c>
      <c r="E824" s="2">
        <v>42105</v>
      </c>
      <c r="F824" t="s">
        <v>16</v>
      </c>
      <c r="G824" t="s">
        <v>112</v>
      </c>
      <c r="H824" t="s">
        <v>270</v>
      </c>
      <c r="I824" s="3">
        <v>0.125</v>
      </c>
      <c r="J824" s="8" t="s">
        <v>442</v>
      </c>
      <c r="K824" s="8" t="s">
        <v>443</v>
      </c>
      <c r="L824" s="8" t="str">
        <f>IF(Table1346[[#This Row],[Home Team Score]]&gt;Table1346[[#This Row],[Away Team Score]],"Win",IF(Table1346[[#This Row],[Home Team Score]]=Table1346[[#This Row],[Away Team Score]],"Tie","Lose"))</f>
        <v>Win</v>
      </c>
      <c r="M824" t="s">
        <v>19</v>
      </c>
      <c r="N824">
        <v>21</v>
      </c>
      <c r="O824" s="3">
        <v>4.1666666666666664E-2</v>
      </c>
      <c r="P824" t="s">
        <v>39</v>
      </c>
      <c r="R824" t="e">
        <f>IF([1]!Table13[[#This Row],[Goal_assist]]="",1,0)</f>
        <v>#REF!</v>
      </c>
    </row>
    <row r="825" spans="1:18" x14ac:dyDescent="0.35">
      <c r="A825" t="s">
        <v>64</v>
      </c>
      <c r="B825" t="s">
        <v>267</v>
      </c>
      <c r="C825" t="s">
        <v>65</v>
      </c>
      <c r="D825">
        <v>32</v>
      </c>
      <c r="E825" s="2">
        <v>42112</v>
      </c>
      <c r="F825" t="s">
        <v>16</v>
      </c>
      <c r="G825" t="s">
        <v>66</v>
      </c>
      <c r="H825" t="s">
        <v>148</v>
      </c>
      <c r="I825" s="3">
        <v>8.3333333333333329E-2</v>
      </c>
      <c r="J825" s="8" t="s">
        <v>445</v>
      </c>
      <c r="K825" s="8" t="s">
        <v>443</v>
      </c>
      <c r="L825" s="8" t="str">
        <f>IF(Table1346[[#This Row],[Home Team Score]]&gt;Table1346[[#This Row],[Away Team Score]],"Win",IF(Table1346[[#This Row],[Home Team Score]]=Table1346[[#This Row],[Away Team Score]],"Tie","Lose"))</f>
        <v>Win</v>
      </c>
      <c r="M825" t="s">
        <v>38</v>
      </c>
      <c r="N825" t="s">
        <v>239</v>
      </c>
      <c r="O825" s="3">
        <v>8.3333333333333329E-2</v>
      </c>
      <c r="P825" t="s">
        <v>31</v>
      </c>
      <c r="R825" t="e">
        <f>IF([1]!Table13[[#This Row],[Goal_assist]]="",1,0)</f>
        <v>#REF!</v>
      </c>
    </row>
    <row r="826" spans="1:18" x14ac:dyDescent="0.35">
      <c r="A826" t="s">
        <v>14</v>
      </c>
      <c r="B826" t="s">
        <v>267</v>
      </c>
      <c r="C826" t="s">
        <v>65</v>
      </c>
      <c r="D826">
        <v>32</v>
      </c>
      <c r="E826" s="2">
        <v>42112</v>
      </c>
      <c r="F826" t="s">
        <v>16</v>
      </c>
      <c r="G826" t="s">
        <v>112</v>
      </c>
      <c r="H826" t="s">
        <v>157</v>
      </c>
      <c r="I826" s="3">
        <v>0.12569444444444444</v>
      </c>
      <c r="J826" s="8" t="s">
        <v>442</v>
      </c>
      <c r="K826" s="8" t="s">
        <v>444</v>
      </c>
      <c r="L826" s="8" t="str">
        <f>IF(Table1346[[#This Row],[Home Team Score]]&gt;Table1346[[#This Row],[Away Team Score]],"Win",IF(Table1346[[#This Row],[Home Team Score]]=Table1346[[#This Row],[Away Team Score]],"Tie","Lose"))</f>
        <v>Win</v>
      </c>
      <c r="M826" t="s">
        <v>68</v>
      </c>
      <c r="N826" t="s">
        <v>141</v>
      </c>
      <c r="O826" s="3">
        <v>0.12569444444444444</v>
      </c>
      <c r="P826" t="s">
        <v>31</v>
      </c>
      <c r="Q826" t="s">
        <v>278</v>
      </c>
      <c r="R826" t="e">
        <f>IF([1]!Table13[[#This Row],[Goal_assist]]="",1,0)</f>
        <v>#REF!</v>
      </c>
    </row>
    <row r="827" spans="1:18" x14ac:dyDescent="0.35">
      <c r="A827" t="s">
        <v>64</v>
      </c>
      <c r="B827" t="s">
        <v>267</v>
      </c>
      <c r="C827" t="s">
        <v>65</v>
      </c>
      <c r="D827">
        <v>33</v>
      </c>
      <c r="E827" s="2">
        <v>42119</v>
      </c>
      <c r="F827" t="s">
        <v>24</v>
      </c>
      <c r="G827" t="s">
        <v>66</v>
      </c>
      <c r="H827" t="s">
        <v>121</v>
      </c>
      <c r="I827" s="3">
        <v>1.3888888888888889E-3</v>
      </c>
      <c r="J827" s="8" t="s">
        <v>443</v>
      </c>
      <c r="K827" s="8" t="s">
        <v>445</v>
      </c>
      <c r="L827" s="8" t="str">
        <f>IF(Table1346[[#This Row],[Home Team Score]]&gt;Table1346[[#This Row],[Away Team Score]],"Win",IF(Table1346[[#This Row],[Home Team Score]]=Table1346[[#This Row],[Away Team Score]],"Tie","Lose"))</f>
        <v>Lose</v>
      </c>
      <c r="M827" t="s">
        <v>38</v>
      </c>
      <c r="N827">
        <v>25</v>
      </c>
      <c r="O827" s="3">
        <v>1.3888888888888889E-3</v>
      </c>
      <c r="P827" t="s">
        <v>31</v>
      </c>
      <c r="Q827" t="s">
        <v>273</v>
      </c>
      <c r="R827" t="e">
        <f>IF([1]!Table13[[#This Row],[Goal_assist]]="",1,0)</f>
        <v>#REF!</v>
      </c>
    </row>
    <row r="828" spans="1:18" x14ac:dyDescent="0.35">
      <c r="A828" t="s">
        <v>64</v>
      </c>
      <c r="B828" t="s">
        <v>267</v>
      </c>
      <c r="C828" t="s">
        <v>65</v>
      </c>
      <c r="D828">
        <v>34</v>
      </c>
      <c r="E828" s="2">
        <v>42122</v>
      </c>
      <c r="F828" t="s">
        <v>16</v>
      </c>
      <c r="G828" t="s">
        <v>66</v>
      </c>
      <c r="H828" t="s">
        <v>117</v>
      </c>
      <c r="I828" s="3">
        <v>0.25</v>
      </c>
      <c r="J828" s="8" t="s">
        <v>450</v>
      </c>
      <c r="K828" s="8" t="s">
        <v>443</v>
      </c>
      <c r="L828" s="8" t="str">
        <f>IF(Table1346[[#This Row],[Home Team Score]]&gt;Table1346[[#This Row],[Away Team Score]],"Win",IF(Table1346[[#This Row],[Home Team Score]]=Table1346[[#This Row],[Away Team Score]],"Tie","Lose"))</f>
        <v>Win</v>
      </c>
      <c r="M828" t="s">
        <v>38</v>
      </c>
      <c r="N828">
        <v>47</v>
      </c>
      <c r="O828" s="3">
        <v>0.25</v>
      </c>
      <c r="P828" t="s">
        <v>31</v>
      </c>
      <c r="Q828" t="s">
        <v>273</v>
      </c>
      <c r="R828" t="e">
        <f>IF([1]!Table13[[#This Row],[Goal_assist]]="",1,0)</f>
        <v>#REF!</v>
      </c>
    </row>
    <row r="829" spans="1:18" x14ac:dyDescent="0.35">
      <c r="A829" t="s">
        <v>64</v>
      </c>
      <c r="B829" t="s">
        <v>267</v>
      </c>
      <c r="C829" t="s">
        <v>65</v>
      </c>
      <c r="D829">
        <v>34</v>
      </c>
      <c r="E829" s="2">
        <v>42122</v>
      </c>
      <c r="F829" t="s">
        <v>16</v>
      </c>
      <c r="G829" t="s">
        <v>66</v>
      </c>
      <c r="H829" t="s">
        <v>117</v>
      </c>
      <c r="I829" s="3">
        <v>0.25</v>
      </c>
      <c r="J829" s="8" t="s">
        <v>450</v>
      </c>
      <c r="K829" s="8" t="s">
        <v>443</v>
      </c>
      <c r="L829" s="8" t="str">
        <f>IF(Table1346[[#This Row],[Home Team Score]]&gt;Table1346[[#This Row],[Away Team Score]],"Win",IF(Table1346[[#This Row],[Home Team Score]]=Table1346[[#This Row],[Away Team Score]],"Tie","Lose"))</f>
        <v>Win</v>
      </c>
      <c r="M829" t="s">
        <v>38</v>
      </c>
      <c r="N829">
        <v>9</v>
      </c>
      <c r="O829" s="3">
        <v>4.1666666666666664E-2</v>
      </c>
      <c r="P829" t="s">
        <v>83</v>
      </c>
      <c r="R829" t="e">
        <f>IF([1]!Table13[[#This Row],[Goal_assist]]="",1,0)</f>
        <v>#REF!</v>
      </c>
    </row>
    <row r="830" spans="1:18" x14ac:dyDescent="0.35">
      <c r="A830" t="s">
        <v>14</v>
      </c>
      <c r="B830" t="s">
        <v>267</v>
      </c>
      <c r="C830" t="s">
        <v>65</v>
      </c>
      <c r="D830">
        <v>35</v>
      </c>
      <c r="E830" s="2">
        <v>42126</v>
      </c>
      <c r="F830" t="s">
        <v>24</v>
      </c>
      <c r="G830" t="s">
        <v>112</v>
      </c>
      <c r="H830" t="s">
        <v>105</v>
      </c>
      <c r="I830" s="3">
        <v>8.5416666666666669E-2</v>
      </c>
      <c r="J830" s="8" t="s">
        <v>445</v>
      </c>
      <c r="K830" s="8" t="s">
        <v>442</v>
      </c>
      <c r="L830" s="8" t="str">
        <f>IF(Table1346[[#This Row],[Home Team Score]]&gt;Table1346[[#This Row],[Away Team Score]],"Win",IF(Table1346[[#This Row],[Home Team Score]]=Table1346[[#This Row],[Away Team Score]],"Tie","Lose"))</f>
        <v>Lose</v>
      </c>
      <c r="M830" t="s">
        <v>68</v>
      </c>
      <c r="N830">
        <v>69</v>
      </c>
      <c r="O830" s="3">
        <v>4.3749999999999997E-2</v>
      </c>
      <c r="P830" t="s">
        <v>22</v>
      </c>
      <c r="Q830" t="s">
        <v>261</v>
      </c>
      <c r="R830" t="e">
        <f>IF([1]!Table13[[#This Row],[Goal_assist]]="",1,0)</f>
        <v>#REF!</v>
      </c>
    </row>
    <row r="831" spans="1:18" x14ac:dyDescent="0.35">
      <c r="A831" t="s">
        <v>14</v>
      </c>
      <c r="B831" t="s">
        <v>267</v>
      </c>
      <c r="C831" t="s">
        <v>65</v>
      </c>
      <c r="D831">
        <v>35</v>
      </c>
      <c r="E831" s="2">
        <v>42126</v>
      </c>
      <c r="F831" t="s">
        <v>24</v>
      </c>
      <c r="G831" t="s">
        <v>112</v>
      </c>
      <c r="H831" t="s">
        <v>105</v>
      </c>
      <c r="I831" s="3">
        <v>8.5416666666666669E-2</v>
      </c>
      <c r="J831" s="8" t="s">
        <v>445</v>
      </c>
      <c r="K831" s="8" t="s">
        <v>442</v>
      </c>
      <c r="L831" s="8" t="str">
        <f>IF(Table1346[[#This Row],[Home Team Score]]&gt;Table1346[[#This Row],[Away Team Score]],"Win",IF(Table1346[[#This Row],[Home Team Score]]=Table1346[[#This Row],[Away Team Score]],"Tie","Lose"))</f>
        <v>Lose</v>
      </c>
      <c r="M831" t="s">
        <v>68</v>
      </c>
      <c r="N831">
        <v>37</v>
      </c>
      <c r="O831" s="3">
        <v>1.3888888888888889E-3</v>
      </c>
      <c r="P831" t="s">
        <v>26</v>
      </c>
      <c r="Q831" t="s">
        <v>278</v>
      </c>
      <c r="R831" t="e">
        <f>IF([1]!Table13[[#This Row],[Goal_assist]]="",1,0)</f>
        <v>#REF!</v>
      </c>
    </row>
    <row r="832" spans="1:18" x14ac:dyDescent="0.35">
      <c r="A832" t="s">
        <v>64</v>
      </c>
      <c r="B832" t="s">
        <v>267</v>
      </c>
      <c r="C832" t="s">
        <v>65</v>
      </c>
      <c r="D832">
        <v>35</v>
      </c>
      <c r="E832" s="2">
        <v>42126</v>
      </c>
      <c r="F832" t="s">
        <v>24</v>
      </c>
      <c r="G832" t="s">
        <v>66</v>
      </c>
      <c r="H832" t="s">
        <v>248</v>
      </c>
      <c r="I832" s="3">
        <v>5.5555555555555558E-3</v>
      </c>
      <c r="J832" s="8" t="s">
        <v>443</v>
      </c>
      <c r="K832" s="8" t="s">
        <v>447</v>
      </c>
      <c r="L832" s="8" t="str">
        <f>IF(Table1346[[#This Row],[Home Team Score]]&gt;Table1346[[#This Row],[Away Team Score]],"Win",IF(Table1346[[#This Row],[Home Team Score]]=Table1346[[#This Row],[Away Team Score]],"Tie","Lose"))</f>
        <v>Lose</v>
      </c>
      <c r="M832" t="s">
        <v>38</v>
      </c>
      <c r="N832">
        <v>80</v>
      </c>
      <c r="O832" s="3">
        <v>4.1666666666666666E-3</v>
      </c>
      <c r="P832" t="s">
        <v>31</v>
      </c>
      <c r="Q832" t="s">
        <v>273</v>
      </c>
      <c r="R832" t="e">
        <f>IF([1]!Table13[[#This Row],[Goal_assist]]="",1,0)</f>
        <v>#REF!</v>
      </c>
    </row>
    <row r="833" spans="1:18" x14ac:dyDescent="0.35">
      <c r="A833" t="s">
        <v>64</v>
      </c>
      <c r="B833" t="s">
        <v>267</v>
      </c>
      <c r="C833" t="s">
        <v>65</v>
      </c>
      <c r="D833">
        <v>35</v>
      </c>
      <c r="E833" s="2">
        <v>42126</v>
      </c>
      <c r="F833" t="s">
        <v>24</v>
      </c>
      <c r="G833" t="s">
        <v>66</v>
      </c>
      <c r="H833" t="s">
        <v>248</v>
      </c>
      <c r="I833" s="3">
        <v>5.5555555555555558E-3</v>
      </c>
      <c r="J833" s="8" t="s">
        <v>443</v>
      </c>
      <c r="K833" s="8" t="s">
        <v>447</v>
      </c>
      <c r="L833" s="8" t="str">
        <f>IF(Table1346[[#This Row],[Home Team Score]]&gt;Table1346[[#This Row],[Away Team Score]],"Win",IF(Table1346[[#This Row],[Home Team Score]]=Table1346[[#This Row],[Away Team Score]],"Tie","Lose"))</f>
        <v>Lose</v>
      </c>
      <c r="M833" t="s">
        <v>38</v>
      </c>
      <c r="N833">
        <v>47</v>
      </c>
      <c r="O833" s="3">
        <v>2.0833333333333333E-3</v>
      </c>
      <c r="P833" t="s">
        <v>22</v>
      </c>
      <c r="Q833" t="s">
        <v>155</v>
      </c>
      <c r="R833" t="e">
        <f>IF([1]!Table13[[#This Row],[Goal_assist]]="",1,0)</f>
        <v>#REF!</v>
      </c>
    </row>
    <row r="834" spans="1:18" x14ac:dyDescent="0.35">
      <c r="A834" t="s">
        <v>14</v>
      </c>
      <c r="B834" t="s">
        <v>267</v>
      </c>
      <c r="C834" t="s">
        <v>65</v>
      </c>
      <c r="D834">
        <v>35</v>
      </c>
      <c r="E834" s="2">
        <v>42126</v>
      </c>
      <c r="F834" t="s">
        <v>24</v>
      </c>
      <c r="G834" t="s">
        <v>112</v>
      </c>
      <c r="H834" t="s">
        <v>105</v>
      </c>
      <c r="I834" s="3">
        <v>8.5416666666666669E-2</v>
      </c>
      <c r="J834" s="8" t="s">
        <v>445</v>
      </c>
      <c r="K834" s="8" t="s">
        <v>442</v>
      </c>
      <c r="L834" s="8" t="str">
        <f>IF(Table1346[[#This Row],[Home Team Score]]&gt;Table1346[[#This Row],[Away Team Score]],"Win",IF(Table1346[[#This Row],[Home Team Score]]=Table1346[[#This Row],[Away Team Score]],"Tie","Lose"))</f>
        <v>Lose</v>
      </c>
      <c r="M834" t="s">
        <v>68</v>
      </c>
      <c r="N834">
        <v>36</v>
      </c>
      <c r="O834" s="3">
        <v>6.9444444444444447E-4</v>
      </c>
      <c r="P834" t="s">
        <v>22</v>
      </c>
      <c r="Q834" t="s">
        <v>257</v>
      </c>
      <c r="R834" t="e">
        <f>IF([1]!Table13[[#This Row],[Goal_assist]]="",1,0)</f>
        <v>#REF!</v>
      </c>
    </row>
    <row r="835" spans="1:18" x14ac:dyDescent="0.35">
      <c r="A835" t="s">
        <v>14</v>
      </c>
      <c r="B835" t="s">
        <v>267</v>
      </c>
      <c r="C835" t="s">
        <v>75</v>
      </c>
      <c r="D835" t="s">
        <v>62</v>
      </c>
      <c r="E835" s="2">
        <v>42129</v>
      </c>
      <c r="F835" t="s">
        <v>24</v>
      </c>
      <c r="G835" t="s">
        <v>112</v>
      </c>
      <c r="H835" t="s">
        <v>260</v>
      </c>
      <c r="I835" s="3">
        <v>8.4027777777777785E-2</v>
      </c>
      <c r="J835" s="8" t="s">
        <v>445</v>
      </c>
      <c r="K835" s="8" t="s">
        <v>444</v>
      </c>
      <c r="L835" s="8" t="str">
        <f>IF(Table1346[[#This Row],[Home Team Score]]&gt;Table1346[[#This Row],[Away Team Score]],"Win",IF(Table1346[[#This Row],[Home Team Score]]=Table1346[[#This Row],[Away Team Score]],"Tie","Lose"))</f>
        <v>Win</v>
      </c>
      <c r="M835" t="s">
        <v>68</v>
      </c>
      <c r="N835">
        <v>27</v>
      </c>
      <c r="O835" s="3">
        <v>4.2361111111111113E-2</v>
      </c>
      <c r="P835" t="s">
        <v>22</v>
      </c>
      <c r="Q835" t="s">
        <v>268</v>
      </c>
      <c r="R835" t="e">
        <f>IF([1]!Table13[[#This Row],[Goal_assist]]="",1,0)</f>
        <v>#REF!</v>
      </c>
    </row>
    <row r="836" spans="1:18" x14ac:dyDescent="0.35">
      <c r="A836" t="s">
        <v>64</v>
      </c>
      <c r="B836" t="s">
        <v>267</v>
      </c>
      <c r="C836" t="s">
        <v>75</v>
      </c>
      <c r="D836" t="s">
        <v>62</v>
      </c>
      <c r="E836" s="2">
        <v>42130</v>
      </c>
      <c r="F836" t="s">
        <v>16</v>
      </c>
      <c r="G836" t="s">
        <v>66</v>
      </c>
      <c r="H836" t="s">
        <v>168</v>
      </c>
      <c r="I836" s="3">
        <v>0.125</v>
      </c>
      <c r="J836" s="8" t="s">
        <v>442</v>
      </c>
      <c r="K836" s="8" t="s">
        <v>443</v>
      </c>
      <c r="L836" s="8" t="str">
        <f>IF(Table1346[[#This Row],[Home Team Score]]&gt;Table1346[[#This Row],[Away Team Score]],"Win",IF(Table1346[[#This Row],[Home Team Score]]=Table1346[[#This Row],[Away Team Score]],"Tie","Lose"))</f>
        <v>Win</v>
      </c>
      <c r="M836" t="s">
        <v>38</v>
      </c>
      <c r="N836">
        <v>80</v>
      </c>
      <c r="O836" s="3">
        <v>8.3333333333333329E-2</v>
      </c>
      <c r="P836" t="s">
        <v>26</v>
      </c>
      <c r="Q836" t="s">
        <v>276</v>
      </c>
      <c r="R836" t="e">
        <f>IF([1]!Table13[[#This Row],[Goal_assist]]="",1,0)</f>
        <v>#REF!</v>
      </c>
    </row>
    <row r="837" spans="1:18" x14ac:dyDescent="0.35">
      <c r="A837" t="s">
        <v>64</v>
      </c>
      <c r="B837" t="s">
        <v>267</v>
      </c>
      <c r="C837" t="s">
        <v>75</v>
      </c>
      <c r="D837" t="s">
        <v>62</v>
      </c>
      <c r="E837" s="2">
        <v>42130</v>
      </c>
      <c r="F837" t="s">
        <v>16</v>
      </c>
      <c r="G837" t="s">
        <v>66</v>
      </c>
      <c r="H837" t="s">
        <v>168</v>
      </c>
      <c r="I837" s="3">
        <v>0.125</v>
      </c>
      <c r="J837" s="8" t="s">
        <v>442</v>
      </c>
      <c r="K837" s="8" t="s">
        <v>443</v>
      </c>
      <c r="L837" s="8" t="str">
        <f>IF(Table1346[[#This Row],[Home Team Score]]&gt;Table1346[[#This Row],[Away Team Score]],"Win",IF(Table1346[[#This Row],[Home Team Score]]=Table1346[[#This Row],[Away Team Score]],"Tie","Lose"))</f>
        <v>Win</v>
      </c>
      <c r="M837" t="s">
        <v>38</v>
      </c>
      <c r="N837">
        <v>77</v>
      </c>
      <c r="O837" s="3">
        <v>4.1666666666666664E-2</v>
      </c>
      <c r="P837" t="s">
        <v>31</v>
      </c>
      <c r="Q837" t="s">
        <v>155</v>
      </c>
      <c r="R837" t="e">
        <f>IF([1]!Table13[[#This Row],[Goal_assist]]="",1,0)</f>
        <v>#REF!</v>
      </c>
    </row>
    <row r="838" spans="1:18" x14ac:dyDescent="0.35">
      <c r="A838" t="s">
        <v>14</v>
      </c>
      <c r="B838" t="s">
        <v>267</v>
      </c>
      <c r="C838" t="s">
        <v>75</v>
      </c>
      <c r="D838" t="s">
        <v>62</v>
      </c>
      <c r="E838" s="2">
        <v>42137</v>
      </c>
      <c r="F838" t="s">
        <v>16</v>
      </c>
      <c r="G838" t="s">
        <v>112</v>
      </c>
      <c r="H838" t="s">
        <v>260</v>
      </c>
      <c r="I838" s="3">
        <v>4.2361111111111113E-2</v>
      </c>
      <c r="J838" s="8" t="s">
        <v>444</v>
      </c>
      <c r="K838" s="8" t="s">
        <v>444</v>
      </c>
      <c r="L838" s="8" t="str">
        <f>IF(Table1346[[#This Row],[Home Team Score]]&gt;Table1346[[#This Row],[Away Team Score]],"Win",IF(Table1346[[#This Row],[Home Team Score]]=Table1346[[#This Row],[Away Team Score]],"Tie","Lose"))</f>
        <v>Tie</v>
      </c>
      <c r="M838" t="s">
        <v>19</v>
      </c>
      <c r="N838">
        <v>23</v>
      </c>
      <c r="O838" s="3">
        <v>4.1666666666666664E-2</v>
      </c>
      <c r="P838" t="s">
        <v>83</v>
      </c>
      <c r="R838" t="e">
        <f>IF([1]!Table13[[#This Row],[Goal_assist]]="",1,0)</f>
        <v>#REF!</v>
      </c>
    </row>
    <row r="839" spans="1:18" x14ac:dyDescent="0.35">
      <c r="A839" t="s">
        <v>14</v>
      </c>
      <c r="B839" t="s">
        <v>267</v>
      </c>
      <c r="C839" t="s">
        <v>65</v>
      </c>
      <c r="D839">
        <v>37</v>
      </c>
      <c r="E839" s="2">
        <v>42141</v>
      </c>
      <c r="F839" t="s">
        <v>24</v>
      </c>
      <c r="G839" t="s">
        <v>112</v>
      </c>
      <c r="H839" t="s">
        <v>121</v>
      </c>
      <c r="I839" s="3">
        <v>4.4444444444444446E-2</v>
      </c>
      <c r="J839" s="8" t="s">
        <v>444</v>
      </c>
      <c r="K839" s="8" t="s">
        <v>446</v>
      </c>
      <c r="L839" s="8" t="str">
        <f>IF(Table1346[[#This Row],[Home Team Score]]&gt;Table1346[[#This Row],[Away Team Score]],"Win",IF(Table1346[[#This Row],[Home Team Score]]=Table1346[[#This Row],[Away Team Score]],"Tie","Lose"))</f>
        <v>Lose</v>
      </c>
      <c r="M839" t="s">
        <v>19</v>
      </c>
      <c r="N839">
        <v>59</v>
      </c>
      <c r="O839" s="3">
        <v>6.9444444444444447E-4</v>
      </c>
      <c r="P839" t="s">
        <v>31</v>
      </c>
      <c r="Q839" t="s">
        <v>183</v>
      </c>
      <c r="R839" t="e">
        <f>IF([1]!Table13[[#This Row],[Goal_assist]]="",1,0)</f>
        <v>#REF!</v>
      </c>
    </row>
    <row r="840" spans="1:18" x14ac:dyDescent="0.35">
      <c r="A840" t="s">
        <v>14</v>
      </c>
      <c r="B840" t="s">
        <v>267</v>
      </c>
      <c r="C840" t="s">
        <v>65</v>
      </c>
      <c r="D840">
        <v>37</v>
      </c>
      <c r="E840" s="2">
        <v>42141</v>
      </c>
      <c r="F840" t="s">
        <v>24</v>
      </c>
      <c r="G840" t="s">
        <v>112</v>
      </c>
      <c r="H840" t="s">
        <v>121</v>
      </c>
      <c r="I840" s="3">
        <v>4.4444444444444446E-2</v>
      </c>
      <c r="J840" s="8" t="s">
        <v>444</v>
      </c>
      <c r="K840" s="8" t="s">
        <v>446</v>
      </c>
      <c r="L840" s="8" t="str">
        <f>IF(Table1346[[#This Row],[Home Team Score]]&gt;Table1346[[#This Row],[Away Team Score]],"Win",IF(Table1346[[#This Row],[Home Team Score]]=Table1346[[#This Row],[Away Team Score]],"Tie","Lose"))</f>
        <v>Lose</v>
      </c>
      <c r="M840" t="s">
        <v>19</v>
      </c>
      <c r="N840">
        <v>83</v>
      </c>
      <c r="O840" s="3">
        <v>4.3749999999999997E-2</v>
      </c>
      <c r="P840" t="s">
        <v>26</v>
      </c>
      <c r="Q840" t="s">
        <v>278</v>
      </c>
      <c r="R840" t="e">
        <f>IF([1]!Table13[[#This Row],[Goal_assist]]="",1,0)</f>
        <v>#REF!</v>
      </c>
    </row>
    <row r="841" spans="1:18" x14ac:dyDescent="0.35">
      <c r="A841" t="s">
        <v>14</v>
      </c>
      <c r="B841" t="s">
        <v>267</v>
      </c>
      <c r="C841" t="s">
        <v>65</v>
      </c>
      <c r="D841">
        <v>37</v>
      </c>
      <c r="E841" s="2">
        <v>42141</v>
      </c>
      <c r="F841" t="s">
        <v>24</v>
      </c>
      <c r="G841" t="s">
        <v>112</v>
      </c>
      <c r="H841" t="s">
        <v>121</v>
      </c>
      <c r="I841" s="3">
        <v>4.4444444444444446E-2</v>
      </c>
      <c r="J841" s="8" t="s">
        <v>444</v>
      </c>
      <c r="K841" s="8" t="s">
        <v>446</v>
      </c>
      <c r="L841" s="8" t="str">
        <f>IF(Table1346[[#This Row],[Home Team Score]]&gt;Table1346[[#This Row],[Away Team Score]],"Win",IF(Table1346[[#This Row],[Home Team Score]]=Table1346[[#This Row],[Away Team Score]],"Tie","Lose"))</f>
        <v>Lose</v>
      </c>
      <c r="M841" t="s">
        <v>19</v>
      </c>
      <c r="N841" t="s">
        <v>69</v>
      </c>
      <c r="O841" s="3">
        <v>4.4444444444444446E-2</v>
      </c>
      <c r="P841" t="s">
        <v>22</v>
      </c>
      <c r="Q841" t="s">
        <v>268</v>
      </c>
      <c r="R841" t="e">
        <f>IF([1]!Table13[[#This Row],[Goal_assist]]="",1,0)</f>
        <v>#REF!</v>
      </c>
    </row>
    <row r="842" spans="1:18" x14ac:dyDescent="0.35">
      <c r="A842" t="s">
        <v>64</v>
      </c>
      <c r="B842" t="s">
        <v>267</v>
      </c>
      <c r="C842" t="s">
        <v>65</v>
      </c>
      <c r="D842">
        <v>37</v>
      </c>
      <c r="E842" s="2">
        <v>42141</v>
      </c>
      <c r="F842" t="s">
        <v>24</v>
      </c>
      <c r="G842" t="s">
        <v>66</v>
      </c>
      <c r="H842" t="s">
        <v>119</v>
      </c>
      <c r="I842" s="3">
        <v>6.9444444444444447E-4</v>
      </c>
      <c r="J842" s="8" t="s">
        <v>443</v>
      </c>
      <c r="K842" s="8" t="s">
        <v>444</v>
      </c>
      <c r="L842" s="8" t="str">
        <f>IF(Table1346[[#This Row],[Home Team Score]]&gt;Table1346[[#This Row],[Away Team Score]],"Win",IF(Table1346[[#This Row],[Home Team Score]]=Table1346[[#This Row],[Away Team Score]],"Tie","Lose"))</f>
        <v>Lose</v>
      </c>
      <c r="M842" t="s">
        <v>38</v>
      </c>
      <c r="N842">
        <v>65</v>
      </c>
      <c r="O842" s="3">
        <v>6.9444444444444447E-4</v>
      </c>
      <c r="P842" t="s">
        <v>31</v>
      </c>
      <c r="Q842" t="s">
        <v>186</v>
      </c>
      <c r="R842" t="e">
        <f>IF([1]!Table13[[#This Row],[Goal_assist]]="",1,0)</f>
        <v>#REF!</v>
      </c>
    </row>
    <row r="843" spans="1:18" x14ac:dyDescent="0.35">
      <c r="A843" t="s">
        <v>14</v>
      </c>
      <c r="B843" t="s">
        <v>267</v>
      </c>
      <c r="C843" t="s">
        <v>65</v>
      </c>
      <c r="D843">
        <v>38</v>
      </c>
      <c r="E843" s="2">
        <v>42147</v>
      </c>
      <c r="F843" t="s">
        <v>16</v>
      </c>
      <c r="G843" t="s">
        <v>112</v>
      </c>
      <c r="H843" t="s">
        <v>117</v>
      </c>
      <c r="I843" s="3">
        <v>0.29375000000000001</v>
      </c>
      <c r="J843" s="8" t="s">
        <v>449</v>
      </c>
      <c r="K843" s="8" t="s">
        <v>442</v>
      </c>
      <c r="L843" s="8" t="str">
        <f>IF(Table1346[[#This Row],[Home Team Score]]&gt;Table1346[[#This Row],[Away Team Score]],"Win",IF(Table1346[[#This Row],[Home Team Score]]=Table1346[[#This Row],[Away Team Score]],"Tie","Lose"))</f>
        <v>Win</v>
      </c>
      <c r="M843" t="s">
        <v>19</v>
      </c>
      <c r="N843">
        <v>32</v>
      </c>
      <c r="O843" s="3">
        <v>8.4722222222222227E-2</v>
      </c>
      <c r="P843" t="s">
        <v>39</v>
      </c>
      <c r="R843" t="e">
        <f>IF([1]!Table13[[#This Row],[Goal_assist]]="",1,0)</f>
        <v>#REF!</v>
      </c>
    </row>
    <row r="844" spans="1:18" x14ac:dyDescent="0.35">
      <c r="A844" t="s">
        <v>14</v>
      </c>
      <c r="B844" t="s">
        <v>267</v>
      </c>
      <c r="C844" t="s">
        <v>65</v>
      </c>
      <c r="D844">
        <v>38</v>
      </c>
      <c r="E844" s="2">
        <v>42147</v>
      </c>
      <c r="F844" t="s">
        <v>16</v>
      </c>
      <c r="G844" t="s">
        <v>112</v>
      </c>
      <c r="H844" t="s">
        <v>117</v>
      </c>
      <c r="I844" s="3">
        <v>0.29375000000000001</v>
      </c>
      <c r="J844" s="8" t="s">
        <v>449</v>
      </c>
      <c r="K844" s="8" t="s">
        <v>442</v>
      </c>
      <c r="L844" s="8" t="str">
        <f>IF(Table1346[[#This Row],[Home Team Score]]&gt;Table1346[[#This Row],[Away Team Score]],"Win",IF(Table1346[[#This Row],[Home Team Score]]=Table1346[[#This Row],[Away Team Score]],"Tie","Lose"))</f>
        <v>Win</v>
      </c>
      <c r="M844" t="s">
        <v>19</v>
      </c>
      <c r="N844">
        <v>34</v>
      </c>
      <c r="O844" s="3">
        <v>0.12638888888888888</v>
      </c>
      <c r="P844" t="s">
        <v>83</v>
      </c>
      <c r="R844" t="e">
        <f>IF([1]!Table13[[#This Row],[Goal_assist]]="",1,0)</f>
        <v>#REF!</v>
      </c>
    </row>
    <row r="845" spans="1:18" x14ac:dyDescent="0.35">
      <c r="A845" t="s">
        <v>64</v>
      </c>
      <c r="B845" t="s">
        <v>267</v>
      </c>
      <c r="C845" t="s">
        <v>65</v>
      </c>
      <c r="D845">
        <v>38</v>
      </c>
      <c r="E845" s="2">
        <v>42147</v>
      </c>
      <c r="F845" t="s">
        <v>16</v>
      </c>
      <c r="G845" t="s">
        <v>66</v>
      </c>
      <c r="H845" t="s">
        <v>115</v>
      </c>
      <c r="I845" s="3">
        <v>8.4722222222222227E-2</v>
      </c>
      <c r="J845" s="8" t="s">
        <v>445</v>
      </c>
      <c r="K845" s="8" t="s">
        <v>445</v>
      </c>
      <c r="L845" s="8" t="str">
        <f>IF(Table1346[[#This Row],[Home Team Score]]&gt;Table1346[[#This Row],[Away Team Score]],"Win",IF(Table1346[[#This Row],[Home Team Score]]=Table1346[[#This Row],[Away Team Score]],"Tie","Lose"))</f>
        <v>Tie</v>
      </c>
      <c r="M845" t="s">
        <v>38</v>
      </c>
      <c r="N845">
        <v>59</v>
      </c>
      <c r="O845" s="3">
        <v>8.3333333333333329E-2</v>
      </c>
      <c r="P845" t="s">
        <v>26</v>
      </c>
      <c r="Q845" t="s">
        <v>256</v>
      </c>
      <c r="R845" t="e">
        <f>IF([1]!Table13[[#This Row],[Goal_assist]]="",1,0)</f>
        <v>#REF!</v>
      </c>
    </row>
    <row r="846" spans="1:18" x14ac:dyDescent="0.35">
      <c r="A846" t="s">
        <v>64</v>
      </c>
      <c r="B846" t="s">
        <v>267</v>
      </c>
      <c r="C846" t="s">
        <v>65</v>
      </c>
      <c r="D846">
        <v>38</v>
      </c>
      <c r="E846" s="2">
        <v>42147</v>
      </c>
      <c r="F846" t="s">
        <v>16</v>
      </c>
      <c r="G846" t="s">
        <v>66</v>
      </c>
      <c r="H846" t="s">
        <v>115</v>
      </c>
      <c r="I846" s="3">
        <v>8.4722222222222227E-2</v>
      </c>
      <c r="J846" s="8" t="s">
        <v>445</v>
      </c>
      <c r="K846" s="8" t="s">
        <v>445</v>
      </c>
      <c r="L846" s="8" t="str">
        <f>IF(Table1346[[#This Row],[Home Team Score]]&gt;Table1346[[#This Row],[Away Team Score]],"Win",IF(Table1346[[#This Row],[Home Team Score]]=Table1346[[#This Row],[Away Team Score]],"Tie","Lose"))</f>
        <v>Tie</v>
      </c>
      <c r="M846" t="s">
        <v>38</v>
      </c>
      <c r="N846">
        <v>5</v>
      </c>
      <c r="O846" s="3">
        <v>4.1666666666666664E-2</v>
      </c>
      <c r="P846" t="s">
        <v>22</v>
      </c>
      <c r="Q846" t="s">
        <v>272</v>
      </c>
      <c r="R846" t="e">
        <f>IF([1]!Table13[[#This Row],[Goal_assist]]="",1,0)</f>
        <v>#REF!</v>
      </c>
    </row>
    <row r="847" spans="1:18" x14ac:dyDescent="0.35">
      <c r="A847" t="s">
        <v>14</v>
      </c>
      <c r="B847" t="s">
        <v>267</v>
      </c>
      <c r="C847" t="s">
        <v>65</v>
      </c>
      <c r="D847">
        <v>38</v>
      </c>
      <c r="E847" s="2">
        <v>42147</v>
      </c>
      <c r="F847" t="s">
        <v>16</v>
      </c>
      <c r="G847" t="s">
        <v>112</v>
      </c>
      <c r="H847" t="s">
        <v>117</v>
      </c>
      <c r="I847" s="3">
        <v>0.29375000000000001</v>
      </c>
      <c r="J847" s="8" t="s">
        <v>449</v>
      </c>
      <c r="K847" s="8" t="s">
        <v>442</v>
      </c>
      <c r="L847" s="8" t="str">
        <f>IF(Table1346[[#This Row],[Home Team Score]]&gt;Table1346[[#This Row],[Away Team Score]],"Win",IF(Table1346[[#This Row],[Home Team Score]]=Table1346[[#This Row],[Away Team Score]],"Tie","Lose"))</f>
        <v>Win</v>
      </c>
      <c r="M847" t="s">
        <v>19</v>
      </c>
      <c r="N847">
        <v>13</v>
      </c>
      <c r="O847" s="3">
        <v>4.1666666666666664E-2</v>
      </c>
      <c r="P847" t="s">
        <v>22</v>
      </c>
      <c r="Q847" t="s">
        <v>201</v>
      </c>
      <c r="R847" t="e">
        <f>IF([1]!Table13[[#This Row],[Goal_assist]]="",1,0)</f>
        <v>#REF!</v>
      </c>
    </row>
    <row r="848" spans="1:18" x14ac:dyDescent="0.35">
      <c r="A848" t="s">
        <v>64</v>
      </c>
      <c r="B848" t="s">
        <v>267</v>
      </c>
      <c r="C848" t="s">
        <v>91</v>
      </c>
      <c r="D848" t="s">
        <v>46</v>
      </c>
      <c r="E848" s="2">
        <v>42154</v>
      </c>
      <c r="F848" t="s">
        <v>24</v>
      </c>
      <c r="G848" t="s">
        <v>66</v>
      </c>
      <c r="H848" t="s">
        <v>86</v>
      </c>
      <c r="I848" s="3">
        <v>4.3749999999999997E-2</v>
      </c>
      <c r="J848" s="8" t="s">
        <v>444</v>
      </c>
      <c r="K848" s="8" t="s">
        <v>442</v>
      </c>
      <c r="L848" s="8" t="str">
        <f>IF(Table1346[[#This Row],[Home Team Score]]&gt;Table1346[[#This Row],[Away Team Score]],"Win",IF(Table1346[[#This Row],[Home Team Score]]=Table1346[[#This Row],[Away Team Score]],"Tie","Lose"))</f>
        <v>Lose</v>
      </c>
      <c r="M848" t="s">
        <v>38</v>
      </c>
      <c r="N848">
        <v>74</v>
      </c>
      <c r="O848" s="3">
        <v>2.0833333333333333E-3</v>
      </c>
      <c r="P848" t="s">
        <v>31</v>
      </c>
      <c r="Q848" t="s">
        <v>155</v>
      </c>
      <c r="R848" t="e">
        <f>IF([1]!Table13[[#This Row],[Goal_assist]]="",1,0)</f>
        <v>#REF!</v>
      </c>
    </row>
    <row r="849" spans="1:18" x14ac:dyDescent="0.35">
      <c r="A849" t="s">
        <v>64</v>
      </c>
      <c r="B849" t="s">
        <v>267</v>
      </c>
      <c r="C849" t="s">
        <v>91</v>
      </c>
      <c r="D849" t="s">
        <v>46</v>
      </c>
      <c r="E849" s="2">
        <v>42154</v>
      </c>
      <c r="F849" t="s">
        <v>24</v>
      </c>
      <c r="G849" t="s">
        <v>66</v>
      </c>
      <c r="H849" t="s">
        <v>86</v>
      </c>
      <c r="I849" s="3">
        <v>4.3749999999999997E-2</v>
      </c>
      <c r="J849" s="8" t="s">
        <v>444</v>
      </c>
      <c r="K849" s="8" t="s">
        <v>442</v>
      </c>
      <c r="L849" s="8" t="str">
        <f>IF(Table1346[[#This Row],[Home Team Score]]&gt;Table1346[[#This Row],[Away Team Score]],"Win",IF(Table1346[[#This Row],[Home Team Score]]=Table1346[[#This Row],[Away Team Score]],"Tie","Lose"))</f>
        <v>Lose</v>
      </c>
      <c r="M849" t="s">
        <v>38</v>
      </c>
      <c r="N849">
        <v>20</v>
      </c>
      <c r="O849" s="3">
        <v>6.9444444444444447E-4</v>
      </c>
      <c r="P849" t="s">
        <v>20</v>
      </c>
      <c r="R849" t="e">
        <f>IF([1]!Table13[[#This Row],[Goal_assist]]="",1,0)</f>
        <v>#REF!</v>
      </c>
    </row>
    <row r="850" spans="1:18" x14ac:dyDescent="0.35">
      <c r="A850" t="s">
        <v>64</v>
      </c>
      <c r="B850" t="s">
        <v>279</v>
      </c>
      <c r="C850" t="s">
        <v>223</v>
      </c>
      <c r="D850" t="s">
        <v>46</v>
      </c>
      <c r="E850" s="2">
        <v>42227</v>
      </c>
      <c r="F850" t="s">
        <v>16</v>
      </c>
      <c r="G850" t="s">
        <v>66</v>
      </c>
      <c r="H850" t="s">
        <v>105</v>
      </c>
      <c r="I850" s="3">
        <v>0.21111111111111111</v>
      </c>
      <c r="J850" s="8">
        <v>5</v>
      </c>
      <c r="K850" s="8">
        <v>4</v>
      </c>
      <c r="L850" s="8" t="str">
        <f>IF(Table1346[[#This Row],[Home Team Score]]&gt;Table1346[[#This Row],[Away Team Score]],"Win",IF(Table1346[[#This Row],[Home Team Score]]=Table1346[[#This Row],[Away Team Score]],"Tie","Lose"))</f>
        <v>Win</v>
      </c>
      <c r="M850" t="s">
        <v>38</v>
      </c>
      <c r="N850">
        <v>16</v>
      </c>
      <c r="O850" s="3">
        <v>8.4027777777777785E-2</v>
      </c>
      <c r="P850" t="s">
        <v>39</v>
      </c>
      <c r="R850" t="e">
        <f>IF([1]!Table13[[#This Row],[Goal_assist]]="",1,0)</f>
        <v>#REF!</v>
      </c>
    </row>
    <row r="851" spans="1:18" x14ac:dyDescent="0.35">
      <c r="A851" t="s">
        <v>64</v>
      </c>
      <c r="B851" t="s">
        <v>279</v>
      </c>
      <c r="C851" t="s">
        <v>223</v>
      </c>
      <c r="D851" t="s">
        <v>46</v>
      </c>
      <c r="E851" s="2">
        <v>42227</v>
      </c>
      <c r="F851" t="s">
        <v>16</v>
      </c>
      <c r="G851" t="s">
        <v>66</v>
      </c>
      <c r="H851" t="s">
        <v>105</v>
      </c>
      <c r="I851" s="3">
        <v>0.21111111111111111</v>
      </c>
      <c r="J851" s="8">
        <v>5</v>
      </c>
      <c r="K851" s="8">
        <v>4</v>
      </c>
      <c r="L851" s="8" t="str">
        <f>IF(Table1346[[#This Row],[Home Team Score]]&gt;Table1346[[#This Row],[Away Team Score]],"Win",IF(Table1346[[#This Row],[Home Team Score]]=Table1346[[#This Row],[Away Team Score]],"Tie","Lose"))</f>
        <v>Win</v>
      </c>
      <c r="M851" t="s">
        <v>38</v>
      </c>
      <c r="N851">
        <v>7</v>
      </c>
      <c r="O851" s="3">
        <v>4.2361111111111113E-2</v>
      </c>
      <c r="P851" t="s">
        <v>39</v>
      </c>
      <c r="R851" t="e">
        <f>IF([1]!Table13[[#This Row],[Goal_assist]]="",1,0)</f>
        <v>#REF!</v>
      </c>
    </row>
    <row r="852" spans="1:18" x14ac:dyDescent="0.35">
      <c r="A852" t="s">
        <v>64</v>
      </c>
      <c r="B852" t="s">
        <v>279</v>
      </c>
      <c r="C852" t="s">
        <v>172</v>
      </c>
      <c r="D852" t="s">
        <v>173</v>
      </c>
      <c r="E852" s="2">
        <v>42233</v>
      </c>
      <c r="F852" t="s">
        <v>16</v>
      </c>
      <c r="G852" t="s">
        <v>66</v>
      </c>
      <c r="H852" t="s">
        <v>86</v>
      </c>
      <c r="I852" s="3">
        <v>4.2361111111111113E-2</v>
      </c>
      <c r="J852" s="8" t="s">
        <v>444</v>
      </c>
      <c r="K852" s="8" t="s">
        <v>444</v>
      </c>
      <c r="L852" s="8" t="str">
        <f>IF(Table1346[[#This Row],[Home Team Score]]&gt;Table1346[[#This Row],[Away Team Score]],"Win",IF(Table1346[[#This Row],[Home Team Score]]=Table1346[[#This Row],[Away Team Score]],"Tie","Lose"))</f>
        <v>Tie</v>
      </c>
      <c r="M852" t="s">
        <v>38</v>
      </c>
      <c r="N852">
        <v>43</v>
      </c>
      <c r="O852" s="3">
        <v>4.1666666666666664E-2</v>
      </c>
      <c r="P852" t="s">
        <v>31</v>
      </c>
      <c r="Q852" t="s">
        <v>273</v>
      </c>
      <c r="R852" t="e">
        <f>IF([1]!Table13[[#This Row],[Goal_assist]]="",1,0)</f>
        <v>#REF!</v>
      </c>
    </row>
    <row r="853" spans="1:18" x14ac:dyDescent="0.35">
      <c r="A853" t="s">
        <v>14</v>
      </c>
      <c r="B853" t="s">
        <v>279</v>
      </c>
      <c r="C853" t="s">
        <v>65</v>
      </c>
      <c r="D853">
        <v>3</v>
      </c>
      <c r="E853" s="2">
        <v>42259</v>
      </c>
      <c r="F853" t="s">
        <v>24</v>
      </c>
      <c r="G853" t="s">
        <v>112</v>
      </c>
      <c r="H853" t="s">
        <v>121</v>
      </c>
      <c r="I853" s="3">
        <v>4.1666666666666666E-3</v>
      </c>
      <c r="J853" s="8" t="s">
        <v>443</v>
      </c>
      <c r="K853" s="8" t="s">
        <v>450</v>
      </c>
      <c r="L853" s="8" t="str">
        <f>IF(Table1346[[#This Row],[Home Team Score]]&gt;Table1346[[#This Row],[Away Team Score]],"Win",IF(Table1346[[#This Row],[Home Team Score]]=Table1346[[#This Row],[Away Team Score]],"Tie","Lose"))</f>
        <v>Lose</v>
      </c>
      <c r="M853" t="s">
        <v>19</v>
      </c>
      <c r="N853">
        <v>17</v>
      </c>
      <c r="O853" s="3">
        <v>1.3888888888888889E-3</v>
      </c>
      <c r="P853" t="s">
        <v>83</v>
      </c>
      <c r="R853" t="e">
        <f>IF([1]!Table13[[#This Row],[Goal_assist]]="",1,0)</f>
        <v>#REF!</v>
      </c>
    </row>
    <row r="854" spans="1:18" x14ac:dyDescent="0.35">
      <c r="A854" t="s">
        <v>14</v>
      </c>
      <c r="B854" t="s">
        <v>279</v>
      </c>
      <c r="C854" t="s">
        <v>65</v>
      </c>
      <c r="D854">
        <v>3</v>
      </c>
      <c r="E854" s="2">
        <v>42259</v>
      </c>
      <c r="F854" t="s">
        <v>24</v>
      </c>
      <c r="G854" t="s">
        <v>112</v>
      </c>
      <c r="H854" t="s">
        <v>121</v>
      </c>
      <c r="I854" s="3">
        <v>4.1666666666666666E-3</v>
      </c>
      <c r="J854" s="8" t="s">
        <v>443</v>
      </c>
      <c r="K854" s="8" t="s">
        <v>450</v>
      </c>
      <c r="L854" s="8" t="str">
        <f>IF(Table1346[[#This Row],[Home Team Score]]&gt;Table1346[[#This Row],[Away Team Score]],"Win",IF(Table1346[[#This Row],[Home Team Score]]=Table1346[[#This Row],[Away Team Score]],"Tie","Lose"))</f>
        <v>Lose</v>
      </c>
      <c r="M854" t="s">
        <v>19</v>
      </c>
      <c r="N854">
        <v>81</v>
      </c>
      <c r="O854" s="3">
        <v>4.1666666666666666E-3</v>
      </c>
      <c r="P854" t="s">
        <v>26</v>
      </c>
      <c r="Q854" t="s">
        <v>281</v>
      </c>
      <c r="R854" t="e">
        <f>IF([1]!Table13[[#This Row],[Goal_assist]]="",1,0)</f>
        <v>#REF!</v>
      </c>
    </row>
    <row r="855" spans="1:18" x14ac:dyDescent="0.35">
      <c r="A855" t="s">
        <v>14</v>
      </c>
      <c r="B855" t="s">
        <v>279</v>
      </c>
      <c r="C855" t="s">
        <v>65</v>
      </c>
      <c r="D855">
        <v>3</v>
      </c>
      <c r="E855" s="2">
        <v>42259</v>
      </c>
      <c r="F855" t="s">
        <v>24</v>
      </c>
      <c r="G855" t="s">
        <v>112</v>
      </c>
      <c r="H855" t="s">
        <v>121</v>
      </c>
      <c r="I855" s="3">
        <v>4.1666666666666666E-3</v>
      </c>
      <c r="J855" s="8" t="s">
        <v>443</v>
      </c>
      <c r="K855" s="8" t="s">
        <v>450</v>
      </c>
      <c r="L855" s="8" t="str">
        <f>IF(Table1346[[#This Row],[Home Team Score]]&gt;Table1346[[#This Row],[Away Team Score]],"Win",IF(Table1346[[#This Row],[Home Team Score]]=Table1346[[#This Row],[Away Team Score]],"Tie","Lose"))</f>
        <v>Lose</v>
      </c>
      <c r="M855" t="s">
        <v>19</v>
      </c>
      <c r="N855">
        <v>62</v>
      </c>
      <c r="O855" s="3">
        <v>3.472222222222222E-3</v>
      </c>
      <c r="P855" t="s">
        <v>26</v>
      </c>
      <c r="Q855" t="s">
        <v>261</v>
      </c>
      <c r="R855" t="e">
        <f>IF([1]!Table13[[#This Row],[Goal_assist]]="",1,0)</f>
        <v>#REF!</v>
      </c>
    </row>
    <row r="856" spans="1:18" x14ac:dyDescent="0.35">
      <c r="A856" t="s">
        <v>14</v>
      </c>
      <c r="B856" t="s">
        <v>279</v>
      </c>
      <c r="C856" t="s">
        <v>65</v>
      </c>
      <c r="D856">
        <v>3</v>
      </c>
      <c r="E856" s="2">
        <v>42259</v>
      </c>
      <c r="F856" t="s">
        <v>24</v>
      </c>
      <c r="G856" t="s">
        <v>112</v>
      </c>
      <c r="H856" t="s">
        <v>121</v>
      </c>
      <c r="I856" s="3">
        <v>4.1666666666666666E-3</v>
      </c>
      <c r="J856" s="8" t="s">
        <v>443</v>
      </c>
      <c r="K856" s="8" t="s">
        <v>450</v>
      </c>
      <c r="L856" s="8" t="str">
        <f>IF(Table1346[[#This Row],[Home Team Score]]&gt;Table1346[[#This Row],[Away Team Score]],"Win",IF(Table1346[[#This Row],[Home Team Score]]=Table1346[[#This Row],[Away Team Score]],"Tie","Lose"))</f>
        <v>Lose</v>
      </c>
      <c r="M856" t="s">
        <v>19</v>
      </c>
      <c r="N856">
        <v>20</v>
      </c>
      <c r="O856" s="3">
        <v>2.0833333333333333E-3</v>
      </c>
      <c r="P856" t="s">
        <v>31</v>
      </c>
      <c r="Q856" t="s">
        <v>261</v>
      </c>
      <c r="R856" t="e">
        <f>IF([1]!Table13[[#This Row],[Goal_assist]]="",1,0)</f>
        <v>#REF!</v>
      </c>
    </row>
    <row r="857" spans="1:18" x14ac:dyDescent="0.35">
      <c r="A857" t="s">
        <v>14</v>
      </c>
      <c r="B857" t="s">
        <v>279</v>
      </c>
      <c r="C857" t="s">
        <v>65</v>
      </c>
      <c r="D857">
        <v>3</v>
      </c>
      <c r="E857" s="2">
        <v>42259</v>
      </c>
      <c r="F857" t="s">
        <v>24</v>
      </c>
      <c r="G857" t="s">
        <v>112</v>
      </c>
      <c r="H857" t="s">
        <v>121</v>
      </c>
      <c r="I857" s="3">
        <v>4.1666666666666666E-3</v>
      </c>
      <c r="J857" s="8" t="s">
        <v>443</v>
      </c>
      <c r="K857" s="8" t="s">
        <v>450</v>
      </c>
      <c r="L857" s="8" t="str">
        <f>IF(Table1346[[#This Row],[Home Team Score]]&gt;Table1346[[#This Row],[Away Team Score]],"Win",IF(Table1346[[#This Row],[Home Team Score]]=Table1346[[#This Row],[Away Team Score]],"Tie","Lose"))</f>
        <v>Lose</v>
      </c>
      <c r="M857" t="s">
        <v>19</v>
      </c>
      <c r="N857">
        <v>7</v>
      </c>
      <c r="O857" s="3">
        <v>6.9444444444444447E-4</v>
      </c>
      <c r="P857" t="s">
        <v>26</v>
      </c>
      <c r="Q857" t="s">
        <v>250</v>
      </c>
      <c r="R857" t="e">
        <f>IF([1]!Table13[[#This Row],[Goal_assist]]="",1,0)</f>
        <v>#REF!</v>
      </c>
    </row>
    <row r="858" spans="1:18" x14ac:dyDescent="0.35">
      <c r="A858" t="s">
        <v>64</v>
      </c>
      <c r="B858" t="s">
        <v>279</v>
      </c>
      <c r="C858" t="s">
        <v>65</v>
      </c>
      <c r="D858">
        <v>3</v>
      </c>
      <c r="E858" s="2">
        <v>42259</v>
      </c>
      <c r="F858" t="s">
        <v>24</v>
      </c>
      <c r="G858" t="s">
        <v>66</v>
      </c>
      <c r="H858" t="s">
        <v>119</v>
      </c>
      <c r="I858" s="3">
        <v>4.3055555555555555E-2</v>
      </c>
      <c r="J858" s="8" t="s">
        <v>444</v>
      </c>
      <c r="K858" s="8" t="s">
        <v>445</v>
      </c>
      <c r="L858" s="8" t="str">
        <f>IF(Table1346[[#This Row],[Home Team Score]]&gt;Table1346[[#This Row],[Away Team Score]],"Win",IF(Table1346[[#This Row],[Home Team Score]]=Table1346[[#This Row],[Away Team Score]],"Tie","Lose"))</f>
        <v>Lose</v>
      </c>
      <c r="M858" t="s">
        <v>38</v>
      </c>
      <c r="N858">
        <v>77</v>
      </c>
      <c r="O858" s="3">
        <v>4.3055555555555555E-2</v>
      </c>
      <c r="P858" t="s">
        <v>31</v>
      </c>
      <c r="Q858" t="s">
        <v>273</v>
      </c>
      <c r="R858" t="e">
        <f>IF([1]!Table13[[#This Row],[Goal_assist]]="",1,0)</f>
        <v>#REF!</v>
      </c>
    </row>
    <row r="859" spans="1:18" x14ac:dyDescent="0.35">
      <c r="A859" t="s">
        <v>14</v>
      </c>
      <c r="B859" t="s">
        <v>279</v>
      </c>
      <c r="C859" t="s">
        <v>75</v>
      </c>
      <c r="D859" t="s">
        <v>76</v>
      </c>
      <c r="E859" s="2">
        <v>42262</v>
      </c>
      <c r="F859" t="s">
        <v>16</v>
      </c>
      <c r="G859" t="s">
        <v>112</v>
      </c>
      <c r="H859" t="s">
        <v>152</v>
      </c>
      <c r="I859" s="3">
        <v>0.16666666666666666</v>
      </c>
      <c r="J859" s="8" t="s">
        <v>446</v>
      </c>
      <c r="K859" s="8" t="s">
        <v>443</v>
      </c>
      <c r="L859" s="8" t="str">
        <f>IF(Table1346[[#This Row],[Home Team Score]]&gt;Table1346[[#This Row],[Away Team Score]],"Win",IF(Table1346[[#This Row],[Home Team Score]]=Table1346[[#This Row],[Away Team Score]],"Tie","Lose"))</f>
        <v>Win</v>
      </c>
      <c r="M859" t="s">
        <v>19</v>
      </c>
      <c r="N859">
        <v>64</v>
      </c>
      <c r="O859" s="3">
        <v>0.125</v>
      </c>
      <c r="P859" t="s">
        <v>83</v>
      </c>
      <c r="R859" t="e">
        <f>IF([1]!Table13[[#This Row],[Goal_assist]]="",1,0)</f>
        <v>#REF!</v>
      </c>
    </row>
    <row r="860" spans="1:18" x14ac:dyDescent="0.35">
      <c r="A860" t="s">
        <v>14</v>
      </c>
      <c r="B860" t="s">
        <v>279</v>
      </c>
      <c r="C860" t="s">
        <v>75</v>
      </c>
      <c r="D860" t="s">
        <v>76</v>
      </c>
      <c r="E860" s="2">
        <v>42262</v>
      </c>
      <c r="F860" t="s">
        <v>16</v>
      </c>
      <c r="G860" t="s">
        <v>112</v>
      </c>
      <c r="H860" t="s">
        <v>152</v>
      </c>
      <c r="I860" s="3">
        <v>0.16666666666666666</v>
      </c>
      <c r="J860" s="8" t="s">
        <v>446</v>
      </c>
      <c r="K860" s="8" t="s">
        <v>443</v>
      </c>
      <c r="L860" s="8" t="str">
        <f>IF(Table1346[[#This Row],[Home Team Score]]&gt;Table1346[[#This Row],[Away Team Score]],"Win",IF(Table1346[[#This Row],[Home Team Score]]=Table1346[[#This Row],[Away Team Score]],"Tie","Lose"))</f>
        <v>Win</v>
      </c>
      <c r="M860" t="s">
        <v>19</v>
      </c>
      <c r="N860">
        <v>56</v>
      </c>
      <c r="O860" s="3">
        <v>8.3333333333333329E-2</v>
      </c>
      <c r="P860" t="s">
        <v>83</v>
      </c>
      <c r="R860" t="e">
        <f>IF([1]!Table13[[#This Row],[Goal_assist]]="",1,0)</f>
        <v>#REF!</v>
      </c>
    </row>
    <row r="861" spans="1:18" x14ac:dyDescent="0.35">
      <c r="A861" t="s">
        <v>14</v>
      </c>
      <c r="B861" t="s">
        <v>279</v>
      </c>
      <c r="C861" t="s">
        <v>75</v>
      </c>
      <c r="D861" t="s">
        <v>76</v>
      </c>
      <c r="E861" s="2">
        <v>42262</v>
      </c>
      <c r="F861" t="s">
        <v>16</v>
      </c>
      <c r="G861" t="s">
        <v>112</v>
      </c>
      <c r="H861" t="s">
        <v>152</v>
      </c>
      <c r="I861" s="3">
        <v>0.16666666666666666</v>
      </c>
      <c r="J861" s="8" t="s">
        <v>446</v>
      </c>
      <c r="K861" s="8" t="s">
        <v>443</v>
      </c>
      <c r="L861" s="8" t="str">
        <f>IF(Table1346[[#This Row],[Home Team Score]]&gt;Table1346[[#This Row],[Away Team Score]],"Win",IF(Table1346[[#This Row],[Home Team Score]]=Table1346[[#This Row],[Away Team Score]],"Tie","Lose"))</f>
        <v>Win</v>
      </c>
      <c r="M861" t="s">
        <v>19</v>
      </c>
      <c r="N861">
        <v>82</v>
      </c>
      <c r="O861" s="3">
        <v>0.16666666666666666</v>
      </c>
      <c r="P861" t="s">
        <v>22</v>
      </c>
      <c r="R861" t="e">
        <f>IF([1]!Table13[[#This Row],[Goal_assist]]="",1,0)</f>
        <v>#REF!</v>
      </c>
    </row>
    <row r="862" spans="1:18" x14ac:dyDescent="0.35">
      <c r="A862" t="s">
        <v>64</v>
      </c>
      <c r="B862" t="s">
        <v>279</v>
      </c>
      <c r="C862" t="s">
        <v>65</v>
      </c>
      <c r="D862">
        <v>4</v>
      </c>
      <c r="E862" s="2">
        <v>42267</v>
      </c>
      <c r="F862" t="s">
        <v>16</v>
      </c>
      <c r="G862" t="s">
        <v>66</v>
      </c>
      <c r="H862" t="s">
        <v>127</v>
      </c>
      <c r="I862" s="3">
        <v>0.1673611111111111</v>
      </c>
      <c r="J862" s="8" t="s">
        <v>446</v>
      </c>
      <c r="K862" s="8" t="s">
        <v>444</v>
      </c>
      <c r="L862" s="8" t="str">
        <f>IF(Table1346[[#This Row],[Home Team Score]]&gt;Table1346[[#This Row],[Away Team Score]],"Win",IF(Table1346[[#This Row],[Home Team Score]]=Table1346[[#This Row],[Away Team Score]],"Tie","Lose"))</f>
        <v>Win</v>
      </c>
      <c r="M862" t="s">
        <v>282</v>
      </c>
      <c r="N862">
        <v>61</v>
      </c>
      <c r="O862" s="3">
        <v>0.125</v>
      </c>
      <c r="P862" t="s">
        <v>83</v>
      </c>
      <c r="R862" t="e">
        <f>IF([1]!Table13[[#This Row],[Goal_assist]]="",1,0)</f>
        <v>#REF!</v>
      </c>
    </row>
    <row r="863" spans="1:18" x14ac:dyDescent="0.35">
      <c r="A863" t="s">
        <v>64</v>
      </c>
      <c r="B863" t="s">
        <v>279</v>
      </c>
      <c r="C863" t="s">
        <v>65</v>
      </c>
      <c r="D863">
        <v>4</v>
      </c>
      <c r="E863" s="2">
        <v>42267</v>
      </c>
      <c r="F863" t="s">
        <v>16</v>
      </c>
      <c r="G863" t="s">
        <v>66</v>
      </c>
      <c r="H863" t="s">
        <v>127</v>
      </c>
      <c r="I863" s="3">
        <v>0.1673611111111111</v>
      </c>
      <c r="J863" s="8" t="s">
        <v>446</v>
      </c>
      <c r="K863" s="8" t="s">
        <v>444</v>
      </c>
      <c r="L863" s="8" t="str">
        <f>IF(Table1346[[#This Row],[Home Team Score]]&gt;Table1346[[#This Row],[Away Team Score]],"Win",IF(Table1346[[#This Row],[Home Team Score]]=Table1346[[#This Row],[Away Team Score]],"Tie","Lose"))</f>
        <v>Win</v>
      </c>
      <c r="M863" t="s">
        <v>282</v>
      </c>
      <c r="N863">
        <v>90</v>
      </c>
      <c r="O863" s="3">
        <v>0.1673611111111111</v>
      </c>
      <c r="P863" t="s">
        <v>31</v>
      </c>
      <c r="Q863" t="s">
        <v>271</v>
      </c>
      <c r="R863" t="e">
        <f>IF([1]!Table13[[#This Row],[Goal_assist]]="",1,0)</f>
        <v>#REF!</v>
      </c>
    </row>
    <row r="864" spans="1:18" x14ac:dyDescent="0.35">
      <c r="A864" t="s">
        <v>14</v>
      </c>
      <c r="B864" t="s">
        <v>279</v>
      </c>
      <c r="C864" t="s">
        <v>75</v>
      </c>
      <c r="D864" t="s">
        <v>76</v>
      </c>
      <c r="E864" s="2">
        <v>42277</v>
      </c>
      <c r="F864" t="s">
        <v>24</v>
      </c>
      <c r="G864" t="s">
        <v>112</v>
      </c>
      <c r="H864" t="s">
        <v>283</v>
      </c>
      <c r="I864" s="3">
        <v>1.3888888888888889E-3</v>
      </c>
      <c r="J864" s="8" t="s">
        <v>443</v>
      </c>
      <c r="K864" s="8" t="s">
        <v>445</v>
      </c>
      <c r="L864" s="8" t="str">
        <f>IF(Table1346[[#This Row],[Home Team Score]]&gt;Table1346[[#This Row],[Away Team Score]],"Win",IF(Table1346[[#This Row],[Home Team Score]]=Table1346[[#This Row],[Away Team Score]],"Tie","Lose"))</f>
        <v>Lose</v>
      </c>
      <c r="M864" t="s">
        <v>249</v>
      </c>
      <c r="N864">
        <v>90</v>
      </c>
      <c r="O864" s="3">
        <v>1.3888888888888889E-3</v>
      </c>
      <c r="P864" t="s">
        <v>31</v>
      </c>
      <c r="Q864" t="s">
        <v>281</v>
      </c>
      <c r="R864" t="e">
        <f>IF([1]!Table13[[#This Row],[Goal_assist]]="",1,0)</f>
        <v>#REF!</v>
      </c>
    </row>
    <row r="865" spans="1:18" x14ac:dyDescent="0.35">
      <c r="A865" t="s">
        <v>14</v>
      </c>
      <c r="B865" t="s">
        <v>279</v>
      </c>
      <c r="C865" t="s">
        <v>75</v>
      </c>
      <c r="D865" t="s">
        <v>76</v>
      </c>
      <c r="E865" s="2">
        <v>42277</v>
      </c>
      <c r="F865" t="s">
        <v>24</v>
      </c>
      <c r="G865" t="s">
        <v>112</v>
      </c>
      <c r="H865" t="s">
        <v>283</v>
      </c>
      <c r="I865" s="3">
        <v>1.3888888888888889E-3</v>
      </c>
      <c r="J865" s="8" t="s">
        <v>443</v>
      </c>
      <c r="K865" s="8" t="s">
        <v>445</v>
      </c>
      <c r="L865" s="8" t="str">
        <f>IF(Table1346[[#This Row],[Home Team Score]]&gt;Table1346[[#This Row],[Away Team Score]],"Win",IF(Table1346[[#This Row],[Home Team Score]]=Table1346[[#This Row],[Away Team Score]],"Tie","Lose"))</f>
        <v>Lose</v>
      </c>
      <c r="M865" t="s">
        <v>249</v>
      </c>
      <c r="N865">
        <v>29</v>
      </c>
      <c r="O865" s="3">
        <v>6.9444444444444447E-4</v>
      </c>
      <c r="P865" t="s">
        <v>26</v>
      </c>
      <c r="Q865" t="s">
        <v>257</v>
      </c>
      <c r="R865" t="e">
        <f>IF([1]!Table13[[#This Row],[Goal_assist]]="",1,0)</f>
        <v>#REF!</v>
      </c>
    </row>
    <row r="866" spans="1:18" x14ac:dyDescent="0.35">
      <c r="A866" t="s">
        <v>14</v>
      </c>
      <c r="B866" t="s">
        <v>279</v>
      </c>
      <c r="C866" t="s">
        <v>65</v>
      </c>
      <c r="D866">
        <v>8</v>
      </c>
      <c r="E866" s="2">
        <v>42294</v>
      </c>
      <c r="F866" t="s">
        <v>16</v>
      </c>
      <c r="G866" t="s">
        <v>112</v>
      </c>
      <c r="H866" t="s">
        <v>127</v>
      </c>
      <c r="I866" s="3">
        <v>0.125</v>
      </c>
      <c r="J866" s="8" t="s">
        <v>442</v>
      </c>
      <c r="K866" s="8" t="s">
        <v>443</v>
      </c>
      <c r="L866" s="8" t="str">
        <f>IF(Table1346[[#This Row],[Home Team Score]]&gt;Table1346[[#This Row],[Away Team Score]],"Win",IF(Table1346[[#This Row],[Home Team Score]]=Table1346[[#This Row],[Away Team Score]],"Tie","Lose"))</f>
        <v>Win</v>
      </c>
      <c r="M866" t="s">
        <v>68</v>
      </c>
      <c r="N866">
        <v>30</v>
      </c>
      <c r="O866" s="3">
        <v>8.3333333333333329E-2</v>
      </c>
      <c r="P866" t="s">
        <v>26</v>
      </c>
      <c r="Q866" t="s">
        <v>277</v>
      </c>
      <c r="R866" t="e">
        <f>IF([1]!Table13[[#This Row],[Goal_assist]]="",1,0)</f>
        <v>#REF!</v>
      </c>
    </row>
    <row r="867" spans="1:18" x14ac:dyDescent="0.35">
      <c r="A867" t="s">
        <v>14</v>
      </c>
      <c r="B867" t="s">
        <v>279</v>
      </c>
      <c r="C867" t="s">
        <v>65</v>
      </c>
      <c r="D867">
        <v>9</v>
      </c>
      <c r="E867" s="2">
        <v>42301</v>
      </c>
      <c r="F867" t="s">
        <v>24</v>
      </c>
      <c r="G867" t="s">
        <v>112</v>
      </c>
      <c r="H867" t="s">
        <v>98</v>
      </c>
      <c r="I867" s="3">
        <v>4.3749999999999997E-2</v>
      </c>
      <c r="J867" s="8" t="s">
        <v>444</v>
      </c>
      <c r="K867" s="8" t="s">
        <v>442</v>
      </c>
      <c r="L867" s="8" t="str">
        <f>IF(Table1346[[#This Row],[Home Team Score]]&gt;Table1346[[#This Row],[Away Team Score]],"Win",IF(Table1346[[#This Row],[Home Team Score]]=Table1346[[#This Row],[Away Team Score]],"Tie","Lose"))</f>
        <v>Lose</v>
      </c>
      <c r="M867" t="s">
        <v>68</v>
      </c>
      <c r="N867">
        <v>8</v>
      </c>
      <c r="O867" s="3">
        <v>6.9444444444444447E-4</v>
      </c>
      <c r="P867" t="s">
        <v>26</v>
      </c>
      <c r="Q867" t="s">
        <v>281</v>
      </c>
      <c r="R867" t="e">
        <f>IF([1]!Table13[[#This Row],[Goal_assist]]="",1,0)</f>
        <v>#REF!</v>
      </c>
    </row>
    <row r="868" spans="1:18" x14ac:dyDescent="0.35">
      <c r="A868" t="s">
        <v>14</v>
      </c>
      <c r="B868" t="s">
        <v>279</v>
      </c>
      <c r="C868" t="s">
        <v>65</v>
      </c>
      <c r="D868">
        <v>10</v>
      </c>
      <c r="E868" s="2">
        <v>42308</v>
      </c>
      <c r="F868" t="s">
        <v>16</v>
      </c>
      <c r="G868" t="s">
        <v>112</v>
      </c>
      <c r="H868" t="s">
        <v>284</v>
      </c>
      <c r="I868" s="3">
        <v>0.12569444444444444</v>
      </c>
      <c r="J868" s="8" t="s">
        <v>442</v>
      </c>
      <c r="K868" s="8" t="s">
        <v>444</v>
      </c>
      <c r="L868" s="8" t="str">
        <f>IF(Table1346[[#This Row],[Home Team Score]]&gt;Table1346[[#This Row],[Away Team Score]],"Win",IF(Table1346[[#This Row],[Home Team Score]]=Table1346[[#This Row],[Away Team Score]],"Tie","Lose"))</f>
        <v>Win</v>
      </c>
      <c r="M868" t="s">
        <v>68</v>
      </c>
      <c r="N868">
        <v>14</v>
      </c>
      <c r="O868" s="3">
        <v>8.3333333333333329E-2</v>
      </c>
      <c r="P868" t="s">
        <v>22</v>
      </c>
      <c r="Q868" t="s">
        <v>201</v>
      </c>
      <c r="R868" t="e">
        <f>IF([1]!Table13[[#This Row],[Goal_assist]]="",1,0)</f>
        <v>#REF!</v>
      </c>
    </row>
    <row r="869" spans="1:18" x14ac:dyDescent="0.35">
      <c r="A869" t="s">
        <v>64</v>
      </c>
      <c r="B869" t="s">
        <v>279</v>
      </c>
      <c r="C869" t="s">
        <v>75</v>
      </c>
      <c r="D869" t="s">
        <v>76</v>
      </c>
      <c r="E869" s="2">
        <v>42332</v>
      </c>
      <c r="F869" t="s">
        <v>16</v>
      </c>
      <c r="G869" t="s">
        <v>66</v>
      </c>
      <c r="H869" t="s">
        <v>116</v>
      </c>
      <c r="I869" s="3">
        <v>0.25069444444444444</v>
      </c>
      <c r="J869" s="8" t="s">
        <v>450</v>
      </c>
      <c r="K869" s="8" t="s">
        <v>444</v>
      </c>
      <c r="L869" s="8" t="str">
        <f>IF(Table1346[[#This Row],[Home Team Score]]&gt;Table1346[[#This Row],[Away Team Score]],"Win",IF(Table1346[[#This Row],[Home Team Score]]=Table1346[[#This Row],[Away Team Score]],"Tie","Lose"))</f>
        <v>Win</v>
      </c>
      <c r="M869" t="s">
        <v>275</v>
      </c>
      <c r="N869">
        <v>60</v>
      </c>
      <c r="O869" s="3">
        <v>0.20833333333333334</v>
      </c>
      <c r="P869" t="s">
        <v>55</v>
      </c>
      <c r="R869" t="e">
        <f>IF([1]!Table13[[#This Row],[Goal_assist]]="",1,0)</f>
        <v>#REF!</v>
      </c>
    </row>
    <row r="870" spans="1:18" x14ac:dyDescent="0.35">
      <c r="A870" t="s">
        <v>64</v>
      </c>
      <c r="B870" t="s">
        <v>279</v>
      </c>
      <c r="C870" t="s">
        <v>75</v>
      </c>
      <c r="D870" t="s">
        <v>76</v>
      </c>
      <c r="E870" s="2">
        <v>42332</v>
      </c>
      <c r="F870" t="s">
        <v>16</v>
      </c>
      <c r="G870" t="s">
        <v>66</v>
      </c>
      <c r="H870" t="s">
        <v>116</v>
      </c>
      <c r="I870" s="3">
        <v>0.25069444444444444</v>
      </c>
      <c r="J870" s="8" t="s">
        <v>450</v>
      </c>
      <c r="K870" s="8" t="s">
        <v>444</v>
      </c>
      <c r="L870" s="8" t="str">
        <f>IF(Table1346[[#This Row],[Home Team Score]]&gt;Table1346[[#This Row],[Away Team Score]],"Win",IF(Table1346[[#This Row],[Home Team Score]]=Table1346[[#This Row],[Away Team Score]],"Tie","Lose"))</f>
        <v>Win</v>
      </c>
      <c r="M870" t="s">
        <v>275</v>
      </c>
      <c r="N870">
        <v>18</v>
      </c>
      <c r="O870" s="3">
        <v>8.3333333333333329E-2</v>
      </c>
      <c r="P870" t="s">
        <v>31</v>
      </c>
      <c r="Q870" t="s">
        <v>273</v>
      </c>
      <c r="R870" t="e">
        <f>IF([1]!Table13[[#This Row],[Goal_assist]]="",1,0)</f>
        <v>#REF!</v>
      </c>
    </row>
    <row r="871" spans="1:18" x14ac:dyDescent="0.35">
      <c r="A871" t="s">
        <v>14</v>
      </c>
      <c r="B871" t="s">
        <v>279</v>
      </c>
      <c r="C871" t="s">
        <v>75</v>
      </c>
      <c r="D871" t="s">
        <v>76</v>
      </c>
      <c r="E871" s="2">
        <v>42333</v>
      </c>
      <c r="F871" t="s">
        <v>24</v>
      </c>
      <c r="G871" t="s">
        <v>112</v>
      </c>
      <c r="H871" t="s">
        <v>152</v>
      </c>
      <c r="I871" s="3">
        <v>0.12777777777777777</v>
      </c>
      <c r="J871" s="8" t="s">
        <v>442</v>
      </c>
      <c r="K871" s="8" t="s">
        <v>446</v>
      </c>
      <c r="L871" s="8" t="str">
        <f>IF(Table1346[[#This Row],[Home Team Score]]&gt;Table1346[[#This Row],[Away Team Score]],"Win",IF(Table1346[[#This Row],[Home Team Score]]=Table1346[[#This Row],[Away Team Score]],"Tie","Lose"))</f>
        <v>Lose</v>
      </c>
      <c r="M871" t="s">
        <v>68</v>
      </c>
      <c r="N871">
        <v>70</v>
      </c>
      <c r="O871" s="3">
        <v>2.7777777777777779E-3</v>
      </c>
      <c r="P871" t="s">
        <v>26</v>
      </c>
      <c r="Q871" t="s">
        <v>261</v>
      </c>
      <c r="R871" t="e">
        <f>IF([1]!Table13[[#This Row],[Goal_assist]]="",1,0)</f>
        <v>#REF!</v>
      </c>
    </row>
    <row r="872" spans="1:18" x14ac:dyDescent="0.35">
      <c r="A872" t="s">
        <v>14</v>
      </c>
      <c r="B872" t="s">
        <v>279</v>
      </c>
      <c r="C872" t="s">
        <v>75</v>
      </c>
      <c r="D872" t="s">
        <v>76</v>
      </c>
      <c r="E872" s="2">
        <v>42333</v>
      </c>
      <c r="F872" t="s">
        <v>24</v>
      </c>
      <c r="G872" t="s">
        <v>112</v>
      </c>
      <c r="H872" t="s">
        <v>152</v>
      </c>
      <c r="I872" s="3">
        <v>0.12777777777777777</v>
      </c>
      <c r="J872" s="8" t="s">
        <v>442</v>
      </c>
      <c r="K872" s="8" t="s">
        <v>446</v>
      </c>
      <c r="L872" s="8" t="str">
        <f>IF(Table1346[[#This Row],[Home Team Score]]&gt;Table1346[[#This Row],[Away Team Score]],"Win",IF(Table1346[[#This Row],[Home Team Score]]=Table1346[[#This Row],[Away Team Score]],"Tie","Lose"))</f>
        <v>Lose</v>
      </c>
      <c r="M872" t="s">
        <v>68</v>
      </c>
      <c r="N872">
        <v>18</v>
      </c>
      <c r="O872" s="3">
        <v>6.9444444444444447E-4</v>
      </c>
      <c r="P872" t="s">
        <v>22</v>
      </c>
      <c r="Q872" t="s">
        <v>261</v>
      </c>
      <c r="R872" t="e">
        <f>IF([1]!Table13[[#This Row],[Goal_assist]]="",1,0)</f>
        <v>#REF!</v>
      </c>
    </row>
    <row r="873" spans="1:18" x14ac:dyDescent="0.35">
      <c r="A873" t="s">
        <v>64</v>
      </c>
      <c r="B873" t="s">
        <v>279</v>
      </c>
      <c r="C873" t="s">
        <v>65</v>
      </c>
      <c r="D873">
        <v>13</v>
      </c>
      <c r="E873" s="2">
        <v>42336</v>
      </c>
      <c r="F873" t="s">
        <v>16</v>
      </c>
      <c r="G873" t="s">
        <v>66</v>
      </c>
      <c r="H873" t="s">
        <v>217</v>
      </c>
      <c r="I873" s="3">
        <v>0.16666666666666666</v>
      </c>
      <c r="J873" s="8" t="s">
        <v>446</v>
      </c>
      <c r="K873" s="8" t="s">
        <v>443</v>
      </c>
      <c r="L873" s="8" t="str">
        <f>IF(Table1346[[#This Row],[Home Team Score]]&gt;Table1346[[#This Row],[Away Team Score]],"Win",IF(Table1346[[#This Row],[Home Team Score]]=Table1346[[#This Row],[Away Team Score]],"Tie","Lose"))</f>
        <v>Win</v>
      </c>
      <c r="M873" t="s">
        <v>38</v>
      </c>
      <c r="N873" t="s">
        <v>69</v>
      </c>
      <c r="O873" s="3">
        <v>0.16666666666666666</v>
      </c>
      <c r="P873" t="s">
        <v>31</v>
      </c>
      <c r="Q873" t="s">
        <v>256</v>
      </c>
      <c r="R873" t="e">
        <f>IF([1]!Table13[[#This Row],[Goal_assist]]="",1,0)</f>
        <v>#REF!</v>
      </c>
    </row>
    <row r="874" spans="1:18" x14ac:dyDescent="0.35">
      <c r="A874" t="s">
        <v>14</v>
      </c>
      <c r="B874" t="s">
        <v>279</v>
      </c>
      <c r="C874" t="s">
        <v>65</v>
      </c>
      <c r="D874">
        <v>13</v>
      </c>
      <c r="E874" s="2">
        <v>42337</v>
      </c>
      <c r="F874" t="s">
        <v>24</v>
      </c>
      <c r="G874" t="s">
        <v>112</v>
      </c>
      <c r="H874" t="s">
        <v>270</v>
      </c>
      <c r="I874" s="3">
        <v>1.3888888888888889E-3</v>
      </c>
      <c r="J874" s="8" t="s">
        <v>443</v>
      </c>
      <c r="K874" s="8" t="s">
        <v>445</v>
      </c>
      <c r="L874" s="8" t="str">
        <f>IF(Table1346[[#This Row],[Home Team Score]]&gt;Table1346[[#This Row],[Away Team Score]],"Win",IF(Table1346[[#This Row],[Home Team Score]]=Table1346[[#This Row],[Away Team Score]],"Tie","Lose"))</f>
        <v>Lose</v>
      </c>
      <c r="M874" t="s">
        <v>68</v>
      </c>
      <c r="N874">
        <v>82</v>
      </c>
      <c r="O874" s="3">
        <v>1.3888888888888889E-3</v>
      </c>
      <c r="P874" t="s">
        <v>83</v>
      </c>
      <c r="R874" t="e">
        <f>IF([1]!Table13[[#This Row],[Goal_assist]]="",1,0)</f>
        <v>#REF!</v>
      </c>
    </row>
    <row r="875" spans="1:18" x14ac:dyDescent="0.35">
      <c r="A875" t="s">
        <v>14</v>
      </c>
      <c r="B875" t="s">
        <v>279</v>
      </c>
      <c r="C875" t="s">
        <v>65</v>
      </c>
      <c r="D875">
        <v>14</v>
      </c>
      <c r="E875" s="2">
        <v>42343</v>
      </c>
      <c r="F875" t="s">
        <v>16</v>
      </c>
      <c r="G875" t="s">
        <v>112</v>
      </c>
      <c r="H875" t="s">
        <v>117</v>
      </c>
      <c r="I875" s="3">
        <v>0.1673611111111111</v>
      </c>
      <c r="J875" s="8" t="s">
        <v>446</v>
      </c>
      <c r="K875" s="8" t="s">
        <v>444</v>
      </c>
      <c r="L875" s="8" t="str">
        <f>IF(Table1346[[#This Row],[Home Team Score]]&gt;Table1346[[#This Row],[Away Team Score]],"Win",IF(Table1346[[#This Row],[Home Team Score]]=Table1346[[#This Row],[Away Team Score]],"Tie","Lose"))</f>
        <v>Win</v>
      </c>
      <c r="M875" t="s">
        <v>19</v>
      </c>
      <c r="N875">
        <v>38</v>
      </c>
      <c r="O875" s="3">
        <v>0.16666666666666666</v>
      </c>
      <c r="P875" t="s">
        <v>26</v>
      </c>
      <c r="Q875" t="s">
        <v>277</v>
      </c>
      <c r="R875" t="e">
        <f>IF([1]!Table13[[#This Row],[Goal_assist]]="",1,0)</f>
        <v>#REF!</v>
      </c>
    </row>
    <row r="876" spans="1:18" x14ac:dyDescent="0.35">
      <c r="A876" t="s">
        <v>14</v>
      </c>
      <c r="B876" t="s">
        <v>279</v>
      </c>
      <c r="C876" t="s">
        <v>75</v>
      </c>
      <c r="D876" t="s">
        <v>76</v>
      </c>
      <c r="E876" s="2">
        <v>42346</v>
      </c>
      <c r="F876" t="s">
        <v>16</v>
      </c>
      <c r="G876" t="s">
        <v>112</v>
      </c>
      <c r="H876" t="s">
        <v>283</v>
      </c>
      <c r="I876" s="3">
        <v>0.33333333333333331</v>
      </c>
      <c r="J876" s="8" t="s">
        <v>447</v>
      </c>
      <c r="K876" s="8" t="s">
        <v>443</v>
      </c>
      <c r="L876" s="8" t="str">
        <f>IF(Table1346[[#This Row],[Home Team Score]]&gt;Table1346[[#This Row],[Away Team Score]],"Win",IF(Table1346[[#This Row],[Home Team Score]]=Table1346[[#This Row],[Away Team Score]],"Tie","Lose"))</f>
        <v>Win</v>
      </c>
      <c r="M876" t="s">
        <v>19</v>
      </c>
      <c r="N876">
        <v>59</v>
      </c>
      <c r="O876" s="3">
        <v>0.25</v>
      </c>
      <c r="P876" t="s">
        <v>26</v>
      </c>
      <c r="Q876" t="s">
        <v>257</v>
      </c>
      <c r="R876" t="e">
        <f>IF([1]!Table13[[#This Row],[Goal_assist]]="",1,0)</f>
        <v>#REF!</v>
      </c>
    </row>
    <row r="877" spans="1:18" x14ac:dyDescent="0.35">
      <c r="A877" t="s">
        <v>14</v>
      </c>
      <c r="B877" t="s">
        <v>279</v>
      </c>
      <c r="C877" t="s">
        <v>75</v>
      </c>
      <c r="D877" t="s">
        <v>76</v>
      </c>
      <c r="E877" s="2">
        <v>42346</v>
      </c>
      <c r="F877" t="s">
        <v>16</v>
      </c>
      <c r="G877" t="s">
        <v>112</v>
      </c>
      <c r="H877" t="s">
        <v>283</v>
      </c>
      <c r="I877" s="3">
        <v>0.33333333333333331</v>
      </c>
      <c r="J877" s="8" t="s">
        <v>447</v>
      </c>
      <c r="K877" s="8" t="s">
        <v>443</v>
      </c>
      <c r="L877" s="8" t="str">
        <f>IF(Table1346[[#This Row],[Home Team Score]]&gt;Table1346[[#This Row],[Away Team Score]],"Win",IF(Table1346[[#This Row],[Home Team Score]]=Table1346[[#This Row],[Away Team Score]],"Tie","Lose"))</f>
        <v>Win</v>
      </c>
      <c r="M877" t="s">
        <v>19</v>
      </c>
      <c r="N877">
        <v>50</v>
      </c>
      <c r="O877" s="3">
        <v>0.20833333333333334</v>
      </c>
      <c r="P877" t="s">
        <v>26</v>
      </c>
      <c r="Q877" t="s">
        <v>285</v>
      </c>
      <c r="R877" t="e">
        <f>IF([1]!Table13[[#This Row],[Goal_assist]]="",1,0)</f>
        <v>#REF!</v>
      </c>
    </row>
    <row r="878" spans="1:18" x14ac:dyDescent="0.35">
      <c r="A878" t="s">
        <v>14</v>
      </c>
      <c r="B878" t="s">
        <v>279</v>
      </c>
      <c r="C878" t="s">
        <v>75</v>
      </c>
      <c r="D878" t="s">
        <v>76</v>
      </c>
      <c r="E878" s="2">
        <v>42346</v>
      </c>
      <c r="F878" t="s">
        <v>16</v>
      </c>
      <c r="G878" t="s">
        <v>112</v>
      </c>
      <c r="H878" t="s">
        <v>283</v>
      </c>
      <c r="I878" s="3">
        <v>0.33333333333333331</v>
      </c>
      <c r="J878" s="8" t="s">
        <v>447</v>
      </c>
      <c r="K878" s="8" t="s">
        <v>443</v>
      </c>
      <c r="L878" s="8" t="str">
        <f>IF(Table1346[[#This Row],[Home Team Score]]&gt;Table1346[[#This Row],[Away Team Score]],"Win",IF(Table1346[[#This Row],[Home Team Score]]=Table1346[[#This Row],[Away Team Score]],"Tie","Lose"))</f>
        <v>Win</v>
      </c>
      <c r="M878" t="s">
        <v>19</v>
      </c>
      <c r="N878">
        <v>47</v>
      </c>
      <c r="O878" s="3">
        <v>0.16666666666666666</v>
      </c>
      <c r="P878" t="s">
        <v>55</v>
      </c>
      <c r="R878" t="e">
        <f>IF([1]!Table13[[#This Row],[Goal_assist]]="",1,0)</f>
        <v>#REF!</v>
      </c>
    </row>
    <row r="879" spans="1:18" x14ac:dyDescent="0.35">
      <c r="A879" t="s">
        <v>14</v>
      </c>
      <c r="B879" t="s">
        <v>279</v>
      </c>
      <c r="C879" t="s">
        <v>75</v>
      </c>
      <c r="D879" t="s">
        <v>76</v>
      </c>
      <c r="E879" s="2">
        <v>42346</v>
      </c>
      <c r="F879" t="s">
        <v>16</v>
      </c>
      <c r="G879" t="s">
        <v>112</v>
      </c>
      <c r="H879" t="s">
        <v>283</v>
      </c>
      <c r="I879" s="3">
        <v>0.33333333333333331</v>
      </c>
      <c r="J879" s="8" t="s">
        <v>447</v>
      </c>
      <c r="K879" s="8" t="s">
        <v>443</v>
      </c>
      <c r="L879" s="8" t="str">
        <f>IF(Table1346[[#This Row],[Home Team Score]]&gt;Table1346[[#This Row],[Away Team Score]],"Win",IF(Table1346[[#This Row],[Home Team Score]]=Table1346[[#This Row],[Away Team Score]],"Tie","Lose"))</f>
        <v>Win</v>
      </c>
      <c r="M879" t="s">
        <v>19</v>
      </c>
      <c r="N879">
        <v>39</v>
      </c>
      <c r="O879" s="3">
        <v>0.125</v>
      </c>
      <c r="P879" t="s">
        <v>39</v>
      </c>
      <c r="R879" t="e">
        <f>IF([1]!Table13[[#This Row],[Goal_assist]]="",1,0)</f>
        <v>#REF!</v>
      </c>
    </row>
    <row r="880" spans="1:18" x14ac:dyDescent="0.35">
      <c r="A880" t="s">
        <v>64</v>
      </c>
      <c r="B880" t="s">
        <v>279</v>
      </c>
      <c r="C880" t="s">
        <v>75</v>
      </c>
      <c r="D880" t="s">
        <v>76</v>
      </c>
      <c r="E880" s="2">
        <v>42347</v>
      </c>
      <c r="F880" t="s">
        <v>24</v>
      </c>
      <c r="G880" t="s">
        <v>66</v>
      </c>
      <c r="H880" t="s">
        <v>236</v>
      </c>
      <c r="I880" s="3">
        <v>4.2361111111111113E-2</v>
      </c>
      <c r="J880" s="8" t="s">
        <v>444</v>
      </c>
      <c r="K880" s="8" t="s">
        <v>444</v>
      </c>
      <c r="L880" s="8" t="str">
        <f>IF(Table1346[[#This Row],[Home Team Score]]&gt;Table1346[[#This Row],[Away Team Score]],"Win",IF(Table1346[[#This Row],[Home Team Score]]=Table1346[[#This Row],[Away Team Score]],"Tie","Lose"))</f>
        <v>Tie</v>
      </c>
      <c r="M880" t="s">
        <v>251</v>
      </c>
      <c r="N880">
        <v>20</v>
      </c>
      <c r="O880" s="3">
        <v>6.9444444444444447E-4</v>
      </c>
      <c r="P880" t="s">
        <v>26</v>
      </c>
      <c r="Q880" t="s">
        <v>276</v>
      </c>
      <c r="R880" t="e">
        <f>IF([1]!Table13[[#This Row],[Goal_assist]]="",1,0)</f>
        <v>#REF!</v>
      </c>
    </row>
    <row r="881" spans="1:18" x14ac:dyDescent="0.35">
      <c r="A881" t="s">
        <v>64</v>
      </c>
      <c r="B881" t="s">
        <v>279</v>
      </c>
      <c r="C881" t="s">
        <v>65</v>
      </c>
      <c r="D881">
        <v>15</v>
      </c>
      <c r="E881" s="2">
        <v>42350</v>
      </c>
      <c r="F881" t="s">
        <v>16</v>
      </c>
      <c r="G881" t="s">
        <v>66</v>
      </c>
      <c r="H881" t="s">
        <v>115</v>
      </c>
      <c r="I881" s="3">
        <v>8.4722222222222227E-2</v>
      </c>
      <c r="J881" s="8" t="s">
        <v>445</v>
      </c>
      <c r="K881" s="8" t="s">
        <v>445</v>
      </c>
      <c r="L881" s="8" t="str">
        <f>IF(Table1346[[#This Row],[Home Team Score]]&gt;Table1346[[#This Row],[Away Team Score]],"Win",IF(Table1346[[#This Row],[Home Team Score]]=Table1346[[#This Row],[Away Team Score]],"Tie","Lose"))</f>
        <v>Tie</v>
      </c>
      <c r="M881" t="s">
        <v>38</v>
      </c>
      <c r="N881">
        <v>39</v>
      </c>
      <c r="O881" s="3">
        <v>4.1666666666666664E-2</v>
      </c>
      <c r="P881" t="s">
        <v>39</v>
      </c>
      <c r="R881" t="e">
        <f>IF([1]!Table13[[#This Row],[Goal_assist]]="",1,0)</f>
        <v>#REF!</v>
      </c>
    </row>
    <row r="882" spans="1:18" x14ac:dyDescent="0.35">
      <c r="A882" t="s">
        <v>14</v>
      </c>
      <c r="B882" t="s">
        <v>279</v>
      </c>
      <c r="C882" t="s">
        <v>65</v>
      </c>
      <c r="D882">
        <v>16</v>
      </c>
      <c r="E882" s="2">
        <v>42358</v>
      </c>
      <c r="F882" t="s">
        <v>16</v>
      </c>
      <c r="G882" t="s">
        <v>112</v>
      </c>
      <c r="H882" t="s">
        <v>225</v>
      </c>
      <c r="I882" s="3">
        <v>0.41805555555555557</v>
      </c>
      <c r="J882" s="8" t="s">
        <v>452</v>
      </c>
      <c r="K882" s="8" t="s">
        <v>445</v>
      </c>
      <c r="L882" s="8" t="str">
        <f>IF(Table1346[[#This Row],[Home Team Score]]&gt;Table1346[[#This Row],[Away Team Score]],"Win",IF(Table1346[[#This Row],[Home Team Score]]=Table1346[[#This Row],[Away Team Score]],"Tie","Lose"))</f>
        <v>Win</v>
      </c>
      <c r="M882" t="s">
        <v>19</v>
      </c>
      <c r="N882">
        <v>54</v>
      </c>
      <c r="O882" s="3">
        <v>0.25138888888888888</v>
      </c>
      <c r="P882" t="s">
        <v>22</v>
      </c>
      <c r="Q882" t="s">
        <v>268</v>
      </c>
      <c r="R882" t="e">
        <f>IF([1]!Table13[[#This Row],[Goal_assist]]="",1,0)</f>
        <v>#REF!</v>
      </c>
    </row>
    <row r="883" spans="1:18" x14ac:dyDescent="0.35">
      <c r="A883" t="s">
        <v>14</v>
      </c>
      <c r="B883" t="s">
        <v>279</v>
      </c>
      <c r="C883" t="s">
        <v>65</v>
      </c>
      <c r="D883">
        <v>16</v>
      </c>
      <c r="E883" s="2">
        <v>42358</v>
      </c>
      <c r="F883" t="s">
        <v>16</v>
      </c>
      <c r="G883" t="s">
        <v>112</v>
      </c>
      <c r="H883" t="s">
        <v>225</v>
      </c>
      <c r="I883" s="3">
        <v>0.41805555555555557</v>
      </c>
      <c r="J883" s="8" t="s">
        <v>452</v>
      </c>
      <c r="K883" s="8" t="s">
        <v>445</v>
      </c>
      <c r="L883" s="8" t="str">
        <f>IF(Table1346[[#This Row],[Home Team Score]]&gt;Table1346[[#This Row],[Away Team Score]],"Win",IF(Table1346[[#This Row],[Home Team Score]]=Table1346[[#This Row],[Away Team Score]],"Tie","Lose"))</f>
        <v>Win</v>
      </c>
      <c r="M883" t="s">
        <v>19</v>
      </c>
      <c r="N883">
        <v>30</v>
      </c>
      <c r="O883" s="3">
        <v>0.12638888888888888</v>
      </c>
      <c r="P883" t="s">
        <v>83</v>
      </c>
      <c r="R883" t="e">
        <f>IF([1]!Table13[[#This Row],[Goal_assist]]="",1,0)</f>
        <v>#REF!</v>
      </c>
    </row>
    <row r="884" spans="1:18" x14ac:dyDescent="0.35">
      <c r="A884" t="s">
        <v>64</v>
      </c>
      <c r="B884" t="s">
        <v>279</v>
      </c>
      <c r="C884" t="s">
        <v>163</v>
      </c>
      <c r="D884" t="s">
        <v>46</v>
      </c>
      <c r="E884" s="2">
        <v>42358</v>
      </c>
      <c r="F884" t="s">
        <v>24</v>
      </c>
      <c r="G884" t="s">
        <v>66</v>
      </c>
      <c r="H884" t="s">
        <v>286</v>
      </c>
      <c r="I884" s="3">
        <v>2.0833333333333333E-3</v>
      </c>
      <c r="J884" s="8" t="s">
        <v>443</v>
      </c>
      <c r="K884" s="8" t="s">
        <v>442</v>
      </c>
      <c r="L884" s="8" t="str">
        <f>IF(Table1346[[#This Row],[Home Team Score]]&gt;Table1346[[#This Row],[Away Team Score]],"Win",IF(Table1346[[#This Row],[Home Team Score]]=Table1346[[#This Row],[Away Team Score]],"Tie","Lose"))</f>
        <v>Lose</v>
      </c>
      <c r="M884" t="s">
        <v>38</v>
      </c>
      <c r="N884">
        <v>36</v>
      </c>
      <c r="O884" s="3">
        <v>6.9444444444444447E-4</v>
      </c>
      <c r="P884" t="s">
        <v>31</v>
      </c>
      <c r="Q884" t="s">
        <v>256</v>
      </c>
      <c r="R884" t="e">
        <f>IF([1]!Table13[[#This Row],[Goal_assist]]="",1,0)</f>
        <v>#REF!</v>
      </c>
    </row>
    <row r="885" spans="1:18" x14ac:dyDescent="0.35">
      <c r="A885" t="s">
        <v>14</v>
      </c>
      <c r="B885" t="s">
        <v>279</v>
      </c>
      <c r="C885" t="s">
        <v>65</v>
      </c>
      <c r="D885">
        <v>17</v>
      </c>
      <c r="E885" s="2">
        <v>42368</v>
      </c>
      <c r="F885" t="s">
        <v>16</v>
      </c>
      <c r="G885" t="s">
        <v>112</v>
      </c>
      <c r="H885" t="s">
        <v>217</v>
      </c>
      <c r="I885" s="3">
        <v>0.12569444444444444</v>
      </c>
      <c r="J885" s="8" t="s">
        <v>442</v>
      </c>
      <c r="K885" s="8" t="s">
        <v>444</v>
      </c>
      <c r="L885" s="8" t="str">
        <f>IF(Table1346[[#This Row],[Home Team Score]]&gt;Table1346[[#This Row],[Away Team Score]],"Win",IF(Table1346[[#This Row],[Home Team Score]]=Table1346[[#This Row],[Away Team Score]],"Tie","Lose"))</f>
        <v>Win</v>
      </c>
      <c r="M885" t="s">
        <v>19</v>
      </c>
      <c r="N885">
        <v>68</v>
      </c>
      <c r="O885" s="3">
        <v>8.4027777777777785E-2</v>
      </c>
      <c r="P885" t="s">
        <v>31</v>
      </c>
      <c r="Q885" t="s">
        <v>201</v>
      </c>
      <c r="R885" t="e">
        <f>IF([1]!Table13[[#This Row],[Goal_assist]]="",1,0)</f>
        <v>#REF!</v>
      </c>
    </row>
    <row r="886" spans="1:18" x14ac:dyDescent="0.35">
      <c r="A886" t="s">
        <v>14</v>
      </c>
      <c r="B886" t="s">
        <v>279</v>
      </c>
      <c r="C886" t="s">
        <v>65</v>
      </c>
      <c r="D886">
        <v>17</v>
      </c>
      <c r="E886" s="2">
        <v>42368</v>
      </c>
      <c r="F886" t="s">
        <v>16</v>
      </c>
      <c r="G886" t="s">
        <v>112</v>
      </c>
      <c r="H886" t="s">
        <v>217</v>
      </c>
      <c r="I886" s="3">
        <v>0.12569444444444444</v>
      </c>
      <c r="J886" s="8" t="s">
        <v>442</v>
      </c>
      <c r="K886" s="8" t="s">
        <v>444</v>
      </c>
      <c r="L886" s="8" t="str">
        <f>IF(Table1346[[#This Row],[Home Team Score]]&gt;Table1346[[#This Row],[Away Team Score]],"Win",IF(Table1346[[#This Row],[Home Team Score]]=Table1346[[#This Row],[Away Team Score]],"Tie","Lose"))</f>
        <v>Win</v>
      </c>
      <c r="M886" t="s">
        <v>19</v>
      </c>
      <c r="N886">
        <v>42</v>
      </c>
      <c r="O886" s="3">
        <v>4.1666666666666664E-2</v>
      </c>
      <c r="P886" t="s">
        <v>83</v>
      </c>
      <c r="R886" t="e">
        <f>IF([1]!Table13[[#This Row],[Goal_assist]]="",1,0)</f>
        <v>#REF!</v>
      </c>
    </row>
    <row r="887" spans="1:18" x14ac:dyDescent="0.35">
      <c r="A887" t="s">
        <v>64</v>
      </c>
      <c r="B887" t="s">
        <v>279</v>
      </c>
      <c r="C887" t="s">
        <v>65</v>
      </c>
      <c r="D887">
        <v>17</v>
      </c>
      <c r="E887" s="2">
        <v>42368</v>
      </c>
      <c r="F887" t="s">
        <v>16</v>
      </c>
      <c r="G887" t="s">
        <v>66</v>
      </c>
      <c r="H887" t="s">
        <v>95</v>
      </c>
      <c r="I887" s="3">
        <v>0.16666666666666666</v>
      </c>
      <c r="J887" s="8" t="s">
        <v>446</v>
      </c>
      <c r="K887" s="8" t="s">
        <v>443</v>
      </c>
      <c r="L887" s="8" t="str">
        <f>IF(Table1346[[#This Row],[Home Team Score]]&gt;Table1346[[#This Row],[Away Team Score]],"Win",IF(Table1346[[#This Row],[Home Team Score]]=Table1346[[#This Row],[Away Team Score]],"Tie","Lose"))</f>
        <v>Win</v>
      </c>
      <c r="M887" t="s">
        <v>275</v>
      </c>
      <c r="N887">
        <v>33</v>
      </c>
      <c r="O887" s="3">
        <v>8.3333333333333329E-2</v>
      </c>
      <c r="P887" t="s">
        <v>26</v>
      </c>
      <c r="Q887" t="s">
        <v>256</v>
      </c>
      <c r="R887" t="e">
        <f>IF([1]!Table13[[#This Row],[Goal_assist]]="",1,0)</f>
        <v>#REF!</v>
      </c>
    </row>
    <row r="888" spans="1:18" x14ac:dyDescent="0.35">
      <c r="A888" t="s">
        <v>64</v>
      </c>
      <c r="B888" t="s">
        <v>279</v>
      </c>
      <c r="C888" t="s">
        <v>91</v>
      </c>
      <c r="D888" t="s">
        <v>143</v>
      </c>
      <c r="E888" s="2">
        <v>42375</v>
      </c>
      <c r="F888" t="s">
        <v>16</v>
      </c>
      <c r="G888" t="s">
        <v>66</v>
      </c>
      <c r="H888" t="s">
        <v>121</v>
      </c>
      <c r="I888" s="3">
        <v>0.1673611111111111</v>
      </c>
      <c r="J888" s="8" t="s">
        <v>446</v>
      </c>
      <c r="K888" s="8" t="s">
        <v>444</v>
      </c>
      <c r="L888" s="8" t="str">
        <f>IF(Table1346[[#This Row],[Home Team Score]]&gt;Table1346[[#This Row],[Away Team Score]],"Win",IF(Table1346[[#This Row],[Home Team Score]]=Table1346[[#This Row],[Away Team Score]],"Tie","Lose"))</f>
        <v>Win</v>
      </c>
      <c r="M888" t="s">
        <v>38</v>
      </c>
      <c r="N888">
        <v>44</v>
      </c>
      <c r="O888" s="3">
        <v>8.4027777777777785E-2</v>
      </c>
      <c r="P888" t="s">
        <v>39</v>
      </c>
      <c r="R888" t="e">
        <f>IF([1]!Table13[[#This Row],[Goal_assist]]="",1,0)</f>
        <v>#REF!</v>
      </c>
    </row>
    <row r="889" spans="1:18" x14ac:dyDescent="0.35">
      <c r="A889" t="s">
        <v>64</v>
      </c>
      <c r="B889" t="s">
        <v>279</v>
      </c>
      <c r="C889" t="s">
        <v>91</v>
      </c>
      <c r="D889" t="s">
        <v>143</v>
      </c>
      <c r="E889" s="2">
        <v>42375</v>
      </c>
      <c r="F889" t="s">
        <v>16</v>
      </c>
      <c r="G889" t="s">
        <v>66</v>
      </c>
      <c r="H889" t="s">
        <v>121</v>
      </c>
      <c r="I889" s="3">
        <v>0.1673611111111111</v>
      </c>
      <c r="J889" s="8" t="s">
        <v>446</v>
      </c>
      <c r="K889" s="8" t="s">
        <v>444</v>
      </c>
      <c r="L889" s="8" t="str">
        <f>IF(Table1346[[#This Row],[Home Team Score]]&gt;Table1346[[#This Row],[Away Team Score]],"Win",IF(Table1346[[#This Row],[Home Team Score]]=Table1346[[#This Row],[Away Team Score]],"Tie","Lose"))</f>
        <v>Win</v>
      </c>
      <c r="M889" t="s">
        <v>38</v>
      </c>
      <c r="N889">
        <v>13</v>
      </c>
      <c r="O889" s="3">
        <v>4.2361111111111113E-2</v>
      </c>
      <c r="P889" t="s">
        <v>31</v>
      </c>
      <c r="Q889" t="s">
        <v>99</v>
      </c>
      <c r="R889" t="e">
        <f>IF([1]!Table13[[#This Row],[Goal_assist]]="",1,0)</f>
        <v>#REF!</v>
      </c>
    </row>
    <row r="890" spans="1:18" x14ac:dyDescent="0.35">
      <c r="A890" t="s">
        <v>64</v>
      </c>
      <c r="B890" t="s">
        <v>279</v>
      </c>
      <c r="C890" t="s">
        <v>65</v>
      </c>
      <c r="D890">
        <v>19</v>
      </c>
      <c r="E890" s="2">
        <v>42378</v>
      </c>
      <c r="F890" t="s">
        <v>16</v>
      </c>
      <c r="G890" t="s">
        <v>66</v>
      </c>
      <c r="H890" t="s">
        <v>233</v>
      </c>
      <c r="I890" s="3">
        <v>0.16666666666666666</v>
      </c>
      <c r="J890" s="8" t="s">
        <v>446</v>
      </c>
      <c r="K890" s="8" t="s">
        <v>443</v>
      </c>
      <c r="L890" s="8" t="str">
        <f>IF(Table1346[[#This Row],[Home Team Score]]&gt;Table1346[[#This Row],[Away Team Score]],"Win",IF(Table1346[[#This Row],[Home Team Score]]=Table1346[[#This Row],[Away Team Score]],"Tie","Lose"))</f>
        <v>Win</v>
      </c>
      <c r="M890" t="s">
        <v>275</v>
      </c>
      <c r="N890">
        <v>8</v>
      </c>
      <c r="O890" s="3">
        <v>4.1666666666666664E-2</v>
      </c>
      <c r="P890" t="s">
        <v>31</v>
      </c>
      <c r="Q890" t="s">
        <v>287</v>
      </c>
      <c r="R890" t="e">
        <f>IF([1]!Table13[[#This Row],[Goal_assist]]="",1,0)</f>
        <v>#REF!</v>
      </c>
    </row>
    <row r="891" spans="1:18" x14ac:dyDescent="0.35">
      <c r="A891" t="s">
        <v>64</v>
      </c>
      <c r="B891" t="s">
        <v>279</v>
      </c>
      <c r="C891" t="s">
        <v>65</v>
      </c>
      <c r="D891">
        <v>19</v>
      </c>
      <c r="E891" s="2">
        <v>42378</v>
      </c>
      <c r="F891" t="s">
        <v>16</v>
      </c>
      <c r="G891" t="s">
        <v>66</v>
      </c>
      <c r="H891" t="s">
        <v>233</v>
      </c>
      <c r="I891" s="3">
        <v>0.16666666666666666</v>
      </c>
      <c r="J891" s="8" t="s">
        <v>446</v>
      </c>
      <c r="K891" s="8" t="s">
        <v>443</v>
      </c>
      <c r="L891" s="8" t="str">
        <f>IF(Table1346[[#This Row],[Home Team Score]]&gt;Table1346[[#This Row],[Away Team Score]],"Win",IF(Table1346[[#This Row],[Home Team Score]]=Table1346[[#This Row],[Away Team Score]],"Tie","Lose"))</f>
        <v>Win</v>
      </c>
      <c r="M891" t="s">
        <v>275</v>
      </c>
      <c r="N891">
        <v>58</v>
      </c>
      <c r="O891" s="3">
        <v>0.125</v>
      </c>
      <c r="P891" t="s">
        <v>55</v>
      </c>
      <c r="R891" t="e">
        <f>IF([1]!Table13[[#This Row],[Goal_assist]]="",1,0)</f>
        <v>#REF!</v>
      </c>
    </row>
    <row r="892" spans="1:18" x14ac:dyDescent="0.35">
      <c r="A892" t="s">
        <v>64</v>
      </c>
      <c r="B892" t="s">
        <v>279</v>
      </c>
      <c r="C892" t="s">
        <v>65</v>
      </c>
      <c r="D892">
        <v>19</v>
      </c>
      <c r="E892" s="2">
        <v>42378</v>
      </c>
      <c r="F892" t="s">
        <v>16</v>
      </c>
      <c r="G892" t="s">
        <v>66</v>
      </c>
      <c r="H892" t="s">
        <v>233</v>
      </c>
      <c r="I892" s="3">
        <v>0.16666666666666666</v>
      </c>
      <c r="J892" s="8" t="s">
        <v>446</v>
      </c>
      <c r="K892" s="8" t="s">
        <v>443</v>
      </c>
      <c r="L892" s="8" t="str">
        <f>IF(Table1346[[#This Row],[Home Team Score]]&gt;Table1346[[#This Row],[Away Team Score]],"Win",IF(Table1346[[#This Row],[Home Team Score]]=Table1346[[#This Row],[Away Team Score]],"Tie","Lose"))</f>
        <v>Win</v>
      </c>
      <c r="M892" t="s">
        <v>275</v>
      </c>
      <c r="N892">
        <v>14</v>
      </c>
      <c r="O892" s="3">
        <v>8.3333333333333329E-2</v>
      </c>
      <c r="P892" t="s">
        <v>31</v>
      </c>
      <c r="Q892" t="s">
        <v>273</v>
      </c>
      <c r="R892" t="e">
        <f>IF([1]!Table13[[#This Row],[Goal_assist]]="",1,0)</f>
        <v>#REF!</v>
      </c>
    </row>
    <row r="893" spans="1:18" x14ac:dyDescent="0.35">
      <c r="A893" t="s">
        <v>14</v>
      </c>
      <c r="B893" t="s">
        <v>279</v>
      </c>
      <c r="C893" t="s">
        <v>65</v>
      </c>
      <c r="D893">
        <v>20</v>
      </c>
      <c r="E893" s="2">
        <v>42386</v>
      </c>
      <c r="F893" t="s">
        <v>16</v>
      </c>
      <c r="G893" t="s">
        <v>112</v>
      </c>
      <c r="H893" t="s">
        <v>151</v>
      </c>
      <c r="I893" s="3">
        <v>0.20902777777777778</v>
      </c>
      <c r="J893" s="8" t="s">
        <v>448</v>
      </c>
      <c r="K893" s="8" t="s">
        <v>444</v>
      </c>
      <c r="L893" s="8" t="str">
        <f>IF(Table1346[[#This Row],[Home Team Score]]&gt;Table1346[[#This Row],[Away Team Score]],"Win",IF(Table1346[[#This Row],[Home Team Score]]=Table1346[[#This Row],[Away Team Score]],"Tie","Lose"))</f>
        <v>Win</v>
      </c>
      <c r="M893" t="s">
        <v>19</v>
      </c>
      <c r="N893">
        <v>18</v>
      </c>
      <c r="O893" s="3">
        <v>0.16666666666666666</v>
      </c>
      <c r="P893" t="s">
        <v>31</v>
      </c>
      <c r="Q893" t="s">
        <v>262</v>
      </c>
      <c r="R893" t="e">
        <f>IF([1]!Table13[[#This Row],[Goal_assist]]="",1,0)</f>
        <v>#REF!</v>
      </c>
    </row>
    <row r="894" spans="1:18" x14ac:dyDescent="0.35">
      <c r="A894" t="s">
        <v>14</v>
      </c>
      <c r="B894" t="s">
        <v>279</v>
      </c>
      <c r="C894" t="s">
        <v>65</v>
      </c>
      <c r="D894">
        <v>20</v>
      </c>
      <c r="E894" s="2">
        <v>42386</v>
      </c>
      <c r="F894" t="s">
        <v>16</v>
      </c>
      <c r="G894" t="s">
        <v>112</v>
      </c>
      <c r="H894" t="s">
        <v>151</v>
      </c>
      <c r="I894" s="3">
        <v>0.20902777777777778</v>
      </c>
      <c r="J894" s="8" t="s">
        <v>448</v>
      </c>
      <c r="K894" s="8" t="s">
        <v>444</v>
      </c>
      <c r="L894" s="8" t="str">
        <f>IF(Table1346[[#This Row],[Home Team Score]]&gt;Table1346[[#This Row],[Away Team Score]],"Win",IF(Table1346[[#This Row],[Home Team Score]]=Table1346[[#This Row],[Away Team Score]],"Tie","Lose"))</f>
        <v>Win</v>
      </c>
      <c r="M894" t="s">
        <v>19</v>
      </c>
      <c r="N894">
        <v>9</v>
      </c>
      <c r="O894" s="3">
        <v>8.3333333333333329E-2</v>
      </c>
      <c r="P894" t="s">
        <v>31</v>
      </c>
      <c r="Q894" t="s">
        <v>183</v>
      </c>
      <c r="R894" t="e">
        <f>IF([1]!Table13[[#This Row],[Goal_assist]]="",1,0)</f>
        <v>#REF!</v>
      </c>
    </row>
    <row r="895" spans="1:18" x14ac:dyDescent="0.35">
      <c r="A895" t="s">
        <v>64</v>
      </c>
      <c r="B895" t="s">
        <v>279</v>
      </c>
      <c r="C895" t="s">
        <v>65</v>
      </c>
      <c r="D895">
        <v>20</v>
      </c>
      <c r="E895" s="2">
        <v>42386</v>
      </c>
      <c r="F895" t="s">
        <v>16</v>
      </c>
      <c r="G895" t="s">
        <v>66</v>
      </c>
      <c r="H895" t="s">
        <v>86</v>
      </c>
      <c r="I895" s="3">
        <v>0.25</v>
      </c>
      <c r="J895" s="8" t="s">
        <v>450</v>
      </c>
      <c r="K895" s="8" t="s">
        <v>443</v>
      </c>
      <c r="L895" s="8" t="str">
        <f>IF(Table1346[[#This Row],[Home Team Score]]&gt;Table1346[[#This Row],[Away Team Score]],"Win",IF(Table1346[[#This Row],[Home Team Score]]=Table1346[[#This Row],[Away Team Score]],"Tie","Lose"))</f>
        <v>Win</v>
      </c>
      <c r="M895" t="s">
        <v>38</v>
      </c>
      <c r="N895">
        <v>7</v>
      </c>
      <c r="O895" s="3">
        <v>4.1666666666666664E-2</v>
      </c>
      <c r="P895" t="s">
        <v>83</v>
      </c>
      <c r="R895" t="e">
        <f>IF([1]!Table13[[#This Row],[Goal_assist]]="",1,0)</f>
        <v>#REF!</v>
      </c>
    </row>
    <row r="896" spans="1:18" x14ac:dyDescent="0.35">
      <c r="A896" t="s">
        <v>64</v>
      </c>
      <c r="B896" t="s">
        <v>279</v>
      </c>
      <c r="C896" t="s">
        <v>65</v>
      </c>
      <c r="D896">
        <v>21</v>
      </c>
      <c r="E896" s="2">
        <v>42392</v>
      </c>
      <c r="F896" t="s">
        <v>24</v>
      </c>
      <c r="G896" t="s">
        <v>66</v>
      </c>
      <c r="H896" t="s">
        <v>157</v>
      </c>
      <c r="I896" s="3">
        <v>4.3055555555555555E-2</v>
      </c>
      <c r="J896" s="8" t="s">
        <v>444</v>
      </c>
      <c r="K896" s="8" t="s">
        <v>445</v>
      </c>
      <c r="L896" s="8" t="str">
        <f>IF(Table1346[[#This Row],[Home Team Score]]&gt;Table1346[[#This Row],[Away Team Score]],"Win",IF(Table1346[[#This Row],[Home Team Score]]=Table1346[[#This Row],[Away Team Score]],"Tie","Lose"))</f>
        <v>Lose</v>
      </c>
      <c r="M896" t="s">
        <v>38</v>
      </c>
      <c r="N896">
        <v>51</v>
      </c>
      <c r="O896" s="3">
        <v>4.3055555555555555E-2</v>
      </c>
      <c r="P896" t="s">
        <v>31</v>
      </c>
      <c r="Q896" t="s">
        <v>215</v>
      </c>
      <c r="R896" t="e">
        <f>IF([1]!Table13[[#This Row],[Goal_assist]]="",1,0)</f>
        <v>#REF!</v>
      </c>
    </row>
    <row r="897" spans="1:18" x14ac:dyDescent="0.35">
      <c r="A897" t="s">
        <v>64</v>
      </c>
      <c r="B897" t="s">
        <v>279</v>
      </c>
      <c r="C897" t="s">
        <v>65</v>
      </c>
      <c r="D897">
        <v>22</v>
      </c>
      <c r="E897" s="2">
        <v>42399</v>
      </c>
      <c r="F897" t="s">
        <v>16</v>
      </c>
      <c r="G897" t="s">
        <v>66</v>
      </c>
      <c r="H897" t="s">
        <v>119</v>
      </c>
      <c r="I897" s="3">
        <v>8.4027777777777785E-2</v>
      </c>
      <c r="J897" s="8" t="s">
        <v>445</v>
      </c>
      <c r="K897" s="8" t="s">
        <v>444</v>
      </c>
      <c r="L897" s="8" t="str">
        <f>IF(Table1346[[#This Row],[Home Team Score]]&gt;Table1346[[#This Row],[Away Team Score]],"Win",IF(Table1346[[#This Row],[Home Team Score]]=Table1346[[#This Row],[Away Team Score]],"Tie","Lose"))</f>
        <v>Win</v>
      </c>
      <c r="M897" t="s">
        <v>38</v>
      </c>
      <c r="N897">
        <v>30</v>
      </c>
      <c r="O897" s="3">
        <v>4.2361111111111113E-2</v>
      </c>
      <c r="P897" t="s">
        <v>31</v>
      </c>
      <c r="Q897" t="s">
        <v>243</v>
      </c>
      <c r="R897" t="e">
        <f>IF([1]!Table13[[#This Row],[Goal_assist]]="",1,0)</f>
        <v>#REF!</v>
      </c>
    </row>
    <row r="898" spans="1:18" x14ac:dyDescent="0.35">
      <c r="A898" t="s">
        <v>14</v>
      </c>
      <c r="B898" t="s">
        <v>279</v>
      </c>
      <c r="C898" t="s">
        <v>65</v>
      </c>
      <c r="D898">
        <v>22</v>
      </c>
      <c r="E898" s="2">
        <v>42400</v>
      </c>
      <c r="F898" t="s">
        <v>16</v>
      </c>
      <c r="G898" t="s">
        <v>112</v>
      </c>
      <c r="H898" t="s">
        <v>121</v>
      </c>
      <c r="I898" s="3">
        <v>0.25</v>
      </c>
      <c r="J898" s="8" t="s">
        <v>450</v>
      </c>
      <c r="K898" s="8" t="s">
        <v>443</v>
      </c>
      <c r="L898" s="8" t="str">
        <f>IF(Table1346[[#This Row],[Home Team Score]]&gt;Table1346[[#This Row],[Away Team Score]],"Win",IF(Table1346[[#This Row],[Home Team Score]]=Table1346[[#This Row],[Away Team Score]],"Tie","Lose"))</f>
        <v>Win</v>
      </c>
      <c r="M898" t="s">
        <v>19</v>
      </c>
      <c r="N898">
        <v>82</v>
      </c>
      <c r="O898" s="3">
        <v>0.20833333333333334</v>
      </c>
      <c r="P898" t="s">
        <v>22</v>
      </c>
      <c r="Q898" t="s">
        <v>288</v>
      </c>
      <c r="R898" t="e">
        <f>IF([1]!Table13[[#This Row],[Goal_assist]]="",1,0)</f>
        <v>#REF!</v>
      </c>
    </row>
    <row r="899" spans="1:18" x14ac:dyDescent="0.35">
      <c r="A899" t="s">
        <v>14</v>
      </c>
      <c r="B899" t="s">
        <v>279</v>
      </c>
      <c r="C899" t="s">
        <v>65</v>
      </c>
      <c r="D899">
        <v>22</v>
      </c>
      <c r="E899" s="2">
        <v>42400</v>
      </c>
      <c r="F899" t="s">
        <v>16</v>
      </c>
      <c r="G899" t="s">
        <v>112</v>
      </c>
      <c r="H899" t="s">
        <v>121</v>
      </c>
      <c r="I899" s="3">
        <v>0.25</v>
      </c>
      <c r="J899" s="8" t="s">
        <v>450</v>
      </c>
      <c r="K899" s="8" t="s">
        <v>443</v>
      </c>
      <c r="L899" s="8" t="str">
        <f>IF(Table1346[[#This Row],[Home Team Score]]&gt;Table1346[[#This Row],[Away Team Score]],"Win",IF(Table1346[[#This Row],[Home Team Score]]=Table1346[[#This Row],[Away Team Score]],"Tie","Lose"))</f>
        <v>Win</v>
      </c>
      <c r="M899" t="s">
        <v>19</v>
      </c>
      <c r="N899">
        <v>12</v>
      </c>
      <c r="O899" s="3">
        <v>8.3333333333333329E-2</v>
      </c>
      <c r="P899" t="s">
        <v>83</v>
      </c>
      <c r="R899" t="e">
        <f>IF([1]!Table13[[#This Row],[Goal_assist]]="",1,0)</f>
        <v>#REF!</v>
      </c>
    </row>
    <row r="900" spans="1:18" x14ac:dyDescent="0.35">
      <c r="A900" t="s">
        <v>14</v>
      </c>
      <c r="B900" t="s">
        <v>279</v>
      </c>
      <c r="C900" t="s">
        <v>65</v>
      </c>
      <c r="D900">
        <v>22</v>
      </c>
      <c r="E900" s="2">
        <v>42400</v>
      </c>
      <c r="F900" t="s">
        <v>16</v>
      </c>
      <c r="G900" t="s">
        <v>112</v>
      </c>
      <c r="H900" t="s">
        <v>121</v>
      </c>
      <c r="I900" s="3">
        <v>0.25</v>
      </c>
      <c r="J900" s="8" t="s">
        <v>450</v>
      </c>
      <c r="K900" s="8" t="s">
        <v>443</v>
      </c>
      <c r="L900" s="8" t="str">
        <f>IF(Table1346[[#This Row],[Home Team Score]]&gt;Table1346[[#This Row],[Away Team Score]],"Win",IF(Table1346[[#This Row],[Home Team Score]]=Table1346[[#This Row],[Away Team Score]],"Tie","Lose"))</f>
        <v>Win</v>
      </c>
      <c r="M900" t="s">
        <v>19</v>
      </c>
      <c r="N900">
        <v>45</v>
      </c>
      <c r="O900" s="3">
        <v>0.16666666666666666</v>
      </c>
      <c r="P900" t="s">
        <v>31</v>
      </c>
      <c r="R900" t="e">
        <f>IF([1]!Table13[[#This Row],[Goal_assist]]="",1,0)</f>
        <v>#REF!</v>
      </c>
    </row>
    <row r="901" spans="1:18" x14ac:dyDescent="0.35">
      <c r="A901" t="s">
        <v>64</v>
      </c>
      <c r="B901" t="s">
        <v>279</v>
      </c>
      <c r="C901" t="s">
        <v>91</v>
      </c>
      <c r="D901" t="s">
        <v>62</v>
      </c>
      <c r="E901" s="2">
        <v>42403</v>
      </c>
      <c r="F901" t="s">
        <v>16</v>
      </c>
      <c r="G901" t="s">
        <v>66</v>
      </c>
      <c r="H901" t="s">
        <v>148</v>
      </c>
      <c r="I901" s="3">
        <v>0.29166666666666669</v>
      </c>
      <c r="J901" s="8" t="s">
        <v>449</v>
      </c>
      <c r="K901" s="8" t="s">
        <v>443</v>
      </c>
      <c r="L901" s="8" t="str">
        <f>IF(Table1346[[#This Row],[Home Team Score]]&gt;Table1346[[#This Row],[Away Team Score]],"Win",IF(Table1346[[#This Row],[Home Team Score]]=Table1346[[#This Row],[Away Team Score]],"Tie","Lose"))</f>
        <v>Win</v>
      </c>
      <c r="M901" t="s">
        <v>38</v>
      </c>
      <c r="N901">
        <v>59</v>
      </c>
      <c r="O901" s="3">
        <v>0.16666666666666666</v>
      </c>
      <c r="P901" t="s">
        <v>31</v>
      </c>
      <c r="Q901" t="s">
        <v>273</v>
      </c>
      <c r="R901" t="e">
        <f>IF([1]!Table13[[#This Row],[Goal_assist]]="",1,0)</f>
        <v>#REF!</v>
      </c>
    </row>
    <row r="902" spans="1:18" x14ac:dyDescent="0.35">
      <c r="A902" t="s">
        <v>64</v>
      </c>
      <c r="B902" t="s">
        <v>279</v>
      </c>
      <c r="C902" t="s">
        <v>91</v>
      </c>
      <c r="D902" t="s">
        <v>62</v>
      </c>
      <c r="E902" s="2">
        <v>42403</v>
      </c>
      <c r="F902" t="s">
        <v>16</v>
      </c>
      <c r="G902" t="s">
        <v>66</v>
      </c>
      <c r="H902" t="s">
        <v>148</v>
      </c>
      <c r="I902" s="3">
        <v>0.29166666666666669</v>
      </c>
      <c r="J902" s="8" t="s">
        <v>449</v>
      </c>
      <c r="K902" s="8" t="s">
        <v>443</v>
      </c>
      <c r="L902" s="8" t="str">
        <f>IF(Table1346[[#This Row],[Home Team Score]]&gt;Table1346[[#This Row],[Away Team Score]],"Win",IF(Table1346[[#This Row],[Home Team Score]]=Table1346[[#This Row],[Away Team Score]],"Tie","Lose"))</f>
        <v>Win</v>
      </c>
      <c r="M902" t="s">
        <v>38</v>
      </c>
      <c r="N902">
        <v>74</v>
      </c>
      <c r="O902" s="3">
        <v>0.20833333333333334</v>
      </c>
      <c r="P902" t="s">
        <v>31</v>
      </c>
      <c r="R902" t="e">
        <f>IF([1]!Table13[[#This Row],[Goal_assist]]="",1,0)</f>
        <v>#REF!</v>
      </c>
    </row>
    <row r="903" spans="1:18" x14ac:dyDescent="0.35">
      <c r="A903" t="s">
        <v>64</v>
      </c>
      <c r="B903" t="s">
        <v>279</v>
      </c>
      <c r="C903" t="s">
        <v>91</v>
      </c>
      <c r="D903" t="s">
        <v>62</v>
      </c>
      <c r="E903" s="2">
        <v>42403</v>
      </c>
      <c r="F903" t="s">
        <v>16</v>
      </c>
      <c r="G903" t="s">
        <v>66</v>
      </c>
      <c r="H903" t="s">
        <v>148</v>
      </c>
      <c r="I903" s="3">
        <v>0.29166666666666669</v>
      </c>
      <c r="J903" s="8" t="s">
        <v>449</v>
      </c>
      <c r="K903" s="8" t="s">
        <v>443</v>
      </c>
      <c r="L903" s="8" t="str">
        <f>IF(Table1346[[#This Row],[Home Team Score]]&gt;Table1346[[#This Row],[Away Team Score]],"Win",IF(Table1346[[#This Row],[Home Team Score]]=Table1346[[#This Row],[Away Team Score]],"Tie","Lose"))</f>
        <v>Win</v>
      </c>
      <c r="M903" t="s">
        <v>38</v>
      </c>
      <c r="N903">
        <v>29</v>
      </c>
      <c r="O903" s="3">
        <v>0.125</v>
      </c>
      <c r="P903" t="s">
        <v>31</v>
      </c>
      <c r="Q903" t="s">
        <v>256</v>
      </c>
      <c r="R903" t="e">
        <f>IF([1]!Table13[[#This Row],[Goal_assist]]="",1,0)</f>
        <v>#REF!</v>
      </c>
    </row>
    <row r="904" spans="1:18" x14ac:dyDescent="0.35">
      <c r="A904" t="s">
        <v>14</v>
      </c>
      <c r="B904" t="s">
        <v>279</v>
      </c>
      <c r="C904" t="s">
        <v>65</v>
      </c>
      <c r="D904">
        <v>24</v>
      </c>
      <c r="E904" s="2">
        <v>42413</v>
      </c>
      <c r="F904" t="s">
        <v>16</v>
      </c>
      <c r="G904" t="s">
        <v>112</v>
      </c>
      <c r="H904" t="s">
        <v>86</v>
      </c>
      <c r="I904" s="3">
        <v>0.16805555555555557</v>
      </c>
      <c r="J904" s="8" t="s">
        <v>446</v>
      </c>
      <c r="K904" s="8" t="s">
        <v>445</v>
      </c>
      <c r="L904" s="8" t="str">
        <f>IF(Table1346[[#This Row],[Home Team Score]]&gt;Table1346[[#This Row],[Away Team Score]],"Win",IF(Table1346[[#This Row],[Home Team Score]]=Table1346[[#This Row],[Away Team Score]],"Tie","Lose"))</f>
        <v>Win</v>
      </c>
      <c r="M904" t="s">
        <v>19</v>
      </c>
      <c r="N904">
        <v>87</v>
      </c>
      <c r="O904" s="3">
        <v>0.1673611111111111</v>
      </c>
      <c r="P904" t="s">
        <v>26</v>
      </c>
      <c r="Q904" t="s">
        <v>281</v>
      </c>
      <c r="R904" t="e">
        <f>IF([1]!Table13[[#This Row],[Goal_assist]]="",1,0)</f>
        <v>#REF!</v>
      </c>
    </row>
    <row r="905" spans="1:18" x14ac:dyDescent="0.35">
      <c r="A905" t="s">
        <v>14</v>
      </c>
      <c r="B905" t="s">
        <v>279</v>
      </c>
      <c r="C905" t="s">
        <v>65</v>
      </c>
      <c r="D905">
        <v>24</v>
      </c>
      <c r="E905" s="2">
        <v>42413</v>
      </c>
      <c r="F905" t="s">
        <v>16</v>
      </c>
      <c r="G905" t="s">
        <v>112</v>
      </c>
      <c r="H905" t="s">
        <v>86</v>
      </c>
      <c r="I905" s="3">
        <v>0.16805555555555557</v>
      </c>
      <c r="J905" s="8" t="s">
        <v>446</v>
      </c>
      <c r="K905" s="8" t="s">
        <v>445</v>
      </c>
      <c r="L905" s="8" t="str">
        <f>IF(Table1346[[#This Row],[Home Team Score]]&gt;Table1346[[#This Row],[Away Team Score]],"Win",IF(Table1346[[#This Row],[Home Team Score]]=Table1346[[#This Row],[Away Team Score]],"Tie","Lose"))</f>
        <v>Win</v>
      </c>
      <c r="M905" t="s">
        <v>19</v>
      </c>
      <c r="N905">
        <v>3</v>
      </c>
      <c r="O905" s="3">
        <v>4.1666666666666664E-2</v>
      </c>
      <c r="P905" t="s">
        <v>26</v>
      </c>
      <c r="Q905" t="s">
        <v>183</v>
      </c>
      <c r="R905" t="e">
        <f>IF([1]!Table13[[#This Row],[Goal_assist]]="",1,0)</f>
        <v>#REF!</v>
      </c>
    </row>
    <row r="906" spans="1:18" x14ac:dyDescent="0.35">
      <c r="A906" t="s">
        <v>64</v>
      </c>
      <c r="B906" t="s">
        <v>279</v>
      </c>
      <c r="C906" t="s">
        <v>65</v>
      </c>
      <c r="D906">
        <v>24</v>
      </c>
      <c r="E906" s="2">
        <v>42414</v>
      </c>
      <c r="F906" t="s">
        <v>16</v>
      </c>
      <c r="G906" t="s">
        <v>66</v>
      </c>
      <c r="H906" t="s">
        <v>98</v>
      </c>
      <c r="I906" s="3">
        <v>0.25069444444444444</v>
      </c>
      <c r="J906" s="8" t="s">
        <v>450</v>
      </c>
      <c r="K906" s="8" t="s">
        <v>444</v>
      </c>
      <c r="L906" s="8" t="str">
        <f>IF(Table1346[[#This Row],[Home Team Score]]&gt;Table1346[[#This Row],[Away Team Score]],"Win",IF(Table1346[[#This Row],[Home Team Score]]=Table1346[[#This Row],[Away Team Score]],"Tie","Lose"))</f>
        <v>Win</v>
      </c>
      <c r="M906" t="s">
        <v>38</v>
      </c>
      <c r="N906">
        <v>28</v>
      </c>
      <c r="O906" s="3">
        <v>4.1666666666666664E-2</v>
      </c>
      <c r="P906" t="s">
        <v>39</v>
      </c>
      <c r="R906" t="e">
        <f>IF([1]!Table13[[#This Row],[Goal_assist]]="",1,0)</f>
        <v>#REF!</v>
      </c>
    </row>
    <row r="907" spans="1:18" x14ac:dyDescent="0.35">
      <c r="A907" t="s">
        <v>64</v>
      </c>
      <c r="B907" t="s">
        <v>279</v>
      </c>
      <c r="C907" t="s">
        <v>65</v>
      </c>
      <c r="D907">
        <v>16</v>
      </c>
      <c r="E907" s="2">
        <v>42417</v>
      </c>
      <c r="F907" t="s">
        <v>24</v>
      </c>
      <c r="G907" t="s">
        <v>66</v>
      </c>
      <c r="H907" t="s">
        <v>151</v>
      </c>
      <c r="I907" s="3">
        <v>4.3749999999999997E-2</v>
      </c>
      <c r="J907" s="8" t="s">
        <v>444</v>
      </c>
      <c r="K907" s="8" t="s">
        <v>442</v>
      </c>
      <c r="L907" s="8" t="str">
        <f>IF(Table1346[[#This Row],[Home Team Score]]&gt;Table1346[[#This Row],[Away Team Score]],"Win",IF(Table1346[[#This Row],[Home Team Score]]=Table1346[[#This Row],[Away Team Score]],"Tie","Lose"))</f>
        <v>Lose</v>
      </c>
      <c r="M907" t="s">
        <v>275</v>
      </c>
      <c r="N907">
        <v>25</v>
      </c>
      <c r="O907" s="3">
        <v>6.9444444444444447E-4</v>
      </c>
      <c r="P907" t="s">
        <v>31</v>
      </c>
      <c r="Q907" t="s">
        <v>273</v>
      </c>
      <c r="R907" t="e">
        <f>IF([1]!Table13[[#This Row],[Goal_assist]]="",1,0)</f>
        <v>#REF!</v>
      </c>
    </row>
    <row r="908" spans="1:18" x14ac:dyDescent="0.35">
      <c r="A908" t="s">
        <v>64</v>
      </c>
      <c r="B908" t="s">
        <v>279</v>
      </c>
      <c r="C908" t="s">
        <v>65</v>
      </c>
      <c r="D908">
        <v>16</v>
      </c>
      <c r="E908" s="2">
        <v>42417</v>
      </c>
      <c r="F908" t="s">
        <v>24</v>
      </c>
      <c r="G908" t="s">
        <v>66</v>
      </c>
      <c r="H908" t="s">
        <v>151</v>
      </c>
      <c r="I908" s="3">
        <v>4.3749999999999997E-2</v>
      </c>
      <c r="J908" s="8" t="s">
        <v>444</v>
      </c>
      <c r="K908" s="8" t="s">
        <v>442</v>
      </c>
      <c r="L908" s="8" t="str">
        <f>IF(Table1346[[#This Row],[Home Team Score]]&gt;Table1346[[#This Row],[Away Team Score]],"Win",IF(Table1346[[#This Row],[Home Team Score]]=Table1346[[#This Row],[Away Team Score]],"Tie","Lose"))</f>
        <v>Lose</v>
      </c>
      <c r="M908" t="s">
        <v>275</v>
      </c>
      <c r="N908">
        <v>31</v>
      </c>
      <c r="O908" s="3">
        <v>4.3055555555555555E-2</v>
      </c>
      <c r="P908" t="s">
        <v>31</v>
      </c>
      <c r="Q908" t="s">
        <v>273</v>
      </c>
      <c r="R908" t="e">
        <f>IF([1]!Table13[[#This Row],[Goal_assist]]="",1,0)</f>
        <v>#REF!</v>
      </c>
    </row>
    <row r="909" spans="1:18" x14ac:dyDescent="0.35">
      <c r="A909" t="s">
        <v>14</v>
      </c>
      <c r="B909" t="s">
        <v>279</v>
      </c>
      <c r="C909" t="s">
        <v>75</v>
      </c>
      <c r="D909" t="s">
        <v>143</v>
      </c>
      <c r="E909" s="2">
        <v>42417</v>
      </c>
      <c r="F909" t="s">
        <v>24</v>
      </c>
      <c r="G909" t="s">
        <v>112</v>
      </c>
      <c r="H909" t="s">
        <v>116</v>
      </c>
      <c r="I909" s="3">
        <v>1.3888888888888889E-3</v>
      </c>
      <c r="J909" s="8" t="s">
        <v>443</v>
      </c>
      <c r="K909" s="8" t="s">
        <v>445</v>
      </c>
      <c r="L909" s="8" t="str">
        <f>IF(Table1346[[#This Row],[Home Team Score]]&gt;Table1346[[#This Row],[Away Team Score]],"Win",IF(Table1346[[#This Row],[Home Team Score]]=Table1346[[#This Row],[Away Team Score]],"Tie","Lose"))</f>
        <v>Lose</v>
      </c>
      <c r="M909" t="s">
        <v>19</v>
      </c>
      <c r="N909">
        <v>57</v>
      </c>
      <c r="O909" s="3">
        <v>6.9444444444444447E-4</v>
      </c>
      <c r="P909" t="s">
        <v>26</v>
      </c>
      <c r="Q909" t="s">
        <v>201</v>
      </c>
      <c r="R909" t="e">
        <f>IF([1]!Table13[[#This Row],[Goal_assist]]="",1,0)</f>
        <v>#REF!</v>
      </c>
    </row>
    <row r="910" spans="1:18" x14ac:dyDescent="0.35">
      <c r="A910" t="s">
        <v>14</v>
      </c>
      <c r="B910" t="s">
        <v>279</v>
      </c>
      <c r="C910" t="s">
        <v>65</v>
      </c>
      <c r="D910">
        <v>25</v>
      </c>
      <c r="E910" s="2">
        <v>42421</v>
      </c>
      <c r="F910" t="s">
        <v>24</v>
      </c>
      <c r="G910" t="s">
        <v>112</v>
      </c>
      <c r="H910" t="s">
        <v>157</v>
      </c>
      <c r="I910" s="3">
        <v>4.2361111111111113E-2</v>
      </c>
      <c r="J910" s="8" t="s">
        <v>444</v>
      </c>
      <c r="K910" s="8" t="s">
        <v>444</v>
      </c>
      <c r="L910" s="8" t="str">
        <f>IF(Table1346[[#This Row],[Home Team Score]]&gt;Table1346[[#This Row],[Away Team Score]],"Win",IF(Table1346[[#This Row],[Home Team Score]]=Table1346[[#This Row],[Away Team Score]],"Tie","Lose"))</f>
        <v>Tie</v>
      </c>
      <c r="M910" t="s">
        <v>19</v>
      </c>
      <c r="N910">
        <v>33</v>
      </c>
      <c r="O910" s="3">
        <v>6.9444444444444447E-4</v>
      </c>
      <c r="P910" t="s">
        <v>22</v>
      </c>
      <c r="Q910" t="s">
        <v>277</v>
      </c>
      <c r="R910" t="e">
        <f>IF([1]!Table13[[#This Row],[Goal_assist]]="",1,0)</f>
        <v>#REF!</v>
      </c>
    </row>
    <row r="911" spans="1:18" x14ac:dyDescent="0.35">
      <c r="A911" t="s">
        <v>64</v>
      </c>
      <c r="B911" t="s">
        <v>279</v>
      </c>
      <c r="C911" t="s">
        <v>75</v>
      </c>
      <c r="D911" t="s">
        <v>143</v>
      </c>
      <c r="E911" s="2">
        <v>42423</v>
      </c>
      <c r="F911" t="s">
        <v>24</v>
      </c>
      <c r="G911" t="s">
        <v>66</v>
      </c>
      <c r="H911" t="s">
        <v>54</v>
      </c>
      <c r="I911" s="3">
        <v>1.3888888888888889E-3</v>
      </c>
      <c r="J911" s="8" t="s">
        <v>443</v>
      </c>
      <c r="K911" s="8" t="s">
        <v>445</v>
      </c>
      <c r="L911" s="8" t="str">
        <f>IF(Table1346[[#This Row],[Home Team Score]]&gt;Table1346[[#This Row],[Away Team Score]],"Win",IF(Table1346[[#This Row],[Home Team Score]]=Table1346[[#This Row],[Away Team Score]],"Tie","Lose"))</f>
        <v>Lose</v>
      </c>
      <c r="M911" t="s">
        <v>38</v>
      </c>
      <c r="N911">
        <v>71</v>
      </c>
      <c r="O911" s="3">
        <v>6.9444444444444447E-4</v>
      </c>
      <c r="P911" t="s">
        <v>31</v>
      </c>
      <c r="Q911" t="s">
        <v>256</v>
      </c>
      <c r="R911" t="e">
        <f>IF([1]!Table13[[#This Row],[Goal_assist]]="",1,0)</f>
        <v>#REF!</v>
      </c>
    </row>
    <row r="912" spans="1:18" x14ac:dyDescent="0.35">
      <c r="A912" t="s">
        <v>64</v>
      </c>
      <c r="B912" t="s">
        <v>279</v>
      </c>
      <c r="C912" t="s">
        <v>75</v>
      </c>
      <c r="D912" t="s">
        <v>143</v>
      </c>
      <c r="E912" s="2">
        <v>42423</v>
      </c>
      <c r="F912" t="s">
        <v>24</v>
      </c>
      <c r="G912" t="s">
        <v>66</v>
      </c>
      <c r="H912" t="s">
        <v>54</v>
      </c>
      <c r="I912" s="3">
        <v>1.3888888888888889E-3</v>
      </c>
      <c r="J912" s="8" t="s">
        <v>443</v>
      </c>
      <c r="K912" s="8" t="s">
        <v>445</v>
      </c>
      <c r="L912" s="8" t="str">
        <f>IF(Table1346[[#This Row],[Home Team Score]]&gt;Table1346[[#This Row],[Away Team Score]],"Win",IF(Table1346[[#This Row],[Home Team Score]]=Table1346[[#This Row],[Away Team Score]],"Tie","Lose"))</f>
        <v>Lose</v>
      </c>
      <c r="M912" t="s">
        <v>38</v>
      </c>
      <c r="N912">
        <v>83</v>
      </c>
      <c r="O912" s="3">
        <v>1.3888888888888889E-3</v>
      </c>
      <c r="P912" t="s">
        <v>83</v>
      </c>
      <c r="R912" t="e">
        <f>IF([1]!Table13[[#This Row],[Goal_assist]]="",1,0)</f>
        <v>#REF!</v>
      </c>
    </row>
    <row r="913" spans="1:18" x14ac:dyDescent="0.35">
      <c r="A913" t="s">
        <v>64</v>
      </c>
      <c r="B913" t="s">
        <v>279</v>
      </c>
      <c r="C913" t="s">
        <v>65</v>
      </c>
      <c r="D913">
        <v>26</v>
      </c>
      <c r="E913" s="2">
        <v>42428</v>
      </c>
      <c r="F913" t="s">
        <v>16</v>
      </c>
      <c r="G913" t="s">
        <v>66</v>
      </c>
      <c r="H913" t="s">
        <v>105</v>
      </c>
      <c r="I913" s="3">
        <v>8.4027777777777785E-2</v>
      </c>
      <c r="J913" s="8" t="s">
        <v>445</v>
      </c>
      <c r="K913" s="8" t="s">
        <v>444</v>
      </c>
      <c r="L913" s="8" t="str">
        <f>IF(Table1346[[#This Row],[Home Team Score]]&gt;Table1346[[#This Row],[Away Team Score]],"Win",IF(Table1346[[#This Row],[Home Team Score]]=Table1346[[#This Row],[Away Team Score]],"Tie","Lose"))</f>
        <v>Win</v>
      </c>
      <c r="M913" t="s">
        <v>275</v>
      </c>
      <c r="N913">
        <v>31</v>
      </c>
      <c r="O913" s="3">
        <v>4.2361111111111113E-2</v>
      </c>
      <c r="P913" t="s">
        <v>39</v>
      </c>
      <c r="R913" t="e">
        <f>IF([1]!Table13[[#This Row],[Goal_assist]]="",1,0)</f>
        <v>#REF!</v>
      </c>
    </row>
    <row r="914" spans="1:18" x14ac:dyDescent="0.35">
      <c r="A914" t="s">
        <v>14</v>
      </c>
      <c r="B914" t="s">
        <v>279</v>
      </c>
      <c r="C914" t="s">
        <v>65</v>
      </c>
      <c r="D914">
        <v>27</v>
      </c>
      <c r="E914" s="2">
        <v>42431</v>
      </c>
      <c r="F914" t="s">
        <v>24</v>
      </c>
      <c r="G914" t="s">
        <v>112</v>
      </c>
      <c r="H914" t="s">
        <v>127</v>
      </c>
      <c r="I914" s="3">
        <v>4.3749999999999997E-2</v>
      </c>
      <c r="J914" s="8" t="s">
        <v>444</v>
      </c>
      <c r="K914" s="8" t="s">
        <v>442</v>
      </c>
      <c r="L914" s="8" t="str">
        <f>IF(Table1346[[#This Row],[Home Team Score]]&gt;Table1346[[#This Row],[Away Team Score]],"Win",IF(Table1346[[#This Row],[Home Team Score]]=Table1346[[#This Row],[Away Team Score]],"Tie","Lose"))</f>
        <v>Lose</v>
      </c>
      <c r="M914" t="s">
        <v>19</v>
      </c>
      <c r="N914">
        <v>34</v>
      </c>
      <c r="O914" s="3">
        <v>6.9444444444444447E-4</v>
      </c>
      <c r="P914" t="s">
        <v>83</v>
      </c>
      <c r="R914" t="e">
        <f>IF([1]!Table13[[#This Row],[Goal_assist]]="",1,0)</f>
        <v>#REF!</v>
      </c>
    </row>
    <row r="915" spans="1:18" x14ac:dyDescent="0.35">
      <c r="A915" t="s">
        <v>64</v>
      </c>
      <c r="B915" t="s">
        <v>279</v>
      </c>
      <c r="C915" t="s">
        <v>65</v>
      </c>
      <c r="D915">
        <v>27</v>
      </c>
      <c r="E915" s="2">
        <v>42432</v>
      </c>
      <c r="F915" t="s">
        <v>24</v>
      </c>
      <c r="G915" t="s">
        <v>66</v>
      </c>
      <c r="H915" t="s">
        <v>225</v>
      </c>
      <c r="I915" s="3">
        <v>4.5138888888888888E-2</v>
      </c>
      <c r="J915" s="8" t="s">
        <v>444</v>
      </c>
      <c r="K915" s="8" t="s">
        <v>448</v>
      </c>
      <c r="L915" s="8" t="str">
        <f>IF(Table1346[[#This Row],[Home Team Score]]&gt;Table1346[[#This Row],[Away Team Score]],"Win",IF(Table1346[[#This Row],[Home Team Score]]=Table1346[[#This Row],[Away Team Score]],"Tie","Lose"))</f>
        <v>Lose</v>
      </c>
      <c r="M915" t="s">
        <v>38</v>
      </c>
      <c r="N915">
        <v>72</v>
      </c>
      <c r="O915" s="3">
        <v>4.4444444444444446E-2</v>
      </c>
      <c r="P915" t="s">
        <v>31</v>
      </c>
      <c r="Q915" t="s">
        <v>222</v>
      </c>
      <c r="R915" t="e">
        <f>IF([1]!Table13[[#This Row],[Goal_assist]]="",1,0)</f>
        <v>#REF!</v>
      </c>
    </row>
    <row r="916" spans="1:18" x14ac:dyDescent="0.35">
      <c r="A916" t="s">
        <v>64</v>
      </c>
      <c r="B916" t="s">
        <v>279</v>
      </c>
      <c r="C916" t="s">
        <v>65</v>
      </c>
      <c r="D916">
        <v>27</v>
      </c>
      <c r="E916" s="2">
        <v>42432</v>
      </c>
      <c r="F916" t="s">
        <v>24</v>
      </c>
      <c r="G916" t="s">
        <v>66</v>
      </c>
      <c r="H916" t="s">
        <v>225</v>
      </c>
      <c r="I916" s="3">
        <v>4.5138888888888888E-2</v>
      </c>
      <c r="J916" s="8" t="s">
        <v>444</v>
      </c>
      <c r="K916" s="8" t="s">
        <v>448</v>
      </c>
      <c r="L916" s="8" t="str">
        <f>IF(Table1346[[#This Row],[Home Team Score]]&gt;Table1346[[#This Row],[Away Team Score]],"Win",IF(Table1346[[#This Row],[Home Team Score]]=Table1346[[#This Row],[Away Team Score]],"Tie","Lose"))</f>
        <v>Lose</v>
      </c>
      <c r="M916" t="s">
        <v>38</v>
      </c>
      <c r="N916">
        <v>53</v>
      </c>
      <c r="O916" s="3">
        <v>2.0833333333333333E-3</v>
      </c>
      <c r="P916" t="s">
        <v>31</v>
      </c>
      <c r="R916" t="e">
        <f>IF([1]!Table13[[#This Row],[Goal_assist]]="",1,0)</f>
        <v>#REF!</v>
      </c>
    </row>
    <row r="917" spans="1:18" x14ac:dyDescent="0.35">
      <c r="A917" t="s">
        <v>64</v>
      </c>
      <c r="B917" t="s">
        <v>279</v>
      </c>
      <c r="C917" t="s">
        <v>65</v>
      </c>
      <c r="D917">
        <v>27</v>
      </c>
      <c r="E917" s="2">
        <v>42432</v>
      </c>
      <c r="F917" t="s">
        <v>24</v>
      </c>
      <c r="G917" t="s">
        <v>66</v>
      </c>
      <c r="H917" t="s">
        <v>225</v>
      </c>
      <c r="I917" s="3">
        <v>4.5138888888888888E-2</v>
      </c>
      <c r="J917" s="8" t="s">
        <v>444</v>
      </c>
      <c r="K917" s="8" t="s">
        <v>448</v>
      </c>
      <c r="L917" s="8" t="str">
        <f>IF(Table1346[[#This Row],[Home Team Score]]&gt;Table1346[[#This Row],[Away Team Score]],"Win",IF(Table1346[[#This Row],[Home Team Score]]=Table1346[[#This Row],[Away Team Score]],"Tie","Lose"))</f>
        <v>Lose</v>
      </c>
      <c r="M917" t="s">
        <v>38</v>
      </c>
      <c r="N917">
        <v>23</v>
      </c>
      <c r="O917" s="3">
        <v>1.3888888888888889E-3</v>
      </c>
      <c r="P917" t="s">
        <v>31</v>
      </c>
      <c r="Q917" t="s">
        <v>256</v>
      </c>
      <c r="R917" t="e">
        <f>IF([1]!Table13[[#This Row],[Goal_assist]]="",1,0)</f>
        <v>#REF!</v>
      </c>
    </row>
    <row r="918" spans="1:18" x14ac:dyDescent="0.35">
      <c r="A918" t="s">
        <v>14</v>
      </c>
      <c r="B918" t="s">
        <v>279</v>
      </c>
      <c r="C918" t="s">
        <v>65</v>
      </c>
      <c r="D918">
        <v>28</v>
      </c>
      <c r="E918" s="2">
        <v>42434</v>
      </c>
      <c r="F918" t="s">
        <v>16</v>
      </c>
      <c r="G918" t="s">
        <v>112</v>
      </c>
      <c r="H918" t="s">
        <v>98</v>
      </c>
      <c r="I918" s="3">
        <v>0.29236111111111113</v>
      </c>
      <c r="J918" s="8" t="s">
        <v>449</v>
      </c>
      <c r="K918" s="8" t="s">
        <v>444</v>
      </c>
      <c r="L918" s="8" t="str">
        <f>IF(Table1346[[#This Row],[Home Team Score]]&gt;Table1346[[#This Row],[Away Team Score]],"Win",IF(Table1346[[#This Row],[Home Team Score]]=Table1346[[#This Row],[Away Team Score]],"Tie","Lose"))</f>
        <v>Win</v>
      </c>
      <c r="M918" t="s">
        <v>19</v>
      </c>
      <c r="N918">
        <v>50</v>
      </c>
      <c r="O918" s="3">
        <v>8.3333333333333329E-2</v>
      </c>
      <c r="P918" t="s">
        <v>170</v>
      </c>
      <c r="Q918" t="s">
        <v>202</v>
      </c>
      <c r="R918" t="e">
        <f>IF([1]!Table13[[#This Row],[Goal_assist]]="",1,0)</f>
        <v>#REF!</v>
      </c>
    </row>
    <row r="919" spans="1:18" x14ac:dyDescent="0.35">
      <c r="A919" t="s">
        <v>14</v>
      </c>
      <c r="B919" t="s">
        <v>279</v>
      </c>
      <c r="C919" t="s">
        <v>65</v>
      </c>
      <c r="D919">
        <v>28</v>
      </c>
      <c r="E919" s="2">
        <v>42434</v>
      </c>
      <c r="F919" t="s">
        <v>16</v>
      </c>
      <c r="G919" t="s">
        <v>112</v>
      </c>
      <c r="H919" t="s">
        <v>98</v>
      </c>
      <c r="I919" s="3">
        <v>0.29236111111111113</v>
      </c>
      <c r="J919" s="8" t="s">
        <v>449</v>
      </c>
      <c r="K919" s="8" t="s">
        <v>444</v>
      </c>
      <c r="L919" s="8" t="str">
        <f>IF(Table1346[[#This Row],[Home Team Score]]&gt;Table1346[[#This Row],[Away Team Score]],"Win",IF(Table1346[[#This Row],[Home Team Score]]=Table1346[[#This Row],[Away Team Score]],"Tie","Lose"))</f>
        <v>Win</v>
      </c>
      <c r="M919" t="s">
        <v>19</v>
      </c>
      <c r="N919">
        <v>58</v>
      </c>
      <c r="O919" s="3">
        <v>0.125</v>
      </c>
      <c r="P919" t="s">
        <v>39</v>
      </c>
      <c r="R919" t="e">
        <f>IF([1]!Table13[[#This Row],[Goal_assist]]="",1,0)</f>
        <v>#REF!</v>
      </c>
    </row>
    <row r="920" spans="1:18" x14ac:dyDescent="0.35">
      <c r="A920" t="s">
        <v>14</v>
      </c>
      <c r="B920" t="s">
        <v>279</v>
      </c>
      <c r="C920" t="s">
        <v>65</v>
      </c>
      <c r="D920">
        <v>28</v>
      </c>
      <c r="E920" s="2">
        <v>42434</v>
      </c>
      <c r="F920" t="s">
        <v>16</v>
      </c>
      <c r="G920" t="s">
        <v>112</v>
      </c>
      <c r="H920" t="s">
        <v>98</v>
      </c>
      <c r="I920" s="3">
        <v>0.29236111111111113</v>
      </c>
      <c r="J920" s="8" t="s">
        <v>449</v>
      </c>
      <c r="K920" s="8" t="s">
        <v>444</v>
      </c>
      <c r="L920" s="8" t="str">
        <f>IF(Table1346[[#This Row],[Home Team Score]]&gt;Table1346[[#This Row],[Away Team Score]],"Win",IF(Table1346[[#This Row],[Home Team Score]]=Table1346[[#This Row],[Away Team Score]],"Tie","Lose"))</f>
        <v>Win</v>
      </c>
      <c r="M920" t="s">
        <v>19</v>
      </c>
      <c r="N920">
        <v>64</v>
      </c>
      <c r="O920" s="3">
        <v>0.1673611111111111</v>
      </c>
      <c r="P920" t="s">
        <v>26</v>
      </c>
      <c r="Q920" t="s">
        <v>257</v>
      </c>
      <c r="R920" t="e">
        <f>IF([1]!Table13[[#This Row],[Goal_assist]]="",1,0)</f>
        <v>#REF!</v>
      </c>
    </row>
    <row r="921" spans="1:18" x14ac:dyDescent="0.35">
      <c r="A921" t="s">
        <v>14</v>
      </c>
      <c r="B921" t="s">
        <v>279</v>
      </c>
      <c r="C921" t="s">
        <v>65</v>
      </c>
      <c r="D921">
        <v>28</v>
      </c>
      <c r="E921" s="2">
        <v>42434</v>
      </c>
      <c r="F921" t="s">
        <v>16</v>
      </c>
      <c r="G921" t="s">
        <v>112</v>
      </c>
      <c r="H921" t="s">
        <v>98</v>
      </c>
      <c r="I921" s="3">
        <v>0.29236111111111113</v>
      </c>
      <c r="J921" s="8" t="s">
        <v>449</v>
      </c>
      <c r="K921" s="8" t="s">
        <v>444</v>
      </c>
      <c r="L921" s="8" t="str">
        <f>IF(Table1346[[#This Row],[Home Team Score]]&gt;Table1346[[#This Row],[Away Team Score]],"Win",IF(Table1346[[#This Row],[Home Team Score]]=Table1346[[#This Row],[Away Team Score]],"Tie","Lose"))</f>
        <v>Win</v>
      </c>
      <c r="M921" t="s">
        <v>19</v>
      </c>
      <c r="N921">
        <v>76</v>
      </c>
      <c r="O921" s="3">
        <v>0.20902777777777778</v>
      </c>
      <c r="P921" t="s">
        <v>22</v>
      </c>
      <c r="Q921" t="s">
        <v>288</v>
      </c>
      <c r="R921" t="e">
        <f>IF([1]!Table13[[#This Row],[Goal_assist]]="",1,0)</f>
        <v>#REF!</v>
      </c>
    </row>
    <row r="922" spans="1:18" x14ac:dyDescent="0.35">
      <c r="A922" t="s">
        <v>64</v>
      </c>
      <c r="B922" t="s">
        <v>279</v>
      </c>
      <c r="C922" t="s">
        <v>65</v>
      </c>
      <c r="D922">
        <v>28</v>
      </c>
      <c r="E922" s="2">
        <v>42435</v>
      </c>
      <c r="F922" t="s">
        <v>24</v>
      </c>
      <c r="G922" t="s">
        <v>66</v>
      </c>
      <c r="H922" t="s">
        <v>270</v>
      </c>
      <c r="I922" s="3">
        <v>2.7777777777777779E-3</v>
      </c>
      <c r="J922" s="8" t="s">
        <v>443</v>
      </c>
      <c r="K922" s="8" t="s">
        <v>446</v>
      </c>
      <c r="L922" s="8" t="str">
        <f>IF(Table1346[[#This Row],[Home Team Score]]&gt;Table1346[[#This Row],[Away Team Score]],"Win",IF(Table1346[[#This Row],[Home Team Score]]=Table1346[[#This Row],[Away Team Score]],"Tie","Lose"))</f>
        <v>Lose</v>
      </c>
      <c r="M922" t="s">
        <v>275</v>
      </c>
      <c r="N922">
        <v>42</v>
      </c>
      <c r="O922" s="3">
        <v>1.3888888888888889E-3</v>
      </c>
      <c r="P922" t="s">
        <v>31</v>
      </c>
      <c r="Q922" t="s">
        <v>289</v>
      </c>
      <c r="R922" t="e">
        <f>IF([1]!Table13[[#This Row],[Goal_assist]]="",1,0)</f>
        <v>#REF!</v>
      </c>
    </row>
    <row r="923" spans="1:18" x14ac:dyDescent="0.35">
      <c r="A923" t="s">
        <v>64</v>
      </c>
      <c r="B923" t="s">
        <v>279</v>
      </c>
      <c r="C923" t="s">
        <v>65</v>
      </c>
      <c r="D923">
        <v>28</v>
      </c>
      <c r="E923" s="2">
        <v>42435</v>
      </c>
      <c r="F923" t="s">
        <v>24</v>
      </c>
      <c r="G923" t="s">
        <v>66</v>
      </c>
      <c r="H923" t="s">
        <v>270</v>
      </c>
      <c r="I923" s="3">
        <v>2.7777777777777779E-3</v>
      </c>
      <c r="J923" s="8" t="s">
        <v>443</v>
      </c>
      <c r="K923" s="8" t="s">
        <v>446</v>
      </c>
      <c r="L923" s="8" t="str">
        <f>IF(Table1346[[#This Row],[Home Team Score]]&gt;Table1346[[#This Row],[Away Team Score]],"Win",IF(Table1346[[#This Row],[Home Team Score]]=Table1346[[#This Row],[Away Team Score]],"Tie","Lose"))</f>
        <v>Lose</v>
      </c>
      <c r="M923" t="s">
        <v>275</v>
      </c>
      <c r="N923">
        <v>76</v>
      </c>
      <c r="O923" s="3">
        <v>2.0833333333333333E-3</v>
      </c>
      <c r="P923" t="s">
        <v>83</v>
      </c>
      <c r="R923" t="e">
        <f>IF([1]!Table13[[#This Row],[Goal_assist]]="",1,0)</f>
        <v>#REF!</v>
      </c>
    </row>
    <row r="924" spans="1:18" x14ac:dyDescent="0.35">
      <c r="A924" t="s">
        <v>14</v>
      </c>
      <c r="B924" t="s">
        <v>279</v>
      </c>
      <c r="C924" t="s">
        <v>75</v>
      </c>
      <c r="D924" t="s">
        <v>143</v>
      </c>
      <c r="E924" s="2">
        <v>42437</v>
      </c>
      <c r="F924" t="s">
        <v>16</v>
      </c>
      <c r="G924" t="s">
        <v>112</v>
      </c>
      <c r="H924" t="s">
        <v>116</v>
      </c>
      <c r="I924" s="3">
        <v>8.3333333333333329E-2</v>
      </c>
      <c r="J924" s="8" t="s">
        <v>445</v>
      </c>
      <c r="K924" s="8" t="s">
        <v>443</v>
      </c>
      <c r="L924" s="8" t="str">
        <f>IF(Table1346[[#This Row],[Home Team Score]]&gt;Table1346[[#This Row],[Away Team Score]],"Win",IF(Table1346[[#This Row],[Home Team Score]]=Table1346[[#This Row],[Away Team Score]],"Tie","Lose"))</f>
        <v>Win</v>
      </c>
      <c r="M924" t="s">
        <v>68</v>
      </c>
      <c r="N924">
        <v>64</v>
      </c>
      <c r="O924" s="3">
        <v>4.1666666666666664E-2</v>
      </c>
      <c r="P924" t="s">
        <v>26</v>
      </c>
      <c r="Q924" t="s">
        <v>281</v>
      </c>
      <c r="R924" t="e">
        <f>IF([1]!Table13[[#This Row],[Goal_assist]]="",1,0)</f>
        <v>#REF!</v>
      </c>
    </row>
    <row r="925" spans="1:18" x14ac:dyDescent="0.35">
      <c r="A925" t="s">
        <v>64</v>
      </c>
      <c r="B925" t="s">
        <v>279</v>
      </c>
      <c r="C925" t="s">
        <v>65</v>
      </c>
      <c r="D925">
        <v>29</v>
      </c>
      <c r="E925" s="2">
        <v>42441</v>
      </c>
      <c r="F925" t="s">
        <v>16</v>
      </c>
      <c r="G925" t="s">
        <v>66</v>
      </c>
      <c r="H925" t="s">
        <v>117</v>
      </c>
      <c r="I925" s="3">
        <v>0.25</v>
      </c>
      <c r="J925" s="8" t="s">
        <v>450</v>
      </c>
      <c r="K925" s="8" t="s">
        <v>443</v>
      </c>
      <c r="L925" s="8" t="str">
        <f>IF(Table1346[[#This Row],[Home Team Score]]&gt;Table1346[[#This Row],[Away Team Score]],"Win",IF(Table1346[[#This Row],[Home Team Score]]=Table1346[[#This Row],[Away Team Score]],"Tie","Lose"))</f>
        <v>Win</v>
      </c>
      <c r="M925" t="s">
        <v>68</v>
      </c>
      <c r="N925">
        <v>41</v>
      </c>
      <c r="O925" s="3">
        <v>0.16666666666666666</v>
      </c>
      <c r="P925" t="s">
        <v>31</v>
      </c>
      <c r="Q925" t="s">
        <v>287</v>
      </c>
      <c r="R925" t="e">
        <f>IF([1]!Table13[[#This Row],[Goal_assist]]="",1,0)</f>
        <v>#REF!</v>
      </c>
    </row>
    <row r="926" spans="1:18" x14ac:dyDescent="0.35">
      <c r="A926" t="s">
        <v>64</v>
      </c>
      <c r="B926" t="s">
        <v>279</v>
      </c>
      <c r="C926" t="s">
        <v>75</v>
      </c>
      <c r="D926" t="s">
        <v>143</v>
      </c>
      <c r="E926" s="2">
        <v>42445</v>
      </c>
      <c r="F926" t="s">
        <v>16</v>
      </c>
      <c r="G926" t="s">
        <v>66</v>
      </c>
      <c r="H926" t="s">
        <v>54</v>
      </c>
      <c r="I926" s="3">
        <v>0.12569444444444444</v>
      </c>
      <c r="J926" s="8" t="s">
        <v>442</v>
      </c>
      <c r="K926" s="8" t="s">
        <v>444</v>
      </c>
      <c r="L926" s="8" t="str">
        <f>IF(Table1346[[#This Row],[Home Team Score]]&gt;Table1346[[#This Row],[Away Team Score]],"Win",IF(Table1346[[#This Row],[Home Team Score]]=Table1346[[#This Row],[Away Team Score]],"Tie","Lose"))</f>
        <v>Win</v>
      </c>
      <c r="M926" t="s">
        <v>38</v>
      </c>
      <c r="N926">
        <v>86</v>
      </c>
      <c r="O926" s="3">
        <v>0.12569444444444444</v>
      </c>
      <c r="P926" t="s">
        <v>31</v>
      </c>
      <c r="Q926" t="s">
        <v>256</v>
      </c>
      <c r="R926" t="e">
        <f>IF([1]!Table13[[#This Row],[Goal_assist]]="",1,0)</f>
        <v>#REF!</v>
      </c>
    </row>
    <row r="927" spans="1:18" x14ac:dyDescent="0.35">
      <c r="A927" t="s">
        <v>14</v>
      </c>
      <c r="B927" t="s">
        <v>279</v>
      </c>
      <c r="C927" t="s">
        <v>65</v>
      </c>
      <c r="D927">
        <v>30</v>
      </c>
      <c r="E927" s="2">
        <v>42449</v>
      </c>
      <c r="F927" t="s">
        <v>16</v>
      </c>
      <c r="G927" t="s">
        <v>112</v>
      </c>
      <c r="H927" t="s">
        <v>105</v>
      </c>
      <c r="I927" s="3">
        <v>0.16666666666666666</v>
      </c>
      <c r="J927" s="8" t="s">
        <v>446</v>
      </c>
      <c r="K927" s="8" t="s">
        <v>443</v>
      </c>
      <c r="L927" s="8" t="str">
        <f>IF(Table1346[[#This Row],[Home Team Score]]&gt;Table1346[[#This Row],[Away Team Score]],"Win",IF(Table1346[[#This Row],[Home Team Score]]=Table1346[[#This Row],[Away Team Score]],"Tie","Lose"))</f>
        <v>Win</v>
      </c>
      <c r="M927" t="s">
        <v>19</v>
      </c>
      <c r="N927">
        <v>64</v>
      </c>
      <c r="O927" s="3">
        <v>8.3333333333333329E-2</v>
      </c>
      <c r="P927" t="s">
        <v>31</v>
      </c>
      <c r="Q927" t="s">
        <v>285</v>
      </c>
      <c r="R927" t="e">
        <f>IF([1]!Table13[[#This Row],[Goal_assist]]="",1,0)</f>
        <v>#REF!</v>
      </c>
    </row>
    <row r="928" spans="1:18" x14ac:dyDescent="0.35">
      <c r="A928" t="s">
        <v>14</v>
      </c>
      <c r="B928" t="s">
        <v>279</v>
      </c>
      <c r="C928" t="s">
        <v>65</v>
      </c>
      <c r="D928">
        <v>31</v>
      </c>
      <c r="E928" s="2">
        <v>42462</v>
      </c>
      <c r="F928" t="s">
        <v>24</v>
      </c>
      <c r="G928" t="s">
        <v>112</v>
      </c>
      <c r="H928" t="s">
        <v>66</v>
      </c>
      <c r="I928" s="3">
        <v>4.3055555555555555E-2</v>
      </c>
      <c r="J928" s="8" t="s">
        <v>444</v>
      </c>
      <c r="K928" s="8" t="s">
        <v>445</v>
      </c>
      <c r="L928" s="8" t="str">
        <f>IF(Table1346[[#This Row],[Home Team Score]]&gt;Table1346[[#This Row],[Away Team Score]],"Win",IF(Table1346[[#This Row],[Home Team Score]]=Table1346[[#This Row],[Away Team Score]],"Tie","Lose"))</f>
        <v>Lose</v>
      </c>
      <c r="M928" t="s">
        <v>19</v>
      </c>
      <c r="N928">
        <v>85</v>
      </c>
      <c r="O928" s="3">
        <v>4.3055555555555555E-2</v>
      </c>
      <c r="P928" t="s">
        <v>26</v>
      </c>
      <c r="Q928" t="s">
        <v>261</v>
      </c>
      <c r="R928" t="e">
        <f>IF([1]!Table13[[#This Row],[Goal_assist]]="",1,0)</f>
        <v>#REF!</v>
      </c>
    </row>
    <row r="929" spans="1:18" x14ac:dyDescent="0.35">
      <c r="A929" t="s">
        <v>14</v>
      </c>
      <c r="B929" t="s">
        <v>279</v>
      </c>
      <c r="C929" t="s">
        <v>65</v>
      </c>
      <c r="D929">
        <v>32</v>
      </c>
      <c r="E929" s="2">
        <v>42469</v>
      </c>
      <c r="F929" t="s">
        <v>16</v>
      </c>
      <c r="G929" t="s">
        <v>112</v>
      </c>
      <c r="H929" t="s">
        <v>270</v>
      </c>
      <c r="I929" s="3">
        <v>0.16666666666666666</v>
      </c>
      <c r="J929" s="8" t="s">
        <v>446</v>
      </c>
      <c r="K929" s="8" t="s">
        <v>443</v>
      </c>
      <c r="L929" s="8" t="str">
        <f>IF(Table1346[[#This Row],[Home Team Score]]&gt;Table1346[[#This Row],[Away Team Score]],"Win",IF(Table1346[[#This Row],[Home Team Score]]=Table1346[[#This Row],[Away Team Score]],"Tie","Lose"))</f>
        <v>Win</v>
      </c>
      <c r="M929" t="s">
        <v>68</v>
      </c>
      <c r="N929">
        <v>19</v>
      </c>
      <c r="O929" s="3">
        <v>0.125</v>
      </c>
      <c r="P929" t="s">
        <v>26</v>
      </c>
      <c r="Q929" t="s">
        <v>288</v>
      </c>
      <c r="R929" t="e">
        <f>IF([1]!Table13[[#This Row],[Goal_assist]]="",1,0)</f>
        <v>#REF!</v>
      </c>
    </row>
    <row r="930" spans="1:18" x14ac:dyDescent="0.35">
      <c r="A930" t="s">
        <v>14</v>
      </c>
      <c r="B930" t="s">
        <v>279</v>
      </c>
      <c r="C930" t="s">
        <v>75</v>
      </c>
      <c r="D930" t="s">
        <v>92</v>
      </c>
      <c r="E930" s="2">
        <v>42472</v>
      </c>
      <c r="F930" t="s">
        <v>16</v>
      </c>
      <c r="G930" t="s">
        <v>112</v>
      </c>
      <c r="H930" t="s">
        <v>290</v>
      </c>
      <c r="I930" s="3">
        <v>0.125</v>
      </c>
      <c r="J930" s="8" t="s">
        <v>442</v>
      </c>
      <c r="K930" s="8" t="s">
        <v>443</v>
      </c>
      <c r="L930" s="8" t="str">
        <f>IF(Table1346[[#This Row],[Home Team Score]]&gt;Table1346[[#This Row],[Away Team Score]],"Win",IF(Table1346[[#This Row],[Home Team Score]]=Table1346[[#This Row],[Away Team Score]],"Tie","Lose"))</f>
        <v>Win</v>
      </c>
      <c r="M930" t="s">
        <v>19</v>
      </c>
      <c r="N930">
        <v>17</v>
      </c>
      <c r="O930" s="3">
        <v>8.3333333333333329E-2</v>
      </c>
      <c r="P930" t="s">
        <v>22</v>
      </c>
      <c r="Q930" t="s">
        <v>277</v>
      </c>
      <c r="R930" t="e">
        <f>IF([1]!Table13[[#This Row],[Goal_assist]]="",1,0)</f>
        <v>#REF!</v>
      </c>
    </row>
    <row r="931" spans="1:18" x14ac:dyDescent="0.35">
      <c r="A931" t="s">
        <v>14</v>
      </c>
      <c r="B931" t="s">
        <v>279</v>
      </c>
      <c r="C931" t="s">
        <v>75</v>
      </c>
      <c r="D931" t="s">
        <v>92</v>
      </c>
      <c r="E931" s="2">
        <v>42472</v>
      </c>
      <c r="F931" t="s">
        <v>16</v>
      </c>
      <c r="G931" t="s">
        <v>112</v>
      </c>
      <c r="H931" t="s">
        <v>290</v>
      </c>
      <c r="I931" s="3">
        <v>0.125</v>
      </c>
      <c r="J931" s="8" t="s">
        <v>442</v>
      </c>
      <c r="K931" s="8" t="s">
        <v>443</v>
      </c>
      <c r="L931" s="8" t="str">
        <f>IF(Table1346[[#This Row],[Home Team Score]]&gt;Table1346[[#This Row],[Away Team Score]],"Win",IF(Table1346[[#This Row],[Home Team Score]]=Table1346[[#This Row],[Away Team Score]],"Tie","Lose"))</f>
        <v>Win</v>
      </c>
      <c r="M931" t="s">
        <v>19</v>
      </c>
      <c r="N931">
        <v>77</v>
      </c>
      <c r="O931" s="3">
        <v>0.125</v>
      </c>
      <c r="P931" t="s">
        <v>39</v>
      </c>
      <c r="R931" t="e">
        <f>IF([1]!Table13[[#This Row],[Goal_assist]]="",1,0)</f>
        <v>#REF!</v>
      </c>
    </row>
    <row r="932" spans="1:18" x14ac:dyDescent="0.35">
      <c r="A932" t="s">
        <v>14</v>
      </c>
      <c r="B932" t="s">
        <v>279</v>
      </c>
      <c r="C932" t="s">
        <v>75</v>
      </c>
      <c r="D932" t="s">
        <v>92</v>
      </c>
      <c r="E932" s="2">
        <v>42472</v>
      </c>
      <c r="F932" t="s">
        <v>16</v>
      </c>
      <c r="G932" t="s">
        <v>112</v>
      </c>
      <c r="H932" t="s">
        <v>290</v>
      </c>
      <c r="I932" s="3">
        <v>0.125</v>
      </c>
      <c r="J932" s="8" t="s">
        <v>442</v>
      </c>
      <c r="K932" s="8" t="s">
        <v>443</v>
      </c>
      <c r="L932" s="8" t="str">
        <f>IF(Table1346[[#This Row],[Home Team Score]]&gt;Table1346[[#This Row],[Away Team Score]],"Win",IF(Table1346[[#This Row],[Home Team Score]]=Table1346[[#This Row],[Away Team Score]],"Tie","Lose"))</f>
        <v>Win</v>
      </c>
      <c r="M932" t="s">
        <v>19</v>
      </c>
      <c r="N932">
        <v>16</v>
      </c>
      <c r="O932" s="3">
        <v>4.1666666666666664E-2</v>
      </c>
      <c r="P932" t="s">
        <v>26</v>
      </c>
      <c r="Q932" t="s">
        <v>262</v>
      </c>
      <c r="R932" t="e">
        <f>IF([1]!Table13[[#This Row],[Goal_assist]]="",1,0)</f>
        <v>#REF!</v>
      </c>
    </row>
    <row r="933" spans="1:18" x14ac:dyDescent="0.35">
      <c r="A933" t="s">
        <v>14</v>
      </c>
      <c r="B933" t="s">
        <v>279</v>
      </c>
      <c r="C933" t="s">
        <v>65</v>
      </c>
      <c r="D933">
        <v>33</v>
      </c>
      <c r="E933" s="2">
        <v>42476</v>
      </c>
      <c r="F933" t="s">
        <v>24</v>
      </c>
      <c r="G933" t="s">
        <v>112</v>
      </c>
      <c r="H933" t="s">
        <v>117</v>
      </c>
      <c r="I933" s="3">
        <v>4.5138888888888888E-2</v>
      </c>
      <c r="J933" s="8" t="s">
        <v>444</v>
      </c>
      <c r="K933" s="8" t="s">
        <v>448</v>
      </c>
      <c r="L933" s="8" t="str">
        <f>IF(Table1346[[#This Row],[Home Team Score]]&gt;Table1346[[#This Row],[Away Team Score]],"Win",IF(Table1346[[#This Row],[Home Team Score]]=Table1346[[#This Row],[Away Team Score]],"Tie","Lose"))</f>
        <v>Lose</v>
      </c>
      <c r="M933" t="s">
        <v>19</v>
      </c>
      <c r="N933" t="s">
        <v>141</v>
      </c>
      <c r="O933" s="3">
        <v>4.5138888888888888E-2</v>
      </c>
      <c r="P933" t="s">
        <v>31</v>
      </c>
      <c r="Q933" t="s">
        <v>288</v>
      </c>
      <c r="R933" t="e">
        <f>IF([1]!Table13[[#This Row],[Goal_assist]]="",1,0)</f>
        <v>#REF!</v>
      </c>
    </row>
    <row r="934" spans="1:18" x14ac:dyDescent="0.35">
      <c r="A934" t="s">
        <v>64</v>
      </c>
      <c r="B934" t="s">
        <v>279</v>
      </c>
      <c r="C934" t="s">
        <v>65</v>
      </c>
      <c r="D934">
        <v>33</v>
      </c>
      <c r="E934" s="2">
        <v>42477</v>
      </c>
      <c r="F934" t="s">
        <v>16</v>
      </c>
      <c r="G934" t="s">
        <v>66</v>
      </c>
      <c r="H934" t="s">
        <v>148</v>
      </c>
      <c r="I934" s="3">
        <v>4.3055555555555555E-2</v>
      </c>
      <c r="J934" s="8" t="s">
        <v>444</v>
      </c>
      <c r="K934" s="8" t="s">
        <v>445</v>
      </c>
      <c r="L934" s="8" t="str">
        <f>IF(Table1346[[#This Row],[Home Team Score]]&gt;Table1346[[#This Row],[Away Team Score]],"Win",IF(Table1346[[#This Row],[Home Team Score]]=Table1346[[#This Row],[Away Team Score]],"Tie","Lose"))</f>
        <v>Lose</v>
      </c>
      <c r="M934" t="s">
        <v>38</v>
      </c>
      <c r="N934">
        <v>63</v>
      </c>
      <c r="O934" s="3">
        <v>4.3055555555555555E-2</v>
      </c>
      <c r="P934" t="s">
        <v>31</v>
      </c>
      <c r="Q934" t="s">
        <v>243</v>
      </c>
      <c r="R934" t="e">
        <f>IF([1]!Table13[[#This Row],[Goal_assist]]="",1,0)</f>
        <v>#REF!</v>
      </c>
    </row>
    <row r="935" spans="1:18" x14ac:dyDescent="0.35">
      <c r="A935" t="s">
        <v>64</v>
      </c>
      <c r="B935" t="s">
        <v>279</v>
      </c>
      <c r="C935" t="s">
        <v>65</v>
      </c>
      <c r="D935">
        <v>34</v>
      </c>
      <c r="E935" s="2">
        <v>42480</v>
      </c>
      <c r="F935" t="s">
        <v>24</v>
      </c>
      <c r="G935" t="s">
        <v>66</v>
      </c>
      <c r="H935" t="s">
        <v>115</v>
      </c>
      <c r="I935" s="3">
        <v>5.5555555555555558E-3</v>
      </c>
      <c r="J935" s="8" t="s">
        <v>443</v>
      </c>
      <c r="K935" s="8" t="s">
        <v>447</v>
      </c>
      <c r="L935" s="8" t="str">
        <f>IF(Table1346[[#This Row],[Home Team Score]]&gt;Table1346[[#This Row],[Away Team Score]],"Win",IF(Table1346[[#This Row],[Home Team Score]]=Table1346[[#This Row],[Away Team Score]],"Tie","Lose"))</f>
        <v>Lose</v>
      </c>
      <c r="M935" t="s">
        <v>38</v>
      </c>
      <c r="N935">
        <v>73</v>
      </c>
      <c r="O935" s="3">
        <v>4.1666666666666666E-3</v>
      </c>
      <c r="P935" t="s">
        <v>31</v>
      </c>
      <c r="Q935" t="s">
        <v>273</v>
      </c>
      <c r="R935" t="e">
        <f>IF([1]!Table13[[#This Row],[Goal_assist]]="",1,0)</f>
        <v>#REF!</v>
      </c>
    </row>
    <row r="936" spans="1:18" x14ac:dyDescent="0.35">
      <c r="A936" t="s">
        <v>64</v>
      </c>
      <c r="B936" t="s">
        <v>279</v>
      </c>
      <c r="C936" t="s">
        <v>65</v>
      </c>
      <c r="D936">
        <v>35</v>
      </c>
      <c r="E936" s="2">
        <v>42483</v>
      </c>
      <c r="F936" t="s">
        <v>16</v>
      </c>
      <c r="G936" t="s">
        <v>66</v>
      </c>
      <c r="H936" t="s">
        <v>151</v>
      </c>
      <c r="I936" s="3">
        <v>0.25</v>
      </c>
      <c r="J936" s="8" t="s">
        <v>450</v>
      </c>
      <c r="K936" s="8" t="s">
        <v>443</v>
      </c>
      <c r="L936" s="8" t="str">
        <f>IF(Table1346[[#This Row],[Home Team Score]]&gt;Table1346[[#This Row],[Away Team Score]],"Win",IF(Table1346[[#This Row],[Home Team Score]]=Table1346[[#This Row],[Away Team Score]],"Tie","Lose"))</f>
        <v>Win</v>
      </c>
      <c r="M936" t="s">
        <v>38</v>
      </c>
      <c r="N936">
        <v>13</v>
      </c>
      <c r="O936" s="3">
        <v>4.1666666666666664E-2</v>
      </c>
      <c r="P936" t="s">
        <v>22</v>
      </c>
      <c r="R936" t="e">
        <f>IF([1]!Table13[[#This Row],[Goal_assist]]="",1,0)</f>
        <v>#REF!</v>
      </c>
    </row>
    <row r="937" spans="1:18" x14ac:dyDescent="0.35">
      <c r="A937" t="s">
        <v>64</v>
      </c>
      <c r="B937" t="s">
        <v>279</v>
      </c>
      <c r="C937" t="s">
        <v>65</v>
      </c>
      <c r="D937">
        <v>37</v>
      </c>
      <c r="E937" s="2">
        <v>42498</v>
      </c>
      <c r="F937" t="s">
        <v>16</v>
      </c>
      <c r="G937" t="s">
        <v>66</v>
      </c>
      <c r="H937" t="s">
        <v>121</v>
      </c>
      <c r="I937" s="3">
        <v>0.20833333333333334</v>
      </c>
      <c r="J937" s="8" t="s">
        <v>448</v>
      </c>
      <c r="K937" s="8" t="s">
        <v>443</v>
      </c>
      <c r="L937" s="8" t="str">
        <f>IF(Table1346[[#This Row],[Home Team Score]]&gt;Table1346[[#This Row],[Away Team Score]],"Win",IF(Table1346[[#This Row],[Home Team Score]]=Table1346[[#This Row],[Away Team Score]],"Tie","Lose"))</f>
        <v>Win</v>
      </c>
      <c r="M937" t="s">
        <v>38</v>
      </c>
      <c r="N937">
        <v>8</v>
      </c>
      <c r="O937" s="3">
        <v>4.1666666666666664E-2</v>
      </c>
      <c r="P937" t="s">
        <v>39</v>
      </c>
      <c r="R937" t="e">
        <f>IF([1]!Table13[[#This Row],[Goal_assist]]="",1,0)</f>
        <v>#REF!</v>
      </c>
    </row>
    <row r="938" spans="1:18" x14ac:dyDescent="0.35">
      <c r="A938" t="s">
        <v>14</v>
      </c>
      <c r="B938" t="s">
        <v>279</v>
      </c>
      <c r="C938" t="s">
        <v>65</v>
      </c>
      <c r="D938">
        <v>37</v>
      </c>
      <c r="E938" s="2">
        <v>42498</v>
      </c>
      <c r="F938" t="s">
        <v>16</v>
      </c>
      <c r="G938" t="s">
        <v>112</v>
      </c>
      <c r="H938" t="s">
        <v>148</v>
      </c>
      <c r="I938" s="3">
        <v>0.12638888888888888</v>
      </c>
      <c r="J938" s="8" t="s">
        <v>442</v>
      </c>
      <c r="K938" s="8" t="s">
        <v>445</v>
      </c>
      <c r="L938" s="8" t="str">
        <f>IF(Table1346[[#This Row],[Home Team Score]]&gt;Table1346[[#This Row],[Away Team Score]],"Win",IF(Table1346[[#This Row],[Home Team Score]]=Table1346[[#This Row],[Away Team Score]],"Tie","Lose"))</f>
        <v>Win</v>
      </c>
      <c r="M938" t="s">
        <v>19</v>
      </c>
      <c r="N938">
        <v>59</v>
      </c>
      <c r="O938" s="3">
        <v>0.12569444444444444</v>
      </c>
      <c r="P938" t="s">
        <v>31</v>
      </c>
      <c r="Q938" t="s">
        <v>268</v>
      </c>
      <c r="R938" t="e">
        <f>IF([1]!Table13[[#This Row],[Goal_assist]]="",1,0)</f>
        <v>#REF!</v>
      </c>
    </row>
    <row r="939" spans="1:18" x14ac:dyDescent="0.35">
      <c r="A939" t="s">
        <v>14</v>
      </c>
      <c r="B939" t="s">
        <v>279</v>
      </c>
      <c r="C939" t="s">
        <v>65</v>
      </c>
      <c r="D939">
        <v>37</v>
      </c>
      <c r="E939" s="2">
        <v>42498</v>
      </c>
      <c r="F939" t="s">
        <v>16</v>
      </c>
      <c r="G939" t="s">
        <v>112</v>
      </c>
      <c r="H939" t="s">
        <v>148</v>
      </c>
      <c r="I939" s="3">
        <v>0.12638888888888888</v>
      </c>
      <c r="J939" s="8" t="s">
        <v>442</v>
      </c>
      <c r="K939" s="8" t="s">
        <v>445</v>
      </c>
      <c r="L939" s="8" t="str">
        <f>IF(Table1346[[#This Row],[Home Team Score]]&gt;Table1346[[#This Row],[Away Team Score]],"Win",IF(Table1346[[#This Row],[Home Team Score]]=Table1346[[#This Row],[Away Team Score]],"Tie","Lose"))</f>
        <v>Win</v>
      </c>
      <c r="M939" t="s">
        <v>19</v>
      </c>
      <c r="N939">
        <v>26</v>
      </c>
      <c r="O939" s="3">
        <v>4.1666666666666664E-2</v>
      </c>
      <c r="P939" t="s">
        <v>26</v>
      </c>
      <c r="Q939" t="s">
        <v>201</v>
      </c>
      <c r="R939" t="e">
        <f>IF([1]!Table13[[#This Row],[Goal_assist]]="",1,0)</f>
        <v>#REF!</v>
      </c>
    </row>
    <row r="940" spans="1:18" x14ac:dyDescent="0.35">
      <c r="A940" t="s">
        <v>14</v>
      </c>
      <c r="B940" t="s">
        <v>279</v>
      </c>
      <c r="C940" t="s">
        <v>65</v>
      </c>
      <c r="D940">
        <v>38</v>
      </c>
      <c r="E940" s="2">
        <v>42504</v>
      </c>
      <c r="F940" t="s">
        <v>24</v>
      </c>
      <c r="G940" t="s">
        <v>112</v>
      </c>
      <c r="H940" t="s">
        <v>175</v>
      </c>
      <c r="I940" s="3">
        <v>1.3888888888888889E-3</v>
      </c>
      <c r="J940" s="8" t="s">
        <v>443</v>
      </c>
      <c r="K940" s="8" t="s">
        <v>445</v>
      </c>
      <c r="L940" s="8" t="str">
        <f>IF(Table1346[[#This Row],[Home Team Score]]&gt;Table1346[[#This Row],[Away Team Score]],"Win",IF(Table1346[[#This Row],[Home Team Score]]=Table1346[[#This Row],[Away Team Score]],"Tie","Lose"))</f>
        <v>Lose</v>
      </c>
      <c r="M940" t="s">
        <v>19</v>
      </c>
      <c r="N940">
        <v>25</v>
      </c>
      <c r="O940" s="3">
        <v>1.3888888888888889E-3</v>
      </c>
      <c r="P940" t="s">
        <v>22</v>
      </c>
      <c r="Q940" t="s">
        <v>277</v>
      </c>
      <c r="R940" t="e">
        <f>IF([1]!Table13[[#This Row],[Goal_assist]]="",1,0)</f>
        <v>#REF!</v>
      </c>
    </row>
    <row r="941" spans="1:18" x14ac:dyDescent="0.35">
      <c r="A941" t="s">
        <v>14</v>
      </c>
      <c r="B941" t="s">
        <v>279</v>
      </c>
      <c r="C941" t="s">
        <v>65</v>
      </c>
      <c r="D941">
        <v>38</v>
      </c>
      <c r="E941" s="2">
        <v>42504</v>
      </c>
      <c r="F941" t="s">
        <v>24</v>
      </c>
      <c r="G941" t="s">
        <v>112</v>
      </c>
      <c r="H941" t="s">
        <v>175</v>
      </c>
      <c r="I941" s="3">
        <v>1.3888888888888889E-3</v>
      </c>
      <c r="J941" s="8" t="s">
        <v>443</v>
      </c>
      <c r="K941" s="8" t="s">
        <v>445</v>
      </c>
      <c r="L941" s="8" t="str">
        <f>IF(Table1346[[#This Row],[Home Team Score]]&gt;Table1346[[#This Row],[Away Team Score]],"Win",IF(Table1346[[#This Row],[Home Team Score]]=Table1346[[#This Row],[Away Team Score]],"Tie","Lose"))</f>
        <v>Lose</v>
      </c>
      <c r="M941" t="s">
        <v>19</v>
      </c>
      <c r="N941">
        <v>8</v>
      </c>
      <c r="O941" s="3">
        <v>6.9444444444444447E-4</v>
      </c>
      <c r="P941" t="s">
        <v>31</v>
      </c>
      <c r="Q941" t="s">
        <v>183</v>
      </c>
      <c r="R941" t="e">
        <f>IF([1]!Table13[[#This Row],[Goal_assist]]="",1,0)</f>
        <v>#REF!</v>
      </c>
    </row>
    <row r="942" spans="1:18" x14ac:dyDescent="0.35">
      <c r="A942" t="s">
        <v>64</v>
      </c>
      <c r="B942" t="s">
        <v>291</v>
      </c>
      <c r="C942" t="s">
        <v>172</v>
      </c>
      <c r="D942" t="s">
        <v>173</v>
      </c>
      <c r="E942" s="2">
        <v>42599</v>
      </c>
      <c r="F942" t="s">
        <v>16</v>
      </c>
      <c r="G942" t="s">
        <v>66</v>
      </c>
      <c r="H942" t="s">
        <v>105</v>
      </c>
      <c r="I942" s="3">
        <v>0.125</v>
      </c>
      <c r="J942" s="8" t="s">
        <v>442</v>
      </c>
      <c r="K942" s="8" t="s">
        <v>443</v>
      </c>
      <c r="L942" s="8" t="str">
        <f>IF(Table1346[[#This Row],[Home Team Score]]&gt;Table1346[[#This Row],[Away Team Score]],"Win",IF(Table1346[[#This Row],[Home Team Score]]=Table1346[[#This Row],[Away Team Score]],"Tie","Lose"))</f>
        <v>Win</v>
      </c>
      <c r="M942" t="s">
        <v>275</v>
      </c>
      <c r="N942">
        <v>55</v>
      </c>
      <c r="O942" s="3">
        <v>0.125</v>
      </c>
      <c r="P942" t="s">
        <v>22</v>
      </c>
      <c r="Q942" t="s">
        <v>292</v>
      </c>
      <c r="R942" t="e">
        <f>IF([1]!Table13[[#This Row],[Goal_assist]]="",1,0)</f>
        <v>#REF!</v>
      </c>
    </row>
    <row r="943" spans="1:18" x14ac:dyDescent="0.35">
      <c r="A943" t="s">
        <v>64</v>
      </c>
      <c r="B943" t="s">
        <v>291</v>
      </c>
      <c r="C943" t="s">
        <v>65</v>
      </c>
      <c r="D943">
        <v>1</v>
      </c>
      <c r="E943" s="2">
        <v>42602</v>
      </c>
      <c r="F943" t="s">
        <v>16</v>
      </c>
      <c r="G943" t="s">
        <v>66</v>
      </c>
      <c r="H943" t="s">
        <v>95</v>
      </c>
      <c r="I943" s="3">
        <v>0.25138888888888888</v>
      </c>
      <c r="J943" s="8" t="s">
        <v>450</v>
      </c>
      <c r="K943" s="8" t="s">
        <v>445</v>
      </c>
      <c r="L943" s="8" t="str">
        <f>IF(Table1346[[#This Row],[Home Team Score]]&gt;Table1346[[#This Row],[Away Team Score]],"Win",IF(Table1346[[#This Row],[Home Team Score]]=Table1346[[#This Row],[Away Team Score]],"Tie","Lose"))</f>
        <v>Win</v>
      </c>
      <c r="M943" t="s">
        <v>275</v>
      </c>
      <c r="N943">
        <v>58</v>
      </c>
      <c r="O943" s="3">
        <v>0.20902777777777778</v>
      </c>
      <c r="P943" t="s">
        <v>31</v>
      </c>
      <c r="Q943" t="s">
        <v>287</v>
      </c>
      <c r="R943" t="e">
        <f>IF([1]!Table13[[#This Row],[Goal_assist]]="",1,0)</f>
        <v>#REF!</v>
      </c>
    </row>
    <row r="944" spans="1:18" x14ac:dyDescent="0.35">
      <c r="A944" t="s">
        <v>64</v>
      </c>
      <c r="B944" t="s">
        <v>291</v>
      </c>
      <c r="C944" t="s">
        <v>65</v>
      </c>
      <c r="D944">
        <v>1</v>
      </c>
      <c r="E944" s="2">
        <v>42602</v>
      </c>
      <c r="F944" t="s">
        <v>16</v>
      </c>
      <c r="G944" t="s">
        <v>66</v>
      </c>
      <c r="H944" t="s">
        <v>95</v>
      </c>
      <c r="I944" s="3">
        <v>0.25138888888888888</v>
      </c>
      <c r="J944" s="8" t="s">
        <v>450</v>
      </c>
      <c r="K944" s="8" t="s">
        <v>445</v>
      </c>
      <c r="L944" s="8" t="str">
        <f>IF(Table1346[[#This Row],[Home Team Score]]&gt;Table1346[[#This Row],[Away Team Score]],"Win",IF(Table1346[[#This Row],[Home Team Score]]=Table1346[[#This Row],[Away Team Score]],"Tie","Lose"))</f>
        <v>Win</v>
      </c>
      <c r="M944" t="s">
        <v>275</v>
      </c>
      <c r="N944">
        <v>37</v>
      </c>
      <c r="O944" s="3">
        <v>8.4027777777777785E-2</v>
      </c>
      <c r="P944" t="s">
        <v>31</v>
      </c>
      <c r="Q944" t="s">
        <v>293</v>
      </c>
      <c r="R944" t="e">
        <f>IF([1]!Table13[[#This Row],[Goal_assist]]="",1,0)</f>
        <v>#REF!</v>
      </c>
    </row>
    <row r="945" spans="1:18" x14ac:dyDescent="0.35">
      <c r="A945" t="s">
        <v>14</v>
      </c>
      <c r="B945" t="s">
        <v>291</v>
      </c>
      <c r="C945" t="s">
        <v>65</v>
      </c>
      <c r="D945">
        <v>3</v>
      </c>
      <c r="E945" s="2">
        <v>42623</v>
      </c>
      <c r="F945" t="s">
        <v>16</v>
      </c>
      <c r="G945" t="s">
        <v>112</v>
      </c>
      <c r="H945" t="s">
        <v>100</v>
      </c>
      <c r="I945" s="3">
        <v>0.20972222222222223</v>
      </c>
      <c r="J945" s="8" t="s">
        <v>448</v>
      </c>
      <c r="K945" s="8" t="s">
        <v>445</v>
      </c>
      <c r="L945" s="8" t="str">
        <f>IF(Table1346[[#This Row],[Home Team Score]]&gt;Table1346[[#This Row],[Away Team Score]],"Win",IF(Table1346[[#This Row],[Home Team Score]]=Table1346[[#This Row],[Away Team Score]],"Tie","Lose"))</f>
        <v>Win</v>
      </c>
      <c r="M945" t="s">
        <v>19</v>
      </c>
      <c r="N945">
        <v>6</v>
      </c>
      <c r="O945" s="3">
        <v>4.1666666666666664E-2</v>
      </c>
      <c r="P945" t="s">
        <v>26</v>
      </c>
      <c r="Q945" t="s">
        <v>261</v>
      </c>
      <c r="R945" t="e">
        <f>IF([1]!Table13[[#This Row],[Goal_assist]]="",1,0)</f>
        <v>#REF!</v>
      </c>
    </row>
    <row r="946" spans="1:18" x14ac:dyDescent="0.35">
      <c r="A946" t="s">
        <v>64</v>
      </c>
      <c r="B946" t="s">
        <v>291</v>
      </c>
      <c r="C946" t="s">
        <v>75</v>
      </c>
      <c r="D946" t="s">
        <v>76</v>
      </c>
      <c r="E946" s="2">
        <v>42626</v>
      </c>
      <c r="F946" t="s">
        <v>16</v>
      </c>
      <c r="G946" t="s">
        <v>66</v>
      </c>
      <c r="H946" t="s">
        <v>144</v>
      </c>
      <c r="I946" s="3">
        <v>0.29166666666666669</v>
      </c>
      <c r="J946" s="8" t="s">
        <v>449</v>
      </c>
      <c r="K946" s="8" t="s">
        <v>443</v>
      </c>
      <c r="L946" s="8" t="str">
        <f>IF(Table1346[[#This Row],[Home Team Score]]&gt;Table1346[[#This Row],[Away Team Score]],"Win",IF(Table1346[[#This Row],[Home Team Score]]=Table1346[[#This Row],[Away Team Score]],"Tie","Lose"))</f>
        <v>Win</v>
      </c>
      <c r="M946" t="s">
        <v>275</v>
      </c>
      <c r="N946">
        <v>27</v>
      </c>
      <c r="O946" s="3">
        <v>8.3333333333333329E-2</v>
      </c>
      <c r="P946" t="s">
        <v>31</v>
      </c>
      <c r="Q946" t="s">
        <v>256</v>
      </c>
      <c r="R946" t="e">
        <f>IF([1]!Table13[[#This Row],[Goal_assist]]="",1,0)</f>
        <v>#REF!</v>
      </c>
    </row>
    <row r="947" spans="1:18" x14ac:dyDescent="0.35">
      <c r="A947" t="s">
        <v>64</v>
      </c>
      <c r="B947" t="s">
        <v>291</v>
      </c>
      <c r="C947" t="s">
        <v>75</v>
      </c>
      <c r="D947" t="s">
        <v>76</v>
      </c>
      <c r="E947" s="2">
        <v>42626</v>
      </c>
      <c r="F947" t="s">
        <v>16</v>
      </c>
      <c r="G947" t="s">
        <v>66</v>
      </c>
      <c r="H947" t="s">
        <v>144</v>
      </c>
      <c r="I947" s="3">
        <v>0.29166666666666669</v>
      </c>
      <c r="J947" s="8" t="s">
        <v>449</v>
      </c>
      <c r="K947" s="8" t="s">
        <v>443</v>
      </c>
      <c r="L947" s="8" t="str">
        <f>IF(Table1346[[#This Row],[Home Team Score]]&gt;Table1346[[#This Row],[Away Team Score]],"Win",IF(Table1346[[#This Row],[Home Team Score]]=Table1346[[#This Row],[Away Team Score]],"Tie","Lose"))</f>
        <v>Win</v>
      </c>
      <c r="M947" t="s">
        <v>275</v>
      </c>
      <c r="N947">
        <v>3</v>
      </c>
      <c r="O947" s="3">
        <v>4.1666666666666664E-2</v>
      </c>
      <c r="P947" t="s">
        <v>31</v>
      </c>
      <c r="Q947" t="s">
        <v>256</v>
      </c>
      <c r="R947" t="e">
        <f>IF([1]!Table13[[#This Row],[Goal_assist]]="",1,0)</f>
        <v>#REF!</v>
      </c>
    </row>
    <row r="948" spans="1:18" x14ac:dyDescent="0.35">
      <c r="A948" t="s">
        <v>64</v>
      </c>
      <c r="B948" t="s">
        <v>291</v>
      </c>
      <c r="C948" t="s">
        <v>75</v>
      </c>
      <c r="D948" t="s">
        <v>76</v>
      </c>
      <c r="E948" s="2">
        <v>42626</v>
      </c>
      <c r="F948" t="s">
        <v>16</v>
      </c>
      <c r="G948" t="s">
        <v>66</v>
      </c>
      <c r="H948" t="s">
        <v>144</v>
      </c>
      <c r="I948" s="3">
        <v>0.29166666666666669</v>
      </c>
      <c r="J948" s="8" t="s">
        <v>449</v>
      </c>
      <c r="K948" s="8" t="s">
        <v>443</v>
      </c>
      <c r="L948" s="8" t="str">
        <f>IF(Table1346[[#This Row],[Home Team Score]]&gt;Table1346[[#This Row],[Away Team Score]],"Win",IF(Table1346[[#This Row],[Home Team Score]]=Table1346[[#This Row],[Away Team Score]],"Tie","Lose"))</f>
        <v>Win</v>
      </c>
      <c r="M948" t="s">
        <v>275</v>
      </c>
      <c r="N948">
        <v>60</v>
      </c>
      <c r="O948" s="3">
        <v>0.20833333333333334</v>
      </c>
      <c r="P948" t="s">
        <v>31</v>
      </c>
      <c r="Q948" t="s">
        <v>273</v>
      </c>
      <c r="R948" t="e">
        <f>IF([1]!Table13[[#This Row],[Goal_assist]]="",1,0)</f>
        <v>#REF!</v>
      </c>
    </row>
    <row r="949" spans="1:18" x14ac:dyDescent="0.35">
      <c r="A949" t="s">
        <v>14</v>
      </c>
      <c r="B949" t="s">
        <v>291</v>
      </c>
      <c r="C949" t="s">
        <v>75</v>
      </c>
      <c r="D949" t="s">
        <v>76</v>
      </c>
      <c r="E949" s="2">
        <v>42627</v>
      </c>
      <c r="F949" t="s">
        <v>16</v>
      </c>
      <c r="G949" t="s">
        <v>112</v>
      </c>
      <c r="H949" t="s">
        <v>17</v>
      </c>
      <c r="I949" s="3">
        <v>8.4027777777777785E-2</v>
      </c>
      <c r="J949" s="8" t="s">
        <v>445</v>
      </c>
      <c r="K949" s="8" t="s">
        <v>444</v>
      </c>
      <c r="L949" s="8" t="str">
        <f>IF(Table1346[[#This Row],[Home Team Score]]&gt;Table1346[[#This Row],[Away Team Score]],"Win",IF(Table1346[[#This Row],[Home Team Score]]=Table1346[[#This Row],[Away Team Score]],"Tie","Lose"))</f>
        <v>Win</v>
      </c>
      <c r="M949" t="s">
        <v>19</v>
      </c>
      <c r="N949">
        <v>89</v>
      </c>
      <c r="O949" s="3">
        <v>4.2361111111111113E-2</v>
      </c>
      <c r="P949" t="s">
        <v>39</v>
      </c>
      <c r="R949" t="e">
        <f>IF([1]!Table13[[#This Row],[Goal_assist]]="",1,0)</f>
        <v>#REF!</v>
      </c>
    </row>
    <row r="950" spans="1:18" x14ac:dyDescent="0.35">
      <c r="A950" t="s">
        <v>64</v>
      </c>
      <c r="B950" t="s">
        <v>291</v>
      </c>
      <c r="C950" t="s">
        <v>65</v>
      </c>
      <c r="D950">
        <v>4</v>
      </c>
      <c r="E950" s="2">
        <v>42630</v>
      </c>
      <c r="F950" t="s">
        <v>24</v>
      </c>
      <c r="G950" t="s">
        <v>66</v>
      </c>
      <c r="H950" t="s">
        <v>294</v>
      </c>
      <c r="I950" s="3">
        <v>4.5138888888888888E-2</v>
      </c>
      <c r="J950" s="8" t="s">
        <v>444</v>
      </c>
      <c r="K950" s="8" t="s">
        <v>448</v>
      </c>
      <c r="L950" s="8" t="str">
        <f>IF(Table1346[[#This Row],[Home Team Score]]&gt;Table1346[[#This Row],[Away Team Score]],"Win",IF(Table1346[[#This Row],[Home Team Score]]=Table1346[[#This Row],[Away Team Score]],"Tie","Lose"))</f>
        <v>Lose</v>
      </c>
      <c r="M950" t="s">
        <v>38</v>
      </c>
      <c r="N950">
        <v>15</v>
      </c>
      <c r="O950" s="3">
        <v>6.9444444444444447E-4</v>
      </c>
      <c r="P950" t="s">
        <v>31</v>
      </c>
      <c r="Q950" t="s">
        <v>273</v>
      </c>
      <c r="R950" t="e">
        <f>IF([1]!Table13[[#This Row],[Goal_assist]]="",1,0)</f>
        <v>#REF!</v>
      </c>
    </row>
    <row r="951" spans="1:18" x14ac:dyDescent="0.35">
      <c r="A951" t="s">
        <v>64</v>
      </c>
      <c r="B951" t="s">
        <v>291</v>
      </c>
      <c r="C951" t="s">
        <v>65</v>
      </c>
      <c r="D951">
        <v>4</v>
      </c>
      <c r="E951" s="2">
        <v>42630</v>
      </c>
      <c r="F951" t="s">
        <v>24</v>
      </c>
      <c r="G951" t="s">
        <v>66</v>
      </c>
      <c r="H951" t="s">
        <v>294</v>
      </c>
      <c r="I951" s="3">
        <v>4.5138888888888888E-2</v>
      </c>
      <c r="J951" s="8" t="s">
        <v>444</v>
      </c>
      <c r="K951" s="8" t="s">
        <v>448</v>
      </c>
      <c r="L951" s="8" t="str">
        <f>IF(Table1346[[#This Row],[Home Team Score]]&gt;Table1346[[#This Row],[Away Team Score]],"Win",IF(Table1346[[#This Row],[Home Team Score]]=Table1346[[#This Row],[Away Team Score]],"Tie","Lose"))</f>
        <v>Lose</v>
      </c>
      <c r="M951" t="s">
        <v>38</v>
      </c>
      <c r="N951">
        <v>55</v>
      </c>
      <c r="O951" s="3">
        <v>2.7777777777777779E-3</v>
      </c>
      <c r="P951" t="s">
        <v>83</v>
      </c>
      <c r="R951" t="e">
        <f>IF([1]!Table13[[#This Row],[Goal_assist]]="",1,0)</f>
        <v>#REF!</v>
      </c>
    </row>
    <row r="952" spans="1:18" x14ac:dyDescent="0.35">
      <c r="A952" t="s">
        <v>14</v>
      </c>
      <c r="B952" t="s">
        <v>291</v>
      </c>
      <c r="C952" t="s">
        <v>75</v>
      </c>
      <c r="D952" t="s">
        <v>76</v>
      </c>
      <c r="E952" s="2">
        <v>42640</v>
      </c>
      <c r="F952" t="s">
        <v>24</v>
      </c>
      <c r="G952" t="s">
        <v>112</v>
      </c>
      <c r="H952" t="s">
        <v>246</v>
      </c>
      <c r="I952" s="3">
        <v>8.4722222222222227E-2</v>
      </c>
      <c r="J952" s="8" t="s">
        <v>445</v>
      </c>
      <c r="K952" s="8" t="s">
        <v>445</v>
      </c>
      <c r="L952" s="8" t="str">
        <f>IF(Table1346[[#This Row],[Home Team Score]]&gt;Table1346[[#This Row],[Away Team Score]],"Win",IF(Table1346[[#This Row],[Home Team Score]]=Table1346[[#This Row],[Away Team Score]],"Tie","Lose"))</f>
        <v>Tie</v>
      </c>
      <c r="M952" t="s">
        <v>19</v>
      </c>
      <c r="N952">
        <v>17</v>
      </c>
      <c r="O952" s="3">
        <v>6.9444444444444447E-4</v>
      </c>
      <c r="P952" t="s">
        <v>26</v>
      </c>
      <c r="Q952" t="s">
        <v>261</v>
      </c>
      <c r="R952" t="e">
        <f>IF([1]!Table13[[#This Row],[Goal_assist]]="",1,0)</f>
        <v>#REF!</v>
      </c>
    </row>
    <row r="953" spans="1:18" x14ac:dyDescent="0.35">
      <c r="A953" t="s">
        <v>64</v>
      </c>
      <c r="B953" t="s">
        <v>291</v>
      </c>
      <c r="C953" t="s">
        <v>65</v>
      </c>
      <c r="D953">
        <v>8</v>
      </c>
      <c r="E953" s="2">
        <v>42658</v>
      </c>
      <c r="F953" t="s">
        <v>16</v>
      </c>
      <c r="G953" t="s">
        <v>66</v>
      </c>
      <c r="H953" t="s">
        <v>115</v>
      </c>
      <c r="I953" s="3">
        <v>0.16666666666666666</v>
      </c>
      <c r="J953" s="8" t="s">
        <v>446</v>
      </c>
      <c r="K953" s="8" t="s">
        <v>443</v>
      </c>
      <c r="L953" s="8" t="str">
        <f>IF(Table1346[[#This Row],[Home Team Score]]&gt;Table1346[[#This Row],[Away Team Score]],"Win",IF(Table1346[[#This Row],[Home Team Score]]=Table1346[[#This Row],[Away Team Score]],"Tie","Lose"))</f>
        <v>Win</v>
      </c>
      <c r="M953" t="s">
        <v>38</v>
      </c>
      <c r="N953">
        <v>58</v>
      </c>
      <c r="O953" s="3">
        <v>0.16666666666666666</v>
      </c>
      <c r="P953" t="s">
        <v>31</v>
      </c>
      <c r="Q953" t="s">
        <v>256</v>
      </c>
      <c r="R953" t="e">
        <f>IF([1]!Table13[[#This Row],[Goal_assist]]="",1,0)</f>
        <v>#REF!</v>
      </c>
    </row>
    <row r="954" spans="1:18" x14ac:dyDescent="0.35">
      <c r="A954" t="s">
        <v>14</v>
      </c>
      <c r="B954" t="s">
        <v>291</v>
      </c>
      <c r="C954" t="s">
        <v>65</v>
      </c>
      <c r="D954">
        <v>8</v>
      </c>
      <c r="E954" s="2">
        <v>42658</v>
      </c>
      <c r="F954" t="s">
        <v>24</v>
      </c>
      <c r="G954" t="s">
        <v>112</v>
      </c>
      <c r="H954" t="s">
        <v>95</v>
      </c>
      <c r="I954" s="3">
        <v>4.583333333333333E-2</v>
      </c>
      <c r="J954" s="8" t="s">
        <v>444</v>
      </c>
      <c r="K954" s="8" t="s">
        <v>450</v>
      </c>
      <c r="L954" s="8" t="str">
        <f>IF(Table1346[[#This Row],[Home Team Score]]&gt;Table1346[[#This Row],[Away Team Score]],"Win",IF(Table1346[[#This Row],[Home Team Score]]=Table1346[[#This Row],[Away Team Score]],"Tie","Lose"))</f>
        <v>Lose</v>
      </c>
      <c r="M954" t="s">
        <v>19</v>
      </c>
      <c r="N954">
        <v>78</v>
      </c>
      <c r="O954" s="3">
        <v>4.583333333333333E-2</v>
      </c>
      <c r="P954" t="s">
        <v>26</v>
      </c>
      <c r="Q954" t="s">
        <v>295</v>
      </c>
      <c r="R954" t="e">
        <f>IF([1]!Table13[[#This Row],[Goal_assist]]="",1,0)</f>
        <v>#REF!</v>
      </c>
    </row>
    <row r="955" spans="1:18" x14ac:dyDescent="0.35">
      <c r="A955" t="s">
        <v>64</v>
      </c>
      <c r="B955" t="s">
        <v>291</v>
      </c>
      <c r="C955" t="s">
        <v>75</v>
      </c>
      <c r="D955" t="s">
        <v>76</v>
      </c>
      <c r="E955" s="2">
        <v>42662</v>
      </c>
      <c r="F955" t="s">
        <v>16</v>
      </c>
      <c r="G955" t="s">
        <v>66</v>
      </c>
      <c r="H955" t="s">
        <v>41</v>
      </c>
      <c r="I955" s="3">
        <v>0.16666666666666666</v>
      </c>
      <c r="J955" s="8" t="s">
        <v>446</v>
      </c>
      <c r="K955" s="8" t="s">
        <v>443</v>
      </c>
      <c r="L955" s="8" t="str">
        <f>IF(Table1346[[#This Row],[Home Team Score]]&gt;Table1346[[#This Row],[Away Team Score]],"Win",IF(Table1346[[#This Row],[Home Team Score]]=Table1346[[#This Row],[Away Team Score]],"Tie","Lose"))</f>
        <v>Win</v>
      </c>
      <c r="M955" t="s">
        <v>38</v>
      </c>
      <c r="N955">
        <v>69</v>
      </c>
      <c r="O955" s="3">
        <v>0.125</v>
      </c>
      <c r="P955" t="s">
        <v>31</v>
      </c>
      <c r="Q955" t="s">
        <v>273</v>
      </c>
      <c r="R955" t="e">
        <f>IF([1]!Table13[[#This Row],[Goal_assist]]="",1,0)</f>
        <v>#REF!</v>
      </c>
    </row>
    <row r="956" spans="1:18" x14ac:dyDescent="0.35">
      <c r="A956" t="s">
        <v>64</v>
      </c>
      <c r="B956" t="s">
        <v>291</v>
      </c>
      <c r="C956" t="s">
        <v>75</v>
      </c>
      <c r="D956" t="s">
        <v>76</v>
      </c>
      <c r="E956" s="2">
        <v>42662</v>
      </c>
      <c r="F956" t="s">
        <v>16</v>
      </c>
      <c r="G956" t="s">
        <v>66</v>
      </c>
      <c r="H956" t="s">
        <v>41</v>
      </c>
      <c r="I956" s="3">
        <v>0.16666666666666666</v>
      </c>
      <c r="J956" s="8" t="s">
        <v>446</v>
      </c>
      <c r="K956" s="8" t="s">
        <v>443</v>
      </c>
      <c r="L956" s="8" t="str">
        <f>IF(Table1346[[#This Row],[Home Team Score]]&gt;Table1346[[#This Row],[Away Team Score]],"Win",IF(Table1346[[#This Row],[Home Team Score]]=Table1346[[#This Row],[Away Team Score]],"Tie","Lose"))</f>
        <v>Win</v>
      </c>
      <c r="M956" t="s">
        <v>38</v>
      </c>
      <c r="N956">
        <v>61</v>
      </c>
      <c r="O956" s="3">
        <v>8.3333333333333329E-2</v>
      </c>
      <c r="P956" t="s">
        <v>31</v>
      </c>
      <c r="Q956" t="s">
        <v>99</v>
      </c>
      <c r="R956" t="e">
        <f>IF([1]!Table13[[#This Row],[Goal_assist]]="",1,0)</f>
        <v>#REF!</v>
      </c>
    </row>
    <row r="957" spans="1:18" x14ac:dyDescent="0.35">
      <c r="A957" t="s">
        <v>64</v>
      </c>
      <c r="B957" t="s">
        <v>291</v>
      </c>
      <c r="C957" t="s">
        <v>75</v>
      </c>
      <c r="D957" t="s">
        <v>76</v>
      </c>
      <c r="E957" s="2">
        <v>42662</v>
      </c>
      <c r="F957" t="s">
        <v>16</v>
      </c>
      <c r="G957" t="s">
        <v>66</v>
      </c>
      <c r="H957" t="s">
        <v>41</v>
      </c>
      <c r="I957" s="3">
        <v>0.16666666666666666</v>
      </c>
      <c r="J957" s="8" t="s">
        <v>446</v>
      </c>
      <c r="K957" s="8" t="s">
        <v>443</v>
      </c>
      <c r="L957" s="8" t="str">
        <f>IF(Table1346[[#This Row],[Home Team Score]]&gt;Table1346[[#This Row],[Away Team Score]],"Win",IF(Table1346[[#This Row],[Home Team Score]]=Table1346[[#This Row],[Away Team Score]],"Tie","Lose"))</f>
        <v>Win</v>
      </c>
      <c r="M957" t="s">
        <v>38</v>
      </c>
      <c r="N957">
        <v>17</v>
      </c>
      <c r="O957" s="3">
        <v>4.1666666666666664E-2</v>
      </c>
      <c r="P957" t="s">
        <v>31</v>
      </c>
      <c r="Q957" t="s">
        <v>99</v>
      </c>
      <c r="R957" t="e">
        <f>IF([1]!Table13[[#This Row],[Goal_assist]]="",1,0)</f>
        <v>#REF!</v>
      </c>
    </row>
    <row r="958" spans="1:18" x14ac:dyDescent="0.35">
      <c r="A958" t="s">
        <v>64</v>
      </c>
      <c r="B958" t="s">
        <v>291</v>
      </c>
      <c r="C958" t="s">
        <v>65</v>
      </c>
      <c r="D958">
        <v>9</v>
      </c>
      <c r="E958" s="2">
        <v>42665</v>
      </c>
      <c r="F958" t="s">
        <v>24</v>
      </c>
      <c r="G958" t="s">
        <v>66</v>
      </c>
      <c r="H958" t="s">
        <v>148</v>
      </c>
      <c r="I958" s="3">
        <v>8.5416666666666669E-2</v>
      </c>
      <c r="J958" s="8" t="s">
        <v>445</v>
      </c>
      <c r="K958" s="8" t="s">
        <v>442</v>
      </c>
      <c r="L958" s="8" t="str">
        <f>IF(Table1346[[#This Row],[Home Team Score]]&gt;Table1346[[#This Row],[Away Team Score]],"Win",IF(Table1346[[#This Row],[Home Team Score]]=Table1346[[#This Row],[Away Team Score]],"Tie","Lose"))</f>
        <v>Lose</v>
      </c>
      <c r="M958" t="s">
        <v>38</v>
      </c>
      <c r="N958" t="s">
        <v>239</v>
      </c>
      <c r="O958" s="3">
        <v>8.5416666666666669E-2</v>
      </c>
      <c r="P958" t="s">
        <v>83</v>
      </c>
      <c r="R958" t="e">
        <f>IF([1]!Table13[[#This Row],[Goal_assist]]="",1,0)</f>
        <v>#REF!</v>
      </c>
    </row>
    <row r="959" spans="1:18" x14ac:dyDescent="0.35">
      <c r="A959" t="s">
        <v>64</v>
      </c>
      <c r="B959" t="s">
        <v>291</v>
      </c>
      <c r="C959" t="s">
        <v>65</v>
      </c>
      <c r="D959">
        <v>9</v>
      </c>
      <c r="E959" s="2">
        <v>42665</v>
      </c>
      <c r="F959" t="s">
        <v>24</v>
      </c>
      <c r="G959" t="s">
        <v>66</v>
      </c>
      <c r="H959" t="s">
        <v>148</v>
      </c>
      <c r="I959" s="3">
        <v>8.5416666666666669E-2</v>
      </c>
      <c r="J959" s="8" t="s">
        <v>445</v>
      </c>
      <c r="K959" s="8" t="s">
        <v>442</v>
      </c>
      <c r="L959" s="8" t="str">
        <f>IF(Table1346[[#This Row],[Home Team Score]]&gt;Table1346[[#This Row],[Away Team Score]],"Win",IF(Table1346[[#This Row],[Home Team Score]]=Table1346[[#This Row],[Away Team Score]],"Tie","Lose"))</f>
        <v>Lose</v>
      </c>
      <c r="M959" t="s">
        <v>38</v>
      </c>
      <c r="N959">
        <v>22</v>
      </c>
      <c r="O959" s="3">
        <v>6.9444444444444447E-4</v>
      </c>
      <c r="P959" t="s">
        <v>31</v>
      </c>
      <c r="Q959" t="s">
        <v>276</v>
      </c>
      <c r="R959" t="e">
        <f>IF([1]!Table13[[#This Row],[Goal_assist]]="",1,0)</f>
        <v>#REF!</v>
      </c>
    </row>
    <row r="960" spans="1:18" x14ac:dyDescent="0.35">
      <c r="A960" t="s">
        <v>14</v>
      </c>
      <c r="B960" t="s">
        <v>291</v>
      </c>
      <c r="C960" t="s">
        <v>65</v>
      </c>
      <c r="D960">
        <v>10</v>
      </c>
      <c r="E960" s="2">
        <v>42672</v>
      </c>
      <c r="F960" t="s">
        <v>24</v>
      </c>
      <c r="G960" t="s">
        <v>112</v>
      </c>
      <c r="H960" t="s">
        <v>88</v>
      </c>
      <c r="I960" s="3">
        <v>4.4444444444444446E-2</v>
      </c>
      <c r="J960" s="8" t="s">
        <v>444</v>
      </c>
      <c r="K960" s="8" t="s">
        <v>446</v>
      </c>
      <c r="L960" s="8" t="str">
        <f>IF(Table1346[[#This Row],[Home Team Score]]&gt;Table1346[[#This Row],[Away Team Score]],"Win",IF(Table1346[[#This Row],[Home Team Score]]=Table1346[[#This Row],[Away Team Score]],"Tie","Lose"))</f>
        <v>Lose</v>
      </c>
      <c r="M960" t="s">
        <v>19</v>
      </c>
      <c r="N960">
        <v>17</v>
      </c>
      <c r="O960" s="3">
        <v>4.2361111111111113E-2</v>
      </c>
      <c r="P960" t="s">
        <v>83</v>
      </c>
      <c r="R960" t="e">
        <f>IF([1]!Table13[[#This Row],[Goal_assist]]="",1,0)</f>
        <v>#REF!</v>
      </c>
    </row>
    <row r="961" spans="1:18" x14ac:dyDescent="0.35">
      <c r="A961" t="s">
        <v>14</v>
      </c>
      <c r="B961" t="s">
        <v>291</v>
      </c>
      <c r="C961" t="s">
        <v>65</v>
      </c>
      <c r="D961">
        <v>10</v>
      </c>
      <c r="E961" s="2">
        <v>42672</v>
      </c>
      <c r="F961" t="s">
        <v>24</v>
      </c>
      <c r="G961" t="s">
        <v>112</v>
      </c>
      <c r="H961" t="s">
        <v>88</v>
      </c>
      <c r="I961" s="3">
        <v>4.4444444444444446E-2</v>
      </c>
      <c r="J961" s="8" t="s">
        <v>444</v>
      </c>
      <c r="K961" s="8" t="s">
        <v>446</v>
      </c>
      <c r="L961" s="8" t="str">
        <f>IF(Table1346[[#This Row],[Home Team Score]]&gt;Table1346[[#This Row],[Away Team Score]],"Win",IF(Table1346[[#This Row],[Home Team Score]]=Table1346[[#This Row],[Away Team Score]],"Tie","Lose"))</f>
        <v>Lose</v>
      </c>
      <c r="M961" t="s">
        <v>19</v>
      </c>
      <c r="N961">
        <v>33</v>
      </c>
      <c r="O961" s="3">
        <v>4.3055555555555555E-2</v>
      </c>
      <c r="P961" t="s">
        <v>26</v>
      </c>
      <c r="Q961" t="s">
        <v>183</v>
      </c>
      <c r="R961" t="e">
        <f>IF([1]!Table13[[#This Row],[Goal_assist]]="",1,0)</f>
        <v>#REF!</v>
      </c>
    </row>
    <row r="962" spans="1:18" x14ac:dyDescent="0.35">
      <c r="A962" t="s">
        <v>14</v>
      </c>
      <c r="B962" t="s">
        <v>291</v>
      </c>
      <c r="C962" t="s">
        <v>65</v>
      </c>
      <c r="D962">
        <v>10</v>
      </c>
      <c r="E962" s="2">
        <v>42672</v>
      </c>
      <c r="F962" t="s">
        <v>24</v>
      </c>
      <c r="G962" t="s">
        <v>112</v>
      </c>
      <c r="H962" t="s">
        <v>88</v>
      </c>
      <c r="I962" s="3">
        <v>4.4444444444444446E-2</v>
      </c>
      <c r="J962" s="8" t="s">
        <v>444</v>
      </c>
      <c r="K962" s="8" t="s">
        <v>446</v>
      </c>
      <c r="L962" s="8" t="str">
        <f>IF(Table1346[[#This Row],[Home Team Score]]&gt;Table1346[[#This Row],[Away Team Score]],"Win",IF(Table1346[[#This Row],[Home Team Score]]=Table1346[[#This Row],[Away Team Score]],"Tie","Lose"))</f>
        <v>Lose</v>
      </c>
      <c r="M962" t="s">
        <v>19</v>
      </c>
      <c r="N962">
        <v>88</v>
      </c>
      <c r="O962" s="3">
        <v>4.4444444444444446E-2</v>
      </c>
      <c r="P962" t="s">
        <v>26</v>
      </c>
      <c r="Q962" t="s">
        <v>201</v>
      </c>
      <c r="R962" t="e">
        <f>IF([1]!Table13[[#This Row],[Goal_assist]]="",1,0)</f>
        <v>#REF!</v>
      </c>
    </row>
    <row r="963" spans="1:18" x14ac:dyDescent="0.35">
      <c r="A963" t="s">
        <v>64</v>
      </c>
      <c r="B963" t="s">
        <v>291</v>
      </c>
      <c r="C963" t="s">
        <v>75</v>
      </c>
      <c r="D963" t="s">
        <v>76</v>
      </c>
      <c r="E963" s="2">
        <v>42675</v>
      </c>
      <c r="F963" t="s">
        <v>24</v>
      </c>
      <c r="G963" t="s">
        <v>66</v>
      </c>
      <c r="H963" t="s">
        <v>41</v>
      </c>
      <c r="I963" s="3">
        <v>0.12569444444444444</v>
      </c>
      <c r="J963" s="8" t="s">
        <v>442</v>
      </c>
      <c r="K963" s="8" t="s">
        <v>444</v>
      </c>
      <c r="L963" s="8" t="str">
        <f>IF(Table1346[[#This Row],[Home Team Score]]&gt;Table1346[[#This Row],[Away Team Score]],"Win",IF(Table1346[[#This Row],[Home Team Score]]=Table1346[[#This Row],[Away Team Score]],"Tie","Lose"))</f>
        <v>Win</v>
      </c>
      <c r="M963" t="s">
        <v>275</v>
      </c>
      <c r="N963">
        <v>21</v>
      </c>
      <c r="O963" s="3">
        <v>6.9444444444444447E-4</v>
      </c>
      <c r="P963" t="s">
        <v>31</v>
      </c>
      <c r="Q963" t="s">
        <v>256</v>
      </c>
      <c r="R963" t="e">
        <f>IF([1]!Table13[[#This Row],[Goal_assist]]="",1,0)</f>
        <v>#REF!</v>
      </c>
    </row>
    <row r="964" spans="1:18" x14ac:dyDescent="0.35">
      <c r="A964" t="s">
        <v>64</v>
      </c>
      <c r="B964" t="s">
        <v>291</v>
      </c>
      <c r="C964" t="s">
        <v>65</v>
      </c>
      <c r="D964">
        <v>11</v>
      </c>
      <c r="E964" s="2">
        <v>42680</v>
      </c>
      <c r="F964" t="s">
        <v>24</v>
      </c>
      <c r="G964" t="s">
        <v>66</v>
      </c>
      <c r="H964" t="s">
        <v>105</v>
      </c>
      <c r="I964" s="3">
        <v>4.3055555555555555E-2</v>
      </c>
      <c r="J964" s="8" t="s">
        <v>444</v>
      </c>
      <c r="K964" s="8" t="s">
        <v>445</v>
      </c>
      <c r="L964" s="8" t="str">
        <f>IF(Table1346[[#This Row],[Home Team Score]]&gt;Table1346[[#This Row],[Away Team Score]],"Win",IF(Table1346[[#This Row],[Home Team Score]]=Table1346[[#This Row],[Away Team Score]],"Tie","Lose"))</f>
        <v>Lose</v>
      </c>
      <c r="M964" t="s">
        <v>275</v>
      </c>
      <c r="N964">
        <v>43</v>
      </c>
      <c r="O964" s="3">
        <v>4.2361111111111113E-2</v>
      </c>
      <c r="P964" t="s">
        <v>31</v>
      </c>
      <c r="Q964" t="s">
        <v>256</v>
      </c>
      <c r="R964" t="e">
        <f>IF([1]!Table13[[#This Row],[Goal_assist]]="",1,0)</f>
        <v>#REF!</v>
      </c>
    </row>
    <row r="965" spans="1:18" x14ac:dyDescent="0.35">
      <c r="A965" t="s">
        <v>14</v>
      </c>
      <c r="B965" t="s">
        <v>291</v>
      </c>
      <c r="C965" t="s">
        <v>65</v>
      </c>
      <c r="D965">
        <v>12</v>
      </c>
      <c r="E965" s="2">
        <v>42693</v>
      </c>
      <c r="F965" t="s">
        <v>24</v>
      </c>
      <c r="G965" t="s">
        <v>112</v>
      </c>
      <c r="H965" t="s">
        <v>119</v>
      </c>
      <c r="I965" s="3">
        <v>2.0833333333333333E-3</v>
      </c>
      <c r="J965" s="8" t="s">
        <v>443</v>
      </c>
      <c r="K965" s="8" t="s">
        <v>442</v>
      </c>
      <c r="L965" s="8" t="str">
        <f>IF(Table1346[[#This Row],[Home Team Score]]&gt;Table1346[[#This Row],[Away Team Score]],"Win",IF(Table1346[[#This Row],[Home Team Score]]=Table1346[[#This Row],[Away Team Score]],"Tie","Lose"))</f>
        <v>Lose</v>
      </c>
      <c r="M965" t="s">
        <v>68</v>
      </c>
      <c r="N965">
        <v>77</v>
      </c>
      <c r="O965" s="3">
        <v>2.0833333333333333E-3</v>
      </c>
      <c r="P965" t="s">
        <v>26</v>
      </c>
      <c r="Q965" t="s">
        <v>261</v>
      </c>
      <c r="R965" t="e">
        <f>IF([1]!Table13[[#This Row],[Goal_assist]]="",1,0)</f>
        <v>#REF!</v>
      </c>
    </row>
    <row r="966" spans="1:18" x14ac:dyDescent="0.35">
      <c r="A966" t="s">
        <v>14</v>
      </c>
      <c r="B966" t="s">
        <v>291</v>
      </c>
      <c r="C966" t="s">
        <v>65</v>
      </c>
      <c r="D966">
        <v>12</v>
      </c>
      <c r="E966" s="2">
        <v>42693</v>
      </c>
      <c r="F966" t="s">
        <v>24</v>
      </c>
      <c r="G966" t="s">
        <v>112</v>
      </c>
      <c r="H966" t="s">
        <v>119</v>
      </c>
      <c r="I966" s="3">
        <v>2.0833333333333333E-3</v>
      </c>
      <c r="J966" s="8" t="s">
        <v>443</v>
      </c>
      <c r="K966" s="8" t="s">
        <v>442</v>
      </c>
      <c r="L966" s="8" t="str">
        <f>IF(Table1346[[#This Row],[Home Team Score]]&gt;Table1346[[#This Row],[Away Team Score]],"Win",IF(Table1346[[#This Row],[Home Team Score]]=Table1346[[#This Row],[Away Team Score]],"Tie","Lose"))</f>
        <v>Lose</v>
      </c>
      <c r="M966" t="s">
        <v>68</v>
      </c>
      <c r="N966">
        <v>71</v>
      </c>
      <c r="O966" s="3">
        <v>1.3888888888888889E-3</v>
      </c>
      <c r="P966" t="s">
        <v>83</v>
      </c>
      <c r="R966" t="e">
        <f>IF([1]!Table13[[#This Row],[Goal_assist]]="",1,0)</f>
        <v>#REF!</v>
      </c>
    </row>
    <row r="967" spans="1:18" x14ac:dyDescent="0.35">
      <c r="A967" t="s">
        <v>14</v>
      </c>
      <c r="B967" t="s">
        <v>291</v>
      </c>
      <c r="C967" t="s">
        <v>65</v>
      </c>
      <c r="D967">
        <v>12</v>
      </c>
      <c r="E967" s="2">
        <v>42693</v>
      </c>
      <c r="F967" t="s">
        <v>24</v>
      </c>
      <c r="G967" t="s">
        <v>112</v>
      </c>
      <c r="H967" t="s">
        <v>119</v>
      </c>
      <c r="I967" s="3">
        <v>2.0833333333333333E-3</v>
      </c>
      <c r="J967" s="8" t="s">
        <v>443</v>
      </c>
      <c r="K967" s="8" t="s">
        <v>442</v>
      </c>
      <c r="L967" s="8" t="str">
        <f>IF(Table1346[[#This Row],[Home Team Score]]&gt;Table1346[[#This Row],[Away Team Score]],"Win",IF(Table1346[[#This Row],[Home Team Score]]=Table1346[[#This Row],[Away Team Score]],"Tie","Lose"))</f>
        <v>Lose</v>
      </c>
      <c r="M967" t="s">
        <v>68</v>
      </c>
      <c r="N967">
        <v>23</v>
      </c>
      <c r="O967" s="3">
        <v>6.9444444444444447E-4</v>
      </c>
      <c r="P967" t="s">
        <v>39</v>
      </c>
      <c r="R967" t="e">
        <f>IF([1]!Table13[[#This Row],[Goal_assist]]="",1,0)</f>
        <v>#REF!</v>
      </c>
    </row>
    <row r="968" spans="1:18" x14ac:dyDescent="0.35">
      <c r="A968" t="s">
        <v>64</v>
      </c>
      <c r="B968" t="s">
        <v>291</v>
      </c>
      <c r="C968" t="s">
        <v>75</v>
      </c>
      <c r="D968" t="s">
        <v>76</v>
      </c>
      <c r="E968" s="2">
        <v>42697</v>
      </c>
      <c r="F968" t="s">
        <v>24</v>
      </c>
      <c r="G968" t="s">
        <v>66</v>
      </c>
      <c r="H968" t="s">
        <v>144</v>
      </c>
      <c r="I968" s="3">
        <v>1.3888888888888889E-3</v>
      </c>
      <c r="J968" s="8" t="s">
        <v>443</v>
      </c>
      <c r="K968" s="8" t="s">
        <v>445</v>
      </c>
      <c r="L968" s="8" t="str">
        <f>IF(Table1346[[#This Row],[Home Team Score]]&gt;Table1346[[#This Row],[Away Team Score]],"Win",IF(Table1346[[#This Row],[Home Team Score]]=Table1346[[#This Row],[Away Team Score]],"Tie","Lose"))</f>
        <v>Lose</v>
      </c>
      <c r="M968" t="s">
        <v>275</v>
      </c>
      <c r="N968">
        <v>24</v>
      </c>
      <c r="O968" s="3">
        <v>6.9444444444444447E-4</v>
      </c>
      <c r="P968" t="s">
        <v>31</v>
      </c>
      <c r="Q968" t="s">
        <v>256</v>
      </c>
      <c r="R968" t="e">
        <f>IF([1]!Table13[[#This Row],[Goal_assist]]="",1,0)</f>
        <v>#REF!</v>
      </c>
    </row>
    <row r="969" spans="1:18" x14ac:dyDescent="0.35">
      <c r="A969" t="s">
        <v>64</v>
      </c>
      <c r="B969" t="s">
        <v>291</v>
      </c>
      <c r="C969" t="s">
        <v>75</v>
      </c>
      <c r="D969" t="s">
        <v>76</v>
      </c>
      <c r="E969" s="2">
        <v>42697</v>
      </c>
      <c r="F969" t="s">
        <v>24</v>
      </c>
      <c r="G969" t="s">
        <v>66</v>
      </c>
      <c r="H969" t="s">
        <v>144</v>
      </c>
      <c r="I969" s="3">
        <v>1.3888888888888889E-3</v>
      </c>
      <c r="J969" s="8" t="s">
        <v>443</v>
      </c>
      <c r="K969" s="8" t="s">
        <v>445</v>
      </c>
      <c r="L969" s="8" t="str">
        <f>IF(Table1346[[#This Row],[Home Team Score]]&gt;Table1346[[#This Row],[Away Team Score]],"Win",IF(Table1346[[#This Row],[Home Team Score]]=Table1346[[#This Row],[Away Team Score]],"Tie","Lose"))</f>
        <v>Lose</v>
      </c>
      <c r="M969" t="s">
        <v>275</v>
      </c>
      <c r="N969">
        <v>55</v>
      </c>
      <c r="O969" s="3">
        <v>1.3888888888888889E-3</v>
      </c>
      <c r="P969" t="s">
        <v>83</v>
      </c>
      <c r="R969" t="e">
        <f>IF([1]!Table13[[#This Row],[Goal_assist]]="",1,0)</f>
        <v>#REF!</v>
      </c>
    </row>
    <row r="970" spans="1:18" x14ac:dyDescent="0.35">
      <c r="A970" t="s">
        <v>14</v>
      </c>
      <c r="B970" t="s">
        <v>291</v>
      </c>
      <c r="C970" t="s">
        <v>65</v>
      </c>
      <c r="D970">
        <v>13</v>
      </c>
      <c r="E970" s="2">
        <v>42700</v>
      </c>
      <c r="F970" t="s">
        <v>16</v>
      </c>
      <c r="G970" t="s">
        <v>112</v>
      </c>
      <c r="H970" t="s">
        <v>151</v>
      </c>
      <c r="I970" s="3">
        <v>8.4027777777777785E-2</v>
      </c>
      <c r="J970" s="8" t="s">
        <v>445</v>
      </c>
      <c r="K970" s="8" t="s">
        <v>444</v>
      </c>
      <c r="L970" s="8" t="str">
        <f>IF(Table1346[[#This Row],[Home Team Score]]&gt;Table1346[[#This Row],[Away Team Score]],"Win",IF(Table1346[[#This Row],[Home Team Score]]=Table1346[[#This Row],[Away Team Score]],"Tie","Lose"))</f>
        <v>Win</v>
      </c>
      <c r="M970" t="s">
        <v>19</v>
      </c>
      <c r="N970">
        <v>5</v>
      </c>
      <c r="O970" s="3">
        <v>4.1666666666666664E-2</v>
      </c>
      <c r="P970" t="s">
        <v>83</v>
      </c>
      <c r="R970" t="e">
        <f>IF([1]!Table13[[#This Row],[Goal_assist]]="",1,0)</f>
        <v>#REF!</v>
      </c>
    </row>
    <row r="971" spans="1:18" x14ac:dyDescent="0.35">
      <c r="A971" t="s">
        <v>14</v>
      </c>
      <c r="B971" t="s">
        <v>291</v>
      </c>
      <c r="C971" t="s">
        <v>65</v>
      </c>
      <c r="D971">
        <v>13</v>
      </c>
      <c r="E971" s="2">
        <v>42700</v>
      </c>
      <c r="F971" t="s">
        <v>16</v>
      </c>
      <c r="G971" t="s">
        <v>112</v>
      </c>
      <c r="H971" t="s">
        <v>151</v>
      </c>
      <c r="I971" s="3">
        <v>8.4027777777777785E-2</v>
      </c>
      <c r="J971" s="8" t="s">
        <v>445</v>
      </c>
      <c r="K971" s="8" t="s">
        <v>444</v>
      </c>
      <c r="L971" s="8" t="str">
        <f>IF(Table1346[[#This Row],[Home Team Score]]&gt;Table1346[[#This Row],[Away Team Score]],"Win",IF(Table1346[[#This Row],[Home Team Score]]=Table1346[[#This Row],[Away Team Score]],"Tie","Lose"))</f>
        <v>Win</v>
      </c>
      <c r="M971" t="s">
        <v>19</v>
      </c>
      <c r="N971">
        <v>18</v>
      </c>
      <c r="O971" s="3">
        <v>8.3333333333333329E-2</v>
      </c>
      <c r="P971" t="s">
        <v>22</v>
      </c>
      <c r="Q971" t="s">
        <v>296</v>
      </c>
      <c r="R971" t="e">
        <f>IF([1]!Table13[[#This Row],[Goal_assist]]="",1,0)</f>
        <v>#REF!</v>
      </c>
    </row>
    <row r="972" spans="1:18" x14ac:dyDescent="0.35">
      <c r="A972" t="s">
        <v>64</v>
      </c>
      <c r="B972" t="s">
        <v>291</v>
      </c>
      <c r="C972" t="s">
        <v>65</v>
      </c>
      <c r="D972">
        <v>13</v>
      </c>
      <c r="E972" s="2">
        <v>42701</v>
      </c>
      <c r="F972" t="s">
        <v>24</v>
      </c>
      <c r="G972" t="s">
        <v>66</v>
      </c>
      <c r="H972" t="s">
        <v>217</v>
      </c>
      <c r="I972" s="3">
        <v>4.2361111111111113E-2</v>
      </c>
      <c r="J972" s="8" t="s">
        <v>444</v>
      </c>
      <c r="K972" s="8" t="s">
        <v>444</v>
      </c>
      <c r="L972" s="8" t="str">
        <f>IF(Table1346[[#This Row],[Home Team Score]]&gt;Table1346[[#This Row],[Away Team Score]],"Win",IF(Table1346[[#This Row],[Home Team Score]]=Table1346[[#This Row],[Away Team Score]],"Tie","Lose"))</f>
        <v>Tie</v>
      </c>
      <c r="M972" t="s">
        <v>275</v>
      </c>
      <c r="N972">
        <v>59</v>
      </c>
      <c r="O972" s="3">
        <v>4.2361111111111113E-2</v>
      </c>
      <c r="P972" t="s">
        <v>31</v>
      </c>
      <c r="Q972" t="s">
        <v>256</v>
      </c>
      <c r="R972" t="e">
        <f>IF([1]!Table13[[#This Row],[Goal_assist]]="",1,0)</f>
        <v>#REF!</v>
      </c>
    </row>
    <row r="973" spans="1:18" x14ac:dyDescent="0.35">
      <c r="A973" t="s">
        <v>64</v>
      </c>
      <c r="B973" t="s">
        <v>291</v>
      </c>
      <c r="C973" t="s">
        <v>75</v>
      </c>
      <c r="D973" t="s">
        <v>76</v>
      </c>
      <c r="E973" s="2">
        <v>42710</v>
      </c>
      <c r="F973" t="s">
        <v>16</v>
      </c>
      <c r="G973" t="s">
        <v>66</v>
      </c>
      <c r="H973" t="s">
        <v>297</v>
      </c>
      <c r="I973" s="3">
        <v>0.16666666666666666</v>
      </c>
      <c r="J973" s="8" t="s">
        <v>446</v>
      </c>
      <c r="K973" s="8" t="s">
        <v>443</v>
      </c>
      <c r="L973" s="8" t="str">
        <f>IF(Table1346[[#This Row],[Home Team Score]]&gt;Table1346[[#This Row],[Away Team Score]],"Win",IF(Table1346[[#This Row],[Home Team Score]]=Table1346[[#This Row],[Away Team Score]],"Tie","Lose"))</f>
        <v>Win</v>
      </c>
      <c r="M973" t="s">
        <v>38</v>
      </c>
      <c r="N973">
        <v>16</v>
      </c>
      <c r="O973" s="3">
        <v>4.1666666666666664E-2</v>
      </c>
      <c r="P973" t="s">
        <v>31</v>
      </c>
      <c r="Q973" t="s">
        <v>287</v>
      </c>
      <c r="R973" t="e">
        <f>IF([1]!Table13[[#This Row],[Goal_assist]]="",1,0)</f>
        <v>#REF!</v>
      </c>
    </row>
    <row r="974" spans="1:18" x14ac:dyDescent="0.35">
      <c r="A974" t="s">
        <v>64</v>
      </c>
      <c r="B974" t="s">
        <v>291</v>
      </c>
      <c r="C974" t="s">
        <v>65</v>
      </c>
      <c r="D974">
        <v>15</v>
      </c>
      <c r="E974" s="2">
        <v>42714</v>
      </c>
      <c r="F974" t="s">
        <v>24</v>
      </c>
      <c r="G974" t="s">
        <v>66</v>
      </c>
      <c r="H974" t="s">
        <v>100</v>
      </c>
      <c r="I974" s="3">
        <v>2.0833333333333333E-3</v>
      </c>
      <c r="J974" s="8" t="s">
        <v>443</v>
      </c>
      <c r="K974" s="8" t="s">
        <v>442</v>
      </c>
      <c r="L974" s="8" t="str">
        <f>IF(Table1346[[#This Row],[Home Team Score]]&gt;Table1346[[#This Row],[Away Team Score]],"Win",IF(Table1346[[#This Row],[Home Team Score]]=Table1346[[#This Row],[Away Team Score]],"Tie","Lose"))</f>
        <v>Lose</v>
      </c>
      <c r="M974" t="s">
        <v>38</v>
      </c>
      <c r="N974">
        <v>72</v>
      </c>
      <c r="O974" s="3">
        <v>1.3888888888888889E-3</v>
      </c>
      <c r="P974" t="s">
        <v>31</v>
      </c>
      <c r="Q974" t="s">
        <v>243</v>
      </c>
      <c r="R974" t="e">
        <f>IF([1]!Table13[[#This Row],[Goal_assist]]="",1,0)</f>
        <v>#REF!</v>
      </c>
    </row>
    <row r="975" spans="1:18" x14ac:dyDescent="0.35">
      <c r="A975" t="s">
        <v>64</v>
      </c>
      <c r="B975" t="s">
        <v>291</v>
      </c>
      <c r="C975" t="s">
        <v>65</v>
      </c>
      <c r="D975">
        <v>15</v>
      </c>
      <c r="E975" s="2">
        <v>42714</v>
      </c>
      <c r="F975" t="s">
        <v>24</v>
      </c>
      <c r="G975" t="s">
        <v>66</v>
      </c>
      <c r="H975" t="s">
        <v>100</v>
      </c>
      <c r="I975" s="3">
        <v>2.0833333333333333E-3</v>
      </c>
      <c r="J975" s="8" t="s">
        <v>443</v>
      </c>
      <c r="K975" s="8" t="s">
        <v>442</v>
      </c>
      <c r="L975" s="8" t="str">
        <f>IF(Table1346[[#This Row],[Home Team Score]]&gt;Table1346[[#This Row],[Away Team Score]],"Win",IF(Table1346[[#This Row],[Home Team Score]]=Table1346[[#This Row],[Away Team Score]],"Tie","Lose"))</f>
        <v>Lose</v>
      </c>
      <c r="M975" t="s">
        <v>38</v>
      </c>
      <c r="N975" t="s">
        <v>141</v>
      </c>
      <c r="O975" s="3">
        <v>2.0833333333333333E-3</v>
      </c>
      <c r="P975" t="s">
        <v>31</v>
      </c>
      <c r="Q975" t="s">
        <v>222</v>
      </c>
      <c r="R975" t="e">
        <f>IF([1]!Table13[[#This Row],[Goal_assist]]="",1,0)</f>
        <v>#REF!</v>
      </c>
    </row>
    <row r="976" spans="1:18" x14ac:dyDescent="0.35">
      <c r="A976" t="s">
        <v>14</v>
      </c>
      <c r="B976" t="s">
        <v>291</v>
      </c>
      <c r="C976" t="s">
        <v>163</v>
      </c>
      <c r="D976" t="s">
        <v>62</v>
      </c>
      <c r="E976" s="2">
        <v>42719</v>
      </c>
      <c r="F976" t="s">
        <v>24</v>
      </c>
      <c r="G976" t="s">
        <v>112</v>
      </c>
      <c r="H976" t="s">
        <v>298</v>
      </c>
      <c r="I976" s="3">
        <v>1.3888888888888889E-3</v>
      </c>
      <c r="J976" s="8" t="s">
        <v>443</v>
      </c>
      <c r="K976" s="8" t="s">
        <v>445</v>
      </c>
      <c r="L976" s="8" t="str">
        <f>IF(Table1346[[#This Row],[Home Team Score]]&gt;Table1346[[#This Row],[Away Team Score]],"Win",IF(Table1346[[#This Row],[Home Team Score]]=Table1346[[#This Row],[Away Team Score]],"Tie","Lose"))</f>
        <v>Lose</v>
      </c>
      <c r="M976" t="s">
        <v>19</v>
      </c>
      <c r="N976" t="s">
        <v>136</v>
      </c>
      <c r="O976" s="3">
        <v>1.3888888888888889E-3</v>
      </c>
      <c r="P976" t="s">
        <v>26</v>
      </c>
      <c r="Q976" t="s">
        <v>268</v>
      </c>
      <c r="R976" t="e">
        <f>IF([1]!Table13[[#This Row],[Goal_assist]]="",1,0)</f>
        <v>#REF!</v>
      </c>
    </row>
    <row r="977" spans="1:18" x14ac:dyDescent="0.35">
      <c r="A977" t="s">
        <v>14</v>
      </c>
      <c r="B977" t="s">
        <v>291</v>
      </c>
      <c r="C977" t="s">
        <v>163</v>
      </c>
      <c r="D977" t="s">
        <v>46</v>
      </c>
      <c r="E977" s="2">
        <v>42722</v>
      </c>
      <c r="F977" t="s">
        <v>16</v>
      </c>
      <c r="G977" t="s">
        <v>112</v>
      </c>
      <c r="H977" t="s">
        <v>299</v>
      </c>
      <c r="I977" s="3">
        <v>0.16805555555555557</v>
      </c>
      <c r="J977" s="8">
        <v>4</v>
      </c>
      <c r="K977" s="8">
        <v>2</v>
      </c>
      <c r="L977" s="8" t="str">
        <f>IF(Table1346[[#This Row],[Home Team Score]]&gt;Table1346[[#This Row],[Away Team Score]],"Win",IF(Table1346[[#This Row],[Home Team Score]]=Table1346[[#This Row],[Away Team Score]],"Tie","Lose"))</f>
        <v>Win</v>
      </c>
      <c r="M977" t="s">
        <v>19</v>
      </c>
      <c r="N977">
        <v>104</v>
      </c>
      <c r="O977" s="3">
        <v>0.16805555555555557</v>
      </c>
      <c r="P977" t="s">
        <v>31</v>
      </c>
      <c r="Q977" t="s">
        <v>277</v>
      </c>
      <c r="R977" t="e">
        <f>IF([1]!Table13[[#This Row],[Goal_assist]]="",1,0)</f>
        <v>#REF!</v>
      </c>
    </row>
    <row r="978" spans="1:18" x14ac:dyDescent="0.35">
      <c r="A978" t="s">
        <v>14</v>
      </c>
      <c r="B978" t="s">
        <v>291</v>
      </c>
      <c r="C978" t="s">
        <v>163</v>
      </c>
      <c r="D978" t="s">
        <v>46</v>
      </c>
      <c r="E978" s="2">
        <v>42722</v>
      </c>
      <c r="F978" t="s">
        <v>16</v>
      </c>
      <c r="G978" t="s">
        <v>112</v>
      </c>
      <c r="H978" t="s">
        <v>299</v>
      </c>
      <c r="I978" s="3">
        <v>0.16805555555555557</v>
      </c>
      <c r="J978" s="8">
        <v>4</v>
      </c>
      <c r="K978" s="8">
        <v>2</v>
      </c>
      <c r="L978" s="8" t="str">
        <f>IF(Table1346[[#This Row],[Home Team Score]]&gt;Table1346[[#This Row],[Away Team Score]],"Win",IF(Table1346[[#This Row],[Home Team Score]]=Table1346[[#This Row],[Away Team Score]],"Tie","Lose"))</f>
        <v>Win</v>
      </c>
      <c r="M978" t="s">
        <v>19</v>
      </c>
      <c r="N978">
        <v>60</v>
      </c>
      <c r="O978" s="3">
        <v>8.4722222222222227E-2</v>
      </c>
      <c r="P978" t="s">
        <v>83</v>
      </c>
      <c r="R978" t="e">
        <f>IF([1]!Table13[[#This Row],[Goal_assist]]="",1,0)</f>
        <v>#REF!</v>
      </c>
    </row>
    <row r="979" spans="1:18" x14ac:dyDescent="0.35">
      <c r="A979" t="s">
        <v>14</v>
      </c>
      <c r="B979" t="s">
        <v>291</v>
      </c>
      <c r="C979" t="s">
        <v>163</v>
      </c>
      <c r="D979" t="s">
        <v>46</v>
      </c>
      <c r="E979" s="2">
        <v>42722</v>
      </c>
      <c r="F979" t="s">
        <v>16</v>
      </c>
      <c r="G979" t="s">
        <v>112</v>
      </c>
      <c r="H979" t="s">
        <v>299</v>
      </c>
      <c r="I979" s="3">
        <v>0.16805555555555557</v>
      </c>
      <c r="J979" s="8">
        <v>4</v>
      </c>
      <c r="K979" s="8">
        <v>2</v>
      </c>
      <c r="L979" s="8" t="str">
        <f>IF(Table1346[[#This Row],[Home Team Score]]&gt;Table1346[[#This Row],[Away Team Score]],"Win",IF(Table1346[[#This Row],[Home Team Score]]=Table1346[[#This Row],[Away Team Score]],"Tie","Lose"))</f>
        <v>Win</v>
      </c>
      <c r="M979" t="s">
        <v>19</v>
      </c>
      <c r="N979">
        <v>97</v>
      </c>
      <c r="O979" s="3">
        <v>0.12638888888888888</v>
      </c>
      <c r="P979" t="s">
        <v>31</v>
      </c>
      <c r="Q979" t="s">
        <v>183</v>
      </c>
      <c r="R979" t="e">
        <f>IF([1]!Table13[[#This Row],[Goal_assist]]="",1,0)</f>
        <v>#REF!</v>
      </c>
    </row>
    <row r="980" spans="1:18" x14ac:dyDescent="0.35">
      <c r="A980" t="s">
        <v>64</v>
      </c>
      <c r="B980" t="s">
        <v>291</v>
      </c>
      <c r="C980" t="s">
        <v>65</v>
      </c>
      <c r="D980">
        <v>16</v>
      </c>
      <c r="E980" s="2">
        <v>42722</v>
      </c>
      <c r="F980" t="s">
        <v>16</v>
      </c>
      <c r="G980" t="s">
        <v>66</v>
      </c>
      <c r="H980" t="s">
        <v>121</v>
      </c>
      <c r="I980" s="3">
        <v>0.1673611111111111</v>
      </c>
      <c r="J980" s="8" t="s">
        <v>446</v>
      </c>
      <c r="K980" s="8" t="s">
        <v>444</v>
      </c>
      <c r="L980" s="8" t="str">
        <f>IF(Table1346[[#This Row],[Home Team Score]]&gt;Table1346[[#This Row],[Away Team Score]],"Win",IF(Table1346[[#This Row],[Home Team Score]]=Table1346[[#This Row],[Away Team Score]],"Tie","Lose"))</f>
        <v>Win</v>
      </c>
      <c r="M980" t="s">
        <v>38</v>
      </c>
      <c r="N980">
        <v>90</v>
      </c>
      <c r="O980" s="3">
        <v>0.1673611111111111</v>
      </c>
      <c r="P980" t="s">
        <v>31</v>
      </c>
      <c r="Q980" t="s">
        <v>273</v>
      </c>
      <c r="R980" t="e">
        <f>IF([1]!Table13[[#This Row],[Goal_assist]]="",1,0)</f>
        <v>#REF!</v>
      </c>
    </row>
    <row r="981" spans="1:18" x14ac:dyDescent="0.35">
      <c r="A981" t="s">
        <v>64</v>
      </c>
      <c r="B981" t="s">
        <v>291</v>
      </c>
      <c r="C981" t="s">
        <v>91</v>
      </c>
      <c r="D981" t="s">
        <v>143</v>
      </c>
      <c r="E981" s="2">
        <v>42740</v>
      </c>
      <c r="F981" t="s">
        <v>24</v>
      </c>
      <c r="G981" t="s">
        <v>66</v>
      </c>
      <c r="H981" t="s">
        <v>86</v>
      </c>
      <c r="I981" s="3">
        <v>8.4027777777777785E-2</v>
      </c>
      <c r="J981" s="8" t="s">
        <v>445</v>
      </c>
      <c r="K981" s="8" t="s">
        <v>444</v>
      </c>
      <c r="L981" s="8" t="str">
        <f>IF(Table1346[[#This Row],[Home Team Score]]&gt;Table1346[[#This Row],[Away Team Score]],"Win",IF(Table1346[[#This Row],[Home Team Score]]=Table1346[[#This Row],[Away Team Score]],"Tie","Lose"))</f>
        <v>Win</v>
      </c>
      <c r="M981" t="s">
        <v>38</v>
      </c>
      <c r="N981">
        <v>52</v>
      </c>
      <c r="O981" s="3">
        <v>8.4027777777777785E-2</v>
      </c>
      <c r="P981" t="s">
        <v>39</v>
      </c>
      <c r="R981" t="e">
        <f>IF([1]!Table13[[#This Row],[Goal_assist]]="",1,0)</f>
        <v>#REF!</v>
      </c>
    </row>
    <row r="982" spans="1:18" x14ac:dyDescent="0.35">
      <c r="A982" t="s">
        <v>14</v>
      </c>
      <c r="B982" t="s">
        <v>291</v>
      </c>
      <c r="C982" t="s">
        <v>65</v>
      </c>
      <c r="D982">
        <v>17</v>
      </c>
      <c r="E982" s="2">
        <v>42742</v>
      </c>
      <c r="F982" t="s">
        <v>16</v>
      </c>
      <c r="G982" t="s">
        <v>112</v>
      </c>
      <c r="H982" t="s">
        <v>233</v>
      </c>
      <c r="I982" s="3">
        <v>0.20833333333333334</v>
      </c>
      <c r="J982" s="8" t="s">
        <v>448</v>
      </c>
      <c r="K982" s="8" t="s">
        <v>443</v>
      </c>
      <c r="L982" s="8" t="str">
        <f>IF(Table1346[[#This Row],[Home Team Score]]&gt;Table1346[[#This Row],[Away Team Score]],"Win",IF(Table1346[[#This Row],[Home Team Score]]=Table1346[[#This Row],[Away Team Score]],"Tie","Lose"))</f>
        <v>Win</v>
      </c>
      <c r="M982" t="s">
        <v>19</v>
      </c>
      <c r="N982">
        <v>27</v>
      </c>
      <c r="O982" s="3">
        <v>0.125</v>
      </c>
      <c r="P982" t="s">
        <v>22</v>
      </c>
      <c r="Q982" t="s">
        <v>201</v>
      </c>
      <c r="R982" t="e">
        <f>IF([1]!Table13[[#This Row],[Goal_assist]]="",1,0)</f>
        <v>#REF!</v>
      </c>
    </row>
    <row r="983" spans="1:18" x14ac:dyDescent="0.35">
      <c r="A983" t="s">
        <v>64</v>
      </c>
      <c r="B983" t="s">
        <v>291</v>
      </c>
      <c r="C983" t="s">
        <v>65</v>
      </c>
      <c r="D983">
        <v>17</v>
      </c>
      <c r="E983" s="2">
        <v>42743</v>
      </c>
      <c r="F983" t="s">
        <v>24</v>
      </c>
      <c r="G983" t="s">
        <v>66</v>
      </c>
      <c r="H983" t="s">
        <v>180</v>
      </c>
      <c r="I983" s="3">
        <v>4.2361111111111113E-2</v>
      </c>
      <c r="J983" s="8" t="s">
        <v>444</v>
      </c>
      <c r="K983" s="8" t="s">
        <v>444</v>
      </c>
      <c r="L983" s="8" t="str">
        <f>IF(Table1346[[#This Row],[Home Team Score]]&gt;Table1346[[#This Row],[Away Team Score]],"Win",IF(Table1346[[#This Row],[Home Team Score]]=Table1346[[#This Row],[Away Team Score]],"Tie","Lose"))</f>
        <v>Tie</v>
      </c>
      <c r="M983" t="s">
        <v>38</v>
      </c>
      <c r="N983">
        <v>90</v>
      </c>
      <c r="O983" s="3">
        <v>4.2361111111111113E-2</v>
      </c>
      <c r="P983" t="s">
        <v>39</v>
      </c>
      <c r="R983" t="e">
        <f>IF([1]!Table13[[#This Row],[Goal_assist]]="",1,0)</f>
        <v>#REF!</v>
      </c>
    </row>
    <row r="984" spans="1:18" x14ac:dyDescent="0.35">
      <c r="A984" t="s">
        <v>64</v>
      </c>
      <c r="B984" t="s">
        <v>291</v>
      </c>
      <c r="C984" t="s">
        <v>91</v>
      </c>
      <c r="D984" t="s">
        <v>143</v>
      </c>
      <c r="E984" s="2">
        <v>42746</v>
      </c>
      <c r="F984" t="s">
        <v>16</v>
      </c>
      <c r="G984" t="s">
        <v>66</v>
      </c>
      <c r="H984" t="s">
        <v>86</v>
      </c>
      <c r="I984" s="3">
        <v>0.12569444444444444</v>
      </c>
      <c r="J984" s="8" t="s">
        <v>442</v>
      </c>
      <c r="K984" s="8" t="s">
        <v>444</v>
      </c>
      <c r="L984" s="8" t="str">
        <f>IF(Table1346[[#This Row],[Home Team Score]]&gt;Table1346[[#This Row],[Away Team Score]],"Win",IF(Table1346[[#This Row],[Home Team Score]]=Table1346[[#This Row],[Away Team Score]],"Tie","Lose"))</f>
        <v>Win</v>
      </c>
      <c r="M984" t="s">
        <v>38</v>
      </c>
      <c r="N984">
        <v>78</v>
      </c>
      <c r="O984" s="3">
        <v>0.12569444444444444</v>
      </c>
      <c r="P984" t="s">
        <v>39</v>
      </c>
      <c r="R984" t="e">
        <f>IF([1]!Table13[[#This Row],[Goal_assist]]="",1,0)</f>
        <v>#REF!</v>
      </c>
    </row>
    <row r="985" spans="1:18" x14ac:dyDescent="0.35">
      <c r="A985" t="s">
        <v>64</v>
      </c>
      <c r="B985" t="s">
        <v>291</v>
      </c>
      <c r="C985" t="s">
        <v>65</v>
      </c>
      <c r="D985">
        <v>18</v>
      </c>
      <c r="E985" s="2">
        <v>42749</v>
      </c>
      <c r="F985" t="s">
        <v>16</v>
      </c>
      <c r="G985" t="s">
        <v>66</v>
      </c>
      <c r="H985" t="s">
        <v>284</v>
      </c>
      <c r="I985" s="3">
        <v>0.20833333333333334</v>
      </c>
      <c r="J985" s="8" t="s">
        <v>448</v>
      </c>
      <c r="K985" s="8" t="s">
        <v>443</v>
      </c>
      <c r="L985" s="8" t="str">
        <f>IF(Table1346[[#This Row],[Home Team Score]]&gt;Table1346[[#This Row],[Away Team Score]],"Win",IF(Table1346[[#This Row],[Home Team Score]]=Table1346[[#This Row],[Away Team Score]],"Tie","Lose"))</f>
        <v>Win</v>
      </c>
      <c r="M985" t="s">
        <v>275</v>
      </c>
      <c r="N985">
        <v>52</v>
      </c>
      <c r="O985" s="3">
        <v>8.3333333333333329E-2</v>
      </c>
      <c r="P985" t="s">
        <v>26</v>
      </c>
      <c r="R985" t="e">
        <f>IF([1]!Table13[[#This Row],[Goal_assist]]="",1,0)</f>
        <v>#REF!</v>
      </c>
    </row>
    <row r="986" spans="1:18" x14ac:dyDescent="0.35">
      <c r="A986" t="s">
        <v>14</v>
      </c>
      <c r="B986" t="s">
        <v>291</v>
      </c>
      <c r="C986" t="s">
        <v>65</v>
      </c>
      <c r="D986">
        <v>18</v>
      </c>
      <c r="E986" s="2">
        <v>42750</v>
      </c>
      <c r="F986" t="s">
        <v>24</v>
      </c>
      <c r="G986" t="s">
        <v>112</v>
      </c>
      <c r="H986" t="s">
        <v>105</v>
      </c>
      <c r="I986" s="3">
        <v>8.4027777777777785E-2</v>
      </c>
      <c r="J986" s="8" t="s">
        <v>445</v>
      </c>
      <c r="K986" s="8" t="s">
        <v>444</v>
      </c>
      <c r="L986" s="8" t="str">
        <f>IF(Table1346[[#This Row],[Home Team Score]]&gt;Table1346[[#This Row],[Away Team Score]],"Win",IF(Table1346[[#This Row],[Home Team Score]]=Table1346[[#This Row],[Away Team Score]],"Tie","Lose"))</f>
        <v>Win</v>
      </c>
      <c r="M986" t="s">
        <v>68</v>
      </c>
      <c r="N986">
        <v>67</v>
      </c>
      <c r="O986" s="3">
        <v>6.9444444444444447E-4</v>
      </c>
      <c r="P986" t="s">
        <v>83</v>
      </c>
      <c r="R986" t="e">
        <f>IF([1]!Table13[[#This Row],[Goal_assist]]="",1,0)</f>
        <v>#REF!</v>
      </c>
    </row>
    <row r="987" spans="1:18" x14ac:dyDescent="0.35">
      <c r="A987" t="s">
        <v>64</v>
      </c>
      <c r="B987" t="s">
        <v>291</v>
      </c>
      <c r="C987" t="s">
        <v>65</v>
      </c>
      <c r="D987">
        <v>19</v>
      </c>
      <c r="E987" s="2">
        <v>42757</v>
      </c>
      <c r="F987" t="s">
        <v>24</v>
      </c>
      <c r="G987" t="s">
        <v>66</v>
      </c>
      <c r="H987" t="s">
        <v>270</v>
      </c>
      <c r="I987" s="3">
        <v>2.7777777777777779E-3</v>
      </c>
      <c r="J987" s="8" t="s">
        <v>443</v>
      </c>
      <c r="K987" s="8" t="s">
        <v>446</v>
      </c>
      <c r="L987" s="8" t="str">
        <f>IF(Table1346[[#This Row],[Home Team Score]]&gt;Table1346[[#This Row],[Away Team Score]],"Win",IF(Table1346[[#This Row],[Home Team Score]]=Table1346[[#This Row],[Away Team Score]],"Tie","Lose"))</f>
        <v>Lose</v>
      </c>
      <c r="M987" t="s">
        <v>275</v>
      </c>
      <c r="N987">
        <v>50</v>
      </c>
      <c r="O987" s="3">
        <v>1.3888888888888889E-3</v>
      </c>
      <c r="P987" t="s">
        <v>31</v>
      </c>
      <c r="Q987" t="s">
        <v>273</v>
      </c>
      <c r="R987" t="e">
        <f>IF([1]!Table13[[#This Row],[Goal_assist]]="",1,0)</f>
        <v>#REF!</v>
      </c>
    </row>
    <row r="988" spans="1:18" x14ac:dyDescent="0.35">
      <c r="A988" t="s">
        <v>14</v>
      </c>
      <c r="B988" t="s">
        <v>291</v>
      </c>
      <c r="C988" t="s">
        <v>91</v>
      </c>
      <c r="D988" t="s">
        <v>92</v>
      </c>
      <c r="E988" s="2">
        <v>42760</v>
      </c>
      <c r="F988" t="s">
        <v>24</v>
      </c>
      <c r="G988" t="s">
        <v>112</v>
      </c>
      <c r="H988" t="s">
        <v>98</v>
      </c>
      <c r="I988" s="3">
        <v>8.4722222222222227E-2</v>
      </c>
      <c r="J988" s="8" t="s">
        <v>445</v>
      </c>
      <c r="K988" s="8" t="s">
        <v>445</v>
      </c>
      <c r="L988" s="8" t="str">
        <f>IF(Table1346[[#This Row],[Home Team Score]]&gt;Table1346[[#This Row],[Away Team Score]],"Win",IF(Table1346[[#This Row],[Home Team Score]]=Table1346[[#This Row],[Away Team Score]],"Tie","Lose"))</f>
        <v>Tie</v>
      </c>
      <c r="M988" t="s">
        <v>68</v>
      </c>
      <c r="N988">
        <v>62</v>
      </c>
      <c r="O988" s="3">
        <v>4.2361111111111113E-2</v>
      </c>
      <c r="P988" t="s">
        <v>39</v>
      </c>
      <c r="R988" t="e">
        <f>IF([1]!Table13[[#This Row],[Goal_assist]]="",1,0)</f>
        <v>#REF!</v>
      </c>
    </row>
    <row r="989" spans="1:18" x14ac:dyDescent="0.35">
      <c r="A989" t="s">
        <v>64</v>
      </c>
      <c r="B989" t="s">
        <v>291</v>
      </c>
      <c r="C989" t="s">
        <v>91</v>
      </c>
      <c r="D989" t="s">
        <v>92</v>
      </c>
      <c r="E989" s="2">
        <v>42761</v>
      </c>
      <c r="F989" t="s">
        <v>16</v>
      </c>
      <c r="G989" t="s">
        <v>66</v>
      </c>
      <c r="H989" t="s">
        <v>217</v>
      </c>
      <c r="I989" s="3">
        <v>0.20972222222222223</v>
      </c>
      <c r="J989" s="8" t="s">
        <v>448</v>
      </c>
      <c r="K989" s="8" t="s">
        <v>445</v>
      </c>
      <c r="L989" s="8" t="str">
        <f>IF(Table1346[[#This Row],[Home Team Score]]&gt;Table1346[[#This Row],[Away Team Score]],"Win",IF(Table1346[[#This Row],[Home Team Score]]=Table1346[[#This Row],[Away Team Score]],"Tie","Lose"))</f>
        <v>Win</v>
      </c>
      <c r="M989" t="s">
        <v>275</v>
      </c>
      <c r="N989">
        <v>55</v>
      </c>
      <c r="O989" s="3">
        <v>8.3333333333333329E-2</v>
      </c>
      <c r="P989" t="s">
        <v>83</v>
      </c>
      <c r="R989" t="e">
        <f>IF([1]!Table13[[#This Row],[Goal_assist]]="",1,0)</f>
        <v>#REF!</v>
      </c>
    </row>
    <row r="990" spans="1:18" x14ac:dyDescent="0.35">
      <c r="A990" t="s">
        <v>14</v>
      </c>
      <c r="B990" t="s">
        <v>291</v>
      </c>
      <c r="C990" t="s">
        <v>65</v>
      </c>
      <c r="D990">
        <v>20</v>
      </c>
      <c r="E990" s="2">
        <v>42764</v>
      </c>
      <c r="F990" t="s">
        <v>16</v>
      </c>
      <c r="G990" t="s">
        <v>112</v>
      </c>
      <c r="H990" t="s">
        <v>217</v>
      </c>
      <c r="I990" s="3">
        <v>0.125</v>
      </c>
      <c r="J990" s="8" t="s">
        <v>442</v>
      </c>
      <c r="K990" s="8" t="s">
        <v>443</v>
      </c>
      <c r="L990" s="8" t="str">
        <f>IF(Table1346[[#This Row],[Home Team Score]]&gt;Table1346[[#This Row],[Away Team Score]],"Win",IF(Table1346[[#This Row],[Home Team Score]]=Table1346[[#This Row],[Away Team Score]],"Tie","Lose"))</f>
        <v>Win</v>
      </c>
      <c r="M990" t="s">
        <v>19</v>
      </c>
      <c r="N990">
        <v>51</v>
      </c>
      <c r="O990" s="3">
        <v>8.3333333333333329E-2</v>
      </c>
      <c r="P990" t="s">
        <v>26</v>
      </c>
      <c r="Q990" t="s">
        <v>301</v>
      </c>
      <c r="R990" t="e">
        <f>IF([1]!Table13[[#This Row],[Goal_assist]]="",1,0)</f>
        <v>#REF!</v>
      </c>
    </row>
    <row r="991" spans="1:18" x14ac:dyDescent="0.35">
      <c r="A991" t="s">
        <v>64</v>
      </c>
      <c r="B991" t="s">
        <v>291</v>
      </c>
      <c r="C991" t="s">
        <v>91</v>
      </c>
      <c r="D991" t="s">
        <v>62</v>
      </c>
      <c r="E991" s="2">
        <v>42767</v>
      </c>
      <c r="F991" t="s">
        <v>24</v>
      </c>
      <c r="G991" t="s">
        <v>66</v>
      </c>
      <c r="H991" t="s">
        <v>119</v>
      </c>
      <c r="I991" s="3">
        <v>4.3055555555555555E-2</v>
      </c>
      <c r="J991" s="8" t="s">
        <v>444</v>
      </c>
      <c r="K991" s="8" t="s">
        <v>445</v>
      </c>
      <c r="L991" s="8" t="str">
        <f>IF(Table1346[[#This Row],[Home Team Score]]&gt;Table1346[[#This Row],[Away Team Score]],"Win",IF(Table1346[[#This Row],[Home Team Score]]=Table1346[[#This Row],[Away Team Score]],"Tie","Lose"))</f>
        <v>Lose</v>
      </c>
      <c r="M991" t="s">
        <v>275</v>
      </c>
      <c r="N991">
        <v>33</v>
      </c>
      <c r="O991" s="3">
        <v>1.3888888888888889E-3</v>
      </c>
      <c r="P991" t="s">
        <v>31</v>
      </c>
      <c r="Q991" t="s">
        <v>276</v>
      </c>
      <c r="R991" t="e">
        <f>IF([1]!Table13[[#This Row],[Goal_assist]]="",1,0)</f>
        <v>#REF!</v>
      </c>
    </row>
    <row r="992" spans="1:18" x14ac:dyDescent="0.35">
      <c r="A992" t="s">
        <v>64</v>
      </c>
      <c r="B992" t="s">
        <v>291</v>
      </c>
      <c r="C992" t="s">
        <v>65</v>
      </c>
      <c r="D992">
        <v>21</v>
      </c>
      <c r="E992" s="2">
        <v>42770</v>
      </c>
      <c r="F992" t="s">
        <v>16</v>
      </c>
      <c r="G992" t="s">
        <v>66</v>
      </c>
      <c r="H992" t="s">
        <v>86</v>
      </c>
      <c r="I992" s="3">
        <v>0.125</v>
      </c>
      <c r="J992" s="8" t="s">
        <v>442</v>
      </c>
      <c r="K992" s="8" t="s">
        <v>443</v>
      </c>
      <c r="L992" s="8" t="str">
        <f>IF(Table1346[[#This Row],[Home Team Score]]&gt;Table1346[[#This Row],[Away Team Score]],"Win",IF(Table1346[[#This Row],[Home Team Score]]=Table1346[[#This Row],[Away Team Score]],"Tie","Lose"))</f>
        <v>Win</v>
      </c>
      <c r="M992" t="s">
        <v>275</v>
      </c>
      <c r="N992">
        <v>40</v>
      </c>
      <c r="O992" s="3">
        <v>8.3333333333333329E-2</v>
      </c>
      <c r="P992" t="s">
        <v>39</v>
      </c>
      <c r="R992" t="e">
        <f>IF([1]!Table13[[#This Row],[Goal_assist]]="",1,0)</f>
        <v>#REF!</v>
      </c>
    </row>
    <row r="993" spans="1:18" x14ac:dyDescent="0.35">
      <c r="A993" t="s">
        <v>64</v>
      </c>
      <c r="B993" t="s">
        <v>291</v>
      </c>
      <c r="C993" t="s">
        <v>65</v>
      </c>
      <c r="D993">
        <v>22</v>
      </c>
      <c r="E993" s="2">
        <v>42777</v>
      </c>
      <c r="F993" t="s">
        <v>24</v>
      </c>
      <c r="G993" t="s">
        <v>66</v>
      </c>
      <c r="H993" t="s">
        <v>88</v>
      </c>
      <c r="I993" s="3">
        <v>4.1666666666666666E-3</v>
      </c>
      <c r="J993" s="8" t="s">
        <v>443</v>
      </c>
      <c r="K993" s="8" t="s">
        <v>450</v>
      </c>
      <c r="L993" s="8" t="str">
        <f>IF(Table1346[[#This Row],[Home Team Score]]&gt;Table1346[[#This Row],[Away Team Score]],"Win",IF(Table1346[[#This Row],[Home Team Score]]=Table1346[[#This Row],[Away Team Score]],"Tie","Lose"))</f>
        <v>Lose</v>
      </c>
      <c r="M993" t="s">
        <v>275</v>
      </c>
      <c r="N993">
        <v>59</v>
      </c>
      <c r="O993" s="3">
        <v>2.0833333333333333E-3</v>
      </c>
      <c r="P993" t="s">
        <v>31</v>
      </c>
      <c r="Q993" t="s">
        <v>256</v>
      </c>
      <c r="R993" t="e">
        <f>IF([1]!Table13[[#This Row],[Goal_assist]]="",1,0)</f>
        <v>#REF!</v>
      </c>
    </row>
    <row r="994" spans="1:18" x14ac:dyDescent="0.35">
      <c r="A994" t="s">
        <v>14</v>
      </c>
      <c r="B994" t="s">
        <v>291</v>
      </c>
      <c r="C994" t="s">
        <v>65</v>
      </c>
      <c r="D994">
        <v>22</v>
      </c>
      <c r="E994" s="2">
        <v>42777</v>
      </c>
      <c r="F994" t="s">
        <v>24</v>
      </c>
      <c r="G994" t="s">
        <v>112</v>
      </c>
      <c r="H994" t="s">
        <v>100</v>
      </c>
      <c r="I994" s="3">
        <v>4.3749999999999997E-2</v>
      </c>
      <c r="J994" s="8" t="s">
        <v>444</v>
      </c>
      <c r="K994" s="8" t="s">
        <v>442</v>
      </c>
      <c r="L994" s="8" t="str">
        <f>IF(Table1346[[#This Row],[Home Team Score]]&gt;Table1346[[#This Row],[Away Team Score]],"Win",IF(Table1346[[#This Row],[Home Team Score]]=Table1346[[#This Row],[Away Team Score]],"Tie","Lose"))</f>
        <v>Lose</v>
      </c>
      <c r="M994" t="s">
        <v>68</v>
      </c>
      <c r="N994">
        <v>24</v>
      </c>
      <c r="O994" s="3">
        <v>6.9444444444444447E-4</v>
      </c>
      <c r="P994" t="s">
        <v>26</v>
      </c>
      <c r="Q994" t="s">
        <v>183</v>
      </c>
      <c r="R994" t="e">
        <f>IF([1]!Table13[[#This Row],[Goal_assist]]="",1,0)</f>
        <v>#REF!</v>
      </c>
    </row>
    <row r="995" spans="1:18" x14ac:dyDescent="0.35">
      <c r="A995" t="s">
        <v>64</v>
      </c>
      <c r="B995" t="s">
        <v>291</v>
      </c>
      <c r="C995" t="s">
        <v>65</v>
      </c>
      <c r="D995">
        <v>23</v>
      </c>
      <c r="E995" s="2">
        <v>42785</v>
      </c>
      <c r="F995" t="s">
        <v>16</v>
      </c>
      <c r="G995" t="s">
        <v>66</v>
      </c>
      <c r="H995" t="s">
        <v>294</v>
      </c>
      <c r="I995" s="3">
        <v>8.4027777777777785E-2</v>
      </c>
      <c r="J995" s="8" t="s">
        <v>445</v>
      </c>
      <c r="K995" s="8" t="s">
        <v>444</v>
      </c>
      <c r="L995" s="8" t="str">
        <f>IF(Table1346[[#This Row],[Home Team Score]]&gt;Table1346[[#This Row],[Away Team Score]],"Win",IF(Table1346[[#This Row],[Home Team Score]]=Table1346[[#This Row],[Away Team Score]],"Tie","Lose"))</f>
        <v>Win</v>
      </c>
      <c r="M995" t="s">
        <v>38</v>
      </c>
      <c r="N995">
        <v>4</v>
      </c>
      <c r="O995" s="3">
        <v>4.1666666666666664E-2</v>
      </c>
      <c r="P995" t="s">
        <v>26</v>
      </c>
      <c r="Q995" t="s">
        <v>273</v>
      </c>
      <c r="R995" t="e">
        <f>IF([1]!Table13[[#This Row],[Goal_assist]]="",1,0)</f>
        <v>#REF!</v>
      </c>
    </row>
    <row r="996" spans="1:18" x14ac:dyDescent="0.35">
      <c r="A996" t="s">
        <v>64</v>
      </c>
      <c r="B996" t="s">
        <v>291</v>
      </c>
      <c r="C996" t="s">
        <v>65</v>
      </c>
      <c r="D996">
        <v>23</v>
      </c>
      <c r="E996" s="2">
        <v>42785</v>
      </c>
      <c r="F996" t="s">
        <v>16</v>
      </c>
      <c r="G996" t="s">
        <v>66</v>
      </c>
      <c r="H996" t="s">
        <v>294</v>
      </c>
      <c r="I996" s="3">
        <v>8.4027777777777785E-2</v>
      </c>
      <c r="J996" s="8" t="s">
        <v>445</v>
      </c>
      <c r="K996" s="8" t="s">
        <v>444</v>
      </c>
      <c r="L996" s="8" t="str">
        <f>IF(Table1346[[#This Row],[Home Team Score]]&gt;Table1346[[#This Row],[Away Team Score]],"Win",IF(Table1346[[#This Row],[Home Team Score]]=Table1346[[#This Row],[Away Team Score]],"Tie","Lose"))</f>
        <v>Win</v>
      </c>
      <c r="M996" t="s">
        <v>38</v>
      </c>
      <c r="N996">
        <v>90</v>
      </c>
      <c r="O996" s="3">
        <v>8.4027777777777785E-2</v>
      </c>
      <c r="P996" t="s">
        <v>83</v>
      </c>
      <c r="R996" t="e">
        <f>IF([1]!Table13[[#This Row],[Goal_assist]]="",1,0)</f>
        <v>#REF!</v>
      </c>
    </row>
    <row r="997" spans="1:18" x14ac:dyDescent="0.35">
      <c r="A997" t="s">
        <v>14</v>
      </c>
      <c r="B997" t="s">
        <v>291</v>
      </c>
      <c r="C997" t="s">
        <v>65</v>
      </c>
      <c r="D997">
        <v>16</v>
      </c>
      <c r="E997" s="2">
        <v>42788</v>
      </c>
      <c r="F997" t="s">
        <v>24</v>
      </c>
      <c r="G997" t="s">
        <v>112</v>
      </c>
      <c r="H997" t="s">
        <v>148</v>
      </c>
      <c r="I997" s="3">
        <v>8.4027777777777785E-2</v>
      </c>
      <c r="J997" s="8" t="s">
        <v>445</v>
      </c>
      <c r="K997" s="8" t="s">
        <v>444</v>
      </c>
      <c r="L997" s="8" t="str">
        <f>IF(Table1346[[#This Row],[Home Team Score]]&gt;Table1346[[#This Row],[Away Team Score]],"Win",IF(Table1346[[#This Row],[Home Team Score]]=Table1346[[#This Row],[Away Team Score]],"Tie","Lose"))</f>
        <v>Win</v>
      </c>
      <c r="M997" t="s">
        <v>19</v>
      </c>
      <c r="N997">
        <v>44</v>
      </c>
      <c r="O997" s="3">
        <v>8.4027777777777785E-2</v>
      </c>
      <c r="P997" t="s">
        <v>22</v>
      </c>
      <c r="Q997" t="s">
        <v>201</v>
      </c>
      <c r="R997" t="e">
        <f>IF([1]!Table13[[#This Row],[Goal_assist]]="",1,0)</f>
        <v>#REF!</v>
      </c>
    </row>
    <row r="998" spans="1:18" x14ac:dyDescent="0.35">
      <c r="A998" t="s">
        <v>14</v>
      </c>
      <c r="B998" t="s">
        <v>291</v>
      </c>
      <c r="C998" t="s">
        <v>65</v>
      </c>
      <c r="D998">
        <v>24</v>
      </c>
      <c r="E998" s="2">
        <v>42792</v>
      </c>
      <c r="F998" t="s">
        <v>24</v>
      </c>
      <c r="G998" t="s">
        <v>112</v>
      </c>
      <c r="H998" t="s">
        <v>180</v>
      </c>
      <c r="I998" s="3">
        <v>8.5416666666666669E-2</v>
      </c>
      <c r="J998" s="8" t="s">
        <v>445</v>
      </c>
      <c r="K998" s="8" t="s">
        <v>442</v>
      </c>
      <c r="L998" s="8" t="str">
        <f>IF(Table1346[[#This Row],[Home Team Score]]&gt;Table1346[[#This Row],[Away Team Score]],"Win",IF(Table1346[[#This Row],[Home Team Score]]=Table1346[[#This Row],[Away Team Score]],"Tie","Lose"))</f>
        <v>Lose</v>
      </c>
      <c r="M998" t="s">
        <v>19</v>
      </c>
      <c r="N998">
        <v>74</v>
      </c>
      <c r="O998" s="3">
        <v>8.4722222222222227E-2</v>
      </c>
      <c r="P998" t="s">
        <v>83</v>
      </c>
      <c r="R998" t="e">
        <f>IF([1]!Table13[[#This Row],[Goal_assist]]="",1,0)</f>
        <v>#REF!</v>
      </c>
    </row>
    <row r="999" spans="1:18" x14ac:dyDescent="0.35">
      <c r="A999" t="s">
        <v>64</v>
      </c>
      <c r="B999" t="s">
        <v>291</v>
      </c>
      <c r="C999" t="s">
        <v>65</v>
      </c>
      <c r="D999">
        <v>24</v>
      </c>
      <c r="E999" s="2">
        <v>42792</v>
      </c>
      <c r="F999" t="s">
        <v>24</v>
      </c>
      <c r="G999" t="s">
        <v>66</v>
      </c>
      <c r="H999" t="s">
        <v>119</v>
      </c>
      <c r="I999" s="3">
        <v>4.3055555555555555E-2</v>
      </c>
      <c r="J999" s="8" t="s">
        <v>444</v>
      </c>
      <c r="K999" s="8" t="s">
        <v>445</v>
      </c>
      <c r="L999" s="8" t="str">
        <f>IF(Table1346[[#This Row],[Home Team Score]]&gt;Table1346[[#This Row],[Away Team Score]],"Win",IF(Table1346[[#This Row],[Home Team Score]]=Table1346[[#This Row],[Away Team Score]],"Tie","Lose"))</f>
        <v>Lose</v>
      </c>
      <c r="M999" t="s">
        <v>38</v>
      </c>
      <c r="N999">
        <v>86</v>
      </c>
      <c r="O999" s="3">
        <v>4.3055555555555555E-2</v>
      </c>
      <c r="P999" t="s">
        <v>31</v>
      </c>
      <c r="R999" t="e">
        <f>IF([1]!Table13[[#This Row],[Goal_assist]]="",1,0)</f>
        <v>#REF!</v>
      </c>
    </row>
    <row r="1000" spans="1:18" x14ac:dyDescent="0.35">
      <c r="A1000" t="s">
        <v>14</v>
      </c>
      <c r="B1000" t="s">
        <v>291</v>
      </c>
      <c r="C1000" t="s">
        <v>65</v>
      </c>
      <c r="D1000">
        <v>25</v>
      </c>
      <c r="E1000" s="2">
        <v>42795</v>
      </c>
      <c r="F1000" t="s">
        <v>16</v>
      </c>
      <c r="G1000" t="s">
        <v>112</v>
      </c>
      <c r="H1000" t="s">
        <v>284</v>
      </c>
      <c r="I1000" s="3">
        <v>0.12708333333333333</v>
      </c>
      <c r="J1000" s="8" t="s">
        <v>442</v>
      </c>
      <c r="K1000" s="8" t="s">
        <v>442</v>
      </c>
      <c r="L1000" s="8" t="str">
        <f>IF(Table1346[[#This Row],[Home Team Score]]&gt;Table1346[[#This Row],[Away Team Score]],"Win",IF(Table1346[[#This Row],[Home Team Score]]=Table1346[[#This Row],[Away Team Score]],"Tie","Lose"))</f>
        <v>Tie</v>
      </c>
      <c r="M1000" t="s">
        <v>19</v>
      </c>
      <c r="N1000">
        <v>86</v>
      </c>
      <c r="O1000" s="3">
        <v>8.5416666666666669E-2</v>
      </c>
      <c r="P1000" t="s">
        <v>83</v>
      </c>
      <c r="R1000" t="e">
        <f>IF([1]!Table13[[#This Row],[Goal_assist]]="",1,0)</f>
        <v>#REF!</v>
      </c>
    </row>
    <row r="1001" spans="1:18" x14ac:dyDescent="0.35">
      <c r="A1001" t="s">
        <v>64</v>
      </c>
      <c r="B1001" t="s">
        <v>291</v>
      </c>
      <c r="C1001" t="s">
        <v>65</v>
      </c>
      <c r="D1001">
        <v>25</v>
      </c>
      <c r="E1001" s="2">
        <v>42795</v>
      </c>
      <c r="F1001" t="s">
        <v>16</v>
      </c>
      <c r="G1001" t="s">
        <v>66</v>
      </c>
      <c r="H1001" t="s">
        <v>151</v>
      </c>
      <c r="I1001" s="3">
        <v>0.25069444444444444</v>
      </c>
      <c r="J1001" s="8" t="s">
        <v>450</v>
      </c>
      <c r="K1001" s="8" t="s">
        <v>444</v>
      </c>
      <c r="L1001" s="8" t="str">
        <f>IF(Table1346[[#This Row],[Home Team Score]]&gt;Table1346[[#This Row],[Away Team Score]],"Win",IF(Table1346[[#This Row],[Home Team Score]]=Table1346[[#This Row],[Away Team Score]],"Tie","Lose"))</f>
        <v>Win</v>
      </c>
      <c r="M1001" t="s">
        <v>275</v>
      </c>
      <c r="N1001">
        <v>9</v>
      </c>
      <c r="O1001" s="3">
        <v>4.1666666666666664E-2</v>
      </c>
      <c r="P1001" t="s">
        <v>22</v>
      </c>
      <c r="Q1001" t="s">
        <v>302</v>
      </c>
      <c r="R1001" t="e">
        <f>IF([1]!Table13[[#This Row],[Goal_assist]]="",1,0)</f>
        <v>#REF!</v>
      </c>
    </row>
    <row r="1002" spans="1:18" x14ac:dyDescent="0.35">
      <c r="A1002" t="s">
        <v>14</v>
      </c>
      <c r="B1002" t="s">
        <v>291</v>
      </c>
      <c r="C1002" t="s">
        <v>65</v>
      </c>
      <c r="D1002">
        <v>25</v>
      </c>
      <c r="E1002" s="2">
        <v>42795</v>
      </c>
      <c r="F1002" t="s">
        <v>16</v>
      </c>
      <c r="G1002" t="s">
        <v>112</v>
      </c>
      <c r="H1002" t="s">
        <v>284</v>
      </c>
      <c r="I1002" s="3">
        <v>0.12708333333333333</v>
      </c>
      <c r="J1002" s="8" t="s">
        <v>442</v>
      </c>
      <c r="K1002" s="8" t="s">
        <v>442</v>
      </c>
      <c r="L1002" s="8" t="str">
        <f>IF(Table1346[[#This Row],[Home Team Score]]&gt;Table1346[[#This Row],[Away Team Score]],"Win",IF(Table1346[[#This Row],[Home Team Score]]=Table1346[[#This Row],[Away Team Score]],"Tie","Lose"))</f>
        <v>Tie</v>
      </c>
      <c r="M1002" t="s">
        <v>19</v>
      </c>
      <c r="N1002">
        <v>89</v>
      </c>
      <c r="O1002" s="3">
        <v>0.12708333333333333</v>
      </c>
      <c r="P1002" t="s">
        <v>22</v>
      </c>
      <c r="Q1002" t="s">
        <v>268</v>
      </c>
      <c r="R1002" t="e">
        <f>IF([1]!Table13[[#This Row],[Goal_assist]]="",1,0)</f>
        <v>#REF!</v>
      </c>
    </row>
    <row r="1003" spans="1:18" x14ac:dyDescent="0.35">
      <c r="A1003" t="s">
        <v>64</v>
      </c>
      <c r="B1003" t="s">
        <v>291</v>
      </c>
      <c r="C1003" t="s">
        <v>65</v>
      </c>
      <c r="D1003">
        <v>26</v>
      </c>
      <c r="E1003" s="2">
        <v>42798</v>
      </c>
      <c r="F1003" t="s">
        <v>16</v>
      </c>
      <c r="G1003" t="s">
        <v>66</v>
      </c>
      <c r="H1003" t="s">
        <v>98</v>
      </c>
      <c r="I1003" s="3">
        <v>0.20833333333333334</v>
      </c>
      <c r="J1003" s="8" t="s">
        <v>448</v>
      </c>
      <c r="K1003" s="8" t="s">
        <v>443</v>
      </c>
      <c r="L1003" s="8" t="str">
        <f>IF(Table1346[[#This Row],[Home Team Score]]&gt;Table1346[[#This Row],[Away Team Score]],"Win",IF(Table1346[[#This Row],[Home Team Score]]=Table1346[[#This Row],[Away Team Score]],"Tie","Lose"))</f>
        <v>Win</v>
      </c>
      <c r="M1003" t="s">
        <v>282</v>
      </c>
      <c r="N1003">
        <v>64</v>
      </c>
      <c r="O1003" s="3">
        <v>0.20833333333333334</v>
      </c>
      <c r="P1003" t="s">
        <v>31</v>
      </c>
      <c r="R1003" t="e">
        <f>IF([1]!Table13[[#This Row],[Goal_assist]]="",1,0)</f>
        <v>#REF!</v>
      </c>
    </row>
    <row r="1004" spans="1:18" x14ac:dyDescent="0.35">
      <c r="A1004" t="s">
        <v>64</v>
      </c>
      <c r="B1004" t="s">
        <v>291</v>
      </c>
      <c r="C1004" t="s">
        <v>65</v>
      </c>
      <c r="D1004">
        <v>26</v>
      </c>
      <c r="E1004" s="2">
        <v>42798</v>
      </c>
      <c r="F1004" t="s">
        <v>16</v>
      </c>
      <c r="G1004" t="s">
        <v>66</v>
      </c>
      <c r="H1004" t="s">
        <v>98</v>
      </c>
      <c r="I1004" s="3">
        <v>0.20833333333333334</v>
      </c>
      <c r="J1004" s="8" t="s">
        <v>448</v>
      </c>
      <c r="K1004" s="8" t="s">
        <v>443</v>
      </c>
      <c r="L1004" s="8" t="str">
        <f>IF(Table1346[[#This Row],[Home Team Score]]&gt;Table1346[[#This Row],[Away Team Score]],"Win",IF(Table1346[[#This Row],[Home Team Score]]=Table1346[[#This Row],[Away Team Score]],"Tie","Lose"))</f>
        <v>Win</v>
      </c>
      <c r="M1004" t="s">
        <v>282</v>
      </c>
      <c r="N1004">
        <v>24</v>
      </c>
      <c r="O1004" s="3">
        <v>4.1666666666666664E-2</v>
      </c>
      <c r="P1004" t="s">
        <v>31</v>
      </c>
      <c r="Q1004" t="s">
        <v>222</v>
      </c>
      <c r="R1004" t="e">
        <f>IF([1]!Table13[[#This Row],[Goal_assist]]="",1,0)</f>
        <v>#REF!</v>
      </c>
    </row>
    <row r="1005" spans="1:18" x14ac:dyDescent="0.35">
      <c r="A1005" t="s">
        <v>64</v>
      </c>
      <c r="B1005" t="s">
        <v>291</v>
      </c>
      <c r="C1005" t="s">
        <v>75</v>
      </c>
      <c r="D1005" t="s">
        <v>143</v>
      </c>
      <c r="E1005" s="2">
        <v>42802</v>
      </c>
      <c r="F1005" t="s">
        <v>16</v>
      </c>
      <c r="G1005" t="s">
        <v>66</v>
      </c>
      <c r="H1005" t="s">
        <v>252</v>
      </c>
      <c r="I1005" s="3">
        <v>0.25069444444444444</v>
      </c>
      <c r="J1005" s="8" t="s">
        <v>450</v>
      </c>
      <c r="K1005" s="8" t="s">
        <v>444</v>
      </c>
      <c r="L1005" s="8" t="str">
        <f>IF(Table1346[[#This Row],[Home Team Score]]&gt;Table1346[[#This Row],[Away Team Score]],"Win",IF(Table1346[[#This Row],[Home Team Score]]=Table1346[[#This Row],[Away Team Score]],"Tie","Lose"))</f>
        <v>Win</v>
      </c>
      <c r="M1005" t="s">
        <v>274</v>
      </c>
      <c r="N1005">
        <v>50</v>
      </c>
      <c r="O1005" s="3">
        <v>0.125</v>
      </c>
      <c r="P1005" t="s">
        <v>83</v>
      </c>
      <c r="R1005" t="e">
        <f>IF([1]!Table13[[#This Row],[Goal_assist]]="",1,0)</f>
        <v>#REF!</v>
      </c>
    </row>
    <row r="1006" spans="1:18" x14ac:dyDescent="0.35">
      <c r="A1006" t="s">
        <v>14</v>
      </c>
      <c r="B1006" t="s">
        <v>291</v>
      </c>
      <c r="C1006" t="s">
        <v>65</v>
      </c>
      <c r="D1006">
        <v>27</v>
      </c>
      <c r="E1006" s="2">
        <v>42806</v>
      </c>
      <c r="F1006" t="s">
        <v>16</v>
      </c>
      <c r="G1006" t="s">
        <v>112</v>
      </c>
      <c r="H1006" t="s">
        <v>95</v>
      </c>
      <c r="I1006" s="3">
        <v>8.4027777777777785E-2</v>
      </c>
      <c r="J1006" s="8" t="s">
        <v>445</v>
      </c>
      <c r="K1006" s="8" t="s">
        <v>444</v>
      </c>
      <c r="L1006" s="8" t="str">
        <f>IF(Table1346[[#This Row],[Home Team Score]]&gt;Table1346[[#This Row],[Away Team Score]],"Win",IF(Table1346[[#This Row],[Home Team Score]]=Table1346[[#This Row],[Away Team Score]],"Tie","Lose"))</f>
        <v>Win</v>
      </c>
      <c r="M1006" t="s">
        <v>19</v>
      </c>
      <c r="N1006">
        <v>41</v>
      </c>
      <c r="O1006" s="3">
        <v>4.2361111111111113E-2</v>
      </c>
      <c r="P1006" t="s">
        <v>22</v>
      </c>
      <c r="Q1006" t="s">
        <v>201</v>
      </c>
      <c r="R1006" t="e">
        <f>IF([1]!Table13[[#This Row],[Goal_assist]]="",1,0)</f>
        <v>#REF!</v>
      </c>
    </row>
    <row r="1007" spans="1:18" x14ac:dyDescent="0.35">
      <c r="A1007" t="s">
        <v>64</v>
      </c>
      <c r="B1007" t="s">
        <v>291</v>
      </c>
      <c r="C1007" t="s">
        <v>65</v>
      </c>
      <c r="D1007">
        <v>28</v>
      </c>
      <c r="E1007" s="2">
        <v>42813</v>
      </c>
      <c r="F1007" t="s">
        <v>16</v>
      </c>
      <c r="G1007" t="s">
        <v>66</v>
      </c>
      <c r="H1007" t="s">
        <v>148</v>
      </c>
      <c r="I1007" s="3">
        <v>0.16805555555555557</v>
      </c>
      <c r="J1007" s="8" t="s">
        <v>446</v>
      </c>
      <c r="K1007" s="8" t="s">
        <v>445</v>
      </c>
      <c r="L1007" s="8" t="str">
        <f>IF(Table1346[[#This Row],[Home Team Score]]&gt;Table1346[[#This Row],[Away Team Score]],"Win",IF(Table1346[[#This Row],[Home Team Score]]=Table1346[[#This Row],[Away Team Score]],"Tie","Lose"))</f>
        <v>Win</v>
      </c>
      <c r="M1007" t="s">
        <v>274</v>
      </c>
      <c r="N1007">
        <v>45</v>
      </c>
      <c r="O1007" s="3">
        <v>8.4027777777777785E-2</v>
      </c>
      <c r="P1007" t="s">
        <v>83</v>
      </c>
      <c r="R1007" t="e">
        <f>IF([1]!Table13[[#This Row],[Goal_assist]]="",1,0)</f>
        <v>#REF!</v>
      </c>
    </row>
    <row r="1008" spans="1:18" x14ac:dyDescent="0.35">
      <c r="A1008" t="s">
        <v>64</v>
      </c>
      <c r="B1008" t="s">
        <v>291</v>
      </c>
      <c r="C1008" t="s">
        <v>65</v>
      </c>
      <c r="D1008">
        <v>28</v>
      </c>
      <c r="E1008" s="2">
        <v>42813</v>
      </c>
      <c r="F1008" t="s">
        <v>16</v>
      </c>
      <c r="G1008" t="s">
        <v>66</v>
      </c>
      <c r="H1008" t="s">
        <v>148</v>
      </c>
      <c r="I1008" s="3">
        <v>0.16805555555555557</v>
      </c>
      <c r="J1008" s="8" t="s">
        <v>446</v>
      </c>
      <c r="K1008" s="8" t="s">
        <v>445</v>
      </c>
      <c r="L1008" s="8" t="str">
        <f>IF(Table1346[[#This Row],[Home Team Score]]&gt;Table1346[[#This Row],[Away Team Score]],"Win",IF(Table1346[[#This Row],[Home Team Score]]=Table1346[[#This Row],[Away Team Score]],"Tie","Lose"))</f>
        <v>Win</v>
      </c>
      <c r="M1008" t="s">
        <v>274</v>
      </c>
      <c r="N1008">
        <v>53</v>
      </c>
      <c r="O1008" s="3">
        <v>0.12638888888888888</v>
      </c>
      <c r="P1008" t="s">
        <v>26</v>
      </c>
      <c r="Q1008" t="s">
        <v>302</v>
      </c>
      <c r="R1008" t="e">
        <f>IF([1]!Table13[[#This Row],[Goal_assist]]="",1,0)</f>
        <v>#REF!</v>
      </c>
    </row>
    <row r="1009" spans="1:18" x14ac:dyDescent="0.35">
      <c r="A1009" t="s">
        <v>64</v>
      </c>
      <c r="B1009" t="s">
        <v>291</v>
      </c>
      <c r="C1009" t="s">
        <v>65</v>
      </c>
      <c r="D1009">
        <v>30</v>
      </c>
      <c r="E1009" s="2">
        <v>42830</v>
      </c>
      <c r="F1009" t="s">
        <v>16</v>
      </c>
      <c r="G1009" t="s">
        <v>66</v>
      </c>
      <c r="H1009" t="s">
        <v>105</v>
      </c>
      <c r="I1009" s="3">
        <v>0.125</v>
      </c>
      <c r="J1009" s="8" t="s">
        <v>442</v>
      </c>
      <c r="K1009" s="8" t="s">
        <v>443</v>
      </c>
      <c r="L1009" s="8" t="str">
        <f>IF(Table1346[[#This Row],[Home Team Score]]&gt;Table1346[[#This Row],[Away Team Score]],"Win",IF(Table1346[[#This Row],[Home Team Score]]=Table1346[[#This Row],[Away Team Score]],"Tie","Lose"))</f>
        <v>Win</v>
      </c>
      <c r="M1009" t="s">
        <v>38</v>
      </c>
      <c r="N1009">
        <v>33</v>
      </c>
      <c r="O1009" s="3">
        <v>0.125</v>
      </c>
      <c r="P1009" t="s">
        <v>31</v>
      </c>
      <c r="R1009" t="e">
        <f>IF([1]!Table13[[#This Row],[Goal_assist]]="",1,0)</f>
        <v>#REF!</v>
      </c>
    </row>
    <row r="1010" spans="1:18" x14ac:dyDescent="0.35">
      <c r="A1010" t="s">
        <v>64</v>
      </c>
      <c r="B1010" t="s">
        <v>291</v>
      </c>
      <c r="C1010" t="s">
        <v>65</v>
      </c>
      <c r="D1010">
        <v>30</v>
      </c>
      <c r="E1010" s="2">
        <v>42830</v>
      </c>
      <c r="F1010" t="s">
        <v>16</v>
      </c>
      <c r="G1010" t="s">
        <v>66</v>
      </c>
      <c r="H1010" t="s">
        <v>105</v>
      </c>
      <c r="I1010" s="3">
        <v>0.125</v>
      </c>
      <c r="J1010" s="8" t="s">
        <v>442</v>
      </c>
      <c r="K1010" s="8" t="s">
        <v>443</v>
      </c>
      <c r="L1010" s="8" t="str">
        <f>IF(Table1346[[#This Row],[Home Team Score]]&gt;Table1346[[#This Row],[Away Team Score]],"Win",IF(Table1346[[#This Row],[Home Team Score]]=Table1346[[#This Row],[Away Team Score]],"Tie","Lose"))</f>
        <v>Win</v>
      </c>
      <c r="M1010" t="s">
        <v>38</v>
      </c>
      <c r="N1010">
        <v>28</v>
      </c>
      <c r="O1010" s="3">
        <v>8.3333333333333329E-2</v>
      </c>
      <c r="P1010" t="s">
        <v>26</v>
      </c>
      <c r="Q1010" t="s">
        <v>273</v>
      </c>
      <c r="R1010" t="e">
        <f>IF([1]!Table13[[#This Row],[Goal_assist]]="",1,0)</f>
        <v>#REF!</v>
      </c>
    </row>
    <row r="1011" spans="1:18" x14ac:dyDescent="0.35">
      <c r="A1011" t="s">
        <v>14</v>
      </c>
      <c r="B1011" t="s">
        <v>291</v>
      </c>
      <c r="C1011" t="s">
        <v>75</v>
      </c>
      <c r="D1011" t="s">
        <v>92</v>
      </c>
      <c r="E1011" s="2">
        <v>42837</v>
      </c>
      <c r="F1011" t="s">
        <v>24</v>
      </c>
      <c r="G1011" t="s">
        <v>112</v>
      </c>
      <c r="H1011" t="s">
        <v>168</v>
      </c>
      <c r="I1011" s="3">
        <v>4.3055555555555555E-2</v>
      </c>
      <c r="J1011" s="8" t="s">
        <v>444</v>
      </c>
      <c r="K1011" s="8" t="s">
        <v>445</v>
      </c>
      <c r="L1011" s="8" t="str">
        <f>IF(Table1346[[#This Row],[Home Team Score]]&gt;Table1346[[#This Row],[Away Team Score]],"Win",IF(Table1346[[#This Row],[Home Team Score]]=Table1346[[#This Row],[Away Team Score]],"Tie","Lose"))</f>
        <v>Lose</v>
      </c>
      <c r="M1011" t="s">
        <v>19</v>
      </c>
      <c r="N1011">
        <v>47</v>
      </c>
      <c r="O1011" s="3">
        <v>4.2361111111111113E-2</v>
      </c>
      <c r="P1011" t="s">
        <v>26</v>
      </c>
      <c r="Q1011" t="s">
        <v>262</v>
      </c>
      <c r="R1011" t="e">
        <f>IF([1]!Table13[[#This Row],[Goal_assist]]="",1,0)</f>
        <v>#REF!</v>
      </c>
    </row>
    <row r="1012" spans="1:18" x14ac:dyDescent="0.35">
      <c r="A1012" t="s">
        <v>14</v>
      </c>
      <c r="B1012" t="s">
        <v>291</v>
      </c>
      <c r="C1012" t="s">
        <v>75</v>
      </c>
      <c r="D1012" t="s">
        <v>92</v>
      </c>
      <c r="E1012" s="2">
        <v>42837</v>
      </c>
      <c r="F1012" t="s">
        <v>24</v>
      </c>
      <c r="G1012" t="s">
        <v>112</v>
      </c>
      <c r="H1012" t="s">
        <v>168</v>
      </c>
      <c r="I1012" s="3">
        <v>4.3055555555555555E-2</v>
      </c>
      <c r="J1012" s="8" t="s">
        <v>444</v>
      </c>
      <c r="K1012" s="8" t="s">
        <v>445</v>
      </c>
      <c r="L1012" s="8" t="str">
        <f>IF(Table1346[[#This Row],[Home Team Score]]&gt;Table1346[[#This Row],[Away Team Score]],"Win",IF(Table1346[[#This Row],[Home Team Score]]=Table1346[[#This Row],[Away Team Score]],"Tie","Lose"))</f>
        <v>Lose</v>
      </c>
      <c r="M1012" t="s">
        <v>19</v>
      </c>
      <c r="N1012">
        <v>77</v>
      </c>
      <c r="O1012" s="3">
        <v>4.3055555555555555E-2</v>
      </c>
      <c r="P1012" t="s">
        <v>26</v>
      </c>
      <c r="Q1012" t="s">
        <v>303</v>
      </c>
      <c r="R1012" t="e">
        <f>IF([1]!Table13[[#This Row],[Goal_assist]]="",1,0)</f>
        <v>#REF!</v>
      </c>
    </row>
    <row r="1013" spans="1:18" x14ac:dyDescent="0.35">
      <c r="A1013" t="s">
        <v>64</v>
      </c>
      <c r="B1013" t="s">
        <v>291</v>
      </c>
      <c r="C1013" t="s">
        <v>65</v>
      </c>
      <c r="D1013">
        <v>32</v>
      </c>
      <c r="E1013" s="2">
        <v>42840</v>
      </c>
      <c r="F1013" t="s">
        <v>16</v>
      </c>
      <c r="G1013" t="s">
        <v>66</v>
      </c>
      <c r="H1013" t="s">
        <v>217</v>
      </c>
      <c r="I1013" s="3">
        <v>0.12638888888888888</v>
      </c>
      <c r="J1013" s="8" t="s">
        <v>442</v>
      </c>
      <c r="K1013" s="8" t="s">
        <v>445</v>
      </c>
      <c r="L1013" s="8" t="str">
        <f>IF(Table1346[[#This Row],[Home Team Score]]&gt;Table1346[[#This Row],[Away Team Score]],"Win",IF(Table1346[[#This Row],[Home Team Score]]=Table1346[[#This Row],[Away Team Score]],"Tie","Lose"))</f>
        <v>Win</v>
      </c>
      <c r="M1013" t="s">
        <v>275</v>
      </c>
      <c r="N1013">
        <v>17</v>
      </c>
      <c r="O1013" s="3">
        <v>4.1666666666666664E-2</v>
      </c>
      <c r="P1013" t="s">
        <v>31</v>
      </c>
      <c r="Q1013" t="s">
        <v>273</v>
      </c>
      <c r="R1013" t="e">
        <f>IF([1]!Table13[[#This Row],[Goal_assist]]="",1,0)</f>
        <v>#REF!</v>
      </c>
    </row>
    <row r="1014" spans="1:18" x14ac:dyDescent="0.35">
      <c r="A1014" t="s">
        <v>64</v>
      </c>
      <c r="B1014" t="s">
        <v>291</v>
      </c>
      <c r="C1014" t="s">
        <v>65</v>
      </c>
      <c r="D1014">
        <v>32</v>
      </c>
      <c r="E1014" s="2">
        <v>42840</v>
      </c>
      <c r="F1014" t="s">
        <v>16</v>
      </c>
      <c r="G1014" t="s">
        <v>66</v>
      </c>
      <c r="H1014" t="s">
        <v>217</v>
      </c>
      <c r="I1014" s="3">
        <v>0.12638888888888888</v>
      </c>
      <c r="J1014" s="8" t="s">
        <v>442</v>
      </c>
      <c r="K1014" s="8" t="s">
        <v>445</v>
      </c>
      <c r="L1014" s="8" t="str">
        <f>IF(Table1346[[#This Row],[Home Team Score]]&gt;Table1346[[#This Row],[Away Team Score]],"Win",IF(Table1346[[#This Row],[Home Team Score]]=Table1346[[#This Row],[Away Team Score]],"Tie","Lose"))</f>
        <v>Win</v>
      </c>
      <c r="M1014" t="s">
        <v>275</v>
      </c>
      <c r="N1014">
        <v>37</v>
      </c>
      <c r="O1014" s="3">
        <v>8.3333333333333329E-2</v>
      </c>
      <c r="P1014" t="s">
        <v>55</v>
      </c>
      <c r="R1014" t="e">
        <f>IF([1]!Table13[[#This Row],[Goal_assist]]="",1,0)</f>
        <v>#REF!</v>
      </c>
    </row>
    <row r="1015" spans="1:18" x14ac:dyDescent="0.35">
      <c r="A1015" t="s">
        <v>14</v>
      </c>
      <c r="B1015" t="s">
        <v>291</v>
      </c>
      <c r="C1015" t="s">
        <v>75</v>
      </c>
      <c r="D1015" t="s">
        <v>92</v>
      </c>
      <c r="E1015" s="2">
        <v>42843</v>
      </c>
      <c r="F1015" t="s">
        <v>16</v>
      </c>
      <c r="G1015" t="s">
        <v>112</v>
      </c>
      <c r="H1015" t="s">
        <v>168</v>
      </c>
      <c r="I1015" s="3">
        <v>0.16805555555555557</v>
      </c>
      <c r="J1015" s="8">
        <v>4</v>
      </c>
      <c r="K1015" s="8">
        <v>2</v>
      </c>
      <c r="L1015" s="8" t="str">
        <f>IF(Table1346[[#This Row],[Home Team Score]]&gt;Table1346[[#This Row],[Away Team Score]],"Win",IF(Table1346[[#This Row],[Home Team Score]]=Table1346[[#This Row],[Away Team Score]],"Tie","Lose"))</f>
        <v>Win</v>
      </c>
      <c r="M1015" t="s">
        <v>68</v>
      </c>
      <c r="N1015">
        <v>76</v>
      </c>
      <c r="O1015" s="3">
        <v>4.2361111111111113E-2</v>
      </c>
      <c r="P1015" t="s">
        <v>22</v>
      </c>
      <c r="Q1015" t="s">
        <v>304</v>
      </c>
      <c r="R1015" t="e">
        <f>IF([1]!Table13[[#This Row],[Goal_assist]]="",1,0)</f>
        <v>#REF!</v>
      </c>
    </row>
    <row r="1016" spans="1:18" x14ac:dyDescent="0.35">
      <c r="A1016" t="s">
        <v>14</v>
      </c>
      <c r="B1016" t="s">
        <v>291</v>
      </c>
      <c r="C1016" t="s">
        <v>75</v>
      </c>
      <c r="D1016" t="s">
        <v>92</v>
      </c>
      <c r="E1016" s="2">
        <v>42843</v>
      </c>
      <c r="F1016" t="s">
        <v>16</v>
      </c>
      <c r="G1016" t="s">
        <v>112</v>
      </c>
      <c r="H1016" t="s">
        <v>168</v>
      </c>
      <c r="I1016" s="3">
        <v>0.16805555555555557</v>
      </c>
      <c r="J1016" s="8">
        <v>4</v>
      </c>
      <c r="K1016" s="8">
        <v>2</v>
      </c>
      <c r="L1016" s="8" t="str">
        <f>IF(Table1346[[#This Row],[Home Team Score]]&gt;Table1346[[#This Row],[Away Team Score]],"Win",IF(Table1346[[#This Row],[Home Team Score]]=Table1346[[#This Row],[Away Team Score]],"Tie","Lose"))</f>
        <v>Win</v>
      </c>
      <c r="M1016" t="s">
        <v>68</v>
      </c>
      <c r="N1016">
        <v>105</v>
      </c>
      <c r="O1016" s="3">
        <v>8.4722222222222227E-2</v>
      </c>
      <c r="P1016" t="s">
        <v>31</v>
      </c>
      <c r="Q1016" t="s">
        <v>202</v>
      </c>
      <c r="R1016" t="e">
        <f>IF([1]!Table13[[#This Row],[Goal_assist]]="",1,0)</f>
        <v>#REF!</v>
      </c>
    </row>
    <row r="1017" spans="1:18" x14ac:dyDescent="0.35">
      <c r="A1017" t="s">
        <v>14</v>
      </c>
      <c r="B1017" t="s">
        <v>291</v>
      </c>
      <c r="C1017" t="s">
        <v>75</v>
      </c>
      <c r="D1017" t="s">
        <v>92</v>
      </c>
      <c r="E1017" s="2">
        <v>42843</v>
      </c>
      <c r="F1017" t="s">
        <v>16</v>
      </c>
      <c r="G1017" t="s">
        <v>112</v>
      </c>
      <c r="H1017" t="s">
        <v>168</v>
      </c>
      <c r="I1017" s="3">
        <v>0.16805555555555557</v>
      </c>
      <c r="J1017" s="8">
        <v>4</v>
      </c>
      <c r="K1017" s="8">
        <v>2</v>
      </c>
      <c r="L1017" s="8" t="str">
        <f>IF(Table1346[[#This Row],[Home Team Score]]&gt;Table1346[[#This Row],[Away Team Score]],"Win",IF(Table1346[[#This Row],[Home Team Score]]=Table1346[[#This Row],[Away Team Score]],"Tie","Lose"))</f>
        <v>Win</v>
      </c>
      <c r="M1017" t="s">
        <v>68</v>
      </c>
      <c r="N1017">
        <v>109</v>
      </c>
      <c r="O1017" s="3">
        <v>0.12638888888888888</v>
      </c>
      <c r="P1017" t="s">
        <v>26</v>
      </c>
      <c r="Q1017" t="s">
        <v>201</v>
      </c>
      <c r="R1017" t="e">
        <f>IF([1]!Table13[[#This Row],[Goal_assist]]="",1,0)</f>
        <v>#REF!</v>
      </c>
    </row>
    <row r="1018" spans="1:18" x14ac:dyDescent="0.35">
      <c r="A1018" t="s">
        <v>64</v>
      </c>
      <c r="B1018" t="s">
        <v>291</v>
      </c>
      <c r="C1018" t="s">
        <v>65</v>
      </c>
      <c r="D1018">
        <v>33</v>
      </c>
      <c r="E1018" s="2">
        <v>42848</v>
      </c>
      <c r="F1018" t="s">
        <v>24</v>
      </c>
      <c r="G1018" t="s">
        <v>66</v>
      </c>
      <c r="H1018" t="s">
        <v>112</v>
      </c>
      <c r="I1018" s="3">
        <v>8.5416666666666669E-2</v>
      </c>
      <c r="J1018" s="8" t="s">
        <v>445</v>
      </c>
      <c r="K1018" s="8" t="s">
        <v>442</v>
      </c>
      <c r="L1018" s="8" t="str">
        <f>IF(Table1346[[#This Row],[Home Team Score]]&gt;Table1346[[#This Row],[Away Team Score]],"Win",IF(Table1346[[#This Row],[Home Team Score]]=Table1346[[#This Row],[Away Team Score]],"Tie","Lose"))</f>
        <v>Lose</v>
      </c>
      <c r="M1018" t="s">
        <v>38</v>
      </c>
      <c r="N1018">
        <v>33</v>
      </c>
      <c r="O1018" s="3">
        <v>4.2361111111111113E-2</v>
      </c>
      <c r="P1018" t="s">
        <v>31</v>
      </c>
      <c r="Q1018" t="s">
        <v>276</v>
      </c>
      <c r="R1018" t="e">
        <f>IF([1]!Table13[[#This Row],[Goal_assist]]="",1,0)</f>
        <v>#REF!</v>
      </c>
    </row>
    <row r="1019" spans="1:18" x14ac:dyDescent="0.35">
      <c r="A1019" t="s">
        <v>64</v>
      </c>
      <c r="B1019" t="s">
        <v>291</v>
      </c>
      <c r="C1019" t="s">
        <v>65</v>
      </c>
      <c r="D1019">
        <v>33</v>
      </c>
      <c r="E1019" s="2">
        <v>42848</v>
      </c>
      <c r="F1019" t="s">
        <v>24</v>
      </c>
      <c r="G1019" t="s">
        <v>66</v>
      </c>
      <c r="H1019" t="s">
        <v>112</v>
      </c>
      <c r="I1019" s="3">
        <v>8.5416666666666669E-2</v>
      </c>
      <c r="J1019" s="8" t="s">
        <v>445</v>
      </c>
      <c r="K1019" s="8" t="s">
        <v>442</v>
      </c>
      <c r="L1019" s="8" t="str">
        <f>IF(Table1346[[#This Row],[Home Team Score]]&gt;Table1346[[#This Row],[Away Team Score]],"Win",IF(Table1346[[#This Row],[Home Team Score]]=Table1346[[#This Row],[Away Team Score]],"Tie","Lose"))</f>
        <v>Lose</v>
      </c>
      <c r="M1019" t="s">
        <v>38</v>
      </c>
      <c r="N1019" t="s">
        <v>141</v>
      </c>
      <c r="O1019" s="3">
        <v>8.5416666666666669E-2</v>
      </c>
      <c r="P1019" t="s">
        <v>31</v>
      </c>
      <c r="Q1019" t="s">
        <v>243</v>
      </c>
      <c r="R1019" t="e">
        <f>IF([1]!Table13[[#This Row],[Goal_assist]]="",1,0)</f>
        <v>#REF!</v>
      </c>
    </row>
    <row r="1020" spans="1:18" x14ac:dyDescent="0.35">
      <c r="A1020" t="s">
        <v>64</v>
      </c>
      <c r="B1020" t="s">
        <v>291</v>
      </c>
      <c r="C1020" t="s">
        <v>65</v>
      </c>
      <c r="D1020">
        <v>34</v>
      </c>
      <c r="E1020" s="2">
        <v>42851</v>
      </c>
      <c r="F1020" t="s">
        <v>16</v>
      </c>
      <c r="G1020" t="s">
        <v>66</v>
      </c>
      <c r="H1020" t="s">
        <v>100</v>
      </c>
      <c r="I1020" s="3">
        <v>0.29236111111111113</v>
      </c>
      <c r="J1020" s="8" t="s">
        <v>449</v>
      </c>
      <c r="K1020" s="8" t="s">
        <v>444</v>
      </c>
      <c r="L1020" s="8" t="str">
        <f>IF(Table1346[[#This Row],[Home Team Score]]&gt;Table1346[[#This Row],[Away Team Score]],"Win",IF(Table1346[[#This Row],[Home Team Score]]=Table1346[[#This Row],[Away Team Score]],"Tie","Lose"))</f>
        <v>Win</v>
      </c>
      <c r="M1020" t="s">
        <v>282</v>
      </c>
      <c r="N1020">
        <v>12</v>
      </c>
      <c r="O1020" s="3">
        <v>4.1666666666666664E-2</v>
      </c>
      <c r="P1020" t="s">
        <v>31</v>
      </c>
      <c r="R1020" t="e">
        <f>IF([1]!Table13[[#This Row],[Goal_assist]]="",1,0)</f>
        <v>#REF!</v>
      </c>
    </row>
    <row r="1021" spans="1:18" x14ac:dyDescent="0.35">
      <c r="A1021" t="s">
        <v>64</v>
      </c>
      <c r="B1021" t="s">
        <v>291</v>
      </c>
      <c r="C1021" t="s">
        <v>65</v>
      </c>
      <c r="D1021">
        <v>34</v>
      </c>
      <c r="E1021" s="2">
        <v>42851</v>
      </c>
      <c r="F1021" t="s">
        <v>16</v>
      </c>
      <c r="G1021" t="s">
        <v>66</v>
      </c>
      <c r="H1021" t="s">
        <v>100</v>
      </c>
      <c r="I1021" s="3">
        <v>0.29236111111111113</v>
      </c>
      <c r="J1021" s="8" t="s">
        <v>449</v>
      </c>
      <c r="K1021" s="8" t="s">
        <v>444</v>
      </c>
      <c r="L1021" s="8" t="str">
        <f>IF(Table1346[[#This Row],[Home Team Score]]&gt;Table1346[[#This Row],[Away Team Score]],"Win",IF(Table1346[[#This Row],[Home Team Score]]=Table1346[[#This Row],[Away Team Score]],"Tie","Lose"))</f>
        <v>Win</v>
      </c>
      <c r="M1021" t="s">
        <v>282</v>
      </c>
      <c r="N1021">
        <v>61</v>
      </c>
      <c r="O1021" s="3">
        <v>0.1673611111111111</v>
      </c>
      <c r="P1021" t="s">
        <v>31</v>
      </c>
      <c r="Q1021" t="s">
        <v>276</v>
      </c>
      <c r="R1021" t="e">
        <f>IF([1]!Table13[[#This Row],[Goal_assist]]="",1,0)</f>
        <v>#REF!</v>
      </c>
    </row>
    <row r="1022" spans="1:18" x14ac:dyDescent="0.35">
      <c r="A1022" t="s">
        <v>14</v>
      </c>
      <c r="B1022" t="s">
        <v>291</v>
      </c>
      <c r="C1022" t="s">
        <v>65</v>
      </c>
      <c r="D1022">
        <v>35</v>
      </c>
      <c r="E1022" s="2">
        <v>42854</v>
      </c>
      <c r="F1022" t="s">
        <v>16</v>
      </c>
      <c r="G1022" t="s">
        <v>112</v>
      </c>
      <c r="H1022" t="s">
        <v>148</v>
      </c>
      <c r="I1022" s="3">
        <v>8.4027777777777785E-2</v>
      </c>
      <c r="J1022" s="8" t="s">
        <v>445</v>
      </c>
      <c r="K1022" s="8" t="s">
        <v>444</v>
      </c>
      <c r="L1022" s="8" t="str">
        <f>IF(Table1346[[#This Row],[Home Team Score]]&gt;Table1346[[#This Row],[Away Team Score]],"Win",IF(Table1346[[#This Row],[Home Team Score]]=Table1346[[#This Row],[Away Team Score]],"Tie","Lose"))</f>
        <v>Win</v>
      </c>
      <c r="M1022" t="s">
        <v>19</v>
      </c>
      <c r="N1022">
        <v>27</v>
      </c>
      <c r="O1022" s="3">
        <v>4.1666666666666664E-2</v>
      </c>
      <c r="P1022" t="s">
        <v>22</v>
      </c>
      <c r="Q1022" t="s">
        <v>262</v>
      </c>
      <c r="R1022" t="e">
        <f>IF([1]!Table13[[#This Row],[Goal_assist]]="",1,0)</f>
        <v>#REF!</v>
      </c>
    </row>
    <row r="1023" spans="1:18" x14ac:dyDescent="0.35">
      <c r="A1023" t="s">
        <v>14</v>
      </c>
      <c r="B1023" t="s">
        <v>291</v>
      </c>
      <c r="C1023" t="s">
        <v>75</v>
      </c>
      <c r="D1023" t="s">
        <v>62</v>
      </c>
      <c r="E1023" s="2">
        <v>42857</v>
      </c>
      <c r="F1023" t="s">
        <v>16</v>
      </c>
      <c r="G1023" t="s">
        <v>112</v>
      </c>
      <c r="H1023" t="s">
        <v>119</v>
      </c>
      <c r="I1023" s="3">
        <v>0.125</v>
      </c>
      <c r="J1023" s="8" t="s">
        <v>442</v>
      </c>
      <c r="K1023" s="8" t="s">
        <v>443</v>
      </c>
      <c r="L1023" s="8" t="str">
        <f>IF(Table1346[[#This Row],[Home Team Score]]&gt;Table1346[[#This Row],[Away Team Score]],"Win",IF(Table1346[[#This Row],[Home Team Score]]=Table1346[[#This Row],[Away Team Score]],"Tie","Lose"))</f>
        <v>Win</v>
      </c>
      <c r="M1023" t="s">
        <v>68</v>
      </c>
      <c r="N1023">
        <v>86</v>
      </c>
      <c r="O1023" s="3">
        <v>0.125</v>
      </c>
      <c r="P1023" t="s">
        <v>26</v>
      </c>
      <c r="Q1023" t="s">
        <v>281</v>
      </c>
      <c r="R1023" t="e">
        <f>IF([1]!Table13[[#This Row],[Goal_assist]]="",1,0)</f>
        <v>#REF!</v>
      </c>
    </row>
    <row r="1024" spans="1:18" x14ac:dyDescent="0.35">
      <c r="A1024" t="s">
        <v>14</v>
      </c>
      <c r="B1024" t="s">
        <v>291</v>
      </c>
      <c r="C1024" t="s">
        <v>75</v>
      </c>
      <c r="D1024" t="s">
        <v>62</v>
      </c>
      <c r="E1024" s="2">
        <v>42857</v>
      </c>
      <c r="F1024" t="s">
        <v>16</v>
      </c>
      <c r="G1024" t="s">
        <v>112</v>
      </c>
      <c r="H1024" t="s">
        <v>119</v>
      </c>
      <c r="I1024" s="3">
        <v>0.125</v>
      </c>
      <c r="J1024" s="8" t="s">
        <v>442</v>
      </c>
      <c r="K1024" s="8" t="s">
        <v>443</v>
      </c>
      <c r="L1024" s="8" t="str">
        <f>IF(Table1346[[#This Row],[Home Team Score]]&gt;Table1346[[#This Row],[Away Team Score]],"Win",IF(Table1346[[#This Row],[Home Team Score]]=Table1346[[#This Row],[Away Team Score]],"Tie","Lose"))</f>
        <v>Win</v>
      </c>
      <c r="M1024" t="s">
        <v>68</v>
      </c>
      <c r="N1024">
        <v>73</v>
      </c>
      <c r="O1024" s="3">
        <v>8.3333333333333329E-2</v>
      </c>
      <c r="P1024" t="s">
        <v>26</v>
      </c>
      <c r="Q1024" t="s">
        <v>183</v>
      </c>
      <c r="R1024" t="e">
        <f>IF([1]!Table13[[#This Row],[Goal_assist]]="",1,0)</f>
        <v>#REF!</v>
      </c>
    </row>
    <row r="1025" spans="1:18" x14ac:dyDescent="0.35">
      <c r="A1025" t="s">
        <v>14</v>
      </c>
      <c r="B1025" t="s">
        <v>291</v>
      </c>
      <c r="C1025" t="s">
        <v>75</v>
      </c>
      <c r="D1025" t="s">
        <v>62</v>
      </c>
      <c r="E1025" s="2">
        <v>42857</v>
      </c>
      <c r="F1025" t="s">
        <v>16</v>
      </c>
      <c r="G1025" t="s">
        <v>112</v>
      </c>
      <c r="H1025" t="s">
        <v>119</v>
      </c>
      <c r="I1025" s="3">
        <v>0.125</v>
      </c>
      <c r="J1025" s="8" t="s">
        <v>442</v>
      </c>
      <c r="K1025" s="8" t="s">
        <v>443</v>
      </c>
      <c r="L1025" s="8" t="str">
        <f>IF(Table1346[[#This Row],[Home Team Score]]&gt;Table1346[[#This Row],[Away Team Score]],"Win",IF(Table1346[[#This Row],[Home Team Score]]=Table1346[[#This Row],[Away Team Score]],"Tie","Lose"))</f>
        <v>Win</v>
      </c>
      <c r="M1025" t="s">
        <v>68</v>
      </c>
      <c r="N1025">
        <v>10</v>
      </c>
      <c r="O1025" s="3">
        <v>4.1666666666666664E-2</v>
      </c>
      <c r="P1025" t="s">
        <v>22</v>
      </c>
      <c r="Q1025" t="s">
        <v>304</v>
      </c>
      <c r="R1025" t="e">
        <f>IF([1]!Table13[[#This Row],[Goal_assist]]="",1,0)</f>
        <v>#REF!</v>
      </c>
    </row>
    <row r="1026" spans="1:18" x14ac:dyDescent="0.35">
      <c r="A1026" t="s">
        <v>64</v>
      </c>
      <c r="B1026" t="s">
        <v>291</v>
      </c>
      <c r="C1026" t="s">
        <v>65</v>
      </c>
      <c r="D1026">
        <v>36</v>
      </c>
      <c r="E1026" s="2">
        <v>42861</v>
      </c>
      <c r="F1026" t="s">
        <v>16</v>
      </c>
      <c r="G1026" t="s">
        <v>66</v>
      </c>
      <c r="H1026" t="s">
        <v>180</v>
      </c>
      <c r="I1026" s="3">
        <v>0.1673611111111111</v>
      </c>
      <c r="J1026" s="8" t="s">
        <v>446</v>
      </c>
      <c r="K1026" s="8" t="s">
        <v>444</v>
      </c>
      <c r="L1026" s="8" t="str">
        <f>IF(Table1346[[#This Row],[Home Team Score]]&gt;Table1346[[#This Row],[Away Team Score]],"Win",IF(Table1346[[#This Row],[Home Team Score]]=Table1346[[#This Row],[Away Team Score]],"Tie","Lose"))</f>
        <v>Win</v>
      </c>
      <c r="M1026" t="s">
        <v>38</v>
      </c>
      <c r="N1026">
        <v>45</v>
      </c>
      <c r="O1026" s="3">
        <v>8.4027777777777785E-2</v>
      </c>
      <c r="P1026" t="s">
        <v>31</v>
      </c>
      <c r="Q1026" t="s">
        <v>222</v>
      </c>
      <c r="R1026" t="e">
        <f>IF([1]!Table13[[#This Row],[Goal_assist]]="",1,0)</f>
        <v>#REF!</v>
      </c>
    </row>
    <row r="1027" spans="1:18" x14ac:dyDescent="0.35">
      <c r="A1027" t="s">
        <v>64</v>
      </c>
      <c r="B1027" t="s">
        <v>291</v>
      </c>
      <c r="C1027" t="s">
        <v>65</v>
      </c>
      <c r="D1027">
        <v>36</v>
      </c>
      <c r="E1027" s="2">
        <v>42861</v>
      </c>
      <c r="F1027" t="s">
        <v>16</v>
      </c>
      <c r="G1027" t="s">
        <v>66</v>
      </c>
      <c r="H1027" t="s">
        <v>180</v>
      </c>
      <c r="I1027" s="3">
        <v>0.1673611111111111</v>
      </c>
      <c r="J1027" s="8" t="s">
        <v>446</v>
      </c>
      <c r="K1027" s="8" t="s">
        <v>444</v>
      </c>
      <c r="L1027" s="8" t="str">
        <f>IF(Table1346[[#This Row],[Home Team Score]]&gt;Table1346[[#This Row],[Away Team Score]],"Win",IF(Table1346[[#This Row],[Home Team Score]]=Table1346[[#This Row],[Away Team Score]],"Tie","Lose"))</f>
        <v>Win</v>
      </c>
      <c r="M1027" t="s">
        <v>38</v>
      </c>
      <c r="N1027">
        <v>82</v>
      </c>
      <c r="O1027" s="3">
        <v>0.1673611111111111</v>
      </c>
      <c r="P1027" t="s">
        <v>83</v>
      </c>
      <c r="R1027" t="e">
        <f>IF([1]!Table13[[#This Row],[Goal_assist]]="",1,0)</f>
        <v>#REF!</v>
      </c>
    </row>
    <row r="1028" spans="1:18" x14ac:dyDescent="0.35">
      <c r="A1028" t="s">
        <v>14</v>
      </c>
      <c r="B1028" t="s">
        <v>291</v>
      </c>
      <c r="C1028" t="s">
        <v>65</v>
      </c>
      <c r="D1028">
        <v>37</v>
      </c>
      <c r="E1028" s="2">
        <v>42869</v>
      </c>
      <c r="F1028" t="s">
        <v>16</v>
      </c>
      <c r="G1028" t="s">
        <v>112</v>
      </c>
      <c r="H1028" t="s">
        <v>105</v>
      </c>
      <c r="I1028" s="3">
        <v>0.1673611111111111</v>
      </c>
      <c r="J1028" s="8" t="s">
        <v>446</v>
      </c>
      <c r="K1028" s="8" t="s">
        <v>444</v>
      </c>
      <c r="L1028" s="8" t="str">
        <f>IF(Table1346[[#This Row],[Home Team Score]]&gt;Table1346[[#This Row],[Away Team Score]],"Win",IF(Table1346[[#This Row],[Home Team Score]]=Table1346[[#This Row],[Away Team Score]],"Tie","Lose"))</f>
        <v>Win</v>
      </c>
      <c r="M1028" t="s">
        <v>19</v>
      </c>
      <c r="N1028">
        <v>78</v>
      </c>
      <c r="O1028" s="3">
        <v>0.12569444444444444</v>
      </c>
      <c r="P1028" t="s">
        <v>31</v>
      </c>
      <c r="Q1028" t="s">
        <v>277</v>
      </c>
      <c r="R1028" t="e">
        <f>IF([1]!Table13[[#This Row],[Goal_assist]]="",1,0)</f>
        <v>#REF!</v>
      </c>
    </row>
    <row r="1029" spans="1:18" x14ac:dyDescent="0.35">
      <c r="A1029" t="s">
        <v>14</v>
      </c>
      <c r="B1029" t="s">
        <v>291</v>
      </c>
      <c r="C1029" t="s">
        <v>65</v>
      </c>
      <c r="D1029">
        <v>37</v>
      </c>
      <c r="E1029" s="2">
        <v>42869</v>
      </c>
      <c r="F1029" t="s">
        <v>16</v>
      </c>
      <c r="G1029" t="s">
        <v>112</v>
      </c>
      <c r="H1029" t="s">
        <v>105</v>
      </c>
      <c r="I1029" s="3">
        <v>0.1673611111111111</v>
      </c>
      <c r="J1029" s="8" t="s">
        <v>446</v>
      </c>
      <c r="K1029" s="8" t="s">
        <v>444</v>
      </c>
      <c r="L1029" s="8" t="str">
        <f>IF(Table1346[[#This Row],[Home Team Score]]&gt;Table1346[[#This Row],[Away Team Score]],"Win",IF(Table1346[[#This Row],[Home Team Score]]=Table1346[[#This Row],[Away Team Score]],"Tie","Lose"))</f>
        <v>Win</v>
      </c>
      <c r="M1029" t="s">
        <v>19</v>
      </c>
      <c r="N1029">
        <v>23</v>
      </c>
      <c r="O1029" s="3">
        <v>8.3333333333333329E-2</v>
      </c>
      <c r="P1029" t="s">
        <v>26</v>
      </c>
      <c r="R1029" t="e">
        <f>IF([1]!Table13[[#This Row],[Goal_assist]]="",1,0)</f>
        <v>#REF!</v>
      </c>
    </row>
    <row r="1030" spans="1:18" x14ac:dyDescent="0.35">
      <c r="A1030" t="s">
        <v>14</v>
      </c>
      <c r="B1030" t="s">
        <v>291</v>
      </c>
      <c r="C1030" t="s">
        <v>65</v>
      </c>
      <c r="D1030">
        <v>21</v>
      </c>
      <c r="E1030" s="2">
        <v>42872</v>
      </c>
      <c r="F1030" t="s">
        <v>24</v>
      </c>
      <c r="G1030" t="s">
        <v>112</v>
      </c>
      <c r="H1030" t="s">
        <v>98</v>
      </c>
      <c r="I1030" s="3">
        <v>4.4444444444444446E-2</v>
      </c>
      <c r="J1030" s="8" t="s">
        <v>444</v>
      </c>
      <c r="K1030" s="8" t="s">
        <v>446</v>
      </c>
      <c r="L1030" s="8" t="str">
        <f>IF(Table1346[[#This Row],[Home Team Score]]&gt;Table1346[[#This Row],[Away Team Score]],"Win",IF(Table1346[[#This Row],[Home Team Score]]=Table1346[[#This Row],[Away Team Score]],"Tie","Lose"))</f>
        <v>Lose</v>
      </c>
      <c r="M1030" t="s">
        <v>68</v>
      </c>
      <c r="N1030">
        <v>10</v>
      </c>
      <c r="O1030" s="3">
        <v>6.9444444444444447E-4</v>
      </c>
      <c r="P1030" t="s">
        <v>31</v>
      </c>
      <c r="R1030" t="e">
        <f>IF([1]!Table13[[#This Row],[Goal_assist]]="",1,0)</f>
        <v>#REF!</v>
      </c>
    </row>
    <row r="1031" spans="1:18" x14ac:dyDescent="0.35">
      <c r="A1031" t="s">
        <v>14</v>
      </c>
      <c r="B1031" t="s">
        <v>291</v>
      </c>
      <c r="C1031" t="s">
        <v>65</v>
      </c>
      <c r="D1031">
        <v>21</v>
      </c>
      <c r="E1031" s="2">
        <v>42872</v>
      </c>
      <c r="F1031" t="s">
        <v>24</v>
      </c>
      <c r="G1031" t="s">
        <v>112</v>
      </c>
      <c r="H1031" t="s">
        <v>98</v>
      </c>
      <c r="I1031" s="3">
        <v>4.4444444444444446E-2</v>
      </c>
      <c r="J1031" s="8" t="s">
        <v>444</v>
      </c>
      <c r="K1031" s="8" t="s">
        <v>446</v>
      </c>
      <c r="L1031" s="8" t="str">
        <f>IF(Table1346[[#This Row],[Home Team Score]]&gt;Table1346[[#This Row],[Away Team Score]],"Win",IF(Table1346[[#This Row],[Home Team Score]]=Table1346[[#This Row],[Away Team Score]],"Tie","Lose"))</f>
        <v>Lose</v>
      </c>
      <c r="M1031" t="s">
        <v>68</v>
      </c>
      <c r="N1031">
        <v>48</v>
      </c>
      <c r="O1031" s="3">
        <v>1.3888888888888889E-3</v>
      </c>
      <c r="P1031" t="s">
        <v>31</v>
      </c>
      <c r="Q1031" t="s">
        <v>257</v>
      </c>
      <c r="R1031" t="e">
        <f>IF([1]!Table13[[#This Row],[Goal_assist]]="",1,0)</f>
        <v>#REF!</v>
      </c>
    </row>
    <row r="1032" spans="1:18" x14ac:dyDescent="0.35">
      <c r="A1032" t="s">
        <v>14</v>
      </c>
      <c r="B1032" t="s">
        <v>291</v>
      </c>
      <c r="C1032" t="s">
        <v>65</v>
      </c>
      <c r="D1032">
        <v>38</v>
      </c>
      <c r="E1032" s="2">
        <v>42876</v>
      </c>
      <c r="F1032" t="s">
        <v>24</v>
      </c>
      <c r="G1032" t="s">
        <v>112</v>
      </c>
      <c r="H1032" t="s">
        <v>157</v>
      </c>
      <c r="I1032" s="3">
        <v>1.3888888888888889E-3</v>
      </c>
      <c r="J1032" s="8" t="s">
        <v>443</v>
      </c>
      <c r="K1032" s="8" t="s">
        <v>445</v>
      </c>
      <c r="L1032" s="8" t="str">
        <f>IF(Table1346[[#This Row],[Home Team Score]]&gt;Table1346[[#This Row],[Away Team Score]],"Win",IF(Table1346[[#This Row],[Home Team Score]]=Table1346[[#This Row],[Away Team Score]],"Tie","Lose"))</f>
        <v>Lose</v>
      </c>
      <c r="M1032" t="s">
        <v>68</v>
      </c>
      <c r="N1032">
        <v>2</v>
      </c>
      <c r="O1032" s="3">
        <v>6.9444444444444447E-4</v>
      </c>
      <c r="P1032" t="s">
        <v>26</v>
      </c>
      <c r="Q1032" t="s">
        <v>257</v>
      </c>
      <c r="R1032" t="e">
        <f>IF([1]!Table13[[#This Row],[Goal_assist]]="",1,0)</f>
        <v>#REF!</v>
      </c>
    </row>
    <row r="1033" spans="1:18" x14ac:dyDescent="0.35">
      <c r="A1033" t="s">
        <v>64</v>
      </c>
      <c r="B1033" t="s">
        <v>291</v>
      </c>
      <c r="C1033" t="s">
        <v>65</v>
      </c>
      <c r="D1033">
        <v>38</v>
      </c>
      <c r="E1033" s="2">
        <v>42876</v>
      </c>
      <c r="F1033" t="s">
        <v>16</v>
      </c>
      <c r="G1033" t="s">
        <v>66</v>
      </c>
      <c r="H1033" t="s">
        <v>270</v>
      </c>
      <c r="I1033" s="3">
        <v>0.16805555555555557</v>
      </c>
      <c r="J1033" s="8" t="s">
        <v>446</v>
      </c>
      <c r="K1033" s="8" t="s">
        <v>445</v>
      </c>
      <c r="L1033" s="8" t="str">
        <f>IF(Table1346[[#This Row],[Home Team Score]]&gt;Table1346[[#This Row],[Away Team Score]],"Win",IF(Table1346[[#This Row],[Home Team Score]]=Table1346[[#This Row],[Away Team Score]],"Tie","Lose"))</f>
        <v>Win</v>
      </c>
      <c r="M1033" t="s">
        <v>38</v>
      </c>
      <c r="N1033">
        <v>75</v>
      </c>
      <c r="O1033" s="3">
        <v>0.12638888888888888</v>
      </c>
      <c r="P1033" t="s">
        <v>83</v>
      </c>
      <c r="R1033" t="e">
        <f>IF([1]!Table13[[#This Row],[Goal_assist]]="",1,0)</f>
        <v>#REF!</v>
      </c>
    </row>
    <row r="1034" spans="1:18" x14ac:dyDescent="0.35">
      <c r="A1034" t="s">
        <v>64</v>
      </c>
      <c r="B1034" t="s">
        <v>291</v>
      </c>
      <c r="C1034" t="s">
        <v>65</v>
      </c>
      <c r="D1034">
        <v>38</v>
      </c>
      <c r="E1034" s="2">
        <v>42876</v>
      </c>
      <c r="F1034" t="s">
        <v>16</v>
      </c>
      <c r="G1034" t="s">
        <v>66</v>
      </c>
      <c r="H1034" t="s">
        <v>270</v>
      </c>
      <c r="I1034" s="3">
        <v>0.16805555555555557</v>
      </c>
      <c r="J1034" s="8" t="s">
        <v>446</v>
      </c>
      <c r="K1034" s="8" t="s">
        <v>445</v>
      </c>
      <c r="L1034" s="8" t="str">
        <f>IF(Table1346[[#This Row],[Home Team Score]]&gt;Table1346[[#This Row],[Away Team Score]],"Win",IF(Table1346[[#This Row],[Home Team Score]]=Table1346[[#This Row],[Away Team Score]],"Tie","Lose"))</f>
        <v>Win</v>
      </c>
      <c r="M1034" t="s">
        <v>38</v>
      </c>
      <c r="N1034" t="s">
        <v>141</v>
      </c>
      <c r="O1034" s="3">
        <v>0.16805555555555557</v>
      </c>
      <c r="P1034" t="s">
        <v>26</v>
      </c>
      <c r="R1034" t="e">
        <f>IF([1]!Table13[[#This Row],[Goal_assist]]="",1,0)</f>
        <v>#REF!</v>
      </c>
    </row>
    <row r="1035" spans="1:18" x14ac:dyDescent="0.35">
      <c r="A1035" t="s">
        <v>64</v>
      </c>
      <c r="B1035" t="s">
        <v>291</v>
      </c>
      <c r="C1035" t="s">
        <v>91</v>
      </c>
      <c r="D1035" t="s">
        <v>46</v>
      </c>
      <c r="E1035" s="2">
        <v>42882</v>
      </c>
      <c r="F1035" t="s">
        <v>16</v>
      </c>
      <c r="G1035" t="s">
        <v>66</v>
      </c>
      <c r="H1035" t="s">
        <v>88</v>
      </c>
      <c r="I1035" s="3">
        <v>0.12569444444444444</v>
      </c>
      <c r="J1035" s="8" t="s">
        <v>442</v>
      </c>
      <c r="K1035" s="8" t="s">
        <v>444</v>
      </c>
      <c r="L1035" s="8" t="str">
        <f>IF(Table1346[[#This Row],[Home Team Score]]&gt;Table1346[[#This Row],[Away Team Score]],"Win",IF(Table1346[[#This Row],[Home Team Score]]=Table1346[[#This Row],[Away Team Score]],"Tie","Lose"))</f>
        <v>Win</v>
      </c>
      <c r="M1035" t="s">
        <v>38</v>
      </c>
      <c r="N1035">
        <v>30</v>
      </c>
      <c r="O1035" s="3">
        <v>4.1666666666666664E-2</v>
      </c>
      <c r="P1035" t="s">
        <v>31</v>
      </c>
      <c r="Q1035" t="s">
        <v>256</v>
      </c>
      <c r="R1035" t="e">
        <f>IF([1]!Table13[[#This Row],[Goal_assist]]="",1,0)</f>
        <v>#REF!</v>
      </c>
    </row>
    <row r="1036" spans="1:18" x14ac:dyDescent="0.35">
      <c r="A1036" t="s">
        <v>14</v>
      </c>
      <c r="B1036" t="s">
        <v>291</v>
      </c>
      <c r="C1036" t="s">
        <v>75</v>
      </c>
      <c r="D1036" t="s">
        <v>46</v>
      </c>
      <c r="E1036" s="2">
        <v>42889</v>
      </c>
      <c r="F1036" t="s">
        <v>24</v>
      </c>
      <c r="G1036" t="s">
        <v>112</v>
      </c>
      <c r="H1036" t="s">
        <v>260</v>
      </c>
      <c r="I1036" s="3">
        <v>4.4444444444444446E-2</v>
      </c>
      <c r="J1036" s="8" t="s">
        <v>444</v>
      </c>
      <c r="K1036" s="8" t="s">
        <v>446</v>
      </c>
      <c r="L1036" s="8" t="str">
        <f>IF(Table1346[[#This Row],[Home Team Score]]&gt;Table1346[[#This Row],[Away Team Score]],"Win",IF(Table1346[[#This Row],[Home Team Score]]=Table1346[[#This Row],[Away Team Score]],"Tie","Lose"))</f>
        <v>Lose</v>
      </c>
      <c r="M1036" t="s">
        <v>68</v>
      </c>
      <c r="N1036">
        <v>20</v>
      </c>
      <c r="O1036" s="3">
        <v>6.9444444444444447E-4</v>
      </c>
      <c r="P1036" t="s">
        <v>26</v>
      </c>
      <c r="Q1036" t="s">
        <v>262</v>
      </c>
      <c r="R1036" t="e">
        <f>IF([1]!Table13[[#This Row],[Goal_assist]]="",1,0)</f>
        <v>#REF!</v>
      </c>
    </row>
    <row r="1037" spans="1:18" x14ac:dyDescent="0.35">
      <c r="A1037" t="s">
        <v>14</v>
      </c>
      <c r="B1037" t="s">
        <v>291</v>
      </c>
      <c r="C1037" t="s">
        <v>75</v>
      </c>
      <c r="D1037" t="s">
        <v>46</v>
      </c>
      <c r="E1037" s="2">
        <v>42889</v>
      </c>
      <c r="F1037" t="s">
        <v>24</v>
      </c>
      <c r="G1037" t="s">
        <v>112</v>
      </c>
      <c r="H1037" t="s">
        <v>260</v>
      </c>
      <c r="I1037" s="3">
        <v>4.4444444444444446E-2</v>
      </c>
      <c r="J1037" s="8" t="s">
        <v>444</v>
      </c>
      <c r="K1037" s="8" t="s">
        <v>446</v>
      </c>
      <c r="L1037" s="8" t="str">
        <f>IF(Table1346[[#This Row],[Home Team Score]]&gt;Table1346[[#This Row],[Away Team Score]],"Win",IF(Table1346[[#This Row],[Home Team Score]]=Table1346[[#This Row],[Away Team Score]],"Tie","Lose"))</f>
        <v>Lose</v>
      </c>
      <c r="M1037" t="s">
        <v>68</v>
      </c>
      <c r="N1037">
        <v>64</v>
      </c>
      <c r="O1037" s="3">
        <v>4.3749999999999997E-2</v>
      </c>
      <c r="P1037" t="s">
        <v>26</v>
      </c>
      <c r="Q1037" t="s">
        <v>250</v>
      </c>
      <c r="R1037" t="e">
        <f>IF([1]!Table13[[#This Row],[Goal_assist]]="",1,0)</f>
        <v>#REF!</v>
      </c>
    </row>
    <row r="1038" spans="1:18" x14ac:dyDescent="0.35">
      <c r="A1038" t="s">
        <v>14</v>
      </c>
      <c r="B1038" t="s">
        <v>305</v>
      </c>
      <c r="C1038" t="s">
        <v>172</v>
      </c>
      <c r="D1038" t="s">
        <v>173</v>
      </c>
      <c r="E1038" s="2">
        <v>42960</v>
      </c>
      <c r="F1038" t="s">
        <v>24</v>
      </c>
      <c r="G1038" t="s">
        <v>112</v>
      </c>
      <c r="H1038" t="s">
        <v>66</v>
      </c>
      <c r="I1038" s="3">
        <v>4.3749999999999997E-2</v>
      </c>
      <c r="J1038" s="8" t="s">
        <v>444</v>
      </c>
      <c r="K1038" s="8" t="s">
        <v>442</v>
      </c>
      <c r="L1038" s="8" t="str">
        <f>IF(Table1346[[#This Row],[Home Team Score]]&gt;Table1346[[#This Row],[Away Team Score]],"Win",IF(Table1346[[#This Row],[Home Team Score]]=Table1346[[#This Row],[Away Team Score]],"Tie","Lose"))</f>
        <v>Lose</v>
      </c>
      <c r="M1038" t="s">
        <v>68</v>
      </c>
      <c r="N1038">
        <v>80</v>
      </c>
      <c r="O1038" s="3">
        <v>4.3055555555555555E-2</v>
      </c>
      <c r="P1038" t="s">
        <v>26</v>
      </c>
      <c r="Q1038" t="s">
        <v>257</v>
      </c>
      <c r="R1038" t="e">
        <f>IF([1]!Table13[[#This Row],[Goal_assist]]="",1,0)</f>
        <v>#REF!</v>
      </c>
    </row>
    <row r="1039" spans="1:18" x14ac:dyDescent="0.35">
      <c r="A1039" t="s">
        <v>64</v>
      </c>
      <c r="B1039" t="s">
        <v>305</v>
      </c>
      <c r="C1039" t="s">
        <v>172</v>
      </c>
      <c r="D1039" t="s">
        <v>173</v>
      </c>
      <c r="E1039" s="2">
        <v>42960</v>
      </c>
      <c r="F1039" t="s">
        <v>16</v>
      </c>
      <c r="G1039" t="s">
        <v>66</v>
      </c>
      <c r="H1039" t="s">
        <v>112</v>
      </c>
      <c r="I1039" s="3">
        <v>4.3749999999999997E-2</v>
      </c>
      <c r="J1039" s="8" t="s">
        <v>444</v>
      </c>
      <c r="K1039" s="8" t="s">
        <v>442</v>
      </c>
      <c r="L1039" s="8" t="str">
        <f>IF(Table1346[[#This Row],[Home Team Score]]&gt;Table1346[[#This Row],[Away Team Score]],"Win",IF(Table1346[[#This Row],[Home Team Score]]=Table1346[[#This Row],[Away Team Score]],"Tie","Lose"))</f>
        <v>Lose</v>
      </c>
      <c r="M1039" t="s">
        <v>38</v>
      </c>
      <c r="N1039">
        <v>77</v>
      </c>
      <c r="O1039" s="3">
        <v>4.2361111111111113E-2</v>
      </c>
      <c r="P1039" t="s">
        <v>83</v>
      </c>
      <c r="R1039" t="e">
        <f>IF([1]!Table13[[#This Row],[Goal_assist]]="",1,0)</f>
        <v>#REF!</v>
      </c>
    </row>
    <row r="1040" spans="1:18" x14ac:dyDescent="0.35">
      <c r="A1040" t="s">
        <v>64</v>
      </c>
      <c r="B1040" t="s">
        <v>305</v>
      </c>
      <c r="C1040" t="s">
        <v>65</v>
      </c>
      <c r="D1040">
        <v>2</v>
      </c>
      <c r="E1040" s="2">
        <v>42973</v>
      </c>
      <c r="F1040" t="s">
        <v>24</v>
      </c>
      <c r="G1040" t="s">
        <v>66</v>
      </c>
      <c r="H1040" t="s">
        <v>88</v>
      </c>
      <c r="I1040" s="3">
        <v>1.3888888888888889E-3</v>
      </c>
      <c r="J1040" s="8" t="s">
        <v>443</v>
      </c>
      <c r="K1040" s="8" t="s">
        <v>445</v>
      </c>
      <c r="L1040" s="8" t="str">
        <f>IF(Table1346[[#This Row],[Home Team Score]]&gt;Table1346[[#This Row],[Away Team Score]],"Win",IF(Table1346[[#This Row],[Home Team Score]]=Table1346[[#This Row],[Away Team Score]],"Tie","Lose"))</f>
        <v>Lose</v>
      </c>
      <c r="M1040" t="s">
        <v>68</v>
      </c>
      <c r="N1040">
        <v>66</v>
      </c>
      <c r="O1040" s="3">
        <v>1.3888888888888889E-3</v>
      </c>
      <c r="P1040" t="s">
        <v>31</v>
      </c>
      <c r="Q1040" t="s">
        <v>306</v>
      </c>
      <c r="R1040" t="e">
        <f>IF([1]!Table13[[#This Row],[Goal_assist]]="",1,0)</f>
        <v>#REF!</v>
      </c>
    </row>
    <row r="1041" spans="1:18" x14ac:dyDescent="0.35">
      <c r="A1041" t="s">
        <v>64</v>
      </c>
      <c r="B1041" t="s">
        <v>305</v>
      </c>
      <c r="C1041" t="s">
        <v>65</v>
      </c>
      <c r="D1041">
        <v>2</v>
      </c>
      <c r="E1041" s="2">
        <v>42973</v>
      </c>
      <c r="F1041" t="s">
        <v>24</v>
      </c>
      <c r="G1041" t="s">
        <v>66</v>
      </c>
      <c r="H1041" t="s">
        <v>88</v>
      </c>
      <c r="I1041" s="3">
        <v>1.3888888888888889E-3</v>
      </c>
      <c r="J1041" s="8" t="s">
        <v>443</v>
      </c>
      <c r="K1041" s="8" t="s">
        <v>445</v>
      </c>
      <c r="L1041" s="8" t="str">
        <f>IF(Table1346[[#This Row],[Home Team Score]]&gt;Table1346[[#This Row],[Away Team Score]],"Win",IF(Table1346[[#This Row],[Home Team Score]]=Table1346[[#This Row],[Away Team Score]],"Tie","Lose"))</f>
        <v>Lose</v>
      </c>
      <c r="M1041" t="s">
        <v>68</v>
      </c>
      <c r="N1041">
        <v>55</v>
      </c>
      <c r="O1041" s="3">
        <v>6.9444444444444447E-4</v>
      </c>
      <c r="P1041" t="s">
        <v>31</v>
      </c>
      <c r="Q1041" t="s">
        <v>243</v>
      </c>
      <c r="R1041" t="e">
        <f>IF([1]!Table13[[#This Row],[Goal_assist]]="",1,0)</f>
        <v>#REF!</v>
      </c>
    </row>
    <row r="1042" spans="1:18" x14ac:dyDescent="0.35">
      <c r="A1042" t="s">
        <v>64</v>
      </c>
      <c r="B1042" t="s">
        <v>305</v>
      </c>
      <c r="C1042" t="s">
        <v>65</v>
      </c>
      <c r="D1042">
        <v>3</v>
      </c>
      <c r="E1042" s="2">
        <v>42987</v>
      </c>
      <c r="F1042" t="s">
        <v>16</v>
      </c>
      <c r="G1042" t="s">
        <v>66</v>
      </c>
      <c r="H1042" t="s">
        <v>121</v>
      </c>
      <c r="I1042" s="3">
        <v>0.20833333333333334</v>
      </c>
      <c r="J1042" s="8" t="s">
        <v>448</v>
      </c>
      <c r="K1042" s="8" t="s">
        <v>443</v>
      </c>
      <c r="L1042" s="8" t="str">
        <f>IF(Table1346[[#This Row],[Home Team Score]]&gt;Table1346[[#This Row],[Away Team Score]],"Win",IF(Table1346[[#This Row],[Home Team Score]]=Table1346[[#This Row],[Away Team Score]],"Tie","Lose"))</f>
        <v>Win</v>
      </c>
      <c r="M1042" t="s">
        <v>68</v>
      </c>
      <c r="N1042">
        <v>26</v>
      </c>
      <c r="O1042" s="3">
        <v>4.1666666666666664E-2</v>
      </c>
      <c r="P1042" t="s">
        <v>31</v>
      </c>
      <c r="Q1042" t="s">
        <v>276</v>
      </c>
      <c r="R1042" t="e">
        <f>IF([1]!Table13[[#This Row],[Goal_assist]]="",1,0)</f>
        <v>#REF!</v>
      </c>
    </row>
    <row r="1043" spans="1:18" x14ac:dyDescent="0.35">
      <c r="A1043" t="s">
        <v>64</v>
      </c>
      <c r="B1043" t="s">
        <v>305</v>
      </c>
      <c r="C1043" t="s">
        <v>65</v>
      </c>
      <c r="D1043">
        <v>3</v>
      </c>
      <c r="E1043" s="2">
        <v>42987</v>
      </c>
      <c r="F1043" t="s">
        <v>16</v>
      </c>
      <c r="G1043" t="s">
        <v>66</v>
      </c>
      <c r="H1043" t="s">
        <v>121</v>
      </c>
      <c r="I1043" s="3">
        <v>0.20833333333333334</v>
      </c>
      <c r="J1043" s="8" t="s">
        <v>448</v>
      </c>
      <c r="K1043" s="8" t="s">
        <v>443</v>
      </c>
      <c r="L1043" s="8" t="str">
        <f>IF(Table1346[[#This Row],[Home Team Score]]&gt;Table1346[[#This Row],[Away Team Score]],"Win",IF(Table1346[[#This Row],[Home Team Score]]=Table1346[[#This Row],[Away Team Score]],"Tie","Lose"))</f>
        <v>Win</v>
      </c>
      <c r="M1043" t="s">
        <v>68</v>
      </c>
      <c r="N1043">
        <v>67</v>
      </c>
      <c r="O1043" s="3">
        <v>0.125</v>
      </c>
      <c r="P1043" t="s">
        <v>31</v>
      </c>
      <c r="Q1043" t="s">
        <v>243</v>
      </c>
      <c r="R1043" t="e">
        <f>IF([1]!Table13[[#This Row],[Goal_assist]]="",1,0)</f>
        <v>#REF!</v>
      </c>
    </row>
    <row r="1044" spans="1:18" x14ac:dyDescent="0.35">
      <c r="A1044" t="s">
        <v>64</v>
      </c>
      <c r="B1044" t="s">
        <v>305</v>
      </c>
      <c r="C1044" t="s">
        <v>65</v>
      </c>
      <c r="D1044">
        <v>3</v>
      </c>
      <c r="E1044" s="2">
        <v>42987</v>
      </c>
      <c r="F1044" t="s">
        <v>16</v>
      </c>
      <c r="G1044" t="s">
        <v>66</v>
      </c>
      <c r="H1044" t="s">
        <v>121</v>
      </c>
      <c r="I1044" s="3">
        <v>0.20833333333333334</v>
      </c>
      <c r="J1044" s="8" t="s">
        <v>448</v>
      </c>
      <c r="K1044" s="8" t="s">
        <v>443</v>
      </c>
      <c r="L1044" s="8" t="str">
        <f>IF(Table1346[[#This Row],[Home Team Score]]&gt;Table1346[[#This Row],[Away Team Score]],"Win",IF(Table1346[[#This Row],[Home Team Score]]=Table1346[[#This Row],[Away Team Score]],"Tie","Lose"))</f>
        <v>Win</v>
      </c>
      <c r="M1044" t="s">
        <v>68</v>
      </c>
      <c r="N1044">
        <v>35</v>
      </c>
      <c r="O1044" s="3">
        <v>8.3333333333333329E-2</v>
      </c>
      <c r="P1044" t="s">
        <v>26</v>
      </c>
      <c r="Q1044" t="s">
        <v>243</v>
      </c>
      <c r="R1044" t="e">
        <f>IF([1]!Table13[[#This Row],[Goal_assist]]="",1,0)</f>
        <v>#REF!</v>
      </c>
    </row>
    <row r="1045" spans="1:18" x14ac:dyDescent="0.35">
      <c r="A1045" t="s">
        <v>64</v>
      </c>
      <c r="B1045" t="s">
        <v>305</v>
      </c>
      <c r="C1045" t="s">
        <v>75</v>
      </c>
      <c r="D1045" t="s">
        <v>76</v>
      </c>
      <c r="E1045" s="2">
        <v>42990</v>
      </c>
      <c r="F1045" t="s">
        <v>16</v>
      </c>
      <c r="G1045" t="s">
        <v>66</v>
      </c>
      <c r="H1045" t="s">
        <v>260</v>
      </c>
      <c r="I1045" s="3">
        <v>0.125</v>
      </c>
      <c r="J1045" s="8" t="s">
        <v>442</v>
      </c>
      <c r="K1045" s="8" t="s">
        <v>443</v>
      </c>
      <c r="L1045" s="8" t="str">
        <f>IF(Table1346[[#This Row],[Home Team Score]]&gt;Table1346[[#This Row],[Away Team Score]],"Win",IF(Table1346[[#This Row],[Home Team Score]]=Table1346[[#This Row],[Away Team Score]],"Tie","Lose"))</f>
        <v>Win</v>
      </c>
      <c r="M1045" t="s">
        <v>68</v>
      </c>
      <c r="N1045">
        <v>69</v>
      </c>
      <c r="O1045" s="3">
        <v>0.125</v>
      </c>
      <c r="P1045" t="s">
        <v>31</v>
      </c>
      <c r="R1045" t="e">
        <f>IF([1]!Table13[[#This Row],[Goal_assist]]="",1,0)</f>
        <v>#REF!</v>
      </c>
    </row>
    <row r="1046" spans="1:18" x14ac:dyDescent="0.35">
      <c r="A1046" t="s">
        <v>64</v>
      </c>
      <c r="B1046" t="s">
        <v>305</v>
      </c>
      <c r="C1046" t="s">
        <v>75</v>
      </c>
      <c r="D1046" t="s">
        <v>76</v>
      </c>
      <c r="E1046" s="2">
        <v>42990</v>
      </c>
      <c r="F1046" t="s">
        <v>16</v>
      </c>
      <c r="G1046" t="s">
        <v>66</v>
      </c>
      <c r="H1046" t="s">
        <v>260</v>
      </c>
      <c r="I1046" s="3">
        <v>0.125</v>
      </c>
      <c r="J1046" s="8" t="s">
        <v>442</v>
      </c>
      <c r="K1046" s="8" t="s">
        <v>443</v>
      </c>
      <c r="L1046" s="8" t="str">
        <f>IF(Table1346[[#This Row],[Home Team Score]]&gt;Table1346[[#This Row],[Away Team Score]],"Win",IF(Table1346[[#This Row],[Home Team Score]]=Table1346[[#This Row],[Away Team Score]],"Tie","Lose"))</f>
        <v>Win</v>
      </c>
      <c r="M1046" t="s">
        <v>68</v>
      </c>
      <c r="N1046">
        <v>45</v>
      </c>
      <c r="O1046" s="3">
        <v>4.1666666666666664E-2</v>
      </c>
      <c r="P1046" t="s">
        <v>31</v>
      </c>
      <c r="Q1046" t="s">
        <v>273</v>
      </c>
      <c r="R1046" t="e">
        <f>IF([1]!Table13[[#This Row],[Goal_assist]]="",1,0)</f>
        <v>#REF!</v>
      </c>
    </row>
    <row r="1047" spans="1:18" x14ac:dyDescent="0.35">
      <c r="A1047" t="s">
        <v>14</v>
      </c>
      <c r="B1047" t="s">
        <v>305</v>
      </c>
      <c r="C1047" t="s">
        <v>75</v>
      </c>
      <c r="D1047" t="s">
        <v>76</v>
      </c>
      <c r="E1047" s="2">
        <v>42991</v>
      </c>
      <c r="F1047" t="s">
        <v>16</v>
      </c>
      <c r="G1047" t="s">
        <v>112</v>
      </c>
      <c r="H1047" t="s">
        <v>241</v>
      </c>
      <c r="I1047" s="3">
        <v>0.125</v>
      </c>
      <c r="J1047" s="8" t="s">
        <v>442</v>
      </c>
      <c r="K1047" s="8" t="s">
        <v>443</v>
      </c>
      <c r="L1047" s="8" t="str">
        <f>IF(Table1346[[#This Row],[Home Team Score]]&gt;Table1346[[#This Row],[Away Team Score]],"Win",IF(Table1346[[#This Row],[Home Team Score]]=Table1346[[#This Row],[Away Team Score]],"Tie","Lose"))</f>
        <v>Win</v>
      </c>
      <c r="M1047" t="s">
        <v>68</v>
      </c>
      <c r="N1047">
        <v>12</v>
      </c>
      <c r="O1047" s="3">
        <v>4.1666666666666664E-2</v>
      </c>
      <c r="P1047" t="s">
        <v>162</v>
      </c>
      <c r="Q1047" t="s">
        <v>261</v>
      </c>
      <c r="R1047" t="e">
        <f>IF([1]!Table13[[#This Row],[Goal_assist]]="",1,0)</f>
        <v>#REF!</v>
      </c>
    </row>
    <row r="1048" spans="1:18" x14ac:dyDescent="0.35">
      <c r="A1048" t="s">
        <v>14</v>
      </c>
      <c r="B1048" t="s">
        <v>305</v>
      </c>
      <c r="C1048" t="s">
        <v>75</v>
      </c>
      <c r="D1048" t="s">
        <v>76</v>
      </c>
      <c r="E1048" s="2">
        <v>42991</v>
      </c>
      <c r="F1048" t="s">
        <v>16</v>
      </c>
      <c r="G1048" t="s">
        <v>112</v>
      </c>
      <c r="H1048" t="s">
        <v>241</v>
      </c>
      <c r="I1048" s="3">
        <v>0.125</v>
      </c>
      <c r="J1048" s="8" t="s">
        <v>442</v>
      </c>
      <c r="K1048" s="8" t="s">
        <v>443</v>
      </c>
      <c r="L1048" s="8" t="str">
        <f>IF(Table1346[[#This Row],[Home Team Score]]&gt;Table1346[[#This Row],[Away Team Score]],"Win",IF(Table1346[[#This Row],[Home Team Score]]=Table1346[[#This Row],[Away Team Score]],"Tie","Lose"))</f>
        <v>Win</v>
      </c>
      <c r="M1048" t="s">
        <v>68</v>
      </c>
      <c r="N1048">
        <v>51</v>
      </c>
      <c r="O1048" s="3">
        <v>8.3333333333333329E-2</v>
      </c>
      <c r="P1048" t="s">
        <v>83</v>
      </c>
      <c r="R1048" t="e">
        <f>IF([1]!Table13[[#This Row],[Goal_assist]]="",1,0)</f>
        <v>#REF!</v>
      </c>
    </row>
    <row r="1049" spans="1:18" x14ac:dyDescent="0.35">
      <c r="A1049" t="s">
        <v>64</v>
      </c>
      <c r="B1049" t="s">
        <v>305</v>
      </c>
      <c r="C1049" t="s">
        <v>65</v>
      </c>
      <c r="D1049">
        <v>5</v>
      </c>
      <c r="E1049" s="2">
        <v>42997</v>
      </c>
      <c r="F1049" t="s">
        <v>16</v>
      </c>
      <c r="G1049" t="s">
        <v>66</v>
      </c>
      <c r="H1049" t="s">
        <v>270</v>
      </c>
      <c r="I1049" s="3">
        <v>0.25069444444444444</v>
      </c>
      <c r="J1049" s="8" t="s">
        <v>450</v>
      </c>
      <c r="K1049" s="8" t="s">
        <v>444</v>
      </c>
      <c r="L1049" s="8" t="str">
        <f>IF(Table1346[[#This Row],[Home Team Score]]&gt;Table1346[[#This Row],[Away Team Score]],"Win",IF(Table1346[[#This Row],[Home Team Score]]=Table1346[[#This Row],[Away Team Score]],"Tie","Lose"))</f>
        <v>Win</v>
      </c>
      <c r="M1049" t="s">
        <v>68</v>
      </c>
      <c r="N1049">
        <v>59</v>
      </c>
      <c r="O1049" s="3">
        <v>0.1673611111111111</v>
      </c>
      <c r="P1049" t="s">
        <v>31</v>
      </c>
      <c r="Q1049" t="s">
        <v>222</v>
      </c>
      <c r="R1049" t="e">
        <f>IF([1]!Table13[[#This Row],[Goal_assist]]="",1,0)</f>
        <v>#REF!</v>
      </c>
    </row>
    <row r="1050" spans="1:18" x14ac:dyDescent="0.35">
      <c r="A1050" t="s">
        <v>64</v>
      </c>
      <c r="B1050" t="s">
        <v>305</v>
      </c>
      <c r="C1050" t="s">
        <v>65</v>
      </c>
      <c r="D1050">
        <v>5</v>
      </c>
      <c r="E1050" s="2">
        <v>42997</v>
      </c>
      <c r="F1050" t="s">
        <v>16</v>
      </c>
      <c r="G1050" t="s">
        <v>66</v>
      </c>
      <c r="H1050" t="s">
        <v>270</v>
      </c>
      <c r="I1050" s="3">
        <v>0.25069444444444444</v>
      </c>
      <c r="J1050" s="8" t="s">
        <v>450</v>
      </c>
      <c r="K1050" s="8" t="s">
        <v>444</v>
      </c>
      <c r="L1050" s="8" t="str">
        <f>IF(Table1346[[#This Row],[Home Team Score]]&gt;Table1346[[#This Row],[Away Team Score]],"Win",IF(Table1346[[#This Row],[Home Team Score]]=Table1346[[#This Row],[Away Team Score]],"Tie","Lose"))</f>
        <v>Win</v>
      </c>
      <c r="M1050" t="s">
        <v>68</v>
      </c>
      <c r="N1050">
        <v>87</v>
      </c>
      <c r="O1050" s="3">
        <v>0.25069444444444444</v>
      </c>
      <c r="P1050" t="s">
        <v>31</v>
      </c>
      <c r="Q1050" t="s">
        <v>307</v>
      </c>
      <c r="R1050" t="e">
        <f>IF([1]!Table13[[#This Row],[Goal_assist]]="",1,0)</f>
        <v>#REF!</v>
      </c>
    </row>
    <row r="1051" spans="1:18" x14ac:dyDescent="0.35">
      <c r="A1051" t="s">
        <v>64</v>
      </c>
      <c r="B1051" t="s">
        <v>305</v>
      </c>
      <c r="C1051" t="s">
        <v>65</v>
      </c>
      <c r="D1051">
        <v>5</v>
      </c>
      <c r="E1051" s="2">
        <v>42997</v>
      </c>
      <c r="F1051" t="s">
        <v>16</v>
      </c>
      <c r="G1051" t="s">
        <v>66</v>
      </c>
      <c r="H1051" t="s">
        <v>270</v>
      </c>
      <c r="I1051" s="3">
        <v>0.25069444444444444</v>
      </c>
      <c r="J1051" s="8" t="s">
        <v>450</v>
      </c>
      <c r="K1051" s="8" t="s">
        <v>444</v>
      </c>
      <c r="L1051" s="8" t="str">
        <f>IF(Table1346[[#This Row],[Home Team Score]]&gt;Table1346[[#This Row],[Away Team Score]],"Win",IF(Table1346[[#This Row],[Home Team Score]]=Table1346[[#This Row],[Away Team Score]],"Tie","Lose"))</f>
        <v>Win</v>
      </c>
      <c r="M1051" t="s">
        <v>68</v>
      </c>
      <c r="N1051">
        <v>21</v>
      </c>
      <c r="O1051" s="3">
        <v>4.1666666666666664E-2</v>
      </c>
      <c r="P1051" t="s">
        <v>83</v>
      </c>
      <c r="R1051" t="e">
        <f>IF([1]!Table13[[#This Row],[Goal_assist]]="",1,0)</f>
        <v>#REF!</v>
      </c>
    </row>
    <row r="1052" spans="1:18" x14ac:dyDescent="0.35">
      <c r="A1052" t="s">
        <v>64</v>
      </c>
      <c r="B1052" t="s">
        <v>305</v>
      </c>
      <c r="C1052" t="s">
        <v>65</v>
      </c>
      <c r="D1052">
        <v>5</v>
      </c>
      <c r="E1052" s="2">
        <v>42997</v>
      </c>
      <c r="F1052" t="s">
        <v>16</v>
      </c>
      <c r="G1052" t="s">
        <v>66</v>
      </c>
      <c r="H1052" t="s">
        <v>270</v>
      </c>
      <c r="I1052" s="3">
        <v>0.25069444444444444</v>
      </c>
      <c r="J1052" s="8" t="s">
        <v>450</v>
      </c>
      <c r="K1052" s="8" t="s">
        <v>444</v>
      </c>
      <c r="L1052" s="8" t="str">
        <f>IF(Table1346[[#This Row],[Home Team Score]]&gt;Table1346[[#This Row],[Away Team Score]],"Win",IF(Table1346[[#This Row],[Home Team Score]]=Table1346[[#This Row],[Away Team Score]],"Tie","Lose"))</f>
        <v>Win</v>
      </c>
      <c r="M1052" t="s">
        <v>68</v>
      </c>
      <c r="N1052">
        <v>62</v>
      </c>
      <c r="O1052" s="3">
        <v>0.20902777777777778</v>
      </c>
      <c r="P1052" t="s">
        <v>31</v>
      </c>
      <c r="Q1052" t="s">
        <v>308</v>
      </c>
      <c r="R1052" t="e">
        <f>IF([1]!Table13[[#This Row],[Goal_assist]]="",1,0)</f>
        <v>#REF!</v>
      </c>
    </row>
    <row r="1053" spans="1:18" x14ac:dyDescent="0.35">
      <c r="A1053" t="s">
        <v>14</v>
      </c>
      <c r="B1053" t="s">
        <v>305</v>
      </c>
      <c r="C1053" t="s">
        <v>75</v>
      </c>
      <c r="D1053" t="s">
        <v>76</v>
      </c>
      <c r="E1053" s="2">
        <v>43004</v>
      </c>
      <c r="F1053" t="s">
        <v>24</v>
      </c>
      <c r="G1053" t="s">
        <v>112</v>
      </c>
      <c r="H1053" t="s">
        <v>246</v>
      </c>
      <c r="I1053" s="3">
        <v>4.3749999999999997E-2</v>
      </c>
      <c r="J1053" s="8" t="s">
        <v>444</v>
      </c>
      <c r="K1053" s="8" t="s">
        <v>442</v>
      </c>
      <c r="L1053" s="8" t="str">
        <f>IF(Table1346[[#This Row],[Home Team Score]]&gt;Table1346[[#This Row],[Away Team Score]],"Win",IF(Table1346[[#This Row],[Home Team Score]]=Table1346[[#This Row],[Away Team Score]],"Tie","Lose"))</f>
        <v>Lose</v>
      </c>
      <c r="M1053" t="s">
        <v>68</v>
      </c>
      <c r="N1053">
        <v>79</v>
      </c>
      <c r="O1053" s="3">
        <v>4.3749999999999997E-2</v>
      </c>
      <c r="P1053" t="s">
        <v>26</v>
      </c>
      <c r="Q1053" t="s">
        <v>250</v>
      </c>
      <c r="R1053" t="e">
        <f>IF([1]!Table13[[#This Row],[Goal_assist]]="",1,0)</f>
        <v>#REF!</v>
      </c>
    </row>
    <row r="1054" spans="1:18" x14ac:dyDescent="0.35">
      <c r="A1054" t="s">
        <v>14</v>
      </c>
      <c r="B1054" t="s">
        <v>305</v>
      </c>
      <c r="C1054" t="s">
        <v>75</v>
      </c>
      <c r="D1054" t="s">
        <v>76</v>
      </c>
      <c r="E1054" s="2">
        <v>43004</v>
      </c>
      <c r="F1054" t="s">
        <v>24</v>
      </c>
      <c r="G1054" t="s">
        <v>112</v>
      </c>
      <c r="H1054" t="s">
        <v>246</v>
      </c>
      <c r="I1054" s="3">
        <v>4.3749999999999997E-2</v>
      </c>
      <c r="J1054" s="8" t="s">
        <v>444</v>
      </c>
      <c r="K1054" s="8" t="s">
        <v>442</v>
      </c>
      <c r="L1054" s="8" t="str">
        <f>IF(Table1346[[#This Row],[Home Team Score]]&gt;Table1346[[#This Row],[Away Team Score]],"Win",IF(Table1346[[#This Row],[Home Team Score]]=Table1346[[#This Row],[Away Team Score]],"Tie","Lose"))</f>
        <v>Lose</v>
      </c>
      <c r="M1054" t="s">
        <v>68</v>
      </c>
      <c r="N1054">
        <v>49</v>
      </c>
      <c r="O1054" s="3">
        <v>1.3888888888888889E-3</v>
      </c>
      <c r="P1054" t="s">
        <v>31</v>
      </c>
      <c r="Q1054" t="s">
        <v>261</v>
      </c>
      <c r="R1054" t="e">
        <f>IF([1]!Table13[[#This Row],[Goal_assist]]="",1,0)</f>
        <v>#REF!</v>
      </c>
    </row>
    <row r="1055" spans="1:18" x14ac:dyDescent="0.35">
      <c r="A1055" t="s">
        <v>64</v>
      </c>
      <c r="B1055" t="s">
        <v>305</v>
      </c>
      <c r="C1055" t="s">
        <v>65</v>
      </c>
      <c r="D1055">
        <v>7</v>
      </c>
      <c r="E1055" s="2">
        <v>43009</v>
      </c>
      <c r="F1055" t="s">
        <v>16</v>
      </c>
      <c r="G1055" t="s">
        <v>66</v>
      </c>
      <c r="H1055" t="s">
        <v>284</v>
      </c>
      <c r="I1055" s="3">
        <v>0.125</v>
      </c>
      <c r="J1055" s="8" t="s">
        <v>442</v>
      </c>
      <c r="K1055" s="8" t="s">
        <v>443</v>
      </c>
      <c r="L1055" s="8" t="str">
        <f>IF(Table1346[[#This Row],[Home Team Score]]&gt;Table1346[[#This Row],[Away Team Score]],"Win",IF(Table1346[[#This Row],[Home Team Score]]=Table1346[[#This Row],[Away Team Score]],"Tie","Lose"))</f>
        <v>Win</v>
      </c>
      <c r="M1055" t="s">
        <v>230</v>
      </c>
      <c r="N1055">
        <v>70</v>
      </c>
      <c r="O1055" s="3">
        <v>8.3333333333333329E-2</v>
      </c>
      <c r="P1055" t="s">
        <v>31</v>
      </c>
      <c r="Q1055" t="s">
        <v>309</v>
      </c>
      <c r="R1055" t="e">
        <f>IF([1]!Table13[[#This Row],[Goal_assist]]="",1,0)</f>
        <v>#REF!</v>
      </c>
    </row>
    <row r="1056" spans="1:18" x14ac:dyDescent="0.35">
      <c r="A1056" t="s">
        <v>64</v>
      </c>
      <c r="B1056" t="s">
        <v>305</v>
      </c>
      <c r="C1056" t="s">
        <v>65</v>
      </c>
      <c r="D1056">
        <v>7</v>
      </c>
      <c r="E1056" s="2">
        <v>43009</v>
      </c>
      <c r="F1056" t="s">
        <v>16</v>
      </c>
      <c r="G1056" t="s">
        <v>66</v>
      </c>
      <c r="H1056" t="s">
        <v>284</v>
      </c>
      <c r="I1056" s="3">
        <v>0.125</v>
      </c>
      <c r="J1056" s="8" t="s">
        <v>442</v>
      </c>
      <c r="K1056" s="8" t="s">
        <v>443</v>
      </c>
      <c r="L1056" s="8" t="str">
        <f>IF(Table1346[[#This Row],[Home Team Score]]&gt;Table1346[[#This Row],[Away Team Score]],"Win",IF(Table1346[[#This Row],[Home Team Score]]=Table1346[[#This Row],[Away Team Score]],"Tie","Lose"))</f>
        <v>Win</v>
      </c>
      <c r="M1056" t="s">
        <v>230</v>
      </c>
      <c r="N1056">
        <v>77</v>
      </c>
      <c r="O1056" s="3">
        <v>0.125</v>
      </c>
      <c r="P1056" t="s">
        <v>31</v>
      </c>
      <c r="Q1056" t="s">
        <v>273</v>
      </c>
      <c r="R1056" t="e">
        <f>IF([1]!Table13[[#This Row],[Goal_assist]]="",1,0)</f>
        <v>#REF!</v>
      </c>
    </row>
    <row r="1057" spans="1:18" x14ac:dyDescent="0.35">
      <c r="A1057" t="s">
        <v>14</v>
      </c>
      <c r="B1057" t="s">
        <v>305</v>
      </c>
      <c r="C1057" t="s">
        <v>65</v>
      </c>
      <c r="D1057">
        <v>8</v>
      </c>
      <c r="E1057" s="2">
        <v>43022</v>
      </c>
      <c r="F1057" t="s">
        <v>24</v>
      </c>
      <c r="G1057" t="s">
        <v>112</v>
      </c>
      <c r="H1057" t="s">
        <v>117</v>
      </c>
      <c r="I1057" s="3">
        <v>4.3055555555555555E-2</v>
      </c>
      <c r="J1057" s="8" t="s">
        <v>444</v>
      </c>
      <c r="K1057" s="8" t="s">
        <v>445</v>
      </c>
      <c r="L1057" s="8" t="str">
        <f>IF(Table1346[[#This Row],[Home Team Score]]&gt;Table1346[[#This Row],[Away Team Score]],"Win",IF(Table1346[[#This Row],[Home Team Score]]=Table1346[[#This Row],[Away Team Score]],"Tie","Lose"))</f>
        <v>Lose</v>
      </c>
      <c r="M1057" t="s">
        <v>68</v>
      </c>
      <c r="N1057">
        <v>85</v>
      </c>
      <c r="O1057" s="3">
        <v>4.3055555555555555E-2</v>
      </c>
      <c r="P1057" t="s">
        <v>26</v>
      </c>
      <c r="Q1057" t="s">
        <v>257</v>
      </c>
      <c r="R1057" t="e">
        <f>IF([1]!Table13[[#This Row],[Goal_assist]]="",1,0)</f>
        <v>#REF!</v>
      </c>
    </row>
    <row r="1058" spans="1:18" x14ac:dyDescent="0.35">
      <c r="A1058" t="s">
        <v>14</v>
      </c>
      <c r="B1058" t="s">
        <v>305</v>
      </c>
      <c r="C1058" t="s">
        <v>75</v>
      </c>
      <c r="D1058" t="s">
        <v>76</v>
      </c>
      <c r="E1058" s="2">
        <v>43025</v>
      </c>
      <c r="F1058" t="s">
        <v>16</v>
      </c>
      <c r="G1058" t="s">
        <v>112</v>
      </c>
      <c r="H1058" t="s">
        <v>42</v>
      </c>
      <c r="I1058" s="3">
        <v>4.2361111111111113E-2</v>
      </c>
      <c r="J1058" s="8" t="s">
        <v>444</v>
      </c>
      <c r="K1058" s="8" t="s">
        <v>444</v>
      </c>
      <c r="L1058" s="8" t="str">
        <f>IF(Table1346[[#This Row],[Home Team Score]]&gt;Table1346[[#This Row],[Away Team Score]],"Win",IF(Table1346[[#This Row],[Home Team Score]]=Table1346[[#This Row],[Away Team Score]],"Tie","Lose"))</f>
        <v>Tie</v>
      </c>
      <c r="M1058" t="s">
        <v>19</v>
      </c>
      <c r="N1058">
        <v>43</v>
      </c>
      <c r="O1058" s="3">
        <v>4.2361111111111113E-2</v>
      </c>
      <c r="P1058" t="s">
        <v>83</v>
      </c>
      <c r="R1058" t="e">
        <f>IF([1]!Table13[[#This Row],[Goal_assist]]="",1,0)</f>
        <v>#REF!</v>
      </c>
    </row>
    <row r="1059" spans="1:18" x14ac:dyDescent="0.35">
      <c r="A1059" t="s">
        <v>64</v>
      </c>
      <c r="B1059" t="s">
        <v>305</v>
      </c>
      <c r="C1059" t="s">
        <v>75</v>
      </c>
      <c r="D1059" t="s">
        <v>76</v>
      </c>
      <c r="E1059" s="2">
        <v>43026</v>
      </c>
      <c r="F1059" t="s">
        <v>16</v>
      </c>
      <c r="G1059" t="s">
        <v>66</v>
      </c>
      <c r="H1059" t="s">
        <v>310</v>
      </c>
      <c r="I1059" s="3">
        <v>0.12569444444444444</v>
      </c>
      <c r="J1059" s="8" t="s">
        <v>442</v>
      </c>
      <c r="K1059" s="8" t="s">
        <v>444</v>
      </c>
      <c r="L1059" s="8" t="str">
        <f>IF(Table1346[[#This Row],[Home Team Score]]&gt;Table1346[[#This Row],[Away Team Score]],"Win",IF(Table1346[[#This Row],[Home Team Score]]=Table1346[[#This Row],[Away Team Score]],"Tie","Lose"))</f>
        <v>Win</v>
      </c>
      <c r="M1059" t="s">
        <v>68</v>
      </c>
      <c r="N1059">
        <v>61</v>
      </c>
      <c r="O1059" s="3">
        <v>8.3333333333333329E-2</v>
      </c>
      <c r="P1059" t="s">
        <v>39</v>
      </c>
      <c r="R1059" t="e">
        <f>IF([1]!Table13[[#This Row],[Goal_assist]]="",1,0)</f>
        <v>#REF!</v>
      </c>
    </row>
    <row r="1060" spans="1:18" x14ac:dyDescent="0.35">
      <c r="A1060" t="s">
        <v>64</v>
      </c>
      <c r="B1060" t="s">
        <v>305</v>
      </c>
      <c r="C1060" t="s">
        <v>65</v>
      </c>
      <c r="D1060">
        <v>10</v>
      </c>
      <c r="E1060" s="2">
        <v>43036</v>
      </c>
      <c r="F1060" t="s">
        <v>24</v>
      </c>
      <c r="G1060" t="s">
        <v>66</v>
      </c>
      <c r="H1060" t="s">
        <v>86</v>
      </c>
      <c r="I1060" s="3">
        <v>1.3888888888888889E-3</v>
      </c>
      <c r="J1060" s="8" t="s">
        <v>443</v>
      </c>
      <c r="K1060" s="8" t="s">
        <v>445</v>
      </c>
      <c r="L1060" s="8" t="str">
        <f>IF(Table1346[[#This Row],[Home Team Score]]&gt;Table1346[[#This Row],[Away Team Score]],"Win",IF(Table1346[[#This Row],[Home Team Score]]=Table1346[[#This Row],[Away Team Score]],"Tie","Lose"))</f>
        <v>Lose</v>
      </c>
      <c r="M1060" t="s">
        <v>311</v>
      </c>
      <c r="N1060">
        <v>37</v>
      </c>
      <c r="O1060" s="3">
        <v>6.9444444444444447E-4</v>
      </c>
      <c r="P1060" t="s">
        <v>31</v>
      </c>
      <c r="Q1060" t="s">
        <v>243</v>
      </c>
      <c r="R1060" t="e">
        <f>IF([1]!Table13[[#This Row],[Goal_assist]]="",1,0)</f>
        <v>#REF!</v>
      </c>
    </row>
    <row r="1061" spans="1:18" x14ac:dyDescent="0.35">
      <c r="A1061" t="s">
        <v>14</v>
      </c>
      <c r="B1061" t="s">
        <v>305</v>
      </c>
      <c r="C1061" t="s">
        <v>75</v>
      </c>
      <c r="D1061" t="s">
        <v>76</v>
      </c>
      <c r="E1061" s="2">
        <v>43040</v>
      </c>
      <c r="F1061" t="s">
        <v>24</v>
      </c>
      <c r="G1061" t="s">
        <v>112</v>
      </c>
      <c r="H1061" t="s">
        <v>42</v>
      </c>
      <c r="I1061" s="3">
        <v>0.12569444444444444</v>
      </c>
      <c r="J1061" s="8" t="s">
        <v>442</v>
      </c>
      <c r="K1061" s="8" t="s">
        <v>444</v>
      </c>
      <c r="L1061" s="8" t="str">
        <f>IF(Table1346[[#This Row],[Home Team Score]]&gt;Table1346[[#This Row],[Away Team Score]],"Win",IF(Table1346[[#This Row],[Home Team Score]]=Table1346[[#This Row],[Away Team Score]],"Tie","Lose"))</f>
        <v>Win</v>
      </c>
      <c r="M1061" t="s">
        <v>19</v>
      </c>
      <c r="N1061">
        <v>80</v>
      </c>
      <c r="O1061" s="3">
        <v>0.12569444444444444</v>
      </c>
      <c r="P1061" t="s">
        <v>26</v>
      </c>
      <c r="Q1061" t="s">
        <v>312</v>
      </c>
      <c r="R1061" t="e">
        <f>IF([1]!Table13[[#This Row],[Goal_assist]]="",1,0)</f>
        <v>#REF!</v>
      </c>
    </row>
    <row r="1062" spans="1:18" x14ac:dyDescent="0.35">
      <c r="A1062" t="s">
        <v>14</v>
      </c>
      <c r="B1062" t="s">
        <v>305</v>
      </c>
      <c r="C1062" t="s">
        <v>75</v>
      </c>
      <c r="D1062" t="s">
        <v>76</v>
      </c>
      <c r="E1062" s="2">
        <v>43060</v>
      </c>
      <c r="F1062" t="s">
        <v>24</v>
      </c>
      <c r="G1062" t="s">
        <v>112</v>
      </c>
      <c r="H1062" t="s">
        <v>241</v>
      </c>
      <c r="I1062" s="3">
        <v>4.1666666666666666E-3</v>
      </c>
      <c r="J1062" s="8" t="s">
        <v>443</v>
      </c>
      <c r="K1062" s="8" t="s">
        <v>450</v>
      </c>
      <c r="L1062" s="8" t="str">
        <f>IF(Table1346[[#This Row],[Home Team Score]]&gt;Table1346[[#This Row],[Away Team Score]],"Win",IF(Table1346[[#This Row],[Home Team Score]]=Table1346[[#This Row],[Away Team Score]],"Tie","Lose"))</f>
        <v>Lose</v>
      </c>
      <c r="M1062" t="s">
        <v>19</v>
      </c>
      <c r="N1062">
        <v>49</v>
      </c>
      <c r="O1062" s="3">
        <v>3.472222222222222E-3</v>
      </c>
      <c r="P1062" t="s">
        <v>22</v>
      </c>
      <c r="Q1062" t="s">
        <v>201</v>
      </c>
      <c r="R1062" t="e">
        <f>IF([1]!Table13[[#This Row],[Goal_assist]]="",1,0)</f>
        <v>#REF!</v>
      </c>
    </row>
    <row r="1063" spans="1:18" x14ac:dyDescent="0.35">
      <c r="A1063" t="s">
        <v>14</v>
      </c>
      <c r="B1063" t="s">
        <v>305</v>
      </c>
      <c r="C1063" t="s">
        <v>75</v>
      </c>
      <c r="D1063" t="s">
        <v>76</v>
      </c>
      <c r="E1063" s="2">
        <v>43060</v>
      </c>
      <c r="F1063" t="s">
        <v>24</v>
      </c>
      <c r="G1063" t="s">
        <v>112</v>
      </c>
      <c r="H1063" t="s">
        <v>241</v>
      </c>
      <c r="I1063" s="3">
        <v>4.1666666666666666E-3</v>
      </c>
      <c r="J1063" s="8" t="s">
        <v>443</v>
      </c>
      <c r="K1063" s="8" t="s">
        <v>450</v>
      </c>
      <c r="L1063" s="8" t="str">
        <f>IF(Table1346[[#This Row],[Home Team Score]]&gt;Table1346[[#This Row],[Away Team Score]],"Win",IF(Table1346[[#This Row],[Home Team Score]]=Table1346[[#This Row],[Away Team Score]],"Tie","Lose"))</f>
        <v>Lose</v>
      </c>
      <c r="M1063" t="s">
        <v>19</v>
      </c>
      <c r="N1063">
        <v>54</v>
      </c>
      <c r="O1063" s="3">
        <v>4.1666666666666666E-3</v>
      </c>
      <c r="P1063" t="s">
        <v>31</v>
      </c>
      <c r="R1063" t="e">
        <f>IF([1]!Table13[[#This Row],[Goal_assist]]="",1,0)</f>
        <v>#REF!</v>
      </c>
    </row>
    <row r="1064" spans="1:18" x14ac:dyDescent="0.35">
      <c r="A1064" t="s">
        <v>14</v>
      </c>
      <c r="B1064" t="s">
        <v>305</v>
      </c>
      <c r="C1064" t="s">
        <v>65</v>
      </c>
      <c r="D1064">
        <v>13</v>
      </c>
      <c r="E1064" s="2">
        <v>43064</v>
      </c>
      <c r="F1064" t="s">
        <v>16</v>
      </c>
      <c r="G1064" t="s">
        <v>112</v>
      </c>
      <c r="H1064" t="s">
        <v>157</v>
      </c>
      <c r="I1064" s="3">
        <v>0.12638888888888888</v>
      </c>
      <c r="J1064" s="8" t="s">
        <v>442</v>
      </c>
      <c r="K1064" s="8" t="s">
        <v>445</v>
      </c>
      <c r="L1064" s="8" t="str">
        <f>IF(Table1346[[#This Row],[Home Team Score]]&gt;Table1346[[#This Row],[Away Team Score]],"Win",IF(Table1346[[#This Row],[Home Team Score]]=Table1346[[#This Row],[Away Team Score]],"Tie","Lose"))</f>
        <v>Win</v>
      </c>
      <c r="M1064" t="s">
        <v>68</v>
      </c>
      <c r="N1064">
        <v>76</v>
      </c>
      <c r="O1064" s="3">
        <v>0.12638888888888888</v>
      </c>
      <c r="P1064" t="s">
        <v>107</v>
      </c>
      <c r="R1064" t="e">
        <f>IF([1]!Table13[[#This Row],[Goal_assist]]="",1,0)</f>
        <v>#REF!</v>
      </c>
    </row>
    <row r="1065" spans="1:18" x14ac:dyDescent="0.35">
      <c r="A1065" t="s">
        <v>64</v>
      </c>
      <c r="B1065" t="s">
        <v>305</v>
      </c>
      <c r="C1065" t="s">
        <v>65</v>
      </c>
      <c r="D1065">
        <v>14</v>
      </c>
      <c r="E1065" s="2">
        <v>43071</v>
      </c>
      <c r="F1065" t="s">
        <v>16</v>
      </c>
      <c r="G1065" t="s">
        <v>66</v>
      </c>
      <c r="H1065" t="s">
        <v>98</v>
      </c>
      <c r="I1065" s="3">
        <v>8.4722222222222227E-2</v>
      </c>
      <c r="J1065" s="8" t="s">
        <v>445</v>
      </c>
      <c r="K1065" s="8" t="s">
        <v>445</v>
      </c>
      <c r="L1065" s="8" t="str">
        <f>IF(Table1346[[#This Row],[Home Team Score]]&gt;Table1346[[#This Row],[Away Team Score]],"Win",IF(Table1346[[#This Row],[Home Team Score]]=Table1346[[#This Row],[Away Team Score]],"Tie","Lose"))</f>
        <v>Tie</v>
      </c>
      <c r="M1065" t="s">
        <v>230</v>
      </c>
      <c r="N1065">
        <v>22</v>
      </c>
      <c r="O1065" s="3">
        <v>4.2361111111111113E-2</v>
      </c>
      <c r="P1065" t="s">
        <v>31</v>
      </c>
      <c r="Q1065" t="s">
        <v>308</v>
      </c>
      <c r="R1065" t="e">
        <f>IF([1]!Table13[[#This Row],[Goal_assist]]="",1,0)</f>
        <v>#REF!</v>
      </c>
    </row>
    <row r="1066" spans="1:18" x14ac:dyDescent="0.35">
      <c r="A1066" t="s">
        <v>14</v>
      </c>
      <c r="B1066" t="s">
        <v>305</v>
      </c>
      <c r="C1066" t="s">
        <v>75</v>
      </c>
      <c r="D1066" t="s">
        <v>76</v>
      </c>
      <c r="E1066" s="2">
        <v>43075</v>
      </c>
      <c r="F1066" t="s">
        <v>16</v>
      </c>
      <c r="G1066" t="s">
        <v>112</v>
      </c>
      <c r="H1066" t="s">
        <v>246</v>
      </c>
      <c r="I1066" s="3">
        <v>0.12638888888888888</v>
      </c>
      <c r="J1066" s="8" t="s">
        <v>442</v>
      </c>
      <c r="K1066" s="8" t="s">
        <v>445</v>
      </c>
      <c r="L1066" s="8" t="str">
        <f>IF(Table1346[[#This Row],[Home Team Score]]&gt;Table1346[[#This Row],[Away Team Score]],"Win",IF(Table1346[[#This Row],[Home Team Score]]=Table1346[[#This Row],[Away Team Score]],"Tie","Lose"))</f>
        <v>Win</v>
      </c>
      <c r="M1066" t="s">
        <v>19</v>
      </c>
      <c r="N1066">
        <v>12</v>
      </c>
      <c r="O1066" s="3">
        <v>8.3333333333333329E-2</v>
      </c>
      <c r="P1066" t="s">
        <v>26</v>
      </c>
      <c r="Q1066" t="s">
        <v>301</v>
      </c>
      <c r="R1066" t="e">
        <f>IF([1]!Table13[[#This Row],[Goal_assist]]="",1,0)</f>
        <v>#REF!</v>
      </c>
    </row>
    <row r="1067" spans="1:18" x14ac:dyDescent="0.35">
      <c r="A1067" t="s">
        <v>14</v>
      </c>
      <c r="B1067" t="s">
        <v>305</v>
      </c>
      <c r="C1067" t="s">
        <v>65</v>
      </c>
      <c r="D1067">
        <v>15</v>
      </c>
      <c r="E1067" s="2">
        <v>43078</v>
      </c>
      <c r="F1067" t="s">
        <v>16</v>
      </c>
      <c r="G1067" t="s">
        <v>112</v>
      </c>
      <c r="H1067" t="s">
        <v>105</v>
      </c>
      <c r="I1067" s="3">
        <v>0.20833333333333334</v>
      </c>
      <c r="J1067" s="8" t="s">
        <v>448</v>
      </c>
      <c r="K1067" s="8" t="s">
        <v>443</v>
      </c>
      <c r="L1067" s="8" t="str">
        <f>IF(Table1346[[#This Row],[Home Team Score]]&gt;Table1346[[#This Row],[Away Team Score]],"Win",IF(Table1346[[#This Row],[Home Team Score]]=Table1346[[#This Row],[Away Team Score]],"Tie","Lose"))</f>
        <v>Win</v>
      </c>
      <c r="M1067" t="s">
        <v>68</v>
      </c>
      <c r="N1067">
        <v>31</v>
      </c>
      <c r="O1067" s="3">
        <v>0.125</v>
      </c>
      <c r="P1067" t="s">
        <v>83</v>
      </c>
      <c r="R1067" t="e">
        <f>IF([1]!Table13[[#This Row],[Goal_assist]]="",1,0)</f>
        <v>#REF!</v>
      </c>
    </row>
    <row r="1068" spans="1:18" x14ac:dyDescent="0.35">
      <c r="A1068" t="s">
        <v>14</v>
      </c>
      <c r="B1068" t="s">
        <v>305</v>
      </c>
      <c r="C1068" t="s">
        <v>65</v>
      </c>
      <c r="D1068">
        <v>15</v>
      </c>
      <c r="E1068" s="2">
        <v>43078</v>
      </c>
      <c r="F1068" t="s">
        <v>16</v>
      </c>
      <c r="G1068" t="s">
        <v>112</v>
      </c>
      <c r="H1068" t="s">
        <v>105</v>
      </c>
      <c r="I1068" s="3">
        <v>0.20833333333333334</v>
      </c>
      <c r="J1068" s="8" t="s">
        <v>448</v>
      </c>
      <c r="K1068" s="8" t="s">
        <v>443</v>
      </c>
      <c r="L1068" s="8" t="str">
        <f>IF(Table1346[[#This Row],[Home Team Score]]&gt;Table1346[[#This Row],[Away Team Score]],"Win",IF(Table1346[[#This Row],[Home Team Score]]=Table1346[[#This Row],[Away Team Score]],"Tie","Lose"))</f>
        <v>Win</v>
      </c>
      <c r="M1068" t="s">
        <v>68</v>
      </c>
      <c r="N1068">
        <v>23</v>
      </c>
      <c r="O1068" s="3">
        <v>8.3333333333333329E-2</v>
      </c>
      <c r="P1068" t="s">
        <v>26</v>
      </c>
      <c r="Q1068" t="s">
        <v>303</v>
      </c>
      <c r="R1068" t="e">
        <f>IF([1]!Table13[[#This Row],[Goal_assist]]="",1,0)</f>
        <v>#REF!</v>
      </c>
    </row>
    <row r="1069" spans="1:18" x14ac:dyDescent="0.35">
      <c r="A1069" t="s">
        <v>64</v>
      </c>
      <c r="B1069" t="s">
        <v>305</v>
      </c>
      <c r="C1069" t="s">
        <v>65</v>
      </c>
      <c r="D1069">
        <v>15</v>
      </c>
      <c r="E1069" s="2">
        <v>43079</v>
      </c>
      <c r="F1069" t="s">
        <v>24</v>
      </c>
      <c r="G1069" t="s">
        <v>66</v>
      </c>
      <c r="H1069" t="s">
        <v>180</v>
      </c>
      <c r="I1069" s="3">
        <v>1.3888888888888889E-3</v>
      </c>
      <c r="J1069" s="8" t="s">
        <v>443</v>
      </c>
      <c r="K1069" s="8" t="s">
        <v>445</v>
      </c>
      <c r="L1069" s="8" t="str">
        <f>IF(Table1346[[#This Row],[Home Team Score]]&gt;Table1346[[#This Row],[Away Team Score]],"Win",IF(Table1346[[#This Row],[Home Team Score]]=Table1346[[#This Row],[Away Team Score]],"Tie","Lose"))</f>
        <v>Lose</v>
      </c>
      <c r="M1069" t="s">
        <v>275</v>
      </c>
      <c r="N1069">
        <v>83</v>
      </c>
      <c r="O1069" s="3">
        <v>1.3888888888888889E-3</v>
      </c>
      <c r="P1069" t="s">
        <v>31</v>
      </c>
      <c r="Q1069" t="s">
        <v>222</v>
      </c>
      <c r="R1069" t="e">
        <f>IF([1]!Table13[[#This Row],[Goal_assist]]="",1,0)</f>
        <v>#REF!</v>
      </c>
    </row>
    <row r="1070" spans="1:18" x14ac:dyDescent="0.35">
      <c r="A1070" t="s">
        <v>14</v>
      </c>
      <c r="B1070" t="s">
        <v>305</v>
      </c>
      <c r="C1070" t="s">
        <v>163</v>
      </c>
      <c r="D1070" t="s">
        <v>62</v>
      </c>
      <c r="E1070" s="2">
        <v>43082</v>
      </c>
      <c r="F1070" t="s">
        <v>24</v>
      </c>
      <c r="G1070" t="s">
        <v>112</v>
      </c>
      <c r="H1070" t="s">
        <v>313</v>
      </c>
      <c r="I1070" s="3">
        <v>4.3055555555555555E-2</v>
      </c>
      <c r="J1070" s="8" t="s">
        <v>444</v>
      </c>
      <c r="K1070" s="8" t="s">
        <v>445</v>
      </c>
      <c r="L1070" s="8" t="str">
        <f>IF(Table1346[[#This Row],[Home Team Score]]&gt;Table1346[[#This Row],[Away Team Score]],"Win",IF(Table1346[[#This Row],[Home Team Score]]=Table1346[[#This Row],[Away Team Score]],"Tie","Lose"))</f>
        <v>Lose</v>
      </c>
      <c r="M1070" t="s">
        <v>19</v>
      </c>
      <c r="N1070">
        <v>53</v>
      </c>
      <c r="O1070" s="3">
        <v>4.2361111111111113E-2</v>
      </c>
      <c r="P1070" t="s">
        <v>26</v>
      </c>
      <c r="Q1070" t="s">
        <v>250</v>
      </c>
      <c r="R1070" t="e">
        <f>IF([1]!Table13[[#This Row],[Goal_assist]]="",1,0)</f>
        <v>#REF!</v>
      </c>
    </row>
    <row r="1071" spans="1:18" x14ac:dyDescent="0.35">
      <c r="A1071" t="s">
        <v>14</v>
      </c>
      <c r="B1071" t="s">
        <v>305</v>
      </c>
      <c r="C1071" t="s">
        <v>163</v>
      </c>
      <c r="D1071" t="s">
        <v>46</v>
      </c>
      <c r="E1071" s="2">
        <v>43085</v>
      </c>
      <c r="F1071" t="s">
        <v>16</v>
      </c>
      <c r="G1071" t="s">
        <v>112</v>
      </c>
      <c r="H1071" t="s">
        <v>314</v>
      </c>
      <c r="I1071" s="3">
        <v>4.1666666666666664E-2</v>
      </c>
      <c r="J1071" s="8" t="s">
        <v>444</v>
      </c>
      <c r="K1071" s="8" t="s">
        <v>443</v>
      </c>
      <c r="L1071" s="8" t="str">
        <f>IF(Table1346[[#This Row],[Home Team Score]]&gt;Table1346[[#This Row],[Away Team Score]],"Win",IF(Table1346[[#This Row],[Home Team Score]]=Table1346[[#This Row],[Away Team Score]],"Tie","Lose"))</f>
        <v>Win</v>
      </c>
      <c r="M1071" t="s">
        <v>19</v>
      </c>
      <c r="N1071">
        <v>53</v>
      </c>
      <c r="O1071" s="3">
        <v>4.1666666666666664E-2</v>
      </c>
      <c r="P1071" t="s">
        <v>39</v>
      </c>
      <c r="R1071" t="e">
        <f>IF([1]!Table13[[#This Row],[Goal_assist]]="",1,0)</f>
        <v>#REF!</v>
      </c>
    </row>
    <row r="1072" spans="1:18" x14ac:dyDescent="0.35">
      <c r="A1072" t="s">
        <v>64</v>
      </c>
      <c r="B1072" t="s">
        <v>305</v>
      </c>
      <c r="C1072" t="s">
        <v>65</v>
      </c>
      <c r="D1072">
        <v>17</v>
      </c>
      <c r="E1072" s="2">
        <v>43092</v>
      </c>
      <c r="F1072" t="s">
        <v>24</v>
      </c>
      <c r="G1072" t="s">
        <v>66</v>
      </c>
      <c r="H1072" t="s">
        <v>112</v>
      </c>
      <c r="I1072" s="3">
        <v>2.0833333333333333E-3</v>
      </c>
      <c r="J1072" s="8" t="s">
        <v>443</v>
      </c>
      <c r="K1072" s="8" t="s">
        <v>442</v>
      </c>
      <c r="L1072" s="8" t="str">
        <f>IF(Table1346[[#This Row],[Home Team Score]]&gt;Table1346[[#This Row],[Away Team Score]],"Win",IF(Table1346[[#This Row],[Home Team Score]]=Table1346[[#This Row],[Away Team Score]],"Tie","Lose"))</f>
        <v>Lose</v>
      </c>
      <c r="M1072" t="s">
        <v>230</v>
      </c>
      <c r="N1072">
        <v>64</v>
      </c>
      <c r="O1072" s="3">
        <v>1.3888888888888889E-3</v>
      </c>
      <c r="P1072" t="s">
        <v>83</v>
      </c>
      <c r="R1072" t="e">
        <f>IF([1]!Table13[[#This Row],[Goal_assist]]="",1,0)</f>
        <v>#REF!</v>
      </c>
    </row>
    <row r="1073" spans="1:18" x14ac:dyDescent="0.35">
      <c r="A1073" t="s">
        <v>64</v>
      </c>
      <c r="B1073" t="s">
        <v>305</v>
      </c>
      <c r="C1073" t="s">
        <v>65</v>
      </c>
      <c r="D1073">
        <v>18</v>
      </c>
      <c r="E1073" s="2">
        <v>43107</v>
      </c>
      <c r="F1073" t="s">
        <v>16</v>
      </c>
      <c r="G1073" t="s">
        <v>66</v>
      </c>
      <c r="H1073" t="s">
        <v>127</v>
      </c>
      <c r="I1073" s="3">
        <v>0.125</v>
      </c>
      <c r="J1073" s="8" t="s">
        <v>442</v>
      </c>
      <c r="K1073" s="8" t="s">
        <v>443</v>
      </c>
      <c r="L1073" s="8" t="str">
        <f>IF(Table1346[[#This Row],[Home Team Score]]&gt;Table1346[[#This Row],[Away Team Score]],"Win",IF(Table1346[[#This Row],[Home Team Score]]=Table1346[[#This Row],[Away Team Score]],"Tie","Lose"))</f>
        <v>Win</v>
      </c>
      <c r="M1073" t="s">
        <v>230</v>
      </c>
      <c r="N1073">
        <v>12</v>
      </c>
      <c r="O1073" s="3">
        <v>4.1666666666666664E-2</v>
      </c>
      <c r="P1073" t="s">
        <v>31</v>
      </c>
      <c r="Q1073" t="s">
        <v>243</v>
      </c>
      <c r="R1073" t="e">
        <f>IF([1]!Table13[[#This Row],[Goal_assist]]="",1,0)</f>
        <v>#REF!</v>
      </c>
    </row>
    <row r="1074" spans="1:18" x14ac:dyDescent="0.35">
      <c r="A1074" t="s">
        <v>64</v>
      </c>
      <c r="B1074" t="s">
        <v>305</v>
      </c>
      <c r="C1074" t="s">
        <v>91</v>
      </c>
      <c r="D1074" t="s">
        <v>143</v>
      </c>
      <c r="E1074" s="2">
        <v>43111</v>
      </c>
      <c r="F1074" t="s">
        <v>16</v>
      </c>
      <c r="G1074" t="s">
        <v>66</v>
      </c>
      <c r="H1074" t="s">
        <v>98</v>
      </c>
      <c r="I1074" s="3">
        <v>0.20833333333333334</v>
      </c>
      <c r="J1074" s="8" t="s">
        <v>448</v>
      </c>
      <c r="K1074" s="8" t="s">
        <v>443</v>
      </c>
      <c r="L1074" s="8" t="str">
        <f>IF(Table1346[[#This Row],[Home Team Score]]&gt;Table1346[[#This Row],[Away Team Score]],"Win",IF(Table1346[[#This Row],[Home Team Score]]=Table1346[[#This Row],[Away Team Score]],"Tie","Lose"))</f>
        <v>Win</v>
      </c>
      <c r="M1074" t="s">
        <v>230</v>
      </c>
      <c r="N1074">
        <v>15</v>
      </c>
      <c r="O1074" s="3">
        <v>8.3333333333333329E-2</v>
      </c>
      <c r="P1074" t="s">
        <v>31</v>
      </c>
      <c r="Q1074" t="s">
        <v>243</v>
      </c>
      <c r="R1074" t="e">
        <f>IF([1]!Table13[[#This Row],[Goal_assist]]="",1,0)</f>
        <v>#REF!</v>
      </c>
    </row>
    <row r="1075" spans="1:18" x14ac:dyDescent="0.35">
      <c r="A1075" t="s">
        <v>64</v>
      </c>
      <c r="B1075" t="s">
        <v>305</v>
      </c>
      <c r="C1075" t="s">
        <v>91</v>
      </c>
      <c r="D1075" t="s">
        <v>143</v>
      </c>
      <c r="E1075" s="2">
        <v>43111</v>
      </c>
      <c r="F1075" t="s">
        <v>16</v>
      </c>
      <c r="G1075" t="s">
        <v>66</v>
      </c>
      <c r="H1075" t="s">
        <v>98</v>
      </c>
      <c r="I1075" s="3">
        <v>0.20833333333333334</v>
      </c>
      <c r="J1075" s="8" t="s">
        <v>448</v>
      </c>
      <c r="K1075" s="8" t="s">
        <v>443</v>
      </c>
      <c r="L1075" s="8" t="str">
        <f>IF(Table1346[[#This Row],[Home Team Score]]&gt;Table1346[[#This Row],[Away Team Score]],"Win",IF(Table1346[[#This Row],[Home Team Score]]=Table1346[[#This Row],[Away Team Score]],"Tie","Lose"))</f>
        <v>Win</v>
      </c>
      <c r="M1075" t="s">
        <v>230</v>
      </c>
      <c r="N1075">
        <v>13</v>
      </c>
      <c r="O1075" s="3">
        <v>4.1666666666666664E-2</v>
      </c>
      <c r="P1075" t="s">
        <v>31</v>
      </c>
      <c r="Q1075" t="s">
        <v>243</v>
      </c>
      <c r="R1075" t="e">
        <f>IF([1]!Table13[[#This Row],[Goal_assist]]="",1,0)</f>
        <v>#REF!</v>
      </c>
    </row>
    <row r="1076" spans="1:18" x14ac:dyDescent="0.35">
      <c r="A1076" t="s">
        <v>64</v>
      </c>
      <c r="B1076" t="s">
        <v>305</v>
      </c>
      <c r="C1076" t="s">
        <v>65</v>
      </c>
      <c r="D1076">
        <v>19</v>
      </c>
      <c r="E1076" s="2">
        <v>43114</v>
      </c>
      <c r="F1076" t="s">
        <v>24</v>
      </c>
      <c r="G1076" t="s">
        <v>66</v>
      </c>
      <c r="H1076" t="s">
        <v>217</v>
      </c>
      <c r="I1076" s="3">
        <v>8.611111111111111E-2</v>
      </c>
      <c r="J1076" s="8" t="s">
        <v>445</v>
      </c>
      <c r="K1076" s="8" t="s">
        <v>446</v>
      </c>
      <c r="L1076" s="8" t="str">
        <f>IF(Table1346[[#This Row],[Home Team Score]]&gt;Table1346[[#This Row],[Away Team Score]],"Win",IF(Table1346[[#This Row],[Home Team Score]]=Table1346[[#This Row],[Away Team Score]],"Tie","Lose"))</f>
        <v>Lose</v>
      </c>
      <c r="M1076" t="s">
        <v>311</v>
      </c>
      <c r="N1076">
        <v>85</v>
      </c>
      <c r="O1076" s="3">
        <v>8.611111111111111E-2</v>
      </c>
      <c r="P1076" t="s">
        <v>39</v>
      </c>
      <c r="R1076" t="e">
        <f>IF([1]!Table13[[#This Row],[Goal_assist]]="",1,0)</f>
        <v>#REF!</v>
      </c>
    </row>
    <row r="1077" spans="1:18" x14ac:dyDescent="0.35">
      <c r="A1077" t="s">
        <v>64</v>
      </c>
      <c r="B1077" t="s">
        <v>305</v>
      </c>
      <c r="C1077" t="s">
        <v>65</v>
      </c>
      <c r="D1077">
        <v>20</v>
      </c>
      <c r="E1077" s="2">
        <v>43121</v>
      </c>
      <c r="F1077" t="s">
        <v>24</v>
      </c>
      <c r="G1077" t="s">
        <v>66</v>
      </c>
      <c r="H1077" t="s">
        <v>95</v>
      </c>
      <c r="I1077" s="3">
        <v>3.472222222222222E-3</v>
      </c>
      <c r="J1077" s="8" t="s">
        <v>443</v>
      </c>
      <c r="K1077" s="8" t="s">
        <v>448</v>
      </c>
      <c r="L1077" s="8" t="str">
        <f>IF(Table1346[[#This Row],[Home Team Score]]&gt;Table1346[[#This Row],[Away Team Score]],"Win",IF(Table1346[[#This Row],[Home Team Score]]=Table1346[[#This Row],[Away Team Score]],"Tie","Lose"))</f>
        <v>Lose</v>
      </c>
      <c r="M1077" t="s">
        <v>311</v>
      </c>
      <c r="N1077">
        <v>80</v>
      </c>
      <c r="O1077" s="3">
        <v>2.7777777777777779E-3</v>
      </c>
      <c r="P1077" t="s">
        <v>31</v>
      </c>
      <c r="Q1077" t="s">
        <v>273</v>
      </c>
      <c r="R1077" t="e">
        <f>IF([1]!Table13[[#This Row],[Goal_assist]]="",1,0)</f>
        <v>#REF!</v>
      </c>
    </row>
    <row r="1078" spans="1:18" x14ac:dyDescent="0.35">
      <c r="A1078" t="s">
        <v>14</v>
      </c>
      <c r="B1078" t="s">
        <v>305</v>
      </c>
      <c r="C1078" t="s">
        <v>65</v>
      </c>
      <c r="D1078">
        <v>20</v>
      </c>
      <c r="E1078" s="2">
        <v>43121</v>
      </c>
      <c r="F1078" t="s">
        <v>16</v>
      </c>
      <c r="G1078" t="s">
        <v>112</v>
      </c>
      <c r="H1078" t="s">
        <v>175</v>
      </c>
      <c r="I1078" s="3">
        <v>0.29236111111111113</v>
      </c>
      <c r="J1078" s="8" t="s">
        <v>449</v>
      </c>
      <c r="K1078" s="8" t="s">
        <v>444</v>
      </c>
      <c r="L1078" s="8" t="str">
        <f>IF(Table1346[[#This Row],[Home Team Score]]&gt;Table1346[[#This Row],[Away Team Score]],"Win",IF(Table1346[[#This Row],[Home Team Score]]=Table1346[[#This Row],[Away Team Score]],"Tie","Lose"))</f>
        <v>Win</v>
      </c>
      <c r="M1078" t="s">
        <v>19</v>
      </c>
      <c r="N1078">
        <v>84</v>
      </c>
      <c r="O1078" s="3">
        <v>0.25069444444444444</v>
      </c>
      <c r="P1078" t="s">
        <v>22</v>
      </c>
      <c r="Q1078" t="s">
        <v>281</v>
      </c>
      <c r="R1078" t="e">
        <f>IF([1]!Table13[[#This Row],[Goal_assist]]="",1,0)</f>
        <v>#REF!</v>
      </c>
    </row>
    <row r="1079" spans="1:18" x14ac:dyDescent="0.35">
      <c r="A1079" t="s">
        <v>14</v>
      </c>
      <c r="B1079" t="s">
        <v>305</v>
      </c>
      <c r="C1079" t="s">
        <v>65</v>
      </c>
      <c r="D1079">
        <v>20</v>
      </c>
      <c r="E1079" s="2">
        <v>43121</v>
      </c>
      <c r="F1079" t="s">
        <v>16</v>
      </c>
      <c r="G1079" t="s">
        <v>112</v>
      </c>
      <c r="H1079" t="s">
        <v>175</v>
      </c>
      <c r="I1079" s="3">
        <v>0.29236111111111113</v>
      </c>
      <c r="J1079" s="8" t="s">
        <v>449</v>
      </c>
      <c r="K1079" s="8" t="s">
        <v>444</v>
      </c>
      <c r="L1079" s="8" t="str">
        <f>IF(Table1346[[#This Row],[Home Team Score]]&gt;Table1346[[#This Row],[Away Team Score]],"Win",IF(Table1346[[#This Row],[Home Team Score]]=Table1346[[#This Row],[Away Team Score]],"Tie","Lose"))</f>
        <v>Win</v>
      </c>
      <c r="M1079" t="s">
        <v>19</v>
      </c>
      <c r="N1079">
        <v>78</v>
      </c>
      <c r="O1079" s="3">
        <v>0.20902777777777778</v>
      </c>
      <c r="P1079" t="s">
        <v>31</v>
      </c>
      <c r="Q1079" t="s">
        <v>304</v>
      </c>
      <c r="R1079" t="e">
        <f>IF([1]!Table13[[#This Row],[Goal_assist]]="",1,0)</f>
        <v>#REF!</v>
      </c>
    </row>
    <row r="1080" spans="1:18" x14ac:dyDescent="0.35">
      <c r="A1080" t="s">
        <v>64</v>
      </c>
      <c r="B1080" t="s">
        <v>305</v>
      </c>
      <c r="C1080" t="s">
        <v>65</v>
      </c>
      <c r="D1080">
        <v>20</v>
      </c>
      <c r="E1080" s="2">
        <v>43121</v>
      </c>
      <c r="F1080" t="s">
        <v>24</v>
      </c>
      <c r="G1080" t="s">
        <v>66</v>
      </c>
      <c r="H1080" t="s">
        <v>95</v>
      </c>
      <c r="I1080" s="3">
        <v>3.472222222222222E-3</v>
      </c>
      <c r="J1080" s="8" t="s">
        <v>443</v>
      </c>
      <c r="K1080" s="8" t="s">
        <v>448</v>
      </c>
      <c r="L1080" s="8" t="str">
        <f>IF(Table1346[[#This Row],[Home Team Score]]&gt;Table1346[[#This Row],[Away Team Score]],"Win",IF(Table1346[[#This Row],[Home Team Score]]=Table1346[[#This Row],[Away Team Score]],"Tie","Lose"))</f>
        <v>Lose</v>
      </c>
      <c r="M1080" t="s">
        <v>311</v>
      </c>
      <c r="N1080">
        <v>64</v>
      </c>
      <c r="O1080" s="3">
        <v>1.3888888888888889E-3</v>
      </c>
      <c r="P1080" t="s">
        <v>31</v>
      </c>
      <c r="Q1080" t="s">
        <v>222</v>
      </c>
      <c r="R1080" t="e">
        <f>IF([1]!Table13[[#This Row],[Goal_assist]]="",1,0)</f>
        <v>#REF!</v>
      </c>
    </row>
    <row r="1081" spans="1:18" x14ac:dyDescent="0.35">
      <c r="A1081" t="s">
        <v>64</v>
      </c>
      <c r="B1081" t="s">
        <v>305</v>
      </c>
      <c r="C1081" t="s">
        <v>91</v>
      </c>
      <c r="D1081" t="s">
        <v>92</v>
      </c>
      <c r="E1081" s="2">
        <v>43125</v>
      </c>
      <c r="F1081" t="s">
        <v>16</v>
      </c>
      <c r="G1081" t="s">
        <v>66</v>
      </c>
      <c r="H1081" t="s">
        <v>121</v>
      </c>
      <c r="I1081" s="3">
        <v>8.3333333333333329E-2</v>
      </c>
      <c r="J1081" s="8" t="s">
        <v>445</v>
      </c>
      <c r="K1081" s="8" t="s">
        <v>443</v>
      </c>
      <c r="L1081" s="8" t="str">
        <f>IF(Table1346[[#This Row],[Home Team Score]]&gt;Table1346[[#This Row],[Away Team Score]],"Win",IF(Table1346[[#This Row],[Home Team Score]]=Table1346[[#This Row],[Away Team Score]],"Tie","Lose"))</f>
        <v>Win</v>
      </c>
      <c r="M1081" t="s">
        <v>230</v>
      </c>
      <c r="N1081">
        <v>25</v>
      </c>
      <c r="O1081" s="3">
        <v>8.3333333333333329E-2</v>
      </c>
      <c r="P1081" t="s">
        <v>129</v>
      </c>
      <c r="R1081" t="e">
        <f>IF([1]!Table13[[#This Row],[Goal_assist]]="",1,0)</f>
        <v>#REF!</v>
      </c>
    </row>
    <row r="1082" spans="1:18" x14ac:dyDescent="0.35">
      <c r="A1082" t="s">
        <v>14</v>
      </c>
      <c r="B1082" t="s">
        <v>305</v>
      </c>
      <c r="C1082" t="s">
        <v>65</v>
      </c>
      <c r="D1082">
        <v>21</v>
      </c>
      <c r="E1082" s="2">
        <v>43127</v>
      </c>
      <c r="F1082" t="s">
        <v>24</v>
      </c>
      <c r="G1082" t="s">
        <v>112</v>
      </c>
      <c r="H1082" t="s">
        <v>148</v>
      </c>
      <c r="I1082" s="3">
        <v>4.4444444444444446E-2</v>
      </c>
      <c r="J1082" s="8" t="s">
        <v>444</v>
      </c>
      <c r="K1082" s="8" t="s">
        <v>446</v>
      </c>
      <c r="L1082" s="8" t="str">
        <f>IF(Table1346[[#This Row],[Home Team Score]]&gt;Table1346[[#This Row],[Away Team Score]],"Win",IF(Table1346[[#This Row],[Home Team Score]]=Table1346[[#This Row],[Away Team Score]],"Tie","Lose"))</f>
        <v>Lose</v>
      </c>
      <c r="M1082" t="s">
        <v>19</v>
      </c>
      <c r="N1082">
        <v>38</v>
      </c>
      <c r="O1082" s="3">
        <v>1.3888888888888889E-3</v>
      </c>
      <c r="P1082" t="s">
        <v>83</v>
      </c>
      <c r="R1082" t="e">
        <f>IF([1]!Table13[[#This Row],[Goal_assist]]="",1,0)</f>
        <v>#REF!</v>
      </c>
    </row>
    <row r="1083" spans="1:18" x14ac:dyDescent="0.35">
      <c r="A1083" t="s">
        <v>14</v>
      </c>
      <c r="B1083" t="s">
        <v>305</v>
      </c>
      <c r="C1083" t="s">
        <v>65</v>
      </c>
      <c r="D1083">
        <v>21</v>
      </c>
      <c r="E1083" s="2">
        <v>43127</v>
      </c>
      <c r="F1083" t="s">
        <v>24</v>
      </c>
      <c r="G1083" t="s">
        <v>112</v>
      </c>
      <c r="H1083" t="s">
        <v>148</v>
      </c>
      <c r="I1083" s="3">
        <v>4.4444444444444446E-2</v>
      </c>
      <c r="J1083" s="8" t="s">
        <v>444</v>
      </c>
      <c r="K1083" s="8" t="s">
        <v>446</v>
      </c>
      <c r="L1083" s="8" t="str">
        <f>IF(Table1346[[#This Row],[Home Team Score]]&gt;Table1346[[#This Row],[Away Team Score]],"Win",IF(Table1346[[#This Row],[Home Team Score]]=Table1346[[#This Row],[Away Team Score]],"Tie","Lose"))</f>
        <v>Lose</v>
      </c>
      <c r="M1083" t="s">
        <v>19</v>
      </c>
      <c r="N1083">
        <v>16</v>
      </c>
      <c r="O1083" s="3">
        <v>6.9444444444444447E-4</v>
      </c>
      <c r="P1083" t="s">
        <v>83</v>
      </c>
      <c r="R1083" t="e">
        <f>IF([1]!Table13[[#This Row],[Goal_assist]]="",1,0)</f>
        <v>#REF!</v>
      </c>
    </row>
    <row r="1084" spans="1:18" x14ac:dyDescent="0.35">
      <c r="A1084" t="s">
        <v>64</v>
      </c>
      <c r="B1084" t="s">
        <v>305</v>
      </c>
      <c r="C1084" t="s">
        <v>65</v>
      </c>
      <c r="D1084">
        <v>21</v>
      </c>
      <c r="E1084" s="2">
        <v>43128</v>
      </c>
      <c r="F1084" t="s">
        <v>16</v>
      </c>
      <c r="G1084" t="s">
        <v>66</v>
      </c>
      <c r="H1084" t="s">
        <v>88</v>
      </c>
      <c r="I1084" s="3">
        <v>8.4027777777777785E-2</v>
      </c>
      <c r="J1084" s="8" t="s">
        <v>445</v>
      </c>
      <c r="K1084" s="8" t="s">
        <v>444</v>
      </c>
      <c r="L1084" s="8" t="str">
        <f>IF(Table1346[[#This Row],[Home Team Score]]&gt;Table1346[[#This Row],[Away Team Score]],"Win",IF(Table1346[[#This Row],[Home Team Score]]=Table1346[[#This Row],[Away Team Score]],"Tie","Lose"))</f>
        <v>Win</v>
      </c>
      <c r="M1084" t="s">
        <v>230</v>
      </c>
      <c r="N1084">
        <v>84</v>
      </c>
      <c r="O1084" s="3">
        <v>8.4027777777777785E-2</v>
      </c>
      <c r="P1084" t="s">
        <v>39</v>
      </c>
      <c r="R1084" t="e">
        <f>IF([1]!Table13[[#This Row],[Goal_assist]]="",1,0)</f>
        <v>#REF!</v>
      </c>
    </row>
    <row r="1085" spans="1:18" x14ac:dyDescent="0.35">
      <c r="A1085" t="s">
        <v>14</v>
      </c>
      <c r="B1085" t="s">
        <v>305</v>
      </c>
      <c r="C1085" t="s">
        <v>65</v>
      </c>
      <c r="D1085">
        <v>23</v>
      </c>
      <c r="E1085" s="2">
        <v>43141</v>
      </c>
      <c r="F1085" t="s">
        <v>16</v>
      </c>
      <c r="G1085" t="s">
        <v>112</v>
      </c>
      <c r="H1085" t="s">
        <v>217</v>
      </c>
      <c r="I1085" s="3">
        <v>0.20972222222222223</v>
      </c>
      <c r="J1085" s="8" t="s">
        <v>448</v>
      </c>
      <c r="K1085" s="8" t="s">
        <v>445</v>
      </c>
      <c r="L1085" s="8" t="str">
        <f>IF(Table1346[[#This Row],[Home Team Score]]&gt;Table1346[[#This Row],[Away Team Score]],"Win",IF(Table1346[[#This Row],[Home Team Score]]=Table1346[[#This Row],[Away Team Score]],"Tie","Lose"))</f>
        <v>Win</v>
      </c>
      <c r="M1085" t="s">
        <v>68</v>
      </c>
      <c r="N1085">
        <v>80</v>
      </c>
      <c r="O1085" s="3">
        <v>0.20902777777777778</v>
      </c>
      <c r="P1085" t="s">
        <v>55</v>
      </c>
      <c r="R1085" t="e">
        <f>IF([1]!Table13[[#This Row],[Goal_assist]]="",1,0)</f>
        <v>#REF!</v>
      </c>
    </row>
    <row r="1086" spans="1:18" x14ac:dyDescent="0.35">
      <c r="A1086" t="s">
        <v>14</v>
      </c>
      <c r="B1086" t="s">
        <v>305</v>
      </c>
      <c r="C1086" t="s">
        <v>65</v>
      </c>
      <c r="D1086">
        <v>23</v>
      </c>
      <c r="E1086" s="2">
        <v>43141</v>
      </c>
      <c r="F1086" t="s">
        <v>16</v>
      </c>
      <c r="G1086" t="s">
        <v>112</v>
      </c>
      <c r="H1086" t="s">
        <v>217</v>
      </c>
      <c r="I1086" s="3">
        <v>0.20972222222222223</v>
      </c>
      <c r="J1086" s="8" t="s">
        <v>448</v>
      </c>
      <c r="K1086" s="8" t="s">
        <v>445</v>
      </c>
      <c r="L1086" s="8" t="str">
        <f>IF(Table1346[[#This Row],[Home Team Score]]&gt;Table1346[[#This Row],[Away Team Score]],"Win",IF(Table1346[[#This Row],[Home Team Score]]=Table1346[[#This Row],[Away Team Score]],"Tie","Lose"))</f>
        <v>Win</v>
      </c>
      <c r="M1086" t="s">
        <v>68</v>
      </c>
      <c r="N1086">
        <v>37</v>
      </c>
      <c r="O1086" s="3">
        <v>0.16666666666666666</v>
      </c>
      <c r="P1086" t="s">
        <v>22</v>
      </c>
      <c r="Q1086" t="s">
        <v>250</v>
      </c>
      <c r="R1086" t="e">
        <f>IF([1]!Table13[[#This Row],[Goal_assist]]="",1,0)</f>
        <v>#REF!</v>
      </c>
    </row>
    <row r="1087" spans="1:18" x14ac:dyDescent="0.35">
      <c r="A1087" t="s">
        <v>14</v>
      </c>
      <c r="B1087" t="s">
        <v>305</v>
      </c>
      <c r="C1087" t="s">
        <v>65</v>
      </c>
      <c r="D1087">
        <v>23</v>
      </c>
      <c r="E1087" s="2">
        <v>43141</v>
      </c>
      <c r="F1087" t="s">
        <v>16</v>
      </c>
      <c r="G1087" t="s">
        <v>112</v>
      </c>
      <c r="H1087" t="s">
        <v>217</v>
      </c>
      <c r="I1087" s="3">
        <v>0.20972222222222223</v>
      </c>
      <c r="J1087" s="8" t="s">
        <v>448</v>
      </c>
      <c r="K1087" s="8" t="s">
        <v>445</v>
      </c>
      <c r="L1087" s="8" t="str">
        <f>IF(Table1346[[#This Row],[Home Team Score]]&gt;Table1346[[#This Row],[Away Team Score]],"Win",IF(Table1346[[#This Row],[Home Team Score]]=Table1346[[#This Row],[Away Team Score]],"Tie","Lose"))</f>
        <v>Win</v>
      </c>
      <c r="M1087" t="s">
        <v>68</v>
      </c>
      <c r="N1087">
        <v>27</v>
      </c>
      <c r="O1087" s="3">
        <v>8.3333333333333329E-2</v>
      </c>
      <c r="P1087" t="s">
        <v>26</v>
      </c>
      <c r="Q1087" t="s">
        <v>201</v>
      </c>
      <c r="R1087" t="e">
        <f>IF([1]!Table13[[#This Row],[Goal_assist]]="",1,0)</f>
        <v>#REF!</v>
      </c>
    </row>
    <row r="1088" spans="1:18" x14ac:dyDescent="0.35">
      <c r="A1088" t="s">
        <v>14</v>
      </c>
      <c r="B1088" t="s">
        <v>305</v>
      </c>
      <c r="C1088" t="s">
        <v>75</v>
      </c>
      <c r="D1088" t="s">
        <v>143</v>
      </c>
      <c r="E1088" s="2">
        <v>43145</v>
      </c>
      <c r="F1088" t="s">
        <v>16</v>
      </c>
      <c r="G1088" t="s">
        <v>112</v>
      </c>
      <c r="H1088" t="s">
        <v>252</v>
      </c>
      <c r="I1088" s="3">
        <v>0.12569444444444444</v>
      </c>
      <c r="J1088" s="8" t="s">
        <v>442</v>
      </c>
      <c r="K1088" s="8" t="s">
        <v>444</v>
      </c>
      <c r="L1088" s="8" t="str">
        <f>IF(Table1346[[#This Row],[Home Team Score]]&gt;Table1346[[#This Row],[Away Team Score]],"Win",IF(Table1346[[#This Row],[Home Team Score]]=Table1346[[#This Row],[Away Team Score]],"Tie","Lose"))</f>
        <v>Win</v>
      </c>
      <c r="M1088" t="s">
        <v>19</v>
      </c>
      <c r="N1088">
        <v>45</v>
      </c>
      <c r="O1088" s="3">
        <v>4.2361111111111113E-2</v>
      </c>
      <c r="P1088" t="s">
        <v>83</v>
      </c>
      <c r="R1088" t="e">
        <f>IF([1]!Table13[[#This Row],[Goal_assist]]="",1,0)</f>
        <v>#REF!</v>
      </c>
    </row>
    <row r="1089" spans="1:18" x14ac:dyDescent="0.35">
      <c r="A1089" t="s">
        <v>14</v>
      </c>
      <c r="B1089" t="s">
        <v>305</v>
      </c>
      <c r="C1089" t="s">
        <v>75</v>
      </c>
      <c r="D1089" t="s">
        <v>143</v>
      </c>
      <c r="E1089" s="2">
        <v>43145</v>
      </c>
      <c r="F1089" t="s">
        <v>16</v>
      </c>
      <c r="G1089" t="s">
        <v>112</v>
      </c>
      <c r="H1089" t="s">
        <v>252</v>
      </c>
      <c r="I1089" s="3">
        <v>0.12569444444444444</v>
      </c>
      <c r="J1089" s="8" t="s">
        <v>442</v>
      </c>
      <c r="K1089" s="8" t="s">
        <v>444</v>
      </c>
      <c r="L1089" s="8" t="str">
        <f>IF(Table1346[[#This Row],[Home Team Score]]&gt;Table1346[[#This Row],[Away Team Score]],"Win",IF(Table1346[[#This Row],[Home Team Score]]=Table1346[[#This Row],[Away Team Score]],"Tie","Lose"))</f>
        <v>Win</v>
      </c>
      <c r="M1089" t="s">
        <v>19</v>
      </c>
      <c r="N1089">
        <v>83</v>
      </c>
      <c r="O1089" s="3">
        <v>8.4027777777777785E-2</v>
      </c>
      <c r="P1089" t="s">
        <v>55</v>
      </c>
      <c r="R1089" t="e">
        <f>IF([1]!Table13[[#This Row],[Goal_assist]]="",1,0)</f>
        <v>#REF!</v>
      </c>
    </row>
    <row r="1090" spans="1:18" x14ac:dyDescent="0.35">
      <c r="A1090" t="s">
        <v>14</v>
      </c>
      <c r="B1090" t="s">
        <v>305</v>
      </c>
      <c r="C1090" t="s">
        <v>65</v>
      </c>
      <c r="D1090">
        <v>24</v>
      </c>
      <c r="E1090" s="2">
        <v>43149</v>
      </c>
      <c r="F1090" t="s">
        <v>24</v>
      </c>
      <c r="G1090" t="s">
        <v>112</v>
      </c>
      <c r="H1090" t="s">
        <v>95</v>
      </c>
      <c r="I1090" s="3">
        <v>0.12847222222222221</v>
      </c>
      <c r="J1090" s="8" t="s">
        <v>442</v>
      </c>
      <c r="K1090" s="8" t="s">
        <v>448</v>
      </c>
      <c r="L1090" s="8" t="str">
        <f>IF(Table1346[[#This Row],[Home Team Score]]&gt;Table1346[[#This Row],[Away Team Score]],"Win",IF(Table1346[[#This Row],[Home Team Score]]=Table1346[[#This Row],[Away Team Score]],"Tie","Lose"))</f>
        <v>Lose</v>
      </c>
      <c r="M1090" t="s">
        <v>68</v>
      </c>
      <c r="N1090">
        <v>65</v>
      </c>
      <c r="O1090" s="3">
        <v>8.611111111111111E-2</v>
      </c>
      <c r="P1090" t="s">
        <v>26</v>
      </c>
      <c r="Q1090" t="s">
        <v>304</v>
      </c>
      <c r="R1090" t="e">
        <f>IF([1]!Table13[[#This Row],[Goal_assist]]="",1,0)</f>
        <v>#REF!</v>
      </c>
    </row>
    <row r="1091" spans="1:18" x14ac:dyDescent="0.35">
      <c r="A1091" t="s">
        <v>64</v>
      </c>
      <c r="B1091" t="s">
        <v>305</v>
      </c>
      <c r="C1091" t="s">
        <v>75</v>
      </c>
      <c r="D1091" t="s">
        <v>143</v>
      </c>
      <c r="E1091" s="2">
        <v>43151</v>
      </c>
      <c r="F1091" t="s">
        <v>24</v>
      </c>
      <c r="G1091" t="s">
        <v>66</v>
      </c>
      <c r="H1091" t="s">
        <v>149</v>
      </c>
      <c r="I1091" s="3">
        <v>4.2361111111111113E-2</v>
      </c>
      <c r="J1091" s="8" t="s">
        <v>444</v>
      </c>
      <c r="K1091" s="8" t="s">
        <v>444</v>
      </c>
      <c r="L1091" s="8" t="str">
        <f>IF(Table1346[[#This Row],[Home Team Score]]&gt;Table1346[[#This Row],[Away Team Score]],"Win",IF(Table1346[[#This Row],[Home Team Score]]=Table1346[[#This Row],[Away Team Score]],"Tie","Lose"))</f>
        <v>Tie</v>
      </c>
      <c r="M1091" t="s">
        <v>230</v>
      </c>
      <c r="N1091">
        <v>75</v>
      </c>
      <c r="O1091" s="3">
        <v>4.2361111111111113E-2</v>
      </c>
      <c r="P1091" t="s">
        <v>31</v>
      </c>
      <c r="Q1091" t="s">
        <v>99</v>
      </c>
      <c r="R1091" t="e">
        <f>IF([1]!Table13[[#This Row],[Goal_assist]]="",1,0)</f>
        <v>#REF!</v>
      </c>
    </row>
    <row r="1092" spans="1:18" x14ac:dyDescent="0.35">
      <c r="A1092" t="s">
        <v>14</v>
      </c>
      <c r="B1092" t="s">
        <v>305</v>
      </c>
      <c r="C1092" t="s">
        <v>65</v>
      </c>
      <c r="D1092">
        <v>25</v>
      </c>
      <c r="E1092" s="2">
        <v>43155</v>
      </c>
      <c r="F1092" t="s">
        <v>16</v>
      </c>
      <c r="G1092" t="s">
        <v>112</v>
      </c>
      <c r="H1092" t="s">
        <v>88</v>
      </c>
      <c r="I1092" s="3">
        <v>0.16666666666666666</v>
      </c>
      <c r="J1092" s="8" t="s">
        <v>446</v>
      </c>
      <c r="K1092" s="8" t="s">
        <v>443</v>
      </c>
      <c r="L1092" s="8" t="str">
        <f>IF(Table1346[[#This Row],[Home Team Score]]&gt;Table1346[[#This Row],[Away Team Score]],"Win",IF(Table1346[[#This Row],[Home Team Score]]=Table1346[[#This Row],[Away Team Score]],"Tie","Lose"))</f>
        <v>Win</v>
      </c>
      <c r="M1092" t="s">
        <v>251</v>
      </c>
      <c r="N1092">
        <v>44</v>
      </c>
      <c r="O1092" s="3">
        <v>4.1666666666666664E-2</v>
      </c>
      <c r="P1092" t="s">
        <v>31</v>
      </c>
      <c r="Q1092" t="s">
        <v>183</v>
      </c>
      <c r="R1092" t="e">
        <f>IF([1]!Table13[[#This Row],[Goal_assist]]="",1,0)</f>
        <v>#REF!</v>
      </c>
    </row>
    <row r="1093" spans="1:18" x14ac:dyDescent="0.35">
      <c r="A1093" t="s">
        <v>14</v>
      </c>
      <c r="B1093" t="s">
        <v>305</v>
      </c>
      <c r="C1093" t="s">
        <v>65</v>
      </c>
      <c r="D1093">
        <v>25</v>
      </c>
      <c r="E1093" s="2">
        <v>43155</v>
      </c>
      <c r="F1093" t="s">
        <v>16</v>
      </c>
      <c r="G1093" t="s">
        <v>112</v>
      </c>
      <c r="H1093" t="s">
        <v>88</v>
      </c>
      <c r="I1093" s="3">
        <v>0.16666666666666666</v>
      </c>
      <c r="J1093" s="8" t="s">
        <v>446</v>
      </c>
      <c r="K1093" s="8" t="s">
        <v>443</v>
      </c>
      <c r="L1093" s="8" t="str">
        <f>IF(Table1346[[#This Row],[Home Team Score]]&gt;Table1346[[#This Row],[Away Team Score]],"Win",IF(Table1346[[#This Row],[Home Team Score]]=Table1346[[#This Row],[Away Team Score]],"Tie","Lose"))</f>
        <v>Win</v>
      </c>
      <c r="M1093" t="s">
        <v>251</v>
      </c>
      <c r="N1093">
        <v>61</v>
      </c>
      <c r="O1093" s="3">
        <v>0.125</v>
      </c>
      <c r="P1093" t="s">
        <v>26</v>
      </c>
      <c r="Q1093" t="s">
        <v>281</v>
      </c>
      <c r="R1093" t="e">
        <f>IF([1]!Table13[[#This Row],[Goal_assist]]="",1,0)</f>
        <v>#REF!</v>
      </c>
    </row>
    <row r="1094" spans="1:18" x14ac:dyDescent="0.35">
      <c r="A1094" t="s">
        <v>64</v>
      </c>
      <c r="B1094" t="s">
        <v>305</v>
      </c>
      <c r="C1094" t="s">
        <v>65</v>
      </c>
      <c r="D1094">
        <v>25</v>
      </c>
      <c r="E1094" s="2">
        <v>43155</v>
      </c>
      <c r="F1094" t="s">
        <v>16</v>
      </c>
      <c r="G1094" t="s">
        <v>66</v>
      </c>
      <c r="H1094" t="s">
        <v>315</v>
      </c>
      <c r="I1094" s="3">
        <v>0.25069444444444444</v>
      </c>
      <c r="J1094" s="8" t="s">
        <v>450</v>
      </c>
      <c r="K1094" s="8" t="s">
        <v>444</v>
      </c>
      <c r="L1094" s="8" t="str">
        <f>IF(Table1346[[#This Row],[Home Team Score]]&gt;Table1346[[#This Row],[Away Team Score]],"Win",IF(Table1346[[#This Row],[Home Team Score]]=Table1346[[#This Row],[Away Team Score]],"Tie","Lose"))</f>
        <v>Win</v>
      </c>
      <c r="M1094" t="s">
        <v>311</v>
      </c>
      <c r="N1094">
        <v>36</v>
      </c>
      <c r="O1094" s="3">
        <v>0.12569444444444444</v>
      </c>
      <c r="P1094" t="s">
        <v>39</v>
      </c>
      <c r="R1094" t="e">
        <f>IF([1]!Table13[[#This Row],[Goal_assist]]="",1,0)</f>
        <v>#REF!</v>
      </c>
    </row>
    <row r="1095" spans="1:18" x14ac:dyDescent="0.35">
      <c r="A1095" t="s">
        <v>64</v>
      </c>
      <c r="B1095" t="s">
        <v>305</v>
      </c>
      <c r="C1095" t="s">
        <v>65</v>
      </c>
      <c r="D1095">
        <v>25</v>
      </c>
      <c r="E1095" s="2">
        <v>43155</v>
      </c>
      <c r="F1095" t="s">
        <v>16</v>
      </c>
      <c r="G1095" t="s">
        <v>66</v>
      </c>
      <c r="H1095" t="s">
        <v>315</v>
      </c>
      <c r="I1095" s="3">
        <v>0.25069444444444444</v>
      </c>
      <c r="J1095" s="8" t="s">
        <v>450</v>
      </c>
      <c r="K1095" s="8" t="s">
        <v>444</v>
      </c>
      <c r="L1095" s="8" t="str">
        <f>IF(Table1346[[#This Row],[Home Team Score]]&gt;Table1346[[#This Row],[Away Team Score]],"Win",IF(Table1346[[#This Row],[Home Team Score]]=Table1346[[#This Row],[Away Team Score]],"Tie","Lose"))</f>
        <v>Win</v>
      </c>
      <c r="M1095" t="s">
        <v>311</v>
      </c>
      <c r="N1095">
        <v>30</v>
      </c>
      <c r="O1095" s="3">
        <v>8.4027777777777785E-2</v>
      </c>
      <c r="P1095" t="s">
        <v>31</v>
      </c>
      <c r="Q1095" t="s">
        <v>273</v>
      </c>
      <c r="R1095" t="e">
        <f>IF([1]!Table13[[#This Row],[Goal_assist]]="",1,0)</f>
        <v>#REF!</v>
      </c>
    </row>
    <row r="1096" spans="1:18" x14ac:dyDescent="0.35">
      <c r="A1096" t="s">
        <v>64</v>
      </c>
      <c r="B1096" t="s">
        <v>305</v>
      </c>
      <c r="C1096" t="s">
        <v>65</v>
      </c>
      <c r="D1096">
        <v>26</v>
      </c>
      <c r="E1096" s="2">
        <v>43160</v>
      </c>
      <c r="F1096" t="s">
        <v>24</v>
      </c>
      <c r="G1096" t="s">
        <v>66</v>
      </c>
      <c r="H1096" t="s">
        <v>284</v>
      </c>
      <c r="I1096" s="3">
        <v>4.2361111111111113E-2</v>
      </c>
      <c r="J1096" s="8" t="s">
        <v>444</v>
      </c>
      <c r="K1096" s="8" t="s">
        <v>444</v>
      </c>
      <c r="L1096" s="8" t="str">
        <f>IF(Table1346[[#This Row],[Home Team Score]]&gt;Table1346[[#This Row],[Away Team Score]],"Win",IF(Table1346[[#This Row],[Home Team Score]]=Table1346[[#This Row],[Away Team Score]],"Tie","Lose"))</f>
        <v>Tie</v>
      </c>
      <c r="M1096" t="s">
        <v>230</v>
      </c>
      <c r="N1096">
        <v>21</v>
      </c>
      <c r="O1096" s="3">
        <v>6.9444444444444447E-4</v>
      </c>
      <c r="P1096" t="s">
        <v>39</v>
      </c>
      <c r="R1096" t="e">
        <f>IF([1]!Table13[[#This Row],[Goal_assist]]="",1,0)</f>
        <v>#REF!</v>
      </c>
    </row>
    <row r="1097" spans="1:18" x14ac:dyDescent="0.35">
      <c r="A1097" t="s">
        <v>14</v>
      </c>
      <c r="B1097" t="s">
        <v>305</v>
      </c>
      <c r="C1097" t="s">
        <v>65</v>
      </c>
      <c r="D1097">
        <v>27</v>
      </c>
      <c r="E1097" s="2">
        <v>43162</v>
      </c>
      <c r="F1097" t="s">
        <v>16</v>
      </c>
      <c r="G1097" t="s">
        <v>112</v>
      </c>
      <c r="H1097" t="s">
        <v>117</v>
      </c>
      <c r="I1097" s="3">
        <v>0.12569444444444444</v>
      </c>
      <c r="J1097" s="8" t="s">
        <v>442</v>
      </c>
      <c r="K1097" s="8" t="s">
        <v>444</v>
      </c>
      <c r="L1097" s="8" t="str">
        <f>IF(Table1346[[#This Row],[Home Team Score]]&gt;Table1346[[#This Row],[Away Team Score]],"Win",IF(Table1346[[#This Row],[Home Team Score]]=Table1346[[#This Row],[Away Team Score]],"Tie","Lose"))</f>
        <v>Win</v>
      </c>
      <c r="M1097" t="s">
        <v>68</v>
      </c>
      <c r="N1097" t="s">
        <v>58</v>
      </c>
      <c r="O1097" s="3">
        <v>8.3333333333333329E-2</v>
      </c>
      <c r="P1097" t="s">
        <v>31</v>
      </c>
      <c r="Q1097" t="s">
        <v>183</v>
      </c>
      <c r="R1097" t="e">
        <f>IF([1]!Table13[[#This Row],[Goal_assist]]="",1,0)</f>
        <v>#REF!</v>
      </c>
    </row>
    <row r="1098" spans="1:18" x14ac:dyDescent="0.35">
      <c r="A1098" t="s">
        <v>14</v>
      </c>
      <c r="B1098" t="s">
        <v>305</v>
      </c>
      <c r="C1098" t="s">
        <v>65</v>
      </c>
      <c r="D1098">
        <v>27</v>
      </c>
      <c r="E1098" s="2">
        <v>43162</v>
      </c>
      <c r="F1098" t="s">
        <v>16</v>
      </c>
      <c r="G1098" t="s">
        <v>112</v>
      </c>
      <c r="H1098" t="s">
        <v>117</v>
      </c>
      <c r="I1098" s="3">
        <v>0.12569444444444444</v>
      </c>
      <c r="J1098" s="8" t="s">
        <v>442</v>
      </c>
      <c r="K1098" s="8" t="s">
        <v>444</v>
      </c>
      <c r="L1098" s="8" t="str">
        <f>IF(Table1346[[#This Row],[Home Team Score]]&gt;Table1346[[#This Row],[Away Team Score]],"Win",IF(Table1346[[#This Row],[Home Team Score]]=Table1346[[#This Row],[Away Team Score]],"Tie","Lose"))</f>
        <v>Win</v>
      </c>
      <c r="M1098" t="s">
        <v>68</v>
      </c>
      <c r="N1098">
        <v>78</v>
      </c>
      <c r="O1098" s="3">
        <v>0.12569444444444444</v>
      </c>
      <c r="P1098" t="s">
        <v>22</v>
      </c>
      <c r="Q1098" t="s">
        <v>201</v>
      </c>
      <c r="R1098" t="e">
        <f>IF([1]!Table13[[#This Row],[Goal_assist]]="",1,0)</f>
        <v>#REF!</v>
      </c>
    </row>
    <row r="1099" spans="1:18" x14ac:dyDescent="0.35">
      <c r="A1099" t="s">
        <v>64</v>
      </c>
      <c r="B1099" t="s">
        <v>305</v>
      </c>
      <c r="C1099" t="s">
        <v>65</v>
      </c>
      <c r="D1099">
        <v>27</v>
      </c>
      <c r="E1099" s="2">
        <v>43163</v>
      </c>
      <c r="F1099" t="s">
        <v>16</v>
      </c>
      <c r="G1099" t="s">
        <v>66</v>
      </c>
      <c r="H1099" t="s">
        <v>119</v>
      </c>
      <c r="I1099" s="3">
        <v>4.1666666666666664E-2</v>
      </c>
      <c r="J1099" s="8" t="s">
        <v>444</v>
      </c>
      <c r="K1099" s="8" t="s">
        <v>443</v>
      </c>
      <c r="L1099" s="8" t="str">
        <f>IF(Table1346[[#This Row],[Home Team Score]]&gt;Table1346[[#This Row],[Away Team Score]],"Win",IF(Table1346[[#This Row],[Home Team Score]]=Table1346[[#This Row],[Away Team Score]],"Tie","Lose"))</f>
        <v>Win</v>
      </c>
      <c r="M1099" t="s">
        <v>230</v>
      </c>
      <c r="N1099">
        <v>26</v>
      </c>
      <c r="O1099" s="3">
        <v>4.1666666666666664E-2</v>
      </c>
      <c r="P1099" t="s">
        <v>39</v>
      </c>
      <c r="R1099" t="e">
        <f>IF([1]!Table13[[#This Row],[Goal_assist]]="",1,0)</f>
        <v>#REF!</v>
      </c>
    </row>
    <row r="1100" spans="1:18" x14ac:dyDescent="0.35">
      <c r="A1100" t="s">
        <v>14</v>
      </c>
      <c r="B1100" t="s">
        <v>305</v>
      </c>
      <c r="C1100" t="s">
        <v>75</v>
      </c>
      <c r="D1100" t="s">
        <v>143</v>
      </c>
      <c r="E1100" s="2">
        <v>43165</v>
      </c>
      <c r="F1100" t="s">
        <v>24</v>
      </c>
      <c r="G1100" t="s">
        <v>112</v>
      </c>
      <c r="H1100" t="s">
        <v>252</v>
      </c>
      <c r="I1100" s="3">
        <v>4.3055555555555555E-2</v>
      </c>
      <c r="J1100" s="8" t="s">
        <v>444</v>
      </c>
      <c r="K1100" s="8" t="s">
        <v>445</v>
      </c>
      <c r="L1100" s="8" t="str">
        <f>IF(Table1346[[#This Row],[Home Team Score]]&gt;Table1346[[#This Row],[Away Team Score]],"Win",IF(Table1346[[#This Row],[Home Team Score]]=Table1346[[#This Row],[Away Team Score]],"Tie","Lose"))</f>
        <v>Lose</v>
      </c>
      <c r="M1100" t="s">
        <v>68</v>
      </c>
      <c r="N1100">
        <v>51</v>
      </c>
      <c r="O1100" s="3">
        <v>6.9444444444444447E-4</v>
      </c>
      <c r="P1100" t="s">
        <v>22</v>
      </c>
      <c r="Q1100" t="s">
        <v>281</v>
      </c>
      <c r="R1100" t="e">
        <f>IF([1]!Table13[[#This Row],[Goal_assist]]="",1,0)</f>
        <v>#REF!</v>
      </c>
    </row>
    <row r="1101" spans="1:18" x14ac:dyDescent="0.35">
      <c r="A1101" t="s">
        <v>14</v>
      </c>
      <c r="B1101" t="s">
        <v>305</v>
      </c>
      <c r="C1101" t="s">
        <v>65</v>
      </c>
      <c r="D1101">
        <v>28</v>
      </c>
      <c r="E1101" s="2">
        <v>43169</v>
      </c>
      <c r="F1101" t="s">
        <v>24</v>
      </c>
      <c r="G1101" t="s">
        <v>112</v>
      </c>
      <c r="H1101" t="s">
        <v>270</v>
      </c>
      <c r="I1101" s="3">
        <v>4.3055555555555555E-2</v>
      </c>
      <c r="J1101" s="8" t="s">
        <v>444</v>
      </c>
      <c r="K1101" s="8" t="s">
        <v>445</v>
      </c>
      <c r="L1101" s="8" t="str">
        <f>IF(Table1346[[#This Row],[Home Team Score]]&gt;Table1346[[#This Row],[Away Team Score]],"Win",IF(Table1346[[#This Row],[Home Team Score]]=Table1346[[#This Row],[Away Team Score]],"Tie","Lose"))</f>
        <v>Lose</v>
      </c>
      <c r="M1101" t="s">
        <v>68</v>
      </c>
      <c r="N1101">
        <v>33</v>
      </c>
      <c r="O1101" s="3">
        <v>6.9444444444444447E-4</v>
      </c>
      <c r="P1101" t="s">
        <v>26</v>
      </c>
      <c r="Q1101" t="s">
        <v>250</v>
      </c>
      <c r="R1101" t="e">
        <f>IF([1]!Table13[[#This Row],[Goal_assist]]="",1,0)</f>
        <v>#REF!</v>
      </c>
    </row>
    <row r="1102" spans="1:18" x14ac:dyDescent="0.35">
      <c r="A1102" t="s">
        <v>14</v>
      </c>
      <c r="B1102" t="s">
        <v>305</v>
      </c>
      <c r="C1102" t="s">
        <v>65</v>
      </c>
      <c r="D1102">
        <v>28</v>
      </c>
      <c r="E1102" s="2">
        <v>43169</v>
      </c>
      <c r="F1102" t="s">
        <v>24</v>
      </c>
      <c r="G1102" t="s">
        <v>112</v>
      </c>
      <c r="H1102" t="s">
        <v>270</v>
      </c>
      <c r="I1102" s="3">
        <v>4.3055555555555555E-2</v>
      </c>
      <c r="J1102" s="8" t="s">
        <v>444</v>
      </c>
      <c r="K1102" s="8" t="s">
        <v>445</v>
      </c>
      <c r="L1102" s="8" t="str">
        <f>IF(Table1346[[#This Row],[Home Team Score]]&gt;Table1346[[#This Row],[Away Team Score]],"Win",IF(Table1346[[#This Row],[Home Team Score]]=Table1346[[#This Row],[Away Team Score]],"Tie","Lose"))</f>
        <v>Lose</v>
      </c>
      <c r="M1102" t="s">
        <v>68</v>
      </c>
      <c r="N1102">
        <v>84</v>
      </c>
      <c r="O1102" s="3">
        <v>4.3055555555555555E-2</v>
      </c>
      <c r="P1102" t="s">
        <v>22</v>
      </c>
      <c r="Q1102" t="s">
        <v>262</v>
      </c>
      <c r="R1102" t="e">
        <f>IF([1]!Table13[[#This Row],[Goal_assist]]="",1,0)</f>
        <v>#REF!</v>
      </c>
    </row>
    <row r="1103" spans="1:18" x14ac:dyDescent="0.35">
      <c r="A1103" t="s">
        <v>64</v>
      </c>
      <c r="B1103" t="s">
        <v>305</v>
      </c>
      <c r="C1103" t="s">
        <v>75</v>
      </c>
      <c r="D1103" t="s">
        <v>143</v>
      </c>
      <c r="E1103" s="2">
        <v>43173</v>
      </c>
      <c r="F1103" t="s">
        <v>16</v>
      </c>
      <c r="G1103" t="s">
        <v>66</v>
      </c>
      <c r="H1103" t="s">
        <v>149</v>
      </c>
      <c r="I1103" s="3">
        <v>0.125</v>
      </c>
      <c r="J1103" s="8" t="s">
        <v>442</v>
      </c>
      <c r="K1103" s="8" t="s">
        <v>443</v>
      </c>
      <c r="L1103" s="8" t="str">
        <f>IF(Table1346[[#This Row],[Home Team Score]]&gt;Table1346[[#This Row],[Away Team Score]],"Win",IF(Table1346[[#This Row],[Home Team Score]]=Table1346[[#This Row],[Away Team Score]],"Tie","Lose"))</f>
        <v>Win</v>
      </c>
      <c r="M1103" t="s">
        <v>230</v>
      </c>
      <c r="N1103">
        <v>63</v>
      </c>
      <c r="O1103" s="3">
        <v>0.125</v>
      </c>
      <c r="P1103" t="s">
        <v>31</v>
      </c>
      <c r="Q1103" t="s">
        <v>273</v>
      </c>
      <c r="R1103" t="e">
        <f>IF([1]!Table13[[#This Row],[Goal_assist]]="",1,0)</f>
        <v>#REF!</v>
      </c>
    </row>
    <row r="1104" spans="1:18" x14ac:dyDescent="0.35">
      <c r="A1104" t="s">
        <v>64</v>
      </c>
      <c r="B1104" t="s">
        <v>305</v>
      </c>
      <c r="C1104" t="s">
        <v>75</v>
      </c>
      <c r="D1104" t="s">
        <v>143</v>
      </c>
      <c r="E1104" s="2">
        <v>43173</v>
      </c>
      <c r="F1104" t="s">
        <v>16</v>
      </c>
      <c r="G1104" t="s">
        <v>66</v>
      </c>
      <c r="H1104" t="s">
        <v>149</v>
      </c>
      <c r="I1104" s="3">
        <v>0.125</v>
      </c>
      <c r="J1104" s="8" t="s">
        <v>442</v>
      </c>
      <c r="K1104" s="8" t="s">
        <v>443</v>
      </c>
      <c r="L1104" s="8" t="str">
        <f>IF(Table1346[[#This Row],[Home Team Score]]&gt;Table1346[[#This Row],[Away Team Score]],"Win",IF(Table1346[[#This Row],[Home Team Score]]=Table1346[[#This Row],[Away Team Score]],"Tie","Lose"))</f>
        <v>Win</v>
      </c>
      <c r="M1104" t="s">
        <v>230</v>
      </c>
      <c r="N1104">
        <v>3</v>
      </c>
      <c r="O1104" s="3">
        <v>4.1666666666666664E-2</v>
      </c>
      <c r="P1104" t="s">
        <v>26</v>
      </c>
      <c r="Q1104" t="s">
        <v>273</v>
      </c>
      <c r="R1104" t="e">
        <f>IF([1]!Table13[[#This Row],[Goal_assist]]="",1,0)</f>
        <v>#REF!</v>
      </c>
    </row>
    <row r="1105" spans="1:18" x14ac:dyDescent="0.35">
      <c r="A1105" t="s">
        <v>64</v>
      </c>
      <c r="B1105" t="s">
        <v>305</v>
      </c>
      <c r="C1105" t="s">
        <v>65</v>
      </c>
      <c r="D1105">
        <v>29</v>
      </c>
      <c r="E1105" s="2">
        <v>43177</v>
      </c>
      <c r="F1105" t="s">
        <v>16</v>
      </c>
      <c r="G1105" t="s">
        <v>66</v>
      </c>
      <c r="H1105" t="s">
        <v>86</v>
      </c>
      <c r="I1105" s="3">
        <v>8.3333333333333329E-2</v>
      </c>
      <c r="J1105" s="8" t="s">
        <v>445</v>
      </c>
      <c r="K1105" s="8" t="s">
        <v>443</v>
      </c>
      <c r="L1105" s="8" t="str">
        <f>IF(Table1346[[#This Row],[Home Team Score]]&gt;Table1346[[#This Row],[Away Team Score]],"Win",IF(Table1346[[#This Row],[Home Team Score]]=Table1346[[#This Row],[Away Team Score]],"Tie","Lose"))</f>
        <v>Win</v>
      </c>
      <c r="M1105" t="s">
        <v>311</v>
      </c>
      <c r="N1105">
        <v>30</v>
      </c>
      <c r="O1105" s="3">
        <v>8.3333333333333329E-2</v>
      </c>
      <c r="P1105" t="s">
        <v>31</v>
      </c>
      <c r="Q1105" t="s">
        <v>316</v>
      </c>
      <c r="R1105" t="e">
        <f>IF([1]!Table13[[#This Row],[Goal_assist]]="",1,0)</f>
        <v>#REF!</v>
      </c>
    </row>
    <row r="1106" spans="1:18" x14ac:dyDescent="0.35">
      <c r="A1106" t="s">
        <v>14</v>
      </c>
      <c r="B1106" t="s">
        <v>305</v>
      </c>
      <c r="C1106" t="s">
        <v>65</v>
      </c>
      <c r="D1106">
        <v>29</v>
      </c>
      <c r="E1106" s="2">
        <v>43177</v>
      </c>
      <c r="F1106" t="s">
        <v>16</v>
      </c>
      <c r="G1106" t="s">
        <v>112</v>
      </c>
      <c r="H1106" t="s">
        <v>315</v>
      </c>
      <c r="I1106" s="3">
        <v>0.25208333333333333</v>
      </c>
      <c r="J1106" s="8" t="s">
        <v>450</v>
      </c>
      <c r="K1106" s="8" t="s">
        <v>442</v>
      </c>
      <c r="L1106" s="8" t="str">
        <f>IF(Table1346[[#This Row],[Home Team Score]]&gt;Table1346[[#This Row],[Away Team Score]],"Win",IF(Table1346[[#This Row],[Home Team Score]]=Table1346[[#This Row],[Away Team Score]],"Tie","Lose"))</f>
        <v>Win</v>
      </c>
      <c r="M1106" t="s">
        <v>68</v>
      </c>
      <c r="N1106">
        <v>47</v>
      </c>
      <c r="O1106" s="3">
        <v>8.4027777777777785E-2</v>
      </c>
      <c r="P1106" t="s">
        <v>31</v>
      </c>
      <c r="Q1106" t="s">
        <v>183</v>
      </c>
      <c r="R1106" t="e">
        <f>IF([1]!Table13[[#This Row],[Goal_assist]]="",1,0)</f>
        <v>#REF!</v>
      </c>
    </row>
    <row r="1107" spans="1:18" x14ac:dyDescent="0.35">
      <c r="A1107" t="s">
        <v>14</v>
      </c>
      <c r="B1107" t="s">
        <v>305</v>
      </c>
      <c r="C1107" t="s">
        <v>65</v>
      </c>
      <c r="D1107">
        <v>29</v>
      </c>
      <c r="E1107" s="2">
        <v>43177</v>
      </c>
      <c r="F1107" t="s">
        <v>16</v>
      </c>
      <c r="G1107" t="s">
        <v>112</v>
      </c>
      <c r="H1107" t="s">
        <v>315</v>
      </c>
      <c r="I1107" s="3">
        <v>0.25208333333333333</v>
      </c>
      <c r="J1107" s="8" t="s">
        <v>450</v>
      </c>
      <c r="K1107" s="8" t="s">
        <v>442</v>
      </c>
      <c r="L1107" s="8" t="str">
        <f>IF(Table1346[[#This Row],[Home Team Score]]&gt;Table1346[[#This Row],[Away Team Score]],"Win",IF(Table1346[[#This Row],[Home Team Score]]=Table1346[[#This Row],[Away Team Score]],"Tie","Lose"))</f>
        <v>Win</v>
      </c>
      <c r="M1107" t="s">
        <v>68</v>
      </c>
      <c r="N1107">
        <v>64</v>
      </c>
      <c r="O1107" s="3">
        <v>0.1673611111111111</v>
      </c>
      <c r="P1107" t="s">
        <v>55</v>
      </c>
      <c r="R1107" t="e">
        <f>IF([1]!Table13[[#This Row],[Goal_assist]]="",1,0)</f>
        <v>#REF!</v>
      </c>
    </row>
    <row r="1108" spans="1:18" x14ac:dyDescent="0.35">
      <c r="A1108" t="s">
        <v>14</v>
      </c>
      <c r="B1108" t="s">
        <v>305</v>
      </c>
      <c r="C1108" t="s">
        <v>65</v>
      </c>
      <c r="D1108">
        <v>29</v>
      </c>
      <c r="E1108" s="2">
        <v>43177</v>
      </c>
      <c r="F1108" t="s">
        <v>16</v>
      </c>
      <c r="G1108" t="s">
        <v>112</v>
      </c>
      <c r="H1108" t="s">
        <v>315</v>
      </c>
      <c r="I1108" s="3">
        <v>0.25208333333333333</v>
      </c>
      <c r="J1108" s="8" t="s">
        <v>450</v>
      </c>
      <c r="K1108" s="8" t="s">
        <v>442</v>
      </c>
      <c r="L1108" s="8" t="str">
        <f>IF(Table1346[[#This Row],[Home Team Score]]&gt;Table1346[[#This Row],[Away Team Score]],"Win",IF(Table1346[[#This Row],[Home Team Score]]=Table1346[[#This Row],[Away Team Score]],"Tie","Lose"))</f>
        <v>Win</v>
      </c>
      <c r="M1108" t="s">
        <v>68</v>
      </c>
      <c r="N1108" t="s">
        <v>69</v>
      </c>
      <c r="O1108" s="3">
        <v>0.25208333333333333</v>
      </c>
      <c r="P1108" t="s">
        <v>26</v>
      </c>
      <c r="Q1108" t="s">
        <v>277</v>
      </c>
      <c r="R1108" t="e">
        <f>IF([1]!Table13[[#This Row],[Goal_assist]]="",1,0)</f>
        <v>#REF!</v>
      </c>
    </row>
    <row r="1109" spans="1:18" x14ac:dyDescent="0.35">
      <c r="A1109" t="s">
        <v>14</v>
      </c>
      <c r="B1109" t="s">
        <v>305</v>
      </c>
      <c r="C1109" t="s">
        <v>65</v>
      </c>
      <c r="D1109">
        <v>29</v>
      </c>
      <c r="E1109" s="2">
        <v>43177</v>
      </c>
      <c r="F1109" t="s">
        <v>16</v>
      </c>
      <c r="G1109" t="s">
        <v>112</v>
      </c>
      <c r="H1109" t="s">
        <v>315</v>
      </c>
      <c r="I1109" s="3">
        <v>0.25208333333333333</v>
      </c>
      <c r="J1109" s="8" t="s">
        <v>450</v>
      </c>
      <c r="K1109" s="8" t="s">
        <v>442</v>
      </c>
      <c r="L1109" s="8" t="str">
        <f>IF(Table1346[[#This Row],[Home Team Score]]&gt;Table1346[[#This Row],[Away Team Score]],"Win",IF(Table1346[[#This Row],[Home Team Score]]=Table1346[[#This Row],[Away Team Score]],"Tie","Lose"))</f>
        <v>Win</v>
      </c>
      <c r="M1109" t="s">
        <v>68</v>
      </c>
      <c r="N1109">
        <v>11</v>
      </c>
      <c r="O1109" s="3">
        <v>4.1666666666666664E-2</v>
      </c>
      <c r="P1109" t="s">
        <v>31</v>
      </c>
      <c r="Q1109" t="s">
        <v>277</v>
      </c>
      <c r="R1109" t="e">
        <f>IF([1]!Table13[[#This Row],[Goal_assist]]="",1,0)</f>
        <v>#REF!</v>
      </c>
    </row>
    <row r="1110" spans="1:18" x14ac:dyDescent="0.35">
      <c r="A1110" t="s">
        <v>64</v>
      </c>
      <c r="B1110" t="s">
        <v>305</v>
      </c>
      <c r="C1110" t="s">
        <v>65</v>
      </c>
      <c r="D1110">
        <v>30</v>
      </c>
      <c r="E1110" s="2">
        <v>43190</v>
      </c>
      <c r="F1110" t="s">
        <v>24</v>
      </c>
      <c r="G1110" t="s">
        <v>66</v>
      </c>
      <c r="H1110" t="s">
        <v>105</v>
      </c>
      <c r="I1110" s="3">
        <v>8.4722222222222227E-2</v>
      </c>
      <c r="J1110" s="8" t="s">
        <v>445</v>
      </c>
      <c r="K1110" s="8" t="s">
        <v>445</v>
      </c>
      <c r="L1110" s="8" t="str">
        <f>IF(Table1346[[#This Row],[Home Team Score]]&gt;Table1346[[#This Row],[Away Team Score]],"Win",IF(Table1346[[#This Row],[Home Team Score]]=Table1346[[#This Row],[Away Team Score]],"Tie","Lose"))</f>
        <v>Tie</v>
      </c>
      <c r="M1110" t="s">
        <v>38</v>
      </c>
      <c r="N1110">
        <v>89</v>
      </c>
      <c r="O1110" s="3">
        <v>8.4722222222222227E-2</v>
      </c>
      <c r="P1110" t="s">
        <v>31</v>
      </c>
      <c r="Q1110" t="s">
        <v>317</v>
      </c>
      <c r="R1110" t="e">
        <f>IF([1]!Table13[[#This Row],[Goal_assist]]="",1,0)</f>
        <v>#REF!</v>
      </c>
    </row>
    <row r="1111" spans="1:18" x14ac:dyDescent="0.35">
      <c r="A1111" t="s">
        <v>14</v>
      </c>
      <c r="B1111" t="s">
        <v>305</v>
      </c>
      <c r="C1111" t="s">
        <v>75</v>
      </c>
      <c r="D1111" t="s">
        <v>92</v>
      </c>
      <c r="E1111" s="2">
        <v>43193</v>
      </c>
      <c r="F1111" t="s">
        <v>24</v>
      </c>
      <c r="G1111" t="s">
        <v>112</v>
      </c>
      <c r="H1111" t="s">
        <v>260</v>
      </c>
      <c r="I1111" s="3">
        <v>2.0833333333333333E-3</v>
      </c>
      <c r="J1111" s="8" t="s">
        <v>443</v>
      </c>
      <c r="K1111" s="8" t="s">
        <v>442</v>
      </c>
      <c r="L1111" s="8" t="str">
        <f>IF(Table1346[[#This Row],[Home Team Score]]&gt;Table1346[[#This Row],[Away Team Score]],"Win",IF(Table1346[[#This Row],[Home Team Score]]=Table1346[[#This Row],[Away Team Score]],"Tie","Lose"))</f>
        <v>Lose</v>
      </c>
      <c r="M1111" t="s">
        <v>68</v>
      </c>
      <c r="N1111">
        <v>3</v>
      </c>
      <c r="O1111" s="3">
        <v>6.9444444444444447E-4</v>
      </c>
      <c r="P1111" t="s">
        <v>26</v>
      </c>
      <c r="Q1111" t="s">
        <v>257</v>
      </c>
      <c r="R1111" t="e">
        <f>IF([1]!Table13[[#This Row],[Goal_assist]]="",1,0)</f>
        <v>#REF!</v>
      </c>
    </row>
    <row r="1112" spans="1:18" x14ac:dyDescent="0.35">
      <c r="A1112" t="s">
        <v>14</v>
      </c>
      <c r="B1112" t="s">
        <v>305</v>
      </c>
      <c r="C1112" t="s">
        <v>75</v>
      </c>
      <c r="D1112" t="s">
        <v>92</v>
      </c>
      <c r="E1112" s="2">
        <v>43193</v>
      </c>
      <c r="F1112" t="s">
        <v>24</v>
      </c>
      <c r="G1112" t="s">
        <v>112</v>
      </c>
      <c r="H1112" t="s">
        <v>260</v>
      </c>
      <c r="I1112" s="3">
        <v>2.0833333333333333E-3</v>
      </c>
      <c r="J1112" s="8" t="s">
        <v>443</v>
      </c>
      <c r="K1112" s="8" t="s">
        <v>442</v>
      </c>
      <c r="L1112" s="8" t="str">
        <f>IF(Table1346[[#This Row],[Home Team Score]]&gt;Table1346[[#This Row],[Away Team Score]],"Win",IF(Table1346[[#This Row],[Home Team Score]]=Table1346[[#This Row],[Away Team Score]],"Tie","Lose"))</f>
        <v>Lose</v>
      </c>
      <c r="M1112" t="s">
        <v>68</v>
      </c>
      <c r="N1112">
        <v>64</v>
      </c>
      <c r="O1112" s="3">
        <v>1.3888888888888889E-3</v>
      </c>
      <c r="P1112" t="s">
        <v>26</v>
      </c>
      <c r="Q1112" t="s">
        <v>262</v>
      </c>
      <c r="R1112" t="e">
        <f>IF([1]!Table13[[#This Row],[Goal_assist]]="",1,0)</f>
        <v>#REF!</v>
      </c>
    </row>
    <row r="1113" spans="1:18" x14ac:dyDescent="0.35">
      <c r="A1113" t="s">
        <v>64</v>
      </c>
      <c r="B1113" t="s">
        <v>305</v>
      </c>
      <c r="C1113" t="s">
        <v>65</v>
      </c>
      <c r="D1113">
        <v>31</v>
      </c>
      <c r="E1113" s="2">
        <v>43197</v>
      </c>
      <c r="F1113" t="s">
        <v>16</v>
      </c>
      <c r="G1113" t="s">
        <v>66</v>
      </c>
      <c r="H1113" t="s">
        <v>294</v>
      </c>
      <c r="I1113" s="3">
        <v>0.12569444444444444</v>
      </c>
      <c r="J1113" s="8" t="s">
        <v>442</v>
      </c>
      <c r="K1113" s="8" t="s">
        <v>444</v>
      </c>
      <c r="L1113" s="8" t="str">
        <f>IF(Table1346[[#This Row],[Home Team Score]]&gt;Table1346[[#This Row],[Away Team Score]],"Win",IF(Table1346[[#This Row],[Home Team Score]]=Table1346[[#This Row],[Away Team Score]],"Tie","Lose"))</f>
        <v>Win</v>
      </c>
      <c r="M1113" t="s">
        <v>311</v>
      </c>
      <c r="N1113">
        <v>27</v>
      </c>
      <c r="O1113" s="3">
        <v>4.1666666666666664E-2</v>
      </c>
      <c r="P1113" t="s">
        <v>39</v>
      </c>
      <c r="R1113" t="e">
        <f>IF([1]!Table13[[#This Row],[Goal_assist]]="",1,0)</f>
        <v>#REF!</v>
      </c>
    </row>
    <row r="1114" spans="1:18" x14ac:dyDescent="0.35">
      <c r="A1114" t="s">
        <v>64</v>
      </c>
      <c r="B1114" t="s">
        <v>305</v>
      </c>
      <c r="C1114" t="s">
        <v>65</v>
      </c>
      <c r="D1114">
        <v>31</v>
      </c>
      <c r="E1114" s="2">
        <v>43197</v>
      </c>
      <c r="F1114" t="s">
        <v>16</v>
      </c>
      <c r="G1114" t="s">
        <v>66</v>
      </c>
      <c r="H1114" t="s">
        <v>294</v>
      </c>
      <c r="I1114" s="3">
        <v>0.12569444444444444</v>
      </c>
      <c r="J1114" s="8" t="s">
        <v>442</v>
      </c>
      <c r="K1114" s="8" t="s">
        <v>444</v>
      </c>
      <c r="L1114" s="8" t="str">
        <f>IF(Table1346[[#This Row],[Home Team Score]]&gt;Table1346[[#This Row],[Away Team Score]],"Win",IF(Table1346[[#This Row],[Home Team Score]]=Table1346[[#This Row],[Away Team Score]],"Tie","Lose"))</f>
        <v>Win</v>
      </c>
      <c r="M1114" t="s">
        <v>311</v>
      </c>
      <c r="N1114">
        <v>32</v>
      </c>
      <c r="O1114" s="3">
        <v>8.3333333333333329E-2</v>
      </c>
      <c r="P1114" t="s">
        <v>31</v>
      </c>
      <c r="Q1114" t="s">
        <v>317</v>
      </c>
      <c r="R1114" t="e">
        <f>IF([1]!Table13[[#This Row],[Goal_assist]]="",1,0)</f>
        <v>#REF!</v>
      </c>
    </row>
    <row r="1115" spans="1:18" x14ac:dyDescent="0.35">
      <c r="A1115" t="s">
        <v>64</v>
      </c>
      <c r="B1115" t="s">
        <v>305</v>
      </c>
      <c r="C1115" t="s">
        <v>65</v>
      </c>
      <c r="D1115">
        <v>31</v>
      </c>
      <c r="E1115" s="2">
        <v>43197</v>
      </c>
      <c r="F1115" t="s">
        <v>16</v>
      </c>
      <c r="G1115" t="s">
        <v>66</v>
      </c>
      <c r="H1115" t="s">
        <v>294</v>
      </c>
      <c r="I1115" s="3">
        <v>0.12569444444444444</v>
      </c>
      <c r="J1115" s="8" t="s">
        <v>442</v>
      </c>
      <c r="K1115" s="8" t="s">
        <v>444</v>
      </c>
      <c r="L1115" s="8" t="str">
        <f>IF(Table1346[[#This Row],[Home Team Score]]&gt;Table1346[[#This Row],[Away Team Score]],"Win",IF(Table1346[[#This Row],[Home Team Score]]=Table1346[[#This Row],[Away Team Score]],"Tie","Lose"))</f>
        <v>Win</v>
      </c>
      <c r="M1115" t="s">
        <v>311</v>
      </c>
      <c r="N1115">
        <v>87</v>
      </c>
      <c r="O1115" s="3">
        <v>0.12569444444444444</v>
      </c>
      <c r="P1115" t="s">
        <v>31</v>
      </c>
      <c r="Q1115" t="s">
        <v>316</v>
      </c>
      <c r="R1115" t="e">
        <f>IF([1]!Table13[[#This Row],[Goal_assist]]="",1,0)</f>
        <v>#REF!</v>
      </c>
    </row>
    <row r="1116" spans="1:18" x14ac:dyDescent="0.35">
      <c r="A1116" t="s">
        <v>14</v>
      </c>
      <c r="B1116" t="s">
        <v>305</v>
      </c>
      <c r="C1116" t="s">
        <v>65</v>
      </c>
      <c r="D1116">
        <v>31</v>
      </c>
      <c r="E1116" s="2">
        <v>43198</v>
      </c>
      <c r="F1116" t="s">
        <v>16</v>
      </c>
      <c r="G1116" t="s">
        <v>112</v>
      </c>
      <c r="H1116" t="s">
        <v>119</v>
      </c>
      <c r="I1116" s="3">
        <v>4.2361111111111113E-2</v>
      </c>
      <c r="J1116" s="8" t="s">
        <v>444</v>
      </c>
      <c r="K1116" s="8" t="s">
        <v>444</v>
      </c>
      <c r="L1116" s="8" t="str">
        <f>IF(Table1346[[#This Row],[Home Team Score]]&gt;Table1346[[#This Row],[Away Team Score]],"Win",IF(Table1346[[#This Row],[Home Team Score]]=Table1346[[#This Row],[Away Team Score]],"Tie","Lose"))</f>
        <v>Tie</v>
      </c>
      <c r="M1116" t="s">
        <v>68</v>
      </c>
      <c r="N1116">
        <v>53</v>
      </c>
      <c r="O1116" s="3">
        <v>4.1666666666666664E-2</v>
      </c>
      <c r="P1116" t="s">
        <v>26</v>
      </c>
      <c r="Q1116" t="s">
        <v>261</v>
      </c>
      <c r="R1116" t="e">
        <f>IF([1]!Table13[[#This Row],[Goal_assist]]="",1,0)</f>
        <v>#REF!</v>
      </c>
    </row>
    <row r="1117" spans="1:18" x14ac:dyDescent="0.35">
      <c r="A1117" t="s">
        <v>14</v>
      </c>
      <c r="B1117" t="s">
        <v>305</v>
      </c>
      <c r="C1117" t="s">
        <v>75</v>
      </c>
      <c r="D1117" t="s">
        <v>92</v>
      </c>
      <c r="E1117" s="2">
        <v>43201</v>
      </c>
      <c r="F1117" t="s">
        <v>16</v>
      </c>
      <c r="G1117" t="s">
        <v>112</v>
      </c>
      <c r="H1117" t="s">
        <v>260</v>
      </c>
      <c r="I1117" s="3">
        <v>4.3749999999999997E-2</v>
      </c>
      <c r="J1117" s="8" t="s">
        <v>444</v>
      </c>
      <c r="K1117" s="8" t="s">
        <v>442</v>
      </c>
      <c r="L1117" s="8" t="str">
        <f>IF(Table1346[[#This Row],[Home Team Score]]&gt;Table1346[[#This Row],[Away Team Score]],"Win",IF(Table1346[[#This Row],[Home Team Score]]=Table1346[[#This Row],[Away Team Score]],"Tie","Lose"))</f>
        <v>Lose</v>
      </c>
      <c r="M1117" t="s">
        <v>68</v>
      </c>
      <c r="N1117" t="s">
        <v>318</v>
      </c>
      <c r="O1117" s="3">
        <v>4.3749999999999997E-2</v>
      </c>
      <c r="P1117" t="s">
        <v>83</v>
      </c>
      <c r="R1117" t="e">
        <f>IF([1]!Table13[[#This Row],[Goal_assist]]="",1,0)</f>
        <v>#REF!</v>
      </c>
    </row>
    <row r="1118" spans="1:18" x14ac:dyDescent="0.35">
      <c r="A1118" t="s">
        <v>14</v>
      </c>
      <c r="B1118" t="s">
        <v>305</v>
      </c>
      <c r="C1118" t="s">
        <v>65</v>
      </c>
      <c r="D1118">
        <v>33</v>
      </c>
      <c r="E1118" s="2">
        <v>43208</v>
      </c>
      <c r="F1118" t="s">
        <v>16</v>
      </c>
      <c r="G1118" t="s">
        <v>112</v>
      </c>
      <c r="H1118" t="s">
        <v>86</v>
      </c>
      <c r="I1118" s="3">
        <v>4.2361111111111113E-2</v>
      </c>
      <c r="J1118" s="8" t="s">
        <v>444</v>
      </c>
      <c r="K1118" s="8" t="s">
        <v>444</v>
      </c>
      <c r="L1118" s="8" t="str">
        <f>IF(Table1346[[#This Row],[Home Team Score]]&gt;Table1346[[#This Row],[Away Team Score]],"Win",IF(Table1346[[#This Row],[Home Team Score]]=Table1346[[#This Row],[Away Team Score]],"Tie","Lose"))</f>
        <v>Tie</v>
      </c>
      <c r="M1118" t="s">
        <v>68</v>
      </c>
      <c r="N1118">
        <v>87</v>
      </c>
      <c r="O1118" s="3">
        <v>4.2361111111111113E-2</v>
      </c>
      <c r="P1118" t="s">
        <v>26</v>
      </c>
      <c r="Q1118" t="s">
        <v>250</v>
      </c>
      <c r="R1118" t="e">
        <f>IF([1]!Table13[[#This Row],[Goal_assist]]="",1,0)</f>
        <v>#REF!</v>
      </c>
    </row>
    <row r="1119" spans="1:18" x14ac:dyDescent="0.35">
      <c r="A1119" t="s">
        <v>64</v>
      </c>
      <c r="B1119" t="s">
        <v>305</v>
      </c>
      <c r="C1119" t="s">
        <v>91</v>
      </c>
      <c r="D1119" t="s">
        <v>46</v>
      </c>
      <c r="E1119" s="2">
        <v>43211</v>
      </c>
      <c r="F1119" t="s">
        <v>24</v>
      </c>
      <c r="G1119" t="s">
        <v>66</v>
      </c>
      <c r="H1119" t="s">
        <v>105</v>
      </c>
      <c r="I1119" s="3">
        <v>3.472222222222222E-3</v>
      </c>
      <c r="J1119" s="8" t="s">
        <v>443</v>
      </c>
      <c r="K1119" s="8" t="s">
        <v>448</v>
      </c>
      <c r="L1119" s="8" t="str">
        <f>IF(Table1346[[#This Row],[Home Team Score]]&gt;Table1346[[#This Row],[Away Team Score]],"Win",IF(Table1346[[#This Row],[Home Team Score]]=Table1346[[#This Row],[Away Team Score]],"Tie","Lose"))</f>
        <v>Lose</v>
      </c>
      <c r="M1119" t="s">
        <v>230</v>
      </c>
      <c r="N1119">
        <v>31</v>
      </c>
      <c r="O1119" s="3">
        <v>1.3888888888888889E-3</v>
      </c>
      <c r="P1119" t="s">
        <v>31</v>
      </c>
      <c r="Q1119" t="s">
        <v>243</v>
      </c>
      <c r="R1119" t="e">
        <f>IF([1]!Table13[[#This Row],[Goal_assist]]="",1,0)</f>
        <v>#REF!</v>
      </c>
    </row>
    <row r="1120" spans="1:18" x14ac:dyDescent="0.35">
      <c r="A1120" t="s">
        <v>64</v>
      </c>
      <c r="B1120" t="s">
        <v>305</v>
      </c>
      <c r="C1120" t="s">
        <v>65</v>
      </c>
      <c r="D1120">
        <v>35</v>
      </c>
      <c r="E1120" s="2">
        <v>43219</v>
      </c>
      <c r="F1120" t="s">
        <v>24</v>
      </c>
      <c r="G1120" t="s">
        <v>66</v>
      </c>
      <c r="H1120" t="s">
        <v>115</v>
      </c>
      <c r="I1120" s="3">
        <v>8.611111111111111E-2</v>
      </c>
      <c r="J1120" s="8" t="s">
        <v>445</v>
      </c>
      <c r="K1120" s="8" t="s">
        <v>446</v>
      </c>
      <c r="L1120" s="8" t="str">
        <f>IF(Table1346[[#This Row],[Home Team Score]]&gt;Table1346[[#This Row],[Away Team Score]],"Win",IF(Table1346[[#This Row],[Home Team Score]]=Table1346[[#This Row],[Away Team Score]],"Tie","Lose"))</f>
        <v>Lose</v>
      </c>
      <c r="M1120" t="s">
        <v>251</v>
      </c>
      <c r="N1120">
        <v>82</v>
      </c>
      <c r="O1120" s="3">
        <v>8.5416666666666669E-2</v>
      </c>
      <c r="P1120" t="s">
        <v>26</v>
      </c>
      <c r="Q1120" t="s">
        <v>273</v>
      </c>
      <c r="R1120" t="e">
        <f>IF([1]!Table13[[#This Row],[Goal_assist]]="",1,0)</f>
        <v>#REF!</v>
      </c>
    </row>
    <row r="1121" spans="1:18" x14ac:dyDescent="0.35">
      <c r="A1121" t="s">
        <v>64</v>
      </c>
      <c r="B1121" t="s">
        <v>305</v>
      </c>
      <c r="C1121" t="s">
        <v>65</v>
      </c>
      <c r="D1121">
        <v>35</v>
      </c>
      <c r="E1121" s="2">
        <v>43219</v>
      </c>
      <c r="F1121" t="s">
        <v>24</v>
      </c>
      <c r="G1121" t="s">
        <v>66</v>
      </c>
      <c r="H1121" t="s">
        <v>115</v>
      </c>
      <c r="I1121" s="3">
        <v>8.611111111111111E-2</v>
      </c>
      <c r="J1121" s="8" t="s">
        <v>445</v>
      </c>
      <c r="K1121" s="8" t="s">
        <v>446</v>
      </c>
      <c r="L1121" s="8" t="str">
        <f>IF(Table1346[[#This Row],[Home Team Score]]&gt;Table1346[[#This Row],[Away Team Score]],"Win",IF(Table1346[[#This Row],[Home Team Score]]=Table1346[[#This Row],[Away Team Score]],"Tie","Lose"))</f>
        <v>Lose</v>
      </c>
      <c r="M1121" t="s">
        <v>251</v>
      </c>
      <c r="N1121">
        <v>85</v>
      </c>
      <c r="O1121" s="3">
        <v>8.611111111111111E-2</v>
      </c>
      <c r="P1121" t="s">
        <v>31</v>
      </c>
      <c r="Q1121" t="s">
        <v>273</v>
      </c>
      <c r="R1121" t="e">
        <f>IF([1]!Table13[[#This Row],[Goal_assist]]="",1,0)</f>
        <v>#REF!</v>
      </c>
    </row>
    <row r="1122" spans="1:18" x14ac:dyDescent="0.35">
      <c r="A1122" t="s">
        <v>64</v>
      </c>
      <c r="B1122" t="s">
        <v>305</v>
      </c>
      <c r="C1122" t="s">
        <v>65</v>
      </c>
      <c r="D1122">
        <v>35</v>
      </c>
      <c r="E1122" s="2">
        <v>43219</v>
      </c>
      <c r="F1122" t="s">
        <v>24</v>
      </c>
      <c r="G1122" t="s">
        <v>66</v>
      </c>
      <c r="H1122" t="s">
        <v>115</v>
      </c>
      <c r="I1122" s="3">
        <v>8.611111111111111E-2</v>
      </c>
      <c r="J1122" s="8" t="s">
        <v>445</v>
      </c>
      <c r="K1122" s="8" t="s">
        <v>446</v>
      </c>
      <c r="L1122" s="8" t="str">
        <f>IF(Table1346[[#This Row],[Home Team Score]]&gt;Table1346[[#This Row],[Away Team Score]],"Win",IF(Table1346[[#This Row],[Home Team Score]]=Table1346[[#This Row],[Away Team Score]],"Tie","Lose"))</f>
        <v>Lose</v>
      </c>
      <c r="M1122" t="s">
        <v>251</v>
      </c>
      <c r="N1122">
        <v>38</v>
      </c>
      <c r="O1122" s="3">
        <v>1.3888888888888889E-3</v>
      </c>
      <c r="P1122" t="s">
        <v>31</v>
      </c>
      <c r="Q1122" t="s">
        <v>273</v>
      </c>
      <c r="R1122" t="e">
        <f>IF([1]!Table13[[#This Row],[Goal_assist]]="",1,0)</f>
        <v>#REF!</v>
      </c>
    </row>
    <row r="1123" spans="1:18" x14ac:dyDescent="0.35">
      <c r="A1123" t="s">
        <v>14</v>
      </c>
      <c r="B1123" t="s">
        <v>305</v>
      </c>
      <c r="C1123" t="s">
        <v>65</v>
      </c>
      <c r="D1123">
        <v>36</v>
      </c>
      <c r="E1123" s="2">
        <v>43226</v>
      </c>
      <c r="F1123" t="s">
        <v>24</v>
      </c>
      <c r="G1123" t="s">
        <v>112</v>
      </c>
      <c r="H1123" t="s">
        <v>66</v>
      </c>
      <c r="I1123" s="3">
        <v>8.4722222222222227E-2</v>
      </c>
      <c r="J1123" s="8" t="s">
        <v>445</v>
      </c>
      <c r="K1123" s="8" t="s">
        <v>445</v>
      </c>
      <c r="L1123" s="8" t="str">
        <f>IF(Table1346[[#This Row],[Home Team Score]]&gt;Table1346[[#This Row],[Away Team Score]],"Win",IF(Table1346[[#This Row],[Home Team Score]]=Table1346[[#This Row],[Away Team Score]],"Tie","Lose"))</f>
        <v>Tie</v>
      </c>
      <c r="M1123" t="s">
        <v>19</v>
      </c>
      <c r="N1123">
        <v>14</v>
      </c>
      <c r="O1123" s="3">
        <v>4.2361111111111113E-2</v>
      </c>
      <c r="P1123" t="s">
        <v>26</v>
      </c>
      <c r="Q1123" t="s">
        <v>183</v>
      </c>
      <c r="R1123" t="e">
        <f>IF([1]!Table13[[#This Row],[Goal_assist]]="",1,0)</f>
        <v>#REF!</v>
      </c>
    </row>
    <row r="1124" spans="1:18" x14ac:dyDescent="0.35">
      <c r="A1124" t="s">
        <v>64</v>
      </c>
      <c r="B1124" t="s">
        <v>305</v>
      </c>
      <c r="C1124" t="s">
        <v>65</v>
      </c>
      <c r="D1124">
        <v>36</v>
      </c>
      <c r="E1124" s="2">
        <v>43226</v>
      </c>
      <c r="F1124" t="s">
        <v>16</v>
      </c>
      <c r="G1124" t="s">
        <v>66</v>
      </c>
      <c r="H1124" t="s">
        <v>112</v>
      </c>
      <c r="I1124" s="3">
        <v>8.4722222222222227E-2</v>
      </c>
      <c r="J1124" s="8" t="s">
        <v>445</v>
      </c>
      <c r="K1124" s="8" t="s">
        <v>445</v>
      </c>
      <c r="L1124" s="8" t="str">
        <f>IF(Table1346[[#This Row],[Home Team Score]]&gt;Table1346[[#This Row],[Away Team Score]],"Win",IF(Table1346[[#This Row],[Home Team Score]]=Table1346[[#This Row],[Away Team Score]],"Tie","Lose"))</f>
        <v>Tie</v>
      </c>
      <c r="M1124" t="s">
        <v>230</v>
      </c>
      <c r="N1124">
        <v>52</v>
      </c>
      <c r="O1124" s="3">
        <v>8.4027777777777785E-2</v>
      </c>
      <c r="P1124" t="s">
        <v>31</v>
      </c>
      <c r="Q1124" t="s">
        <v>273</v>
      </c>
      <c r="R1124" t="e">
        <f>IF([1]!Table13[[#This Row],[Goal_assist]]="",1,0)</f>
        <v>#REF!</v>
      </c>
    </row>
    <row r="1125" spans="1:18" x14ac:dyDescent="0.35">
      <c r="A1125" t="s">
        <v>64</v>
      </c>
      <c r="B1125" t="s">
        <v>305</v>
      </c>
      <c r="C1125" t="s">
        <v>65</v>
      </c>
      <c r="D1125">
        <v>34</v>
      </c>
      <c r="E1125" s="2">
        <v>43229</v>
      </c>
      <c r="F1125" t="s">
        <v>16</v>
      </c>
      <c r="G1125" t="s">
        <v>66</v>
      </c>
      <c r="H1125" t="s">
        <v>180</v>
      </c>
      <c r="I1125" s="3">
        <v>0.20902777777777778</v>
      </c>
      <c r="J1125" s="8" t="s">
        <v>448</v>
      </c>
      <c r="K1125" s="8" t="s">
        <v>444</v>
      </c>
      <c r="L1125" s="8" t="str">
        <f>IF(Table1346[[#This Row],[Home Team Score]]&gt;Table1346[[#This Row],[Away Team Score]],"Win",IF(Table1346[[#This Row],[Home Team Score]]=Table1346[[#This Row],[Away Team Score]],"Tie","Lose"))</f>
        <v>Win</v>
      </c>
      <c r="M1125" t="s">
        <v>68</v>
      </c>
      <c r="N1125">
        <v>45</v>
      </c>
      <c r="O1125" s="3">
        <v>0.125</v>
      </c>
      <c r="P1125" t="s">
        <v>31</v>
      </c>
      <c r="Q1125" t="s">
        <v>99</v>
      </c>
      <c r="R1125" t="e">
        <f>IF([1]!Table13[[#This Row],[Goal_assist]]="",1,0)</f>
        <v>#REF!</v>
      </c>
    </row>
    <row r="1126" spans="1:18" x14ac:dyDescent="0.35">
      <c r="A1126" t="s">
        <v>14</v>
      </c>
      <c r="B1126" t="s">
        <v>305</v>
      </c>
      <c r="C1126" t="s">
        <v>65</v>
      </c>
      <c r="D1126">
        <v>38</v>
      </c>
      <c r="E1126" s="2">
        <v>43239</v>
      </c>
      <c r="F1126" t="s">
        <v>24</v>
      </c>
      <c r="G1126" t="s">
        <v>112</v>
      </c>
      <c r="H1126" t="s">
        <v>180</v>
      </c>
      <c r="I1126" s="3">
        <v>8.4722222222222227E-2</v>
      </c>
      <c r="J1126" s="8" t="s">
        <v>445</v>
      </c>
      <c r="K1126" s="8" t="s">
        <v>445</v>
      </c>
      <c r="L1126" s="8" t="str">
        <f>IF(Table1346[[#This Row],[Home Team Score]]&gt;Table1346[[#This Row],[Away Team Score]],"Win",IF(Table1346[[#This Row],[Home Team Score]]=Table1346[[#This Row],[Away Team Score]],"Tie","Lose"))</f>
        <v>Tie</v>
      </c>
      <c r="M1126" t="s">
        <v>68</v>
      </c>
      <c r="N1126">
        <v>32</v>
      </c>
      <c r="O1126" s="3">
        <v>1.3888888888888889E-3</v>
      </c>
      <c r="P1126" t="s">
        <v>22</v>
      </c>
      <c r="Q1126" t="s">
        <v>201</v>
      </c>
      <c r="R1126" t="e">
        <f>IF([1]!Table13[[#This Row],[Goal_assist]]="",1,0)</f>
        <v>#REF!</v>
      </c>
    </row>
    <row r="1127" spans="1:18" x14ac:dyDescent="0.35">
      <c r="A1127" t="s">
        <v>64</v>
      </c>
      <c r="B1127" t="s">
        <v>319</v>
      </c>
      <c r="C1127" t="s">
        <v>65</v>
      </c>
      <c r="D1127">
        <v>1</v>
      </c>
      <c r="E1127" s="2">
        <v>43330</v>
      </c>
      <c r="F1127" t="s">
        <v>16</v>
      </c>
      <c r="G1127" t="s">
        <v>66</v>
      </c>
      <c r="H1127" t="s">
        <v>88</v>
      </c>
      <c r="I1127" s="3">
        <v>0.125</v>
      </c>
      <c r="J1127" s="8" t="s">
        <v>442</v>
      </c>
      <c r="K1127" s="8" t="s">
        <v>443</v>
      </c>
      <c r="L1127" s="8" t="str">
        <f>IF(Table1346[[#This Row],[Home Team Score]]&gt;Table1346[[#This Row],[Away Team Score]],"Win",IF(Table1346[[#This Row],[Home Team Score]]=Table1346[[#This Row],[Away Team Score]],"Tie","Lose"))</f>
        <v>Win</v>
      </c>
      <c r="M1127" t="s">
        <v>275</v>
      </c>
      <c r="N1127">
        <v>64</v>
      </c>
      <c r="O1127" s="3">
        <v>4.1666666666666664E-2</v>
      </c>
      <c r="P1127" t="s">
        <v>39</v>
      </c>
      <c r="R1127" t="e">
        <f>IF([1]!Table13[[#This Row],[Goal_assist]]="",1,0)</f>
        <v>#REF!</v>
      </c>
    </row>
    <row r="1128" spans="1:18" x14ac:dyDescent="0.35">
      <c r="A1128" t="s">
        <v>64</v>
      </c>
      <c r="B1128" t="s">
        <v>319</v>
      </c>
      <c r="C1128" t="s">
        <v>65</v>
      </c>
      <c r="D1128">
        <v>1</v>
      </c>
      <c r="E1128" s="2">
        <v>43330</v>
      </c>
      <c r="F1128" t="s">
        <v>16</v>
      </c>
      <c r="G1128" t="s">
        <v>66</v>
      </c>
      <c r="H1128" t="s">
        <v>88</v>
      </c>
      <c r="I1128" s="3">
        <v>0.125</v>
      </c>
      <c r="J1128" s="8" t="s">
        <v>442</v>
      </c>
      <c r="K1128" s="8" t="s">
        <v>443</v>
      </c>
      <c r="L1128" s="8" t="str">
        <f>IF(Table1346[[#This Row],[Home Team Score]]&gt;Table1346[[#This Row],[Away Team Score]],"Win",IF(Table1346[[#This Row],[Home Team Score]]=Table1346[[#This Row],[Away Team Score]],"Tie","Lose"))</f>
        <v>Win</v>
      </c>
      <c r="M1128" t="s">
        <v>275</v>
      </c>
      <c r="N1128" t="s">
        <v>141</v>
      </c>
      <c r="O1128" s="3">
        <v>0.125</v>
      </c>
      <c r="P1128" t="s">
        <v>31</v>
      </c>
      <c r="Q1128" t="s">
        <v>273</v>
      </c>
      <c r="R1128" t="e">
        <f>IF([1]!Table13[[#This Row],[Goal_assist]]="",1,0)</f>
        <v>#REF!</v>
      </c>
    </row>
    <row r="1129" spans="1:18" x14ac:dyDescent="0.35">
      <c r="A1129" t="s">
        <v>64</v>
      </c>
      <c r="B1129" t="s">
        <v>319</v>
      </c>
      <c r="C1129" t="s">
        <v>65</v>
      </c>
      <c r="D1129">
        <v>3</v>
      </c>
      <c r="E1129" s="2">
        <v>43345</v>
      </c>
      <c r="F1129" t="s">
        <v>16</v>
      </c>
      <c r="G1129" t="s">
        <v>66</v>
      </c>
      <c r="H1129" t="s">
        <v>320</v>
      </c>
      <c r="I1129" s="3">
        <v>0.3347222222222222</v>
      </c>
      <c r="J1129" s="8" t="s">
        <v>447</v>
      </c>
      <c r="K1129" s="8" t="s">
        <v>445</v>
      </c>
      <c r="L1129" s="8" t="str">
        <f>IF(Table1346[[#This Row],[Home Team Score]]&gt;Table1346[[#This Row],[Away Team Score]],"Win",IF(Table1346[[#This Row],[Home Team Score]]=Table1346[[#This Row],[Away Team Score]],"Tie","Lose"))</f>
        <v>Win</v>
      </c>
      <c r="M1129" t="s">
        <v>275</v>
      </c>
      <c r="N1129">
        <v>16</v>
      </c>
      <c r="O1129" s="3">
        <v>4.2361111111111113E-2</v>
      </c>
      <c r="P1129" t="s">
        <v>26</v>
      </c>
      <c r="Q1129" t="s">
        <v>276</v>
      </c>
      <c r="R1129" t="e">
        <f>IF([1]!Table13[[#This Row],[Goal_assist]]="",1,0)</f>
        <v>#REF!</v>
      </c>
    </row>
    <row r="1130" spans="1:18" x14ac:dyDescent="0.35">
      <c r="A1130" t="s">
        <v>64</v>
      </c>
      <c r="B1130" t="s">
        <v>319</v>
      </c>
      <c r="C1130" t="s">
        <v>65</v>
      </c>
      <c r="D1130">
        <v>3</v>
      </c>
      <c r="E1130" s="2">
        <v>43345</v>
      </c>
      <c r="F1130" t="s">
        <v>16</v>
      </c>
      <c r="G1130" t="s">
        <v>66</v>
      </c>
      <c r="H1130" t="s">
        <v>320</v>
      </c>
      <c r="I1130" s="3">
        <v>0.3347222222222222</v>
      </c>
      <c r="J1130" s="8" t="s">
        <v>447</v>
      </c>
      <c r="K1130" s="8" t="s">
        <v>445</v>
      </c>
      <c r="L1130" s="8" t="str">
        <f>IF(Table1346[[#This Row],[Home Team Score]]&gt;Table1346[[#This Row],[Away Team Score]],"Win",IF(Table1346[[#This Row],[Home Team Score]]=Table1346[[#This Row],[Away Team Score]],"Tie","Lose"))</f>
        <v>Win</v>
      </c>
      <c r="M1130" t="s">
        <v>275</v>
      </c>
      <c r="N1130">
        <v>61</v>
      </c>
      <c r="O1130" s="3">
        <v>0.25138888888888888</v>
      </c>
      <c r="P1130" t="s">
        <v>31</v>
      </c>
      <c r="Q1130" t="s">
        <v>317</v>
      </c>
      <c r="R1130" t="e">
        <f>IF([1]!Table13[[#This Row],[Goal_assist]]="",1,0)</f>
        <v>#REF!</v>
      </c>
    </row>
    <row r="1131" spans="1:18" x14ac:dyDescent="0.35">
      <c r="A1131" t="s">
        <v>14</v>
      </c>
      <c r="B1131" t="s">
        <v>319</v>
      </c>
      <c r="C1131" t="s">
        <v>321</v>
      </c>
      <c r="D1131">
        <v>4</v>
      </c>
      <c r="E1131" s="2">
        <v>43359</v>
      </c>
      <c r="F1131" t="s">
        <v>16</v>
      </c>
      <c r="G1131" t="s">
        <v>260</v>
      </c>
      <c r="H1131" t="s">
        <v>322</v>
      </c>
      <c r="I1131" s="3">
        <v>8.4027777777777785E-2</v>
      </c>
      <c r="J1131" s="8" t="s">
        <v>445</v>
      </c>
      <c r="K1131" s="8" t="s">
        <v>444</v>
      </c>
      <c r="L1131" s="8" t="str">
        <f>IF(Table1346[[#This Row],[Home Team Score]]&gt;Table1346[[#This Row],[Away Team Score]],"Win",IF(Table1346[[#This Row],[Home Team Score]]=Table1346[[#This Row],[Away Team Score]],"Tie","Lose"))</f>
        <v>Win</v>
      </c>
      <c r="M1131" t="s">
        <v>68</v>
      </c>
      <c r="N1131">
        <v>50</v>
      </c>
      <c r="O1131" s="3">
        <v>4.1666666666666664E-2</v>
      </c>
      <c r="P1131" t="s">
        <v>55</v>
      </c>
      <c r="R1131" t="e">
        <f>IF([1]!Table13[[#This Row],[Goal_assist]]="",1,0)</f>
        <v>#REF!</v>
      </c>
    </row>
    <row r="1132" spans="1:18" x14ac:dyDescent="0.35">
      <c r="A1132" t="s">
        <v>14</v>
      </c>
      <c r="B1132" t="s">
        <v>319</v>
      </c>
      <c r="C1132" t="s">
        <v>321</v>
      </c>
      <c r="D1132">
        <v>4</v>
      </c>
      <c r="E1132" s="2">
        <v>43359</v>
      </c>
      <c r="F1132" t="s">
        <v>16</v>
      </c>
      <c r="G1132" t="s">
        <v>260</v>
      </c>
      <c r="H1132" t="s">
        <v>322</v>
      </c>
      <c r="I1132" s="3">
        <v>8.4027777777777785E-2</v>
      </c>
      <c r="J1132" s="8" t="s">
        <v>445</v>
      </c>
      <c r="K1132" s="8" t="s">
        <v>444</v>
      </c>
      <c r="L1132" s="8" t="str">
        <f>IF(Table1346[[#This Row],[Home Team Score]]&gt;Table1346[[#This Row],[Away Team Score]],"Win",IF(Table1346[[#This Row],[Home Team Score]]=Table1346[[#This Row],[Away Team Score]],"Tie","Lose"))</f>
        <v>Win</v>
      </c>
      <c r="M1132" t="s">
        <v>68</v>
      </c>
      <c r="N1132">
        <v>65</v>
      </c>
      <c r="O1132" s="3">
        <v>8.3333333333333329E-2</v>
      </c>
      <c r="P1132" t="s">
        <v>31</v>
      </c>
      <c r="Q1132" t="s">
        <v>323</v>
      </c>
      <c r="R1132" t="e">
        <f>IF([1]!Table13[[#This Row],[Goal_assist]]="",1,0)</f>
        <v>#REF!</v>
      </c>
    </row>
    <row r="1133" spans="1:18" x14ac:dyDescent="0.35">
      <c r="A1133" t="s">
        <v>64</v>
      </c>
      <c r="B1133" t="s">
        <v>319</v>
      </c>
      <c r="C1133" t="s">
        <v>75</v>
      </c>
      <c r="D1133" t="s">
        <v>76</v>
      </c>
      <c r="E1133" s="2">
        <v>43361</v>
      </c>
      <c r="F1133" t="s">
        <v>16</v>
      </c>
      <c r="G1133" t="s">
        <v>66</v>
      </c>
      <c r="H1133" t="s">
        <v>324</v>
      </c>
      <c r="I1133" s="3">
        <v>0.16666666666666666</v>
      </c>
      <c r="J1133" s="8" t="s">
        <v>446</v>
      </c>
      <c r="K1133" s="8" t="s">
        <v>443</v>
      </c>
      <c r="L1133" s="8" t="str">
        <f>IF(Table1346[[#This Row],[Home Team Score]]&gt;Table1346[[#This Row],[Away Team Score]],"Win",IF(Table1346[[#This Row],[Home Team Score]]=Table1346[[#This Row],[Away Team Score]],"Tie","Lose"))</f>
        <v>Win</v>
      </c>
      <c r="M1133" t="s">
        <v>275</v>
      </c>
      <c r="N1133">
        <v>31</v>
      </c>
      <c r="O1133" s="3">
        <v>4.1666666666666664E-2</v>
      </c>
      <c r="P1133" t="s">
        <v>39</v>
      </c>
      <c r="R1133" t="e">
        <f>IF([1]!Table13[[#This Row],[Goal_assist]]="",1,0)</f>
        <v>#REF!</v>
      </c>
    </row>
    <row r="1134" spans="1:18" x14ac:dyDescent="0.35">
      <c r="A1134" t="s">
        <v>64</v>
      </c>
      <c r="B1134" t="s">
        <v>319</v>
      </c>
      <c r="C1134" t="s">
        <v>75</v>
      </c>
      <c r="D1134" t="s">
        <v>76</v>
      </c>
      <c r="E1134" s="2">
        <v>43361</v>
      </c>
      <c r="F1134" t="s">
        <v>16</v>
      </c>
      <c r="G1134" t="s">
        <v>66</v>
      </c>
      <c r="H1134" t="s">
        <v>324</v>
      </c>
      <c r="I1134" s="3">
        <v>0.16666666666666666</v>
      </c>
      <c r="J1134" s="8" t="s">
        <v>446</v>
      </c>
      <c r="K1134" s="8" t="s">
        <v>443</v>
      </c>
      <c r="L1134" s="8" t="str">
        <f>IF(Table1346[[#This Row],[Home Team Score]]&gt;Table1346[[#This Row],[Away Team Score]],"Win",IF(Table1346[[#This Row],[Home Team Score]]=Table1346[[#This Row],[Away Team Score]],"Tie","Lose"))</f>
        <v>Win</v>
      </c>
      <c r="M1134" t="s">
        <v>275</v>
      </c>
      <c r="N1134">
        <v>77</v>
      </c>
      <c r="O1134" s="3">
        <v>0.125</v>
      </c>
      <c r="P1134" t="s">
        <v>31</v>
      </c>
      <c r="Q1134" t="s">
        <v>276</v>
      </c>
      <c r="R1134" t="e">
        <f>IF([1]!Table13[[#This Row],[Goal_assist]]="",1,0)</f>
        <v>#REF!</v>
      </c>
    </row>
    <row r="1135" spans="1:18" x14ac:dyDescent="0.35">
      <c r="A1135" t="s">
        <v>64</v>
      </c>
      <c r="B1135" t="s">
        <v>319</v>
      </c>
      <c r="C1135" t="s">
        <v>75</v>
      </c>
      <c r="D1135" t="s">
        <v>76</v>
      </c>
      <c r="E1135" s="2">
        <v>43361</v>
      </c>
      <c r="F1135" t="s">
        <v>16</v>
      </c>
      <c r="G1135" t="s">
        <v>66</v>
      </c>
      <c r="H1135" t="s">
        <v>324</v>
      </c>
      <c r="I1135" s="3">
        <v>0.16666666666666666</v>
      </c>
      <c r="J1135" s="8" t="s">
        <v>446</v>
      </c>
      <c r="K1135" s="8" t="s">
        <v>443</v>
      </c>
      <c r="L1135" s="8" t="str">
        <f>IF(Table1346[[#This Row],[Home Team Score]]&gt;Table1346[[#This Row],[Away Team Score]],"Win",IF(Table1346[[#This Row],[Home Team Score]]=Table1346[[#This Row],[Away Team Score]],"Tie","Lose"))</f>
        <v>Win</v>
      </c>
      <c r="M1135" t="s">
        <v>275</v>
      </c>
      <c r="N1135">
        <v>87</v>
      </c>
      <c r="O1135" s="3">
        <v>0.16666666666666666</v>
      </c>
      <c r="P1135" t="s">
        <v>26</v>
      </c>
      <c r="Q1135" t="s">
        <v>273</v>
      </c>
      <c r="R1135" t="e">
        <f>IF([1]!Table13[[#This Row],[Goal_assist]]="",1,0)</f>
        <v>#REF!</v>
      </c>
    </row>
    <row r="1136" spans="1:18" x14ac:dyDescent="0.35">
      <c r="A1136" t="s">
        <v>14</v>
      </c>
      <c r="B1136" t="s">
        <v>319</v>
      </c>
      <c r="C1136" t="s">
        <v>321</v>
      </c>
      <c r="D1136">
        <v>5</v>
      </c>
      <c r="E1136" s="2">
        <v>43366</v>
      </c>
      <c r="F1136" t="s">
        <v>24</v>
      </c>
      <c r="G1136" t="s">
        <v>260</v>
      </c>
      <c r="H1136" t="s">
        <v>325</v>
      </c>
      <c r="I1136" s="3">
        <v>1.3888888888888889E-3</v>
      </c>
      <c r="J1136" s="8" t="s">
        <v>443</v>
      </c>
      <c r="K1136" s="8" t="s">
        <v>445</v>
      </c>
      <c r="L1136" s="8" t="str">
        <f>IF(Table1346[[#This Row],[Home Team Score]]&gt;Table1346[[#This Row],[Away Team Score]],"Win",IF(Table1346[[#This Row],[Home Team Score]]=Table1346[[#This Row],[Away Team Score]],"Tie","Lose"))</f>
        <v>Lose</v>
      </c>
      <c r="M1136" t="s">
        <v>19</v>
      </c>
      <c r="N1136">
        <v>81</v>
      </c>
      <c r="O1136" s="3">
        <v>6.9444444444444447E-4</v>
      </c>
      <c r="P1136" t="s">
        <v>31</v>
      </c>
      <c r="R1136" t="e">
        <f>IF([1]!Table13[[#This Row],[Goal_assist]]="",1,0)</f>
        <v>#REF!</v>
      </c>
    </row>
    <row r="1137" spans="1:18" x14ac:dyDescent="0.35">
      <c r="A1137" t="s">
        <v>64</v>
      </c>
      <c r="B1137" t="s">
        <v>319</v>
      </c>
      <c r="C1137" t="s">
        <v>65</v>
      </c>
      <c r="D1137">
        <v>5</v>
      </c>
      <c r="E1137" s="2">
        <v>43366</v>
      </c>
      <c r="F1137" t="s">
        <v>16</v>
      </c>
      <c r="G1137" t="s">
        <v>66</v>
      </c>
      <c r="H1137" t="s">
        <v>315</v>
      </c>
      <c r="I1137" s="3">
        <v>8.4722222222222227E-2</v>
      </c>
      <c r="J1137" s="8" t="s">
        <v>445</v>
      </c>
      <c r="K1137" s="8" t="s">
        <v>445</v>
      </c>
      <c r="L1137" s="8" t="str">
        <f>IF(Table1346[[#This Row],[Home Team Score]]&gt;Table1346[[#This Row],[Away Team Score]],"Win",IF(Table1346[[#This Row],[Home Team Score]]=Table1346[[#This Row],[Away Team Score]],"Tie","Lose"))</f>
        <v>Tie</v>
      </c>
      <c r="M1137" t="s">
        <v>275</v>
      </c>
      <c r="N1137">
        <v>19</v>
      </c>
      <c r="O1137" s="3">
        <v>4.1666666666666664E-2</v>
      </c>
      <c r="P1137" t="s">
        <v>31</v>
      </c>
      <c r="Q1137" t="s">
        <v>326</v>
      </c>
      <c r="R1137" t="e">
        <f>IF([1]!Table13[[#This Row],[Goal_assist]]="",1,0)</f>
        <v>#REF!</v>
      </c>
    </row>
    <row r="1138" spans="1:18" x14ac:dyDescent="0.35">
      <c r="A1138" t="s">
        <v>64</v>
      </c>
      <c r="B1138" t="s">
        <v>319</v>
      </c>
      <c r="C1138" t="s">
        <v>75</v>
      </c>
      <c r="D1138" t="s">
        <v>76</v>
      </c>
      <c r="E1138" s="2">
        <v>43376</v>
      </c>
      <c r="F1138" t="s">
        <v>24</v>
      </c>
      <c r="G1138" t="s">
        <v>66</v>
      </c>
      <c r="H1138" t="s">
        <v>42</v>
      </c>
      <c r="I1138" s="3">
        <v>8.611111111111111E-2</v>
      </c>
      <c r="J1138" s="8" t="s">
        <v>445</v>
      </c>
      <c r="K1138" s="8" t="s">
        <v>446</v>
      </c>
      <c r="L1138" s="8" t="str">
        <f>IF(Table1346[[#This Row],[Home Team Score]]&gt;Table1346[[#This Row],[Away Team Score]],"Win",IF(Table1346[[#This Row],[Home Team Score]]=Table1346[[#This Row],[Away Team Score]],"Tie","Lose"))</f>
        <v>Lose</v>
      </c>
      <c r="M1138" t="s">
        <v>275</v>
      </c>
      <c r="N1138">
        <v>56</v>
      </c>
      <c r="O1138" s="3">
        <v>4.3749999999999997E-2</v>
      </c>
      <c r="P1138" t="s">
        <v>31</v>
      </c>
      <c r="Q1138" t="s">
        <v>243</v>
      </c>
      <c r="R1138" t="e">
        <f>IF([1]!Table13[[#This Row],[Goal_assist]]="",1,0)</f>
        <v>#REF!</v>
      </c>
    </row>
    <row r="1139" spans="1:18" x14ac:dyDescent="0.35">
      <c r="A1139" t="s">
        <v>64</v>
      </c>
      <c r="B1139" t="s">
        <v>319</v>
      </c>
      <c r="C1139" t="s">
        <v>75</v>
      </c>
      <c r="D1139" t="s">
        <v>76</v>
      </c>
      <c r="E1139" s="2">
        <v>43376</v>
      </c>
      <c r="F1139" t="s">
        <v>24</v>
      </c>
      <c r="G1139" t="s">
        <v>66</v>
      </c>
      <c r="H1139" t="s">
        <v>42</v>
      </c>
      <c r="I1139" s="3">
        <v>8.611111111111111E-2</v>
      </c>
      <c r="J1139" s="8" t="s">
        <v>445</v>
      </c>
      <c r="K1139" s="8" t="s">
        <v>446</v>
      </c>
      <c r="L1139" s="8" t="str">
        <f>IF(Table1346[[#This Row],[Home Team Score]]&gt;Table1346[[#This Row],[Away Team Score]],"Win",IF(Table1346[[#This Row],[Home Team Score]]=Table1346[[#This Row],[Away Team Score]],"Tie","Lose"))</f>
        <v>Lose</v>
      </c>
      <c r="M1139" t="s">
        <v>275</v>
      </c>
      <c r="N1139">
        <v>90</v>
      </c>
      <c r="O1139" s="3">
        <v>8.611111111111111E-2</v>
      </c>
      <c r="P1139" t="s">
        <v>31</v>
      </c>
      <c r="Q1139" t="s">
        <v>243</v>
      </c>
      <c r="R1139" t="e">
        <f>IF([1]!Table13[[#This Row],[Goal_assist]]="",1,0)</f>
        <v>#REF!</v>
      </c>
    </row>
    <row r="1140" spans="1:18" x14ac:dyDescent="0.35">
      <c r="A1140" t="s">
        <v>14</v>
      </c>
      <c r="B1140" t="s">
        <v>319</v>
      </c>
      <c r="C1140" t="s">
        <v>321</v>
      </c>
      <c r="D1140">
        <v>8</v>
      </c>
      <c r="E1140" s="2">
        <v>43379</v>
      </c>
      <c r="F1140" t="s">
        <v>24</v>
      </c>
      <c r="G1140" t="s">
        <v>260</v>
      </c>
      <c r="H1140" t="s">
        <v>327</v>
      </c>
      <c r="I1140" s="3">
        <v>1.3888888888888889E-3</v>
      </c>
      <c r="J1140" s="8" t="s">
        <v>443</v>
      </c>
      <c r="K1140" s="8" t="s">
        <v>445</v>
      </c>
      <c r="L1140" s="8" t="str">
        <f>IF(Table1346[[#This Row],[Home Team Score]]&gt;Table1346[[#This Row],[Away Team Score]],"Win",IF(Table1346[[#This Row],[Home Team Score]]=Table1346[[#This Row],[Away Team Score]],"Tie","Lose"))</f>
        <v>Lose</v>
      </c>
      <c r="M1140" t="s">
        <v>19</v>
      </c>
      <c r="N1140">
        <v>37</v>
      </c>
      <c r="O1140" s="3">
        <v>1.3888888888888889E-3</v>
      </c>
      <c r="P1140" t="s">
        <v>31</v>
      </c>
      <c r="Q1140" t="s">
        <v>328</v>
      </c>
      <c r="R1140" t="e">
        <f>IF([1]!Table13[[#This Row],[Goal_assist]]="",1,0)</f>
        <v>#REF!</v>
      </c>
    </row>
    <row r="1141" spans="1:18" x14ac:dyDescent="0.35">
      <c r="A1141" t="s">
        <v>64</v>
      </c>
      <c r="B1141" t="s">
        <v>319</v>
      </c>
      <c r="C1141" t="s">
        <v>65</v>
      </c>
      <c r="D1141">
        <v>8</v>
      </c>
      <c r="E1141" s="2">
        <v>43380</v>
      </c>
      <c r="F1141" t="s">
        <v>24</v>
      </c>
      <c r="G1141" t="s">
        <v>66</v>
      </c>
      <c r="H1141" t="s">
        <v>148</v>
      </c>
      <c r="I1141" s="3">
        <v>4.2361111111111113E-2</v>
      </c>
      <c r="J1141" s="8" t="s">
        <v>444</v>
      </c>
      <c r="K1141" s="8" t="s">
        <v>444</v>
      </c>
      <c r="L1141" s="8" t="str">
        <f>IF(Table1346[[#This Row],[Home Team Score]]&gt;Table1346[[#This Row],[Away Team Score]],"Win",IF(Table1346[[#This Row],[Home Team Score]]=Table1346[[#This Row],[Away Team Score]],"Tie","Lose"))</f>
        <v>Tie</v>
      </c>
      <c r="M1141" t="s">
        <v>275</v>
      </c>
      <c r="N1141">
        <v>23</v>
      </c>
      <c r="O1141" s="3">
        <v>4.2361111111111113E-2</v>
      </c>
      <c r="P1141" t="s">
        <v>31</v>
      </c>
      <c r="Q1141" t="s">
        <v>273</v>
      </c>
      <c r="R1141" t="e">
        <f>IF([1]!Table13[[#This Row],[Goal_assist]]="",1,0)</f>
        <v>#REF!</v>
      </c>
    </row>
    <row r="1142" spans="1:18" x14ac:dyDescent="0.35">
      <c r="A1142" t="s">
        <v>14</v>
      </c>
      <c r="B1142" t="s">
        <v>319</v>
      </c>
      <c r="C1142" t="s">
        <v>321</v>
      </c>
      <c r="D1142">
        <v>9</v>
      </c>
      <c r="E1142" s="2">
        <v>43393</v>
      </c>
      <c r="F1142" t="s">
        <v>16</v>
      </c>
      <c r="G1142" t="s">
        <v>260</v>
      </c>
      <c r="H1142" t="s">
        <v>329</v>
      </c>
      <c r="I1142" s="3">
        <v>4.2361111111111113E-2</v>
      </c>
      <c r="J1142" s="8" t="s">
        <v>444</v>
      </c>
      <c r="K1142" s="8" t="s">
        <v>444</v>
      </c>
      <c r="L1142" s="8" t="str">
        <f>IF(Table1346[[#This Row],[Home Team Score]]&gt;Table1346[[#This Row],[Away Team Score]],"Win",IF(Table1346[[#This Row],[Home Team Score]]=Table1346[[#This Row],[Away Team Score]],"Tie","Lose"))</f>
        <v>Tie</v>
      </c>
      <c r="M1142" t="s">
        <v>19</v>
      </c>
      <c r="N1142">
        <v>18</v>
      </c>
      <c r="O1142" s="3">
        <v>4.1666666666666664E-2</v>
      </c>
      <c r="P1142" t="s">
        <v>55</v>
      </c>
      <c r="R1142" t="e">
        <f>IF([1]!Table13[[#This Row],[Goal_assist]]="",1,0)</f>
        <v>#REF!</v>
      </c>
    </row>
    <row r="1143" spans="1:18" x14ac:dyDescent="0.35">
      <c r="A1143" t="s">
        <v>64</v>
      </c>
      <c r="B1143" t="s">
        <v>319</v>
      </c>
      <c r="C1143" t="s">
        <v>65</v>
      </c>
      <c r="D1143">
        <v>9</v>
      </c>
      <c r="E1143" s="2">
        <v>43393</v>
      </c>
      <c r="F1143" t="s">
        <v>16</v>
      </c>
      <c r="G1143" t="s">
        <v>66</v>
      </c>
      <c r="H1143" t="s">
        <v>105</v>
      </c>
      <c r="I1143" s="3">
        <v>0.16805555555555557</v>
      </c>
      <c r="J1143" s="8" t="s">
        <v>446</v>
      </c>
      <c r="K1143" s="8" t="s">
        <v>445</v>
      </c>
      <c r="L1143" s="8" t="str">
        <f>IF(Table1346[[#This Row],[Home Team Score]]&gt;Table1346[[#This Row],[Away Team Score]],"Win",IF(Table1346[[#This Row],[Home Team Score]]=Table1346[[#This Row],[Away Team Score]],"Tie","Lose"))</f>
        <v>Win</v>
      </c>
      <c r="M1143" t="s">
        <v>275</v>
      </c>
      <c r="N1143">
        <v>12</v>
      </c>
      <c r="O1143" s="3">
        <v>8.3333333333333329E-2</v>
      </c>
      <c r="P1143" t="s">
        <v>31</v>
      </c>
      <c r="Q1143" t="s">
        <v>273</v>
      </c>
      <c r="R1143" t="e">
        <f>IF([1]!Table13[[#This Row],[Goal_assist]]="",1,0)</f>
        <v>#REF!</v>
      </c>
    </row>
    <row r="1144" spans="1:18" x14ac:dyDescent="0.35">
      <c r="A1144" t="s">
        <v>14</v>
      </c>
      <c r="B1144" t="s">
        <v>319</v>
      </c>
      <c r="C1144" t="s">
        <v>321</v>
      </c>
      <c r="D1144">
        <v>10</v>
      </c>
      <c r="E1144" s="2">
        <v>43400</v>
      </c>
      <c r="F1144" t="s">
        <v>24</v>
      </c>
      <c r="G1144" t="s">
        <v>260</v>
      </c>
      <c r="H1144" t="s">
        <v>330</v>
      </c>
      <c r="I1144" s="3">
        <v>4.3055555555555555E-2</v>
      </c>
      <c r="J1144" s="8" t="s">
        <v>444</v>
      </c>
      <c r="K1144" s="8" t="s">
        <v>445</v>
      </c>
      <c r="L1144" s="8" t="str">
        <f>IF(Table1346[[#This Row],[Home Team Score]]&gt;Table1346[[#This Row],[Away Team Score]],"Win",IF(Table1346[[#This Row],[Home Team Score]]=Table1346[[#This Row],[Away Team Score]],"Tie","Lose"))</f>
        <v>Lose</v>
      </c>
      <c r="M1144" t="s">
        <v>68</v>
      </c>
      <c r="N1144">
        <v>54</v>
      </c>
      <c r="O1144" s="3">
        <v>4.2361111111111113E-2</v>
      </c>
      <c r="P1144" t="s">
        <v>83</v>
      </c>
      <c r="R1144" t="e">
        <f>IF([1]!Table13[[#This Row],[Goal_assist]]="",1,0)</f>
        <v>#REF!</v>
      </c>
    </row>
    <row r="1145" spans="1:18" x14ac:dyDescent="0.35">
      <c r="A1145" t="s">
        <v>14</v>
      </c>
      <c r="B1145" t="s">
        <v>319</v>
      </c>
      <c r="C1145" t="s">
        <v>321</v>
      </c>
      <c r="D1145">
        <v>10</v>
      </c>
      <c r="E1145" s="2">
        <v>43400</v>
      </c>
      <c r="F1145" t="s">
        <v>24</v>
      </c>
      <c r="G1145" t="s">
        <v>260</v>
      </c>
      <c r="H1145" t="s">
        <v>330</v>
      </c>
      <c r="I1145" s="3">
        <v>4.3055555555555555E-2</v>
      </c>
      <c r="J1145" s="8" t="s">
        <v>444</v>
      </c>
      <c r="K1145" s="8" t="s">
        <v>445</v>
      </c>
      <c r="L1145" s="8" t="str">
        <f>IF(Table1346[[#This Row],[Home Team Score]]&gt;Table1346[[#This Row],[Away Team Score]],"Win",IF(Table1346[[#This Row],[Home Team Score]]=Table1346[[#This Row],[Away Team Score]],"Tie","Lose"))</f>
        <v>Lose</v>
      </c>
      <c r="M1145" t="s">
        <v>68</v>
      </c>
      <c r="N1145">
        <v>70</v>
      </c>
      <c r="O1145" s="3">
        <v>4.3055555555555555E-2</v>
      </c>
      <c r="P1145" t="s">
        <v>26</v>
      </c>
      <c r="Q1145" t="s">
        <v>331</v>
      </c>
      <c r="R1145" t="e">
        <f>IF([1]!Table13[[#This Row],[Goal_assist]]="",1,0)</f>
        <v>#REF!</v>
      </c>
    </row>
    <row r="1146" spans="1:18" x14ac:dyDescent="0.35">
      <c r="A1146" t="s">
        <v>14</v>
      </c>
      <c r="B1146" t="s">
        <v>319</v>
      </c>
      <c r="C1146" t="s">
        <v>75</v>
      </c>
      <c r="D1146" t="s">
        <v>76</v>
      </c>
      <c r="E1146" s="2">
        <v>43411</v>
      </c>
      <c r="F1146" t="s">
        <v>16</v>
      </c>
      <c r="G1146" t="s">
        <v>260</v>
      </c>
      <c r="H1146" t="s">
        <v>36</v>
      </c>
      <c r="I1146" s="3">
        <v>4.3055555555555555E-2</v>
      </c>
      <c r="J1146" s="8" t="s">
        <v>444</v>
      </c>
      <c r="K1146" s="8" t="s">
        <v>445</v>
      </c>
      <c r="L1146" s="8" t="str">
        <f>IF(Table1346[[#This Row],[Home Team Score]]&gt;Table1346[[#This Row],[Away Team Score]],"Win",IF(Table1346[[#This Row],[Home Team Score]]=Table1346[[#This Row],[Away Team Score]],"Tie","Lose"))</f>
        <v>Lose</v>
      </c>
      <c r="M1146" t="s">
        <v>68</v>
      </c>
      <c r="N1146">
        <v>65</v>
      </c>
      <c r="O1146" s="3">
        <v>4.1666666666666664E-2</v>
      </c>
      <c r="P1146" t="s">
        <v>26</v>
      </c>
      <c r="Q1146" t="s">
        <v>332</v>
      </c>
      <c r="R1146" t="e">
        <f>IF([1]!Table13[[#This Row],[Goal_assist]]="",1,0)</f>
        <v>#REF!</v>
      </c>
    </row>
    <row r="1147" spans="1:18" x14ac:dyDescent="0.35">
      <c r="A1147" t="s">
        <v>14</v>
      </c>
      <c r="B1147" t="s">
        <v>319</v>
      </c>
      <c r="C1147" t="s">
        <v>321</v>
      </c>
      <c r="D1147">
        <v>12</v>
      </c>
      <c r="E1147" s="2">
        <v>43415</v>
      </c>
      <c r="F1147" t="s">
        <v>24</v>
      </c>
      <c r="G1147" t="s">
        <v>260</v>
      </c>
      <c r="H1147" t="s">
        <v>118</v>
      </c>
      <c r="I1147" s="3">
        <v>1.3888888888888889E-3</v>
      </c>
      <c r="J1147" s="8" t="s">
        <v>443</v>
      </c>
      <c r="K1147" s="8" t="s">
        <v>445</v>
      </c>
      <c r="L1147" s="8" t="str">
        <f>IF(Table1346[[#This Row],[Home Team Score]]&gt;Table1346[[#This Row],[Away Team Score]],"Win",IF(Table1346[[#This Row],[Home Team Score]]=Table1346[[#This Row],[Away Team Score]],"Tie","Lose"))</f>
        <v>Lose</v>
      </c>
      <c r="M1147" t="s">
        <v>19</v>
      </c>
      <c r="N1147">
        <v>81</v>
      </c>
      <c r="O1147" s="3">
        <v>1.3888888888888889E-3</v>
      </c>
      <c r="P1147" t="s">
        <v>55</v>
      </c>
      <c r="R1147" t="e">
        <f>IF([1]!Table13[[#This Row],[Goal_assist]]="",1,0)</f>
        <v>#REF!</v>
      </c>
    </row>
    <row r="1148" spans="1:18" x14ac:dyDescent="0.35">
      <c r="A1148" t="s">
        <v>64</v>
      </c>
      <c r="B1148" t="s">
        <v>319</v>
      </c>
      <c r="C1148" t="s">
        <v>65</v>
      </c>
      <c r="D1148">
        <v>12</v>
      </c>
      <c r="E1148" s="2">
        <v>43415</v>
      </c>
      <c r="F1148" t="s">
        <v>16</v>
      </c>
      <c r="G1148" t="s">
        <v>66</v>
      </c>
      <c r="H1148" t="s">
        <v>95</v>
      </c>
      <c r="I1148" s="3">
        <v>0.12777777777777777</v>
      </c>
      <c r="J1148" s="8" t="s">
        <v>442</v>
      </c>
      <c r="K1148" s="8" t="s">
        <v>446</v>
      </c>
      <c r="L1148" s="8" t="str">
        <f>IF(Table1346[[#This Row],[Home Team Score]]&gt;Table1346[[#This Row],[Away Team Score]],"Win",IF(Table1346[[#This Row],[Home Team Score]]=Table1346[[#This Row],[Away Team Score]],"Tie","Lose"))</f>
        <v>Lose</v>
      </c>
      <c r="M1148" t="s">
        <v>311</v>
      </c>
      <c r="N1148" t="s">
        <v>239</v>
      </c>
      <c r="O1148" s="3">
        <v>0.12777777777777777</v>
      </c>
      <c r="P1148" t="s">
        <v>31</v>
      </c>
      <c r="Q1148" t="s">
        <v>326</v>
      </c>
      <c r="R1148" t="e">
        <f>IF([1]!Table13[[#This Row],[Goal_assist]]="",1,0)</f>
        <v>#REF!</v>
      </c>
    </row>
    <row r="1149" spans="1:18" x14ac:dyDescent="0.35">
      <c r="A1149" t="s">
        <v>64</v>
      </c>
      <c r="B1149" t="s">
        <v>319</v>
      </c>
      <c r="C1149" t="s">
        <v>65</v>
      </c>
      <c r="D1149">
        <v>12</v>
      </c>
      <c r="E1149" s="2">
        <v>43415</v>
      </c>
      <c r="F1149" t="s">
        <v>16</v>
      </c>
      <c r="G1149" t="s">
        <v>66</v>
      </c>
      <c r="H1149" t="s">
        <v>95</v>
      </c>
      <c r="I1149" s="3">
        <v>0.12777777777777777</v>
      </c>
      <c r="J1149" s="8" t="s">
        <v>442</v>
      </c>
      <c r="K1149" s="8" t="s">
        <v>446</v>
      </c>
      <c r="L1149" s="8" t="str">
        <f>IF(Table1346[[#This Row],[Home Team Score]]&gt;Table1346[[#This Row],[Away Team Score]],"Win",IF(Table1346[[#This Row],[Home Team Score]]=Table1346[[#This Row],[Away Team Score]],"Tie","Lose"))</f>
        <v>Lose</v>
      </c>
      <c r="M1149" t="s">
        <v>311</v>
      </c>
      <c r="N1149">
        <v>68</v>
      </c>
      <c r="O1149" s="3">
        <v>4.3055555555555555E-2</v>
      </c>
      <c r="P1149" t="s">
        <v>83</v>
      </c>
      <c r="R1149" t="e">
        <f>IF([1]!Table13[[#This Row],[Goal_assist]]="",1,0)</f>
        <v>#REF!</v>
      </c>
    </row>
    <row r="1150" spans="1:18" x14ac:dyDescent="0.35">
      <c r="A1150" t="s">
        <v>14</v>
      </c>
      <c r="B1150" t="s">
        <v>319</v>
      </c>
      <c r="C1150" t="s">
        <v>321</v>
      </c>
      <c r="D1150">
        <v>13</v>
      </c>
      <c r="E1150" s="2">
        <v>43428</v>
      </c>
      <c r="F1150" t="s">
        <v>16</v>
      </c>
      <c r="G1150" t="s">
        <v>260</v>
      </c>
      <c r="H1150" t="s">
        <v>333</v>
      </c>
      <c r="I1150" s="3">
        <v>8.3333333333333329E-2</v>
      </c>
      <c r="J1150" s="8" t="s">
        <v>445</v>
      </c>
      <c r="K1150" s="8" t="s">
        <v>443</v>
      </c>
      <c r="L1150" s="8" t="str">
        <f>IF(Table1346[[#This Row],[Home Team Score]]&gt;Table1346[[#This Row],[Away Team Score]],"Win",IF(Table1346[[#This Row],[Home Team Score]]=Table1346[[#This Row],[Away Team Score]],"Tie","Lose"))</f>
        <v>Win</v>
      </c>
      <c r="M1150" t="s">
        <v>68</v>
      </c>
      <c r="N1150">
        <v>29</v>
      </c>
      <c r="O1150" s="3">
        <v>4.1666666666666664E-2</v>
      </c>
      <c r="P1150" t="s">
        <v>31</v>
      </c>
      <c r="Q1150" t="s">
        <v>334</v>
      </c>
      <c r="R1150" t="e">
        <f>IF([1]!Table13[[#This Row],[Goal_assist]]="",1,0)</f>
        <v>#REF!</v>
      </c>
    </row>
    <row r="1151" spans="1:18" x14ac:dyDescent="0.35">
      <c r="A1151" t="s">
        <v>64</v>
      </c>
      <c r="B1151" t="s">
        <v>319</v>
      </c>
      <c r="C1151" t="s">
        <v>75</v>
      </c>
      <c r="D1151" t="s">
        <v>76</v>
      </c>
      <c r="E1151" s="2">
        <v>43432</v>
      </c>
      <c r="F1151" t="s">
        <v>24</v>
      </c>
      <c r="G1151" t="s">
        <v>66</v>
      </c>
      <c r="H1151" t="s">
        <v>324</v>
      </c>
      <c r="I1151" s="3">
        <v>4.3055555555555555E-2</v>
      </c>
      <c r="J1151" s="8" t="s">
        <v>444</v>
      </c>
      <c r="K1151" s="8" t="s">
        <v>445</v>
      </c>
      <c r="L1151" s="8" t="str">
        <f>IF(Table1346[[#This Row],[Home Team Score]]&gt;Table1346[[#This Row],[Away Team Score]],"Win",IF(Table1346[[#This Row],[Home Team Score]]=Table1346[[#This Row],[Away Team Score]],"Tie","Lose"))</f>
        <v>Lose</v>
      </c>
      <c r="M1151" t="s">
        <v>251</v>
      </c>
      <c r="N1151">
        <v>61</v>
      </c>
      <c r="O1151" s="3">
        <v>6.9444444444444447E-4</v>
      </c>
      <c r="P1151" t="s">
        <v>31</v>
      </c>
      <c r="Q1151" t="s">
        <v>316</v>
      </c>
      <c r="R1151" t="e">
        <f>IF([1]!Table13[[#This Row],[Goal_assist]]="",1,0)</f>
        <v>#REF!</v>
      </c>
    </row>
    <row r="1152" spans="1:18" x14ac:dyDescent="0.35">
      <c r="A1152" t="s">
        <v>14</v>
      </c>
      <c r="B1152" t="s">
        <v>319</v>
      </c>
      <c r="C1152" t="s">
        <v>321</v>
      </c>
      <c r="D1152">
        <v>14</v>
      </c>
      <c r="E1152" s="2">
        <v>43435</v>
      </c>
      <c r="F1152" t="s">
        <v>24</v>
      </c>
      <c r="G1152" t="s">
        <v>260</v>
      </c>
      <c r="H1152" t="s">
        <v>335</v>
      </c>
      <c r="I1152" s="3">
        <v>2.0833333333333333E-3</v>
      </c>
      <c r="J1152" s="8" t="s">
        <v>443</v>
      </c>
      <c r="K1152" s="8" t="s">
        <v>442</v>
      </c>
      <c r="L1152" s="8" t="str">
        <f>IF(Table1346[[#This Row],[Home Team Score]]&gt;Table1346[[#This Row],[Away Team Score]],"Win",IF(Table1346[[#This Row],[Home Team Score]]=Table1346[[#This Row],[Away Team Score]],"Tie","Lose"))</f>
        <v>Lose</v>
      </c>
      <c r="M1152" t="s">
        <v>19</v>
      </c>
      <c r="N1152">
        <v>79</v>
      </c>
      <c r="O1152" s="3">
        <v>2.0833333333333333E-3</v>
      </c>
      <c r="P1152" t="s">
        <v>83</v>
      </c>
      <c r="R1152" t="e">
        <f>IF([1]!Table13[[#This Row],[Goal_assist]]="",1,0)</f>
        <v>#REF!</v>
      </c>
    </row>
    <row r="1153" spans="1:18" x14ac:dyDescent="0.35">
      <c r="A1153" t="s">
        <v>64</v>
      </c>
      <c r="B1153" t="s">
        <v>319</v>
      </c>
      <c r="C1153" t="s">
        <v>65</v>
      </c>
      <c r="D1153">
        <v>15</v>
      </c>
      <c r="E1153" s="2">
        <v>43442</v>
      </c>
      <c r="F1153" t="s">
        <v>24</v>
      </c>
      <c r="G1153" t="s">
        <v>66</v>
      </c>
      <c r="H1153" t="s">
        <v>121</v>
      </c>
      <c r="I1153" s="3">
        <v>2.7777777777777779E-3</v>
      </c>
      <c r="J1153" s="8" t="s">
        <v>443</v>
      </c>
      <c r="K1153" s="8" t="s">
        <v>446</v>
      </c>
      <c r="L1153" s="8" t="str">
        <f>IF(Table1346[[#This Row],[Home Team Score]]&gt;Table1346[[#This Row],[Away Team Score]],"Win",IF(Table1346[[#This Row],[Home Team Score]]=Table1346[[#This Row],[Away Team Score]],"Tie","Lose"))</f>
        <v>Lose</v>
      </c>
      <c r="M1153" t="s">
        <v>275</v>
      </c>
      <c r="N1153">
        <v>65</v>
      </c>
      <c r="O1153" s="3">
        <v>2.7777777777777779E-3</v>
      </c>
      <c r="P1153" t="s">
        <v>39</v>
      </c>
      <c r="R1153" t="e">
        <f>IF([1]!Table13[[#This Row],[Goal_assist]]="",1,0)</f>
        <v>#REF!</v>
      </c>
    </row>
    <row r="1154" spans="1:18" x14ac:dyDescent="0.35">
      <c r="A1154" t="s">
        <v>64</v>
      </c>
      <c r="B1154" t="s">
        <v>319</v>
      </c>
      <c r="C1154" t="s">
        <v>65</v>
      </c>
      <c r="D1154">
        <v>15</v>
      </c>
      <c r="E1154" s="2">
        <v>43442</v>
      </c>
      <c r="F1154" t="s">
        <v>24</v>
      </c>
      <c r="G1154" t="s">
        <v>66</v>
      </c>
      <c r="H1154" t="s">
        <v>121</v>
      </c>
      <c r="I1154" s="3">
        <v>2.7777777777777779E-3</v>
      </c>
      <c r="J1154" s="8" t="s">
        <v>443</v>
      </c>
      <c r="K1154" s="8" t="s">
        <v>446</v>
      </c>
      <c r="L1154" s="8" t="str">
        <f>IF(Table1346[[#This Row],[Home Team Score]]&gt;Table1346[[#This Row],[Away Team Score]],"Win",IF(Table1346[[#This Row],[Home Team Score]]=Table1346[[#This Row],[Away Team Score]],"Tie","Lose"))</f>
        <v>Lose</v>
      </c>
      <c r="M1154" t="s">
        <v>275</v>
      </c>
      <c r="N1154">
        <v>17</v>
      </c>
      <c r="O1154" s="3">
        <v>6.9444444444444447E-4</v>
      </c>
      <c r="P1154" t="s">
        <v>39</v>
      </c>
      <c r="R1154" t="e">
        <f>IF([1]!Table13[[#This Row],[Goal_assist]]="",1,0)</f>
        <v>#REF!</v>
      </c>
    </row>
    <row r="1155" spans="1:18" x14ac:dyDescent="0.35">
      <c r="A1155" t="s">
        <v>14</v>
      </c>
      <c r="B1155" t="s">
        <v>319</v>
      </c>
      <c r="C1155" t="s">
        <v>321</v>
      </c>
      <c r="D1155">
        <v>16</v>
      </c>
      <c r="E1155" s="2">
        <v>43449</v>
      </c>
      <c r="F1155" t="s">
        <v>24</v>
      </c>
      <c r="G1155" t="s">
        <v>260</v>
      </c>
      <c r="H1155" t="s">
        <v>336</v>
      </c>
      <c r="I1155" s="3">
        <v>6.9444444444444447E-4</v>
      </c>
      <c r="J1155" s="8" t="s">
        <v>443</v>
      </c>
      <c r="K1155" s="8" t="s">
        <v>444</v>
      </c>
      <c r="L1155" s="8" t="str">
        <f>IF(Table1346[[#This Row],[Home Team Score]]&gt;Table1346[[#This Row],[Away Team Score]],"Win",IF(Table1346[[#This Row],[Home Team Score]]=Table1346[[#This Row],[Away Team Score]],"Tie","Lose"))</f>
        <v>Lose</v>
      </c>
      <c r="M1155" t="s">
        <v>19</v>
      </c>
      <c r="N1155">
        <v>70</v>
      </c>
      <c r="O1155" s="3">
        <v>6.9444444444444447E-4</v>
      </c>
      <c r="P1155" t="s">
        <v>83</v>
      </c>
      <c r="R1155" t="e">
        <f>IF([1]!Table13[[#This Row],[Goal_assist]]="",1,0)</f>
        <v>#REF!</v>
      </c>
    </row>
    <row r="1156" spans="1:18" x14ac:dyDescent="0.35">
      <c r="A1156" t="s">
        <v>64</v>
      </c>
      <c r="B1156" t="s">
        <v>319</v>
      </c>
      <c r="C1156" t="s">
        <v>65</v>
      </c>
      <c r="D1156">
        <v>16</v>
      </c>
      <c r="E1156" s="2">
        <v>43450</v>
      </c>
      <c r="F1156" t="s">
        <v>24</v>
      </c>
      <c r="G1156" t="s">
        <v>66</v>
      </c>
      <c r="H1156" t="s">
        <v>127</v>
      </c>
      <c r="I1156" s="3">
        <v>3.472222222222222E-3</v>
      </c>
      <c r="J1156" s="8" t="s">
        <v>443</v>
      </c>
      <c r="K1156" s="8" t="s">
        <v>448</v>
      </c>
      <c r="L1156" s="8" t="str">
        <f>IF(Table1346[[#This Row],[Home Team Score]]&gt;Table1346[[#This Row],[Away Team Score]],"Win",IF(Table1346[[#This Row],[Home Team Score]]=Table1346[[#This Row],[Away Team Score]],"Tie","Lose"))</f>
        <v>Lose</v>
      </c>
      <c r="M1156" t="s">
        <v>311</v>
      </c>
      <c r="N1156">
        <v>43</v>
      </c>
      <c r="O1156" s="3">
        <v>1.3888888888888889E-3</v>
      </c>
      <c r="P1156" t="s">
        <v>26</v>
      </c>
      <c r="Q1156" t="s">
        <v>222</v>
      </c>
      <c r="R1156" t="e">
        <f>IF([1]!Table13[[#This Row],[Goal_assist]]="",1,0)</f>
        <v>#REF!</v>
      </c>
    </row>
    <row r="1157" spans="1:18" x14ac:dyDescent="0.35">
      <c r="A1157" t="s">
        <v>64</v>
      </c>
      <c r="B1157" t="s">
        <v>319</v>
      </c>
      <c r="C1157" t="s">
        <v>65</v>
      </c>
      <c r="D1157">
        <v>16</v>
      </c>
      <c r="E1157" s="2">
        <v>43450</v>
      </c>
      <c r="F1157" t="s">
        <v>24</v>
      </c>
      <c r="G1157" t="s">
        <v>66</v>
      </c>
      <c r="H1157" t="s">
        <v>127</v>
      </c>
      <c r="I1157" s="3">
        <v>3.472222222222222E-3</v>
      </c>
      <c r="J1157" s="8" t="s">
        <v>443</v>
      </c>
      <c r="K1157" s="8" t="s">
        <v>448</v>
      </c>
      <c r="L1157" s="8" t="str">
        <f>IF(Table1346[[#This Row],[Home Team Score]]&gt;Table1346[[#This Row],[Away Team Score]],"Win",IF(Table1346[[#This Row],[Home Team Score]]=Table1346[[#This Row],[Away Team Score]],"Tie","Lose"))</f>
        <v>Lose</v>
      </c>
      <c r="M1157" t="s">
        <v>311</v>
      </c>
      <c r="N1157">
        <v>47</v>
      </c>
      <c r="O1157" s="3">
        <v>2.0833333333333333E-3</v>
      </c>
      <c r="P1157" t="s">
        <v>31</v>
      </c>
      <c r="R1157" t="e">
        <f>IF([1]!Table13[[#This Row],[Goal_assist]]="",1,0)</f>
        <v>#REF!</v>
      </c>
    </row>
    <row r="1158" spans="1:18" x14ac:dyDescent="0.35">
      <c r="A1158" t="s">
        <v>64</v>
      </c>
      <c r="B1158" t="s">
        <v>319</v>
      </c>
      <c r="C1158" t="s">
        <v>65</v>
      </c>
      <c r="D1158">
        <v>16</v>
      </c>
      <c r="E1158" s="2">
        <v>43450</v>
      </c>
      <c r="F1158" t="s">
        <v>24</v>
      </c>
      <c r="G1158" t="s">
        <v>66</v>
      </c>
      <c r="H1158" t="s">
        <v>127</v>
      </c>
      <c r="I1158" s="3">
        <v>3.472222222222222E-3</v>
      </c>
      <c r="J1158" s="8" t="s">
        <v>443</v>
      </c>
      <c r="K1158" s="8" t="s">
        <v>448</v>
      </c>
      <c r="L1158" s="8" t="str">
        <f>IF(Table1346[[#This Row],[Home Team Score]]&gt;Table1346[[#This Row],[Away Team Score]],"Win",IF(Table1346[[#This Row],[Home Team Score]]=Table1346[[#This Row],[Away Team Score]],"Tie","Lose"))</f>
        <v>Lose</v>
      </c>
      <c r="M1158" t="s">
        <v>311</v>
      </c>
      <c r="N1158">
        <v>60</v>
      </c>
      <c r="O1158" s="3">
        <v>2.7777777777777779E-3</v>
      </c>
      <c r="P1158" t="s">
        <v>31</v>
      </c>
      <c r="Q1158" t="s">
        <v>326</v>
      </c>
      <c r="R1158" t="e">
        <f>IF([1]!Table13[[#This Row],[Goal_assist]]="",1,0)</f>
        <v>#REF!</v>
      </c>
    </row>
    <row r="1159" spans="1:18" x14ac:dyDescent="0.35">
      <c r="A1159" t="s">
        <v>64</v>
      </c>
      <c r="B1159" t="s">
        <v>319</v>
      </c>
      <c r="C1159" t="s">
        <v>65</v>
      </c>
      <c r="D1159">
        <v>17</v>
      </c>
      <c r="E1159" s="2">
        <v>43456</v>
      </c>
      <c r="F1159" t="s">
        <v>16</v>
      </c>
      <c r="G1159" t="s">
        <v>66</v>
      </c>
      <c r="H1159" t="s">
        <v>98</v>
      </c>
      <c r="I1159" s="3">
        <v>8.3333333333333329E-2</v>
      </c>
      <c r="J1159" s="8" t="s">
        <v>445</v>
      </c>
      <c r="K1159" s="8" t="s">
        <v>443</v>
      </c>
      <c r="L1159" s="8" t="str">
        <f>IF(Table1346[[#This Row],[Home Team Score]]&gt;Table1346[[#This Row],[Away Team Score]],"Win",IF(Table1346[[#This Row],[Home Team Score]]=Table1346[[#This Row],[Away Team Score]],"Tie","Lose"))</f>
        <v>Win</v>
      </c>
      <c r="M1159" t="s">
        <v>275</v>
      </c>
      <c r="N1159">
        <v>45</v>
      </c>
      <c r="O1159" s="3">
        <v>8.3333333333333329E-2</v>
      </c>
      <c r="P1159" t="s">
        <v>31</v>
      </c>
      <c r="Q1159" t="s">
        <v>243</v>
      </c>
      <c r="R1159" t="e">
        <f>IF([1]!Table13[[#This Row],[Goal_assist]]="",1,0)</f>
        <v>#REF!</v>
      </c>
    </row>
    <row r="1160" spans="1:18" x14ac:dyDescent="0.35">
      <c r="A1160" t="s">
        <v>14</v>
      </c>
      <c r="B1160" t="s">
        <v>319</v>
      </c>
      <c r="C1160" t="s">
        <v>321</v>
      </c>
      <c r="D1160">
        <v>18</v>
      </c>
      <c r="E1160" s="2">
        <v>43460</v>
      </c>
      <c r="F1160" t="s">
        <v>24</v>
      </c>
      <c r="G1160" t="s">
        <v>260</v>
      </c>
      <c r="H1160" t="s">
        <v>337</v>
      </c>
      <c r="I1160" s="3">
        <v>8.4722222222222227E-2</v>
      </c>
      <c r="J1160" s="8" t="s">
        <v>445</v>
      </c>
      <c r="K1160" s="8" t="s">
        <v>445</v>
      </c>
      <c r="L1160" s="8" t="str">
        <f>IF(Table1346[[#This Row],[Home Team Score]]&gt;Table1346[[#This Row],[Away Team Score]],"Win",IF(Table1346[[#This Row],[Home Team Score]]=Table1346[[#This Row],[Away Team Score]],"Tie","Lose"))</f>
        <v>Tie</v>
      </c>
      <c r="M1160" t="s">
        <v>68</v>
      </c>
      <c r="N1160">
        <v>78</v>
      </c>
      <c r="O1160" s="3">
        <v>8.4722222222222227E-2</v>
      </c>
      <c r="P1160" t="s">
        <v>22</v>
      </c>
      <c r="Q1160" t="s">
        <v>338</v>
      </c>
      <c r="R1160" t="e">
        <f>IF([1]!Table13[[#This Row],[Goal_assist]]="",1,0)</f>
        <v>#REF!</v>
      </c>
    </row>
    <row r="1161" spans="1:18" x14ac:dyDescent="0.35">
      <c r="A1161" t="s">
        <v>14</v>
      </c>
      <c r="B1161" t="s">
        <v>319</v>
      </c>
      <c r="C1161" t="s">
        <v>321</v>
      </c>
      <c r="D1161">
        <v>19</v>
      </c>
      <c r="E1161" s="2">
        <v>43463</v>
      </c>
      <c r="F1161" t="s">
        <v>16</v>
      </c>
      <c r="G1161" t="s">
        <v>260</v>
      </c>
      <c r="H1161" t="s">
        <v>339</v>
      </c>
      <c r="I1161" s="3">
        <v>8.4027777777777785E-2</v>
      </c>
      <c r="J1161" s="8" t="s">
        <v>445</v>
      </c>
      <c r="K1161" s="8" t="s">
        <v>444</v>
      </c>
      <c r="L1161" s="8" t="str">
        <f>IF(Table1346[[#This Row],[Home Team Score]]&gt;Table1346[[#This Row],[Away Team Score]],"Win",IF(Table1346[[#This Row],[Home Team Score]]=Table1346[[#This Row],[Away Team Score]],"Tie","Lose"))</f>
        <v>Win</v>
      </c>
      <c r="M1161" t="s">
        <v>19</v>
      </c>
      <c r="N1161">
        <v>65</v>
      </c>
      <c r="O1161" s="3">
        <v>8.4027777777777785E-2</v>
      </c>
      <c r="P1161" t="s">
        <v>83</v>
      </c>
      <c r="R1161" t="e">
        <f>IF([1]!Table13[[#This Row],[Goal_assist]]="",1,0)</f>
        <v>#REF!</v>
      </c>
    </row>
    <row r="1162" spans="1:18" x14ac:dyDescent="0.35">
      <c r="A1162" t="s">
        <v>14</v>
      </c>
      <c r="B1162" t="s">
        <v>319</v>
      </c>
      <c r="C1162" t="s">
        <v>321</v>
      </c>
      <c r="D1162">
        <v>19</v>
      </c>
      <c r="E1162" s="2">
        <v>43463</v>
      </c>
      <c r="F1162" t="s">
        <v>16</v>
      </c>
      <c r="G1162" t="s">
        <v>260</v>
      </c>
      <c r="H1162" t="s">
        <v>339</v>
      </c>
      <c r="I1162" s="3">
        <v>8.4027777777777785E-2</v>
      </c>
      <c r="J1162" s="8" t="s">
        <v>445</v>
      </c>
      <c r="K1162" s="8" t="s">
        <v>444</v>
      </c>
      <c r="L1162" s="8" t="str">
        <f>IF(Table1346[[#This Row],[Home Team Score]]&gt;Table1346[[#This Row],[Away Team Score]],"Win",IF(Table1346[[#This Row],[Home Team Score]]=Table1346[[#This Row],[Away Team Score]],"Tie","Lose"))</f>
        <v>Win</v>
      </c>
      <c r="M1162" t="s">
        <v>19</v>
      </c>
      <c r="N1162">
        <v>2</v>
      </c>
      <c r="O1162" s="3">
        <v>4.1666666666666664E-2</v>
      </c>
      <c r="P1162" t="s">
        <v>26</v>
      </c>
      <c r="Q1162" t="s">
        <v>340</v>
      </c>
      <c r="R1162" t="e">
        <f>IF([1]!Table13[[#This Row],[Goal_assist]]="",1,0)</f>
        <v>#REF!</v>
      </c>
    </row>
    <row r="1163" spans="1:18" x14ac:dyDescent="0.35">
      <c r="A1163" t="s">
        <v>64</v>
      </c>
      <c r="B1163" t="s">
        <v>319</v>
      </c>
      <c r="C1163" t="s">
        <v>65</v>
      </c>
      <c r="D1163">
        <v>18</v>
      </c>
      <c r="E1163" s="2">
        <v>43471</v>
      </c>
      <c r="F1163" t="s">
        <v>24</v>
      </c>
      <c r="G1163" t="s">
        <v>66</v>
      </c>
      <c r="H1163" t="s">
        <v>117</v>
      </c>
      <c r="I1163" s="3">
        <v>4.3055555555555555E-2</v>
      </c>
      <c r="J1163" s="8" t="s">
        <v>444</v>
      </c>
      <c r="K1163" s="8" t="s">
        <v>445</v>
      </c>
      <c r="L1163" s="8" t="str">
        <f>IF(Table1346[[#This Row],[Home Team Score]]&gt;Table1346[[#This Row],[Away Team Score]],"Win",IF(Table1346[[#This Row],[Home Team Score]]=Table1346[[#This Row],[Away Team Score]],"Tie","Lose"))</f>
        <v>Lose</v>
      </c>
      <c r="M1163" t="s">
        <v>275</v>
      </c>
      <c r="N1163">
        <v>20</v>
      </c>
      <c r="O1163" s="3">
        <v>6.9444444444444447E-4</v>
      </c>
      <c r="P1163" t="s">
        <v>31</v>
      </c>
      <c r="R1163" t="e">
        <f>IF([1]!Table13[[#This Row],[Goal_assist]]="",1,0)</f>
        <v>#REF!</v>
      </c>
    </row>
    <row r="1164" spans="1:18" x14ac:dyDescent="0.35">
      <c r="A1164" t="s">
        <v>64</v>
      </c>
      <c r="B1164" t="s">
        <v>319</v>
      </c>
      <c r="C1164" t="s">
        <v>65</v>
      </c>
      <c r="D1164">
        <v>19</v>
      </c>
      <c r="E1164" s="2">
        <v>43478</v>
      </c>
      <c r="F1164" t="s">
        <v>16</v>
      </c>
      <c r="G1164" t="s">
        <v>66</v>
      </c>
      <c r="H1164" t="s">
        <v>270</v>
      </c>
      <c r="I1164" s="3">
        <v>0.125</v>
      </c>
      <c r="J1164" s="8" t="s">
        <v>442</v>
      </c>
      <c r="K1164" s="8" t="s">
        <v>443</v>
      </c>
      <c r="L1164" s="8" t="str">
        <f>IF(Table1346[[#This Row],[Home Team Score]]&gt;Table1346[[#This Row],[Away Team Score]],"Win",IF(Table1346[[#This Row],[Home Team Score]]=Table1346[[#This Row],[Away Team Score]],"Tie","Lose"))</f>
        <v>Win</v>
      </c>
      <c r="M1164" t="s">
        <v>275</v>
      </c>
      <c r="N1164">
        <v>53</v>
      </c>
      <c r="O1164" s="3">
        <v>8.3333333333333329E-2</v>
      </c>
      <c r="P1164" t="s">
        <v>31</v>
      </c>
      <c r="Q1164" t="s">
        <v>273</v>
      </c>
      <c r="R1164" t="e">
        <f>IF([1]!Table13[[#This Row],[Goal_assist]]="",1,0)</f>
        <v>#REF!</v>
      </c>
    </row>
    <row r="1165" spans="1:18" x14ac:dyDescent="0.35">
      <c r="A1165" t="s">
        <v>14</v>
      </c>
      <c r="B1165" t="s">
        <v>319</v>
      </c>
      <c r="C1165" t="s">
        <v>341</v>
      </c>
      <c r="D1165" t="s">
        <v>46</v>
      </c>
      <c r="E1165" s="2">
        <v>43481</v>
      </c>
      <c r="F1165" t="s">
        <v>16</v>
      </c>
      <c r="G1165" t="s">
        <v>260</v>
      </c>
      <c r="H1165" t="s">
        <v>118</v>
      </c>
      <c r="I1165" s="3">
        <v>4.1666666666666664E-2</v>
      </c>
      <c r="J1165" s="8" t="s">
        <v>444</v>
      </c>
      <c r="K1165" s="8" t="s">
        <v>443</v>
      </c>
      <c r="L1165" s="8" t="str">
        <f>IF(Table1346[[#This Row],[Home Team Score]]&gt;Table1346[[#This Row],[Away Team Score]],"Win",IF(Table1346[[#This Row],[Home Team Score]]=Table1346[[#This Row],[Away Team Score]],"Tie","Lose"))</f>
        <v>Win</v>
      </c>
      <c r="M1165" t="s">
        <v>19</v>
      </c>
      <c r="N1165">
        <v>61</v>
      </c>
      <c r="O1165" s="3">
        <v>4.1666666666666664E-2</v>
      </c>
      <c r="P1165" t="s">
        <v>22</v>
      </c>
      <c r="Q1165" t="s">
        <v>334</v>
      </c>
      <c r="R1165" t="e">
        <f>IF([1]!Table13[[#This Row],[Goal_assist]]="",1,0)</f>
        <v>#REF!</v>
      </c>
    </row>
    <row r="1166" spans="1:18" x14ac:dyDescent="0.35">
      <c r="A1166" t="s">
        <v>64</v>
      </c>
      <c r="B1166" t="s">
        <v>319</v>
      </c>
      <c r="C1166" t="s">
        <v>91</v>
      </c>
      <c r="D1166" t="s">
        <v>143</v>
      </c>
      <c r="E1166" s="2">
        <v>43482</v>
      </c>
      <c r="F1166" t="s">
        <v>16</v>
      </c>
      <c r="G1166" t="s">
        <v>66</v>
      </c>
      <c r="H1166" t="s">
        <v>127</v>
      </c>
      <c r="I1166" s="3">
        <v>0.125</v>
      </c>
      <c r="J1166" s="8" t="s">
        <v>442</v>
      </c>
      <c r="K1166" s="8" t="s">
        <v>443</v>
      </c>
      <c r="L1166" s="8" t="str">
        <f>IF(Table1346[[#This Row],[Home Team Score]]&gt;Table1346[[#This Row],[Away Team Score]],"Win",IF(Table1346[[#This Row],[Home Team Score]]=Table1346[[#This Row],[Away Team Score]],"Tie","Lose"))</f>
        <v>Win</v>
      </c>
      <c r="M1166" t="s">
        <v>251</v>
      </c>
      <c r="N1166">
        <v>54</v>
      </c>
      <c r="O1166" s="3">
        <v>0.125</v>
      </c>
      <c r="P1166" t="s">
        <v>31</v>
      </c>
      <c r="Q1166" t="s">
        <v>342</v>
      </c>
      <c r="R1166" t="e">
        <f>IF([1]!Table13[[#This Row],[Goal_assist]]="",1,0)</f>
        <v>#REF!</v>
      </c>
    </row>
    <row r="1167" spans="1:18" x14ac:dyDescent="0.35">
      <c r="A1167" t="s">
        <v>64</v>
      </c>
      <c r="B1167" t="s">
        <v>319</v>
      </c>
      <c r="C1167" t="s">
        <v>65</v>
      </c>
      <c r="D1167">
        <v>20</v>
      </c>
      <c r="E1167" s="2">
        <v>43485</v>
      </c>
      <c r="F1167" t="s">
        <v>16</v>
      </c>
      <c r="G1167" t="s">
        <v>66</v>
      </c>
      <c r="H1167" t="s">
        <v>294</v>
      </c>
      <c r="I1167" s="3">
        <v>0.12569444444444444</v>
      </c>
      <c r="J1167" s="8" t="s">
        <v>442</v>
      </c>
      <c r="K1167" s="8" t="s">
        <v>444</v>
      </c>
      <c r="L1167" s="8" t="str">
        <f>IF(Table1346[[#This Row],[Home Team Score]]&gt;Table1346[[#This Row],[Away Team Score]],"Win",IF(Table1346[[#This Row],[Home Team Score]]=Table1346[[#This Row],[Away Team Score]],"Tie","Lose"))</f>
        <v>Win</v>
      </c>
      <c r="M1167" t="s">
        <v>230</v>
      </c>
      <c r="N1167" t="s">
        <v>141</v>
      </c>
      <c r="O1167" s="3">
        <v>0.12569444444444444</v>
      </c>
      <c r="P1167" t="s">
        <v>26</v>
      </c>
      <c r="Q1167" t="s">
        <v>243</v>
      </c>
      <c r="R1167" t="e">
        <f>IF([1]!Table13[[#This Row],[Goal_assist]]="",1,0)</f>
        <v>#REF!</v>
      </c>
    </row>
    <row r="1168" spans="1:18" x14ac:dyDescent="0.35">
      <c r="A1168" t="s">
        <v>64</v>
      </c>
      <c r="B1168" t="s">
        <v>319</v>
      </c>
      <c r="C1168" t="s">
        <v>65</v>
      </c>
      <c r="D1168">
        <v>21</v>
      </c>
      <c r="E1168" s="2">
        <v>43492</v>
      </c>
      <c r="F1168" t="s">
        <v>24</v>
      </c>
      <c r="G1168" t="s">
        <v>66</v>
      </c>
      <c r="H1168" t="s">
        <v>315</v>
      </c>
      <c r="I1168" s="3">
        <v>1.3888888888888889E-3</v>
      </c>
      <c r="J1168" s="8" t="s">
        <v>443</v>
      </c>
      <c r="K1168" s="8" t="s">
        <v>445</v>
      </c>
      <c r="L1168" s="8" t="str">
        <f>IF(Table1346[[#This Row],[Home Team Score]]&gt;Table1346[[#This Row],[Away Team Score]],"Win",IF(Table1346[[#This Row],[Home Team Score]]=Table1346[[#This Row],[Away Team Score]],"Tie","Lose"))</f>
        <v>Lose</v>
      </c>
      <c r="M1168" t="s">
        <v>275</v>
      </c>
      <c r="N1168">
        <v>69</v>
      </c>
      <c r="O1168" s="3">
        <v>1.3888888888888889E-3</v>
      </c>
      <c r="P1168" t="s">
        <v>31</v>
      </c>
      <c r="Q1168" t="s">
        <v>243</v>
      </c>
      <c r="R1168" t="e">
        <f>IF([1]!Table13[[#This Row],[Goal_assist]]="",1,0)</f>
        <v>#REF!</v>
      </c>
    </row>
    <row r="1169" spans="1:18" x14ac:dyDescent="0.35">
      <c r="A1169" t="s">
        <v>14</v>
      </c>
      <c r="B1169" t="s">
        <v>319</v>
      </c>
      <c r="C1169" t="s">
        <v>321</v>
      </c>
      <c r="D1169">
        <v>21</v>
      </c>
      <c r="E1169" s="2">
        <v>43492</v>
      </c>
      <c r="F1169" t="s">
        <v>24</v>
      </c>
      <c r="G1169" t="s">
        <v>260</v>
      </c>
      <c r="H1169" t="s">
        <v>343</v>
      </c>
      <c r="I1169" s="3">
        <v>4.3055555555555555E-2</v>
      </c>
      <c r="J1169" s="8" t="s">
        <v>444</v>
      </c>
      <c r="K1169" s="8" t="s">
        <v>445</v>
      </c>
      <c r="L1169" s="8" t="str">
        <f>IF(Table1346[[#This Row],[Home Team Score]]&gt;Table1346[[#This Row],[Away Team Score]],"Win",IF(Table1346[[#This Row],[Home Team Score]]=Table1346[[#This Row],[Away Team Score]],"Tie","Lose"))</f>
        <v>Lose</v>
      </c>
      <c r="M1169" t="s">
        <v>19</v>
      </c>
      <c r="N1169">
        <v>88</v>
      </c>
      <c r="O1169" s="3">
        <v>4.3055555555555555E-2</v>
      </c>
      <c r="P1169" t="s">
        <v>83</v>
      </c>
      <c r="R1169" t="e">
        <f>IF([1]!Table13[[#This Row],[Goal_assist]]="",1,0)</f>
        <v>#REF!</v>
      </c>
    </row>
    <row r="1170" spans="1:18" x14ac:dyDescent="0.35">
      <c r="A1170" t="s">
        <v>64</v>
      </c>
      <c r="B1170" t="s">
        <v>319</v>
      </c>
      <c r="C1170" t="s">
        <v>91</v>
      </c>
      <c r="D1170" t="s">
        <v>92</v>
      </c>
      <c r="E1170" s="2">
        <v>43495</v>
      </c>
      <c r="F1170" t="s">
        <v>16</v>
      </c>
      <c r="G1170" t="s">
        <v>66</v>
      </c>
      <c r="H1170" t="s">
        <v>105</v>
      </c>
      <c r="I1170" s="3">
        <v>0.25069444444444444</v>
      </c>
      <c r="J1170" s="8" t="s">
        <v>450</v>
      </c>
      <c r="K1170" s="8" t="s">
        <v>444</v>
      </c>
      <c r="L1170" s="8" t="str">
        <f>IF(Table1346[[#This Row],[Home Team Score]]&gt;Table1346[[#This Row],[Away Team Score]],"Win",IF(Table1346[[#This Row],[Home Team Score]]=Table1346[[#This Row],[Away Team Score]],"Tie","Lose"))</f>
        <v>Win</v>
      </c>
      <c r="M1170" t="s">
        <v>275</v>
      </c>
      <c r="N1170" t="s">
        <v>141</v>
      </c>
      <c r="O1170" s="3">
        <v>0.25069444444444444</v>
      </c>
      <c r="P1170" t="s">
        <v>31</v>
      </c>
      <c r="Q1170" t="s">
        <v>243</v>
      </c>
      <c r="R1170" t="e">
        <f>IF([1]!Table13[[#This Row],[Goal_assist]]="",1,0)</f>
        <v>#REF!</v>
      </c>
    </row>
    <row r="1171" spans="1:18" x14ac:dyDescent="0.35">
      <c r="A1171" t="s">
        <v>14</v>
      </c>
      <c r="B1171" t="s">
        <v>319</v>
      </c>
      <c r="C1171" t="s">
        <v>321</v>
      </c>
      <c r="D1171">
        <v>22</v>
      </c>
      <c r="E1171" s="2">
        <v>43498</v>
      </c>
      <c r="F1171" t="s">
        <v>16</v>
      </c>
      <c r="G1171" t="s">
        <v>260</v>
      </c>
      <c r="H1171" t="s">
        <v>344</v>
      </c>
      <c r="I1171" s="3">
        <v>0.12708333333333333</v>
      </c>
      <c r="J1171" s="8" t="s">
        <v>442</v>
      </c>
      <c r="K1171" s="8" t="s">
        <v>442</v>
      </c>
      <c r="L1171" s="8" t="str">
        <f>IF(Table1346[[#This Row],[Home Team Score]]&gt;Table1346[[#This Row],[Away Team Score]],"Win",IF(Table1346[[#This Row],[Home Team Score]]=Table1346[[#This Row],[Away Team Score]],"Tie","Lose"))</f>
        <v>Tie</v>
      </c>
      <c r="M1171" t="s">
        <v>19</v>
      </c>
      <c r="N1171">
        <v>36</v>
      </c>
      <c r="O1171" s="3">
        <v>4.1666666666666664E-2</v>
      </c>
      <c r="P1171" t="s">
        <v>26</v>
      </c>
      <c r="Q1171" t="s">
        <v>331</v>
      </c>
      <c r="R1171" t="e">
        <f>IF([1]!Table13[[#This Row],[Goal_assist]]="",1,0)</f>
        <v>#REF!</v>
      </c>
    </row>
    <row r="1172" spans="1:18" x14ac:dyDescent="0.35">
      <c r="A1172" t="s">
        <v>64</v>
      </c>
      <c r="B1172" t="s">
        <v>319</v>
      </c>
      <c r="C1172" t="s">
        <v>65</v>
      </c>
      <c r="D1172">
        <v>22</v>
      </c>
      <c r="E1172" s="2">
        <v>43498</v>
      </c>
      <c r="F1172" t="s">
        <v>16</v>
      </c>
      <c r="G1172" t="s">
        <v>66</v>
      </c>
      <c r="H1172" t="s">
        <v>148</v>
      </c>
      <c r="I1172" s="3">
        <v>8.4722222222222227E-2</v>
      </c>
      <c r="J1172" s="8" t="s">
        <v>445</v>
      </c>
      <c r="K1172" s="8" t="s">
        <v>445</v>
      </c>
      <c r="L1172" s="8" t="str">
        <f>IF(Table1346[[#This Row],[Home Team Score]]&gt;Table1346[[#This Row],[Away Team Score]],"Win",IF(Table1346[[#This Row],[Home Team Score]]=Table1346[[#This Row],[Away Team Score]],"Tie","Lose"))</f>
        <v>Tie</v>
      </c>
      <c r="M1172" t="s">
        <v>275</v>
      </c>
      <c r="N1172">
        <v>39</v>
      </c>
      <c r="O1172" s="3">
        <v>4.3055555555555555E-2</v>
      </c>
      <c r="P1172" t="s">
        <v>83</v>
      </c>
      <c r="R1172" t="e">
        <f>IF([1]!Table13[[#This Row],[Goal_assist]]="",1,0)</f>
        <v>#REF!</v>
      </c>
    </row>
    <row r="1173" spans="1:18" x14ac:dyDescent="0.35">
      <c r="A1173" t="s">
        <v>64</v>
      </c>
      <c r="B1173" t="s">
        <v>319</v>
      </c>
      <c r="C1173" t="s">
        <v>65</v>
      </c>
      <c r="D1173">
        <v>22</v>
      </c>
      <c r="E1173" s="2">
        <v>43498</v>
      </c>
      <c r="F1173" t="s">
        <v>16</v>
      </c>
      <c r="G1173" t="s">
        <v>66</v>
      </c>
      <c r="H1173" t="s">
        <v>148</v>
      </c>
      <c r="I1173" s="3">
        <v>8.4722222222222227E-2</v>
      </c>
      <c r="J1173" s="8" t="s">
        <v>445</v>
      </c>
      <c r="K1173" s="8" t="s">
        <v>445</v>
      </c>
      <c r="L1173" s="8" t="str">
        <f>IF(Table1346[[#This Row],[Home Team Score]]&gt;Table1346[[#This Row],[Away Team Score]],"Win",IF(Table1346[[#This Row],[Home Team Score]]=Table1346[[#This Row],[Away Team Score]],"Tie","Lose"))</f>
        <v>Tie</v>
      </c>
      <c r="M1173" t="s">
        <v>275</v>
      </c>
      <c r="N1173">
        <v>64</v>
      </c>
      <c r="O1173" s="3">
        <v>8.4722222222222227E-2</v>
      </c>
      <c r="P1173" t="s">
        <v>31</v>
      </c>
      <c r="Q1173" t="s">
        <v>326</v>
      </c>
      <c r="R1173" t="e">
        <f>IF([1]!Table13[[#This Row],[Goal_assist]]="",1,0)</f>
        <v>#REF!</v>
      </c>
    </row>
    <row r="1174" spans="1:18" x14ac:dyDescent="0.35">
      <c r="A1174" t="s">
        <v>14</v>
      </c>
      <c r="B1174" t="s">
        <v>319</v>
      </c>
      <c r="C1174" t="s">
        <v>321</v>
      </c>
      <c r="D1174">
        <v>22</v>
      </c>
      <c r="E1174" s="2">
        <v>43498</v>
      </c>
      <c r="F1174" t="s">
        <v>16</v>
      </c>
      <c r="G1174" t="s">
        <v>260</v>
      </c>
      <c r="H1174" t="s">
        <v>344</v>
      </c>
      <c r="I1174" s="3">
        <v>0.12708333333333333</v>
      </c>
      <c r="J1174" s="8" t="s">
        <v>442</v>
      </c>
      <c r="K1174" s="8" t="s">
        <v>442</v>
      </c>
      <c r="L1174" s="8" t="str">
        <f>IF(Table1346[[#This Row],[Home Team Score]]&gt;Table1346[[#This Row],[Away Team Score]],"Win",IF(Table1346[[#This Row],[Home Team Score]]=Table1346[[#This Row],[Away Team Score]],"Tie","Lose"))</f>
        <v>Tie</v>
      </c>
      <c r="M1174" t="s">
        <v>19</v>
      </c>
      <c r="N1174">
        <v>66</v>
      </c>
      <c r="O1174" s="3">
        <v>0.12569444444444444</v>
      </c>
      <c r="P1174" t="s">
        <v>22</v>
      </c>
      <c r="Q1174" t="s">
        <v>328</v>
      </c>
      <c r="R1174" t="e">
        <f>IF([1]!Table13[[#This Row],[Goal_assist]]="",1,0)</f>
        <v>#REF!</v>
      </c>
    </row>
    <row r="1175" spans="1:18" x14ac:dyDescent="0.35">
      <c r="A1175" t="s">
        <v>14</v>
      </c>
      <c r="B1175" t="s">
        <v>319</v>
      </c>
      <c r="C1175" t="s">
        <v>321</v>
      </c>
      <c r="D1175">
        <v>23</v>
      </c>
      <c r="E1175" s="2">
        <v>43506</v>
      </c>
      <c r="F1175" t="s">
        <v>24</v>
      </c>
      <c r="G1175" t="s">
        <v>260</v>
      </c>
      <c r="H1175" t="s">
        <v>322</v>
      </c>
      <c r="I1175" s="3">
        <v>2.0833333333333333E-3</v>
      </c>
      <c r="J1175" s="8" t="s">
        <v>443</v>
      </c>
      <c r="K1175" s="8" t="s">
        <v>442</v>
      </c>
      <c r="L1175" s="8" t="str">
        <f>IF(Table1346[[#This Row],[Home Team Score]]&gt;Table1346[[#This Row],[Away Team Score]],"Win",IF(Table1346[[#This Row],[Home Team Score]]=Table1346[[#This Row],[Away Team Score]],"Tie","Lose"))</f>
        <v>Lose</v>
      </c>
      <c r="M1175" t="s">
        <v>19</v>
      </c>
      <c r="N1175">
        <v>70</v>
      </c>
      <c r="O1175" s="3">
        <v>1.3888888888888889E-3</v>
      </c>
      <c r="P1175" t="s">
        <v>22</v>
      </c>
      <c r="Q1175" t="s">
        <v>334</v>
      </c>
      <c r="R1175" t="e">
        <f>IF([1]!Table13[[#This Row],[Goal_assist]]="",1,0)</f>
        <v>#REF!</v>
      </c>
    </row>
    <row r="1176" spans="1:18" x14ac:dyDescent="0.35">
      <c r="A1176" t="s">
        <v>14</v>
      </c>
      <c r="B1176" t="s">
        <v>319</v>
      </c>
      <c r="C1176" t="s">
        <v>321</v>
      </c>
      <c r="D1176">
        <v>24</v>
      </c>
      <c r="E1176" s="2">
        <v>43511</v>
      </c>
      <c r="F1176" t="s">
        <v>16</v>
      </c>
      <c r="G1176" t="s">
        <v>260</v>
      </c>
      <c r="H1176" t="s">
        <v>325</v>
      </c>
      <c r="I1176" s="3">
        <v>0.125</v>
      </c>
      <c r="J1176" s="8" t="s">
        <v>442</v>
      </c>
      <c r="K1176" s="8" t="s">
        <v>443</v>
      </c>
      <c r="L1176" s="8" t="str">
        <f>IF(Table1346[[#This Row],[Home Team Score]]&gt;Table1346[[#This Row],[Away Team Score]],"Win",IF(Table1346[[#This Row],[Home Team Score]]=Table1346[[#This Row],[Away Team Score]],"Tie","Lose"))</f>
        <v>Win</v>
      </c>
      <c r="M1176" t="s">
        <v>19</v>
      </c>
      <c r="N1176">
        <v>63</v>
      </c>
      <c r="O1176" s="3">
        <v>0.125</v>
      </c>
      <c r="P1176" t="s">
        <v>26</v>
      </c>
      <c r="Q1176" t="s">
        <v>328</v>
      </c>
      <c r="R1176" t="e">
        <f>IF([1]!Table13[[#This Row],[Goal_assist]]="",1,0)</f>
        <v>#REF!</v>
      </c>
    </row>
    <row r="1177" spans="1:18" x14ac:dyDescent="0.35">
      <c r="A1177" t="s">
        <v>64</v>
      </c>
      <c r="B1177" t="s">
        <v>319</v>
      </c>
      <c r="C1177" t="s">
        <v>65</v>
      </c>
      <c r="D1177">
        <v>24</v>
      </c>
      <c r="E1177" s="2">
        <v>43512</v>
      </c>
      <c r="F1177" t="s">
        <v>16</v>
      </c>
      <c r="G1177" t="s">
        <v>66</v>
      </c>
      <c r="H1177" t="s">
        <v>197</v>
      </c>
      <c r="I1177" s="3">
        <v>4.1666666666666664E-2</v>
      </c>
      <c r="J1177" s="8" t="s">
        <v>444</v>
      </c>
      <c r="K1177" s="8" t="s">
        <v>443</v>
      </c>
      <c r="L1177" s="8" t="str">
        <f>IF(Table1346[[#This Row],[Home Team Score]]&gt;Table1346[[#This Row],[Away Team Score]],"Win",IF(Table1346[[#This Row],[Home Team Score]]=Table1346[[#This Row],[Away Team Score]],"Tie","Lose"))</f>
        <v>Win</v>
      </c>
      <c r="M1177" t="s">
        <v>275</v>
      </c>
      <c r="N1177">
        <v>43</v>
      </c>
      <c r="O1177" s="3">
        <v>4.1666666666666664E-2</v>
      </c>
      <c r="P1177" t="s">
        <v>83</v>
      </c>
      <c r="R1177" t="e">
        <f>IF([1]!Table13[[#This Row],[Goal_assist]]="",1,0)</f>
        <v>#REF!</v>
      </c>
    </row>
    <row r="1178" spans="1:18" x14ac:dyDescent="0.35">
      <c r="A1178" t="s">
        <v>64</v>
      </c>
      <c r="B1178" t="s">
        <v>319</v>
      </c>
      <c r="C1178" t="s">
        <v>65</v>
      </c>
      <c r="D1178">
        <v>25</v>
      </c>
      <c r="E1178" s="2">
        <v>43519</v>
      </c>
      <c r="F1178" t="s">
        <v>24</v>
      </c>
      <c r="G1178" t="s">
        <v>66</v>
      </c>
      <c r="H1178" t="s">
        <v>105</v>
      </c>
      <c r="I1178" s="3">
        <v>8.611111111111111E-2</v>
      </c>
      <c r="J1178" s="8" t="s">
        <v>445</v>
      </c>
      <c r="K1178" s="8" t="s">
        <v>446</v>
      </c>
      <c r="L1178" s="8" t="str">
        <f>IF(Table1346[[#This Row],[Home Team Score]]&gt;Table1346[[#This Row],[Away Team Score]],"Win",IF(Table1346[[#This Row],[Home Team Score]]=Table1346[[#This Row],[Away Team Score]],"Tie","Lose"))</f>
        <v>Lose</v>
      </c>
      <c r="M1178" t="s">
        <v>275</v>
      </c>
      <c r="N1178">
        <v>26</v>
      </c>
      <c r="O1178" s="3">
        <v>4.2361111111111113E-2</v>
      </c>
      <c r="P1178" t="s">
        <v>31</v>
      </c>
      <c r="Q1178" t="s">
        <v>276</v>
      </c>
      <c r="R1178" t="e">
        <f>IF([1]!Table13[[#This Row],[Goal_assist]]="",1,0)</f>
        <v>#REF!</v>
      </c>
    </row>
    <row r="1179" spans="1:18" x14ac:dyDescent="0.35">
      <c r="A1179" t="s">
        <v>64</v>
      </c>
      <c r="B1179" t="s">
        <v>319</v>
      </c>
      <c r="C1179" t="s">
        <v>65</v>
      </c>
      <c r="D1179">
        <v>25</v>
      </c>
      <c r="E1179" s="2">
        <v>43519</v>
      </c>
      <c r="F1179" t="s">
        <v>24</v>
      </c>
      <c r="G1179" t="s">
        <v>66</v>
      </c>
      <c r="H1179" t="s">
        <v>105</v>
      </c>
      <c r="I1179" s="3">
        <v>8.611111111111111E-2</v>
      </c>
      <c r="J1179" s="8" t="s">
        <v>445</v>
      </c>
      <c r="K1179" s="8" t="s">
        <v>446</v>
      </c>
      <c r="L1179" s="8" t="str">
        <f>IF(Table1346[[#This Row],[Home Team Score]]&gt;Table1346[[#This Row],[Away Team Score]],"Win",IF(Table1346[[#This Row],[Home Team Score]]=Table1346[[#This Row],[Away Team Score]],"Tie","Lose"))</f>
        <v>Lose</v>
      </c>
      <c r="M1179" t="s">
        <v>275</v>
      </c>
      <c r="N1179">
        <v>85</v>
      </c>
      <c r="O1179" s="3">
        <v>8.5416666666666669E-2</v>
      </c>
      <c r="P1179" t="s">
        <v>31</v>
      </c>
      <c r="R1179" t="e">
        <f>IF([1]!Table13[[#This Row],[Goal_assist]]="",1,0)</f>
        <v>#REF!</v>
      </c>
    </row>
    <row r="1180" spans="1:18" x14ac:dyDescent="0.35">
      <c r="A1180" t="s">
        <v>64</v>
      </c>
      <c r="B1180" t="s">
        <v>319</v>
      </c>
      <c r="C1180" t="s">
        <v>65</v>
      </c>
      <c r="D1180">
        <v>25</v>
      </c>
      <c r="E1180" s="2">
        <v>43519</v>
      </c>
      <c r="F1180" t="s">
        <v>24</v>
      </c>
      <c r="G1180" t="s">
        <v>66</v>
      </c>
      <c r="H1180" t="s">
        <v>105</v>
      </c>
      <c r="I1180" s="3">
        <v>8.611111111111111E-2</v>
      </c>
      <c r="J1180" s="8" t="s">
        <v>445</v>
      </c>
      <c r="K1180" s="8" t="s">
        <v>446</v>
      </c>
      <c r="L1180" s="8" t="str">
        <f>IF(Table1346[[#This Row],[Home Team Score]]&gt;Table1346[[#This Row],[Away Team Score]],"Win",IF(Table1346[[#This Row],[Home Team Score]]=Table1346[[#This Row],[Away Team Score]],"Tie","Lose"))</f>
        <v>Lose</v>
      </c>
      <c r="M1180" t="s">
        <v>275</v>
      </c>
      <c r="N1180">
        <v>67</v>
      </c>
      <c r="O1180" s="3">
        <v>8.4722222222222227E-2</v>
      </c>
      <c r="P1180" t="s">
        <v>26</v>
      </c>
      <c r="Q1180" t="s">
        <v>316</v>
      </c>
      <c r="R1180" t="e">
        <f>IF([1]!Table13[[#This Row],[Goal_assist]]="",1,0)</f>
        <v>#REF!</v>
      </c>
    </row>
    <row r="1181" spans="1:18" x14ac:dyDescent="0.35">
      <c r="A1181" t="s">
        <v>64</v>
      </c>
      <c r="B1181" t="s">
        <v>319</v>
      </c>
      <c r="C1181" t="s">
        <v>65</v>
      </c>
      <c r="D1181">
        <v>27</v>
      </c>
      <c r="E1181" s="2">
        <v>43533</v>
      </c>
      <c r="F1181" t="s">
        <v>16</v>
      </c>
      <c r="G1181" t="s">
        <v>66</v>
      </c>
      <c r="H1181" t="s">
        <v>225</v>
      </c>
      <c r="I1181" s="3">
        <v>0.12569444444444444</v>
      </c>
      <c r="J1181" s="8" t="s">
        <v>442</v>
      </c>
      <c r="K1181" s="8" t="s">
        <v>444</v>
      </c>
      <c r="L1181" s="8" t="str">
        <f>IF(Table1346[[#This Row],[Home Team Score]]&gt;Table1346[[#This Row],[Away Team Score]],"Win",IF(Table1346[[#This Row],[Home Team Score]]=Table1346[[#This Row],[Away Team Score]],"Tie","Lose"))</f>
        <v>Win</v>
      </c>
      <c r="M1181" t="s">
        <v>275</v>
      </c>
      <c r="N1181">
        <v>51</v>
      </c>
      <c r="O1181" s="3">
        <v>8.4027777777777785E-2</v>
      </c>
      <c r="P1181" t="s">
        <v>83</v>
      </c>
      <c r="R1181" t="e">
        <f>IF([1]!Table13[[#This Row],[Goal_assist]]="",1,0)</f>
        <v>#REF!</v>
      </c>
    </row>
    <row r="1182" spans="1:18" x14ac:dyDescent="0.35">
      <c r="A1182" t="s">
        <v>14</v>
      </c>
      <c r="B1182" t="s">
        <v>319</v>
      </c>
      <c r="C1182" t="s">
        <v>75</v>
      </c>
      <c r="D1182" t="s">
        <v>143</v>
      </c>
      <c r="E1182" s="2">
        <v>43536</v>
      </c>
      <c r="F1182" t="s">
        <v>16</v>
      </c>
      <c r="G1182" t="s">
        <v>260</v>
      </c>
      <c r="H1182" t="s">
        <v>119</v>
      </c>
      <c r="I1182" s="3">
        <v>0.125</v>
      </c>
      <c r="J1182" s="8" t="s">
        <v>442</v>
      </c>
      <c r="K1182" s="8" t="s">
        <v>443</v>
      </c>
      <c r="L1182" s="8" t="str">
        <f>IF(Table1346[[#This Row],[Home Team Score]]&gt;Table1346[[#This Row],[Away Team Score]],"Win",IF(Table1346[[#This Row],[Home Team Score]]=Table1346[[#This Row],[Away Team Score]],"Tie","Lose"))</f>
        <v>Win</v>
      </c>
      <c r="M1182" t="s">
        <v>68</v>
      </c>
      <c r="N1182">
        <v>27</v>
      </c>
      <c r="O1182" s="3">
        <v>4.1666666666666664E-2</v>
      </c>
      <c r="P1182" t="s">
        <v>22</v>
      </c>
      <c r="Q1182" t="s">
        <v>345</v>
      </c>
      <c r="R1182" t="e">
        <f>IF([1]!Table13[[#This Row],[Goal_assist]]="",1,0)</f>
        <v>#REF!</v>
      </c>
    </row>
    <row r="1183" spans="1:18" x14ac:dyDescent="0.35">
      <c r="A1183" t="s">
        <v>14</v>
      </c>
      <c r="B1183" t="s">
        <v>319</v>
      </c>
      <c r="C1183" t="s">
        <v>75</v>
      </c>
      <c r="D1183" t="s">
        <v>143</v>
      </c>
      <c r="E1183" s="2">
        <v>43536</v>
      </c>
      <c r="F1183" t="s">
        <v>16</v>
      </c>
      <c r="G1183" t="s">
        <v>260</v>
      </c>
      <c r="H1183" t="s">
        <v>119</v>
      </c>
      <c r="I1183" s="3">
        <v>0.125</v>
      </c>
      <c r="J1183" s="8" t="s">
        <v>442</v>
      </c>
      <c r="K1183" s="8" t="s">
        <v>443</v>
      </c>
      <c r="L1183" s="8" t="str">
        <f>IF(Table1346[[#This Row],[Home Team Score]]&gt;Table1346[[#This Row],[Away Team Score]],"Win",IF(Table1346[[#This Row],[Home Team Score]]=Table1346[[#This Row],[Away Team Score]],"Tie","Lose"))</f>
        <v>Win</v>
      </c>
      <c r="M1183" t="s">
        <v>68</v>
      </c>
      <c r="N1183">
        <v>49</v>
      </c>
      <c r="O1183" s="3">
        <v>8.3333333333333329E-2</v>
      </c>
      <c r="P1183" t="s">
        <v>22</v>
      </c>
      <c r="Q1183" t="s">
        <v>346</v>
      </c>
      <c r="R1183" t="e">
        <f>IF([1]!Table13[[#This Row],[Goal_assist]]="",1,0)</f>
        <v>#REF!</v>
      </c>
    </row>
    <row r="1184" spans="1:18" x14ac:dyDescent="0.35">
      <c r="A1184" t="s">
        <v>14</v>
      </c>
      <c r="B1184" t="s">
        <v>319</v>
      </c>
      <c r="C1184" t="s">
        <v>75</v>
      </c>
      <c r="D1184" t="s">
        <v>143</v>
      </c>
      <c r="E1184" s="2">
        <v>43536</v>
      </c>
      <c r="F1184" t="s">
        <v>16</v>
      </c>
      <c r="G1184" t="s">
        <v>260</v>
      </c>
      <c r="H1184" t="s">
        <v>119</v>
      </c>
      <c r="I1184" s="3">
        <v>0.125</v>
      </c>
      <c r="J1184" s="8" t="s">
        <v>442</v>
      </c>
      <c r="K1184" s="8" t="s">
        <v>443</v>
      </c>
      <c r="L1184" s="8" t="str">
        <f>IF(Table1346[[#This Row],[Home Team Score]]&gt;Table1346[[#This Row],[Away Team Score]],"Win",IF(Table1346[[#This Row],[Home Team Score]]=Table1346[[#This Row],[Away Team Score]],"Tie","Lose"))</f>
        <v>Win</v>
      </c>
      <c r="M1184" t="s">
        <v>68</v>
      </c>
      <c r="N1184">
        <v>86</v>
      </c>
      <c r="O1184" s="3">
        <v>0.125</v>
      </c>
      <c r="P1184" t="s">
        <v>83</v>
      </c>
      <c r="R1184" t="e">
        <f>IF([1]!Table13[[#This Row],[Goal_assist]]="",1,0)</f>
        <v>#REF!</v>
      </c>
    </row>
    <row r="1185" spans="1:18" x14ac:dyDescent="0.35">
      <c r="A1185" t="s">
        <v>64</v>
      </c>
      <c r="B1185" t="s">
        <v>319</v>
      </c>
      <c r="C1185" t="s">
        <v>75</v>
      </c>
      <c r="D1185" t="s">
        <v>143</v>
      </c>
      <c r="E1185" s="2">
        <v>43537</v>
      </c>
      <c r="F1185" t="s">
        <v>16</v>
      </c>
      <c r="G1185" t="s">
        <v>66</v>
      </c>
      <c r="H1185" t="s">
        <v>125</v>
      </c>
      <c r="I1185" s="3">
        <v>0.20902777777777778</v>
      </c>
      <c r="J1185" s="8" t="s">
        <v>448</v>
      </c>
      <c r="K1185" s="8" t="s">
        <v>444</v>
      </c>
      <c r="L1185" s="8" t="str">
        <f>IF(Table1346[[#This Row],[Home Team Score]]&gt;Table1346[[#This Row],[Away Team Score]],"Win",IF(Table1346[[#This Row],[Home Team Score]]=Table1346[[#This Row],[Away Team Score]],"Tie","Lose"))</f>
        <v>Win</v>
      </c>
      <c r="M1185" t="s">
        <v>275</v>
      </c>
      <c r="N1185">
        <v>18</v>
      </c>
      <c r="O1185" s="3">
        <v>4.1666666666666664E-2</v>
      </c>
      <c r="P1185" t="s">
        <v>83</v>
      </c>
      <c r="R1185" t="e">
        <f>IF([1]!Table13[[#This Row],[Goal_assist]]="",1,0)</f>
        <v>#REF!</v>
      </c>
    </row>
    <row r="1186" spans="1:18" x14ac:dyDescent="0.35">
      <c r="A1186" t="s">
        <v>64</v>
      </c>
      <c r="B1186" t="s">
        <v>319</v>
      </c>
      <c r="C1186" t="s">
        <v>75</v>
      </c>
      <c r="D1186" t="s">
        <v>143</v>
      </c>
      <c r="E1186" s="2">
        <v>43537</v>
      </c>
      <c r="F1186" t="s">
        <v>16</v>
      </c>
      <c r="G1186" t="s">
        <v>66</v>
      </c>
      <c r="H1186" t="s">
        <v>125</v>
      </c>
      <c r="I1186" s="3">
        <v>0.20902777777777778</v>
      </c>
      <c r="J1186" s="8" t="s">
        <v>448</v>
      </c>
      <c r="K1186" s="8" t="s">
        <v>444</v>
      </c>
      <c r="L1186" s="8" t="str">
        <f>IF(Table1346[[#This Row],[Home Team Score]]&gt;Table1346[[#This Row],[Away Team Score]],"Win",IF(Table1346[[#This Row],[Home Team Score]]=Table1346[[#This Row],[Away Team Score]],"Tie","Lose"))</f>
        <v>Win</v>
      </c>
      <c r="M1186" t="s">
        <v>275</v>
      </c>
      <c r="N1186">
        <v>78</v>
      </c>
      <c r="O1186" s="3">
        <v>0.12569444444444444</v>
      </c>
      <c r="P1186" t="s">
        <v>26</v>
      </c>
      <c r="Q1186" t="s">
        <v>222</v>
      </c>
      <c r="R1186" t="e">
        <f>IF([1]!Table13[[#This Row],[Goal_assist]]="",1,0)</f>
        <v>#REF!</v>
      </c>
    </row>
    <row r="1187" spans="1:18" x14ac:dyDescent="0.35">
      <c r="A1187" t="s">
        <v>64</v>
      </c>
      <c r="B1187" t="s">
        <v>319</v>
      </c>
      <c r="C1187" t="s">
        <v>65</v>
      </c>
      <c r="D1187">
        <v>28</v>
      </c>
      <c r="E1187" s="2">
        <v>43541</v>
      </c>
      <c r="F1187" t="s">
        <v>24</v>
      </c>
      <c r="G1187" t="s">
        <v>66</v>
      </c>
      <c r="H1187" t="s">
        <v>95</v>
      </c>
      <c r="I1187" s="3">
        <v>4.4444444444444446E-2</v>
      </c>
      <c r="J1187" s="8" t="s">
        <v>444</v>
      </c>
      <c r="K1187" s="8" t="s">
        <v>446</v>
      </c>
      <c r="L1187" s="8" t="str">
        <f>IF(Table1346[[#This Row],[Home Team Score]]&gt;Table1346[[#This Row],[Away Team Score]],"Win",IF(Table1346[[#This Row],[Home Team Score]]=Table1346[[#This Row],[Away Team Score]],"Tie","Lose"))</f>
        <v>Lose</v>
      </c>
      <c r="M1187" t="s">
        <v>311</v>
      </c>
      <c r="N1187">
        <v>85</v>
      </c>
      <c r="O1187" s="3">
        <v>4.4444444444444446E-2</v>
      </c>
      <c r="P1187" t="s">
        <v>31</v>
      </c>
      <c r="Q1187" t="s">
        <v>276</v>
      </c>
      <c r="R1187" t="e">
        <f>IF([1]!Table13[[#This Row],[Goal_assist]]="",1,0)</f>
        <v>#REF!</v>
      </c>
    </row>
    <row r="1188" spans="1:18" x14ac:dyDescent="0.35">
      <c r="A1188" t="s">
        <v>64</v>
      </c>
      <c r="B1188" t="s">
        <v>319</v>
      </c>
      <c r="C1188" t="s">
        <v>65</v>
      </c>
      <c r="D1188">
        <v>28</v>
      </c>
      <c r="E1188" s="2">
        <v>43541</v>
      </c>
      <c r="F1188" t="s">
        <v>24</v>
      </c>
      <c r="G1188" t="s">
        <v>66</v>
      </c>
      <c r="H1188" t="s">
        <v>95</v>
      </c>
      <c r="I1188" s="3">
        <v>4.4444444444444446E-2</v>
      </c>
      <c r="J1188" s="8" t="s">
        <v>444</v>
      </c>
      <c r="K1188" s="8" t="s">
        <v>446</v>
      </c>
      <c r="L1188" s="8" t="str">
        <f>IF(Table1346[[#This Row],[Home Team Score]]&gt;Table1346[[#This Row],[Away Team Score]],"Win",IF(Table1346[[#This Row],[Home Team Score]]=Table1346[[#This Row],[Away Team Score]],"Tie","Lose"))</f>
        <v>Lose</v>
      </c>
      <c r="M1188" t="s">
        <v>311</v>
      </c>
      <c r="N1188" t="s">
        <v>228</v>
      </c>
      <c r="O1188" s="3">
        <v>1.3888888888888889E-3</v>
      </c>
      <c r="P1188" t="s">
        <v>31</v>
      </c>
      <c r="Q1188" t="s">
        <v>273</v>
      </c>
      <c r="R1188" t="e">
        <f>IF([1]!Table13[[#This Row],[Goal_assist]]="",1,0)</f>
        <v>#REF!</v>
      </c>
    </row>
    <row r="1189" spans="1:18" x14ac:dyDescent="0.35">
      <c r="A1189" t="s">
        <v>64</v>
      </c>
      <c r="B1189" t="s">
        <v>319</v>
      </c>
      <c r="C1189" t="s">
        <v>65</v>
      </c>
      <c r="D1189">
        <v>28</v>
      </c>
      <c r="E1189" s="2">
        <v>43541</v>
      </c>
      <c r="F1189" t="s">
        <v>24</v>
      </c>
      <c r="G1189" t="s">
        <v>66</v>
      </c>
      <c r="H1189" t="s">
        <v>95</v>
      </c>
      <c r="I1189" s="3">
        <v>4.4444444444444446E-2</v>
      </c>
      <c r="J1189" s="8" t="s">
        <v>444</v>
      </c>
      <c r="K1189" s="8" t="s">
        <v>446</v>
      </c>
      <c r="L1189" s="8" t="str">
        <f>IF(Table1346[[#This Row],[Home Team Score]]&gt;Table1346[[#This Row],[Away Team Score]],"Win",IF(Table1346[[#This Row],[Home Team Score]]=Table1346[[#This Row],[Away Team Score]],"Tie","Lose"))</f>
        <v>Lose</v>
      </c>
      <c r="M1189" t="s">
        <v>311</v>
      </c>
      <c r="N1189">
        <v>18</v>
      </c>
      <c r="O1189" s="3">
        <v>6.9444444444444447E-4</v>
      </c>
      <c r="P1189" t="s">
        <v>39</v>
      </c>
      <c r="R1189" t="e">
        <f>IF([1]!Table13[[#This Row],[Goal_assist]]="",1,0)</f>
        <v>#REF!</v>
      </c>
    </row>
    <row r="1190" spans="1:18" x14ac:dyDescent="0.35">
      <c r="A1190" t="s">
        <v>64</v>
      </c>
      <c r="B1190" t="s">
        <v>319</v>
      </c>
      <c r="C1190" t="s">
        <v>65</v>
      </c>
      <c r="D1190">
        <v>29</v>
      </c>
      <c r="E1190" s="2">
        <v>43554</v>
      </c>
      <c r="F1190" t="s">
        <v>16</v>
      </c>
      <c r="G1190" t="s">
        <v>66</v>
      </c>
      <c r="H1190" t="s">
        <v>121</v>
      </c>
      <c r="I1190" s="3">
        <v>8.3333333333333329E-2</v>
      </c>
      <c r="J1190" s="8" t="s">
        <v>445</v>
      </c>
      <c r="K1190" s="8" t="s">
        <v>443</v>
      </c>
      <c r="L1190" s="8" t="str">
        <f>IF(Table1346[[#This Row],[Home Team Score]]&gt;Table1346[[#This Row],[Away Team Score]],"Win",IF(Table1346[[#This Row],[Home Team Score]]=Table1346[[#This Row],[Away Team Score]],"Tie","Lose"))</f>
        <v>Win</v>
      </c>
      <c r="M1190" t="s">
        <v>275</v>
      </c>
      <c r="N1190">
        <v>89</v>
      </c>
      <c r="O1190" s="3">
        <v>8.3333333333333329E-2</v>
      </c>
      <c r="P1190" t="s">
        <v>31</v>
      </c>
      <c r="Q1190" t="s">
        <v>347</v>
      </c>
      <c r="R1190" t="e">
        <f>IF([1]!Table13[[#This Row],[Goal_assist]]="",1,0)</f>
        <v>#REF!</v>
      </c>
    </row>
    <row r="1191" spans="1:18" x14ac:dyDescent="0.35">
      <c r="A1191" t="s">
        <v>64</v>
      </c>
      <c r="B1191" t="s">
        <v>319</v>
      </c>
      <c r="C1191" t="s">
        <v>65</v>
      </c>
      <c r="D1191">
        <v>29</v>
      </c>
      <c r="E1191" s="2">
        <v>43554</v>
      </c>
      <c r="F1191" t="s">
        <v>16</v>
      </c>
      <c r="G1191" t="s">
        <v>66</v>
      </c>
      <c r="H1191" t="s">
        <v>121</v>
      </c>
      <c r="I1191" s="3">
        <v>8.3333333333333329E-2</v>
      </c>
      <c r="J1191" s="8" t="s">
        <v>445</v>
      </c>
      <c r="K1191" s="8" t="s">
        <v>443</v>
      </c>
      <c r="L1191" s="8" t="str">
        <f>IF(Table1346[[#This Row],[Home Team Score]]&gt;Table1346[[#This Row],[Away Team Score]],"Win",IF(Table1346[[#This Row],[Home Team Score]]=Table1346[[#This Row],[Away Team Score]],"Tie","Lose"))</f>
        <v>Win</v>
      </c>
      <c r="M1191" t="s">
        <v>275</v>
      </c>
      <c r="N1191">
        <v>71</v>
      </c>
      <c r="O1191" s="3">
        <v>4.1666666666666664E-2</v>
      </c>
      <c r="P1191" t="s">
        <v>39</v>
      </c>
      <c r="R1191" t="e">
        <f>IF([1]!Table13[[#This Row],[Goal_assist]]="",1,0)</f>
        <v>#REF!</v>
      </c>
    </row>
    <row r="1192" spans="1:18" x14ac:dyDescent="0.35">
      <c r="A1192" t="s">
        <v>64</v>
      </c>
      <c r="B1192" t="s">
        <v>319</v>
      </c>
      <c r="C1192" t="s">
        <v>65</v>
      </c>
      <c r="D1192">
        <v>30</v>
      </c>
      <c r="E1192" s="2">
        <v>43557</v>
      </c>
      <c r="F1192" t="s">
        <v>24</v>
      </c>
      <c r="G1192" t="s">
        <v>66</v>
      </c>
      <c r="H1192" t="s">
        <v>180</v>
      </c>
      <c r="I1192" s="3">
        <v>0.16944444444444445</v>
      </c>
      <c r="J1192" s="8" t="s">
        <v>446</v>
      </c>
      <c r="K1192" s="8" t="s">
        <v>446</v>
      </c>
      <c r="L1192" s="8" t="str">
        <f>IF(Table1346[[#This Row],[Home Team Score]]&gt;Table1346[[#This Row],[Away Team Score]],"Win",IF(Table1346[[#This Row],[Home Team Score]]=Table1346[[#This Row],[Away Team Score]],"Tie","Lose"))</f>
        <v>Tie</v>
      </c>
      <c r="M1192" t="s">
        <v>38</v>
      </c>
      <c r="N1192">
        <v>90</v>
      </c>
      <c r="O1192" s="3">
        <v>0.16875000000000001</v>
      </c>
      <c r="P1192" t="s">
        <v>39</v>
      </c>
      <c r="R1192" t="e">
        <f>IF([1]!Table13[[#This Row],[Goal_assist]]="",1,0)</f>
        <v>#REF!</v>
      </c>
    </row>
    <row r="1193" spans="1:18" x14ac:dyDescent="0.35">
      <c r="A1193" t="s">
        <v>64</v>
      </c>
      <c r="B1193" t="s">
        <v>319</v>
      </c>
      <c r="C1193" t="s">
        <v>65</v>
      </c>
      <c r="D1193">
        <v>31</v>
      </c>
      <c r="E1193" s="2">
        <v>43561</v>
      </c>
      <c r="F1193" t="s">
        <v>16</v>
      </c>
      <c r="G1193" t="s">
        <v>66</v>
      </c>
      <c r="H1193" t="s">
        <v>119</v>
      </c>
      <c r="I1193" s="3">
        <v>8.3333333333333329E-2</v>
      </c>
      <c r="J1193" s="8" t="s">
        <v>445</v>
      </c>
      <c r="K1193" s="8" t="s">
        <v>443</v>
      </c>
      <c r="L1193" s="8" t="str">
        <f>IF(Table1346[[#This Row],[Home Team Score]]&gt;Table1346[[#This Row],[Away Team Score]],"Win",IF(Table1346[[#This Row],[Home Team Score]]=Table1346[[#This Row],[Away Team Score]],"Tie","Lose"))</f>
        <v>Win</v>
      </c>
      <c r="M1193" t="s">
        <v>311</v>
      </c>
      <c r="N1193">
        <v>87</v>
      </c>
      <c r="O1193" s="3">
        <v>8.3333333333333329E-2</v>
      </c>
      <c r="P1193" t="s">
        <v>31</v>
      </c>
      <c r="R1193" t="e">
        <f>IF([1]!Table13[[#This Row],[Goal_assist]]="",1,0)</f>
        <v>#REF!</v>
      </c>
    </row>
    <row r="1194" spans="1:18" x14ac:dyDescent="0.35">
      <c r="A1194" t="s">
        <v>14</v>
      </c>
      <c r="B1194" t="s">
        <v>319</v>
      </c>
      <c r="C1194" t="s">
        <v>75</v>
      </c>
      <c r="D1194" t="s">
        <v>92</v>
      </c>
      <c r="E1194" s="2">
        <v>43565</v>
      </c>
      <c r="F1194" t="s">
        <v>24</v>
      </c>
      <c r="G1194" t="s">
        <v>260</v>
      </c>
      <c r="H1194" t="s">
        <v>214</v>
      </c>
      <c r="I1194" s="3">
        <v>4.2361111111111113E-2</v>
      </c>
      <c r="J1194" s="8" t="s">
        <v>444</v>
      </c>
      <c r="K1194" s="8" t="s">
        <v>444</v>
      </c>
      <c r="L1194" s="8" t="str">
        <f>IF(Table1346[[#This Row],[Home Team Score]]&gt;Table1346[[#This Row],[Away Team Score]],"Win",IF(Table1346[[#This Row],[Home Team Score]]=Table1346[[#This Row],[Away Team Score]],"Tie","Lose"))</f>
        <v>Tie</v>
      </c>
      <c r="M1194" t="s">
        <v>19</v>
      </c>
      <c r="N1194">
        <v>45</v>
      </c>
      <c r="O1194" s="3">
        <v>6.9444444444444447E-4</v>
      </c>
      <c r="P1194" t="s">
        <v>22</v>
      </c>
      <c r="Q1194" t="s">
        <v>346</v>
      </c>
      <c r="R1194" t="e">
        <f>IF([1]!Table13[[#This Row],[Goal_assist]]="",1,0)</f>
        <v>#REF!</v>
      </c>
    </row>
    <row r="1195" spans="1:18" x14ac:dyDescent="0.35">
      <c r="A1195" t="s">
        <v>64</v>
      </c>
      <c r="B1195" t="s">
        <v>319</v>
      </c>
      <c r="C1195" t="s">
        <v>75</v>
      </c>
      <c r="D1195" t="s">
        <v>92</v>
      </c>
      <c r="E1195" s="2">
        <v>43571</v>
      </c>
      <c r="F1195" t="s">
        <v>16</v>
      </c>
      <c r="G1195" t="s">
        <v>66</v>
      </c>
      <c r="H1195" t="s">
        <v>36</v>
      </c>
      <c r="I1195" s="3">
        <v>0.125</v>
      </c>
      <c r="J1195" s="8" t="s">
        <v>442</v>
      </c>
      <c r="K1195" s="8" t="s">
        <v>443</v>
      </c>
      <c r="L1195" s="8" t="str">
        <f>IF(Table1346[[#This Row],[Home Team Score]]&gt;Table1346[[#This Row],[Away Team Score]],"Win",IF(Table1346[[#This Row],[Home Team Score]]=Table1346[[#This Row],[Away Team Score]],"Tie","Lose"))</f>
        <v>Win</v>
      </c>
      <c r="M1195" t="s">
        <v>275</v>
      </c>
      <c r="N1195">
        <v>20</v>
      </c>
      <c r="O1195" s="3">
        <v>8.3333333333333329E-2</v>
      </c>
      <c r="P1195" t="s">
        <v>26</v>
      </c>
      <c r="R1195" t="e">
        <f>IF([1]!Table13[[#This Row],[Goal_assist]]="",1,0)</f>
        <v>#REF!</v>
      </c>
    </row>
    <row r="1196" spans="1:18" x14ac:dyDescent="0.35">
      <c r="A1196" t="s">
        <v>64</v>
      </c>
      <c r="B1196" t="s">
        <v>319</v>
      </c>
      <c r="C1196" t="s">
        <v>75</v>
      </c>
      <c r="D1196" t="s">
        <v>92</v>
      </c>
      <c r="E1196" s="2">
        <v>43571</v>
      </c>
      <c r="F1196" t="s">
        <v>16</v>
      </c>
      <c r="G1196" t="s">
        <v>66</v>
      </c>
      <c r="H1196" t="s">
        <v>36</v>
      </c>
      <c r="I1196" s="3">
        <v>0.125</v>
      </c>
      <c r="J1196" s="8" t="s">
        <v>442</v>
      </c>
      <c r="K1196" s="8" t="s">
        <v>443</v>
      </c>
      <c r="L1196" s="8" t="str">
        <f>IF(Table1346[[#This Row],[Home Team Score]]&gt;Table1346[[#This Row],[Away Team Score]],"Win",IF(Table1346[[#This Row],[Home Team Score]]=Table1346[[#This Row],[Away Team Score]],"Tie","Lose"))</f>
        <v>Win</v>
      </c>
      <c r="M1196" t="s">
        <v>275</v>
      </c>
      <c r="N1196">
        <v>16</v>
      </c>
      <c r="O1196" s="3">
        <v>4.1666666666666664E-2</v>
      </c>
      <c r="P1196" t="s">
        <v>31</v>
      </c>
      <c r="R1196" t="e">
        <f>IF([1]!Table13[[#This Row],[Goal_assist]]="",1,0)</f>
        <v>#REF!</v>
      </c>
    </row>
    <row r="1197" spans="1:18" x14ac:dyDescent="0.35">
      <c r="A1197" t="s">
        <v>14</v>
      </c>
      <c r="B1197" t="s">
        <v>319</v>
      </c>
      <c r="C1197" t="s">
        <v>75</v>
      </c>
      <c r="D1197" t="s">
        <v>92</v>
      </c>
      <c r="E1197" s="2">
        <v>43571</v>
      </c>
      <c r="F1197" t="s">
        <v>16</v>
      </c>
      <c r="G1197" t="s">
        <v>260</v>
      </c>
      <c r="H1197" t="s">
        <v>214</v>
      </c>
      <c r="I1197" s="3">
        <v>4.3055555555555555E-2</v>
      </c>
      <c r="J1197" s="8" t="s">
        <v>444</v>
      </c>
      <c r="K1197" s="8" t="s">
        <v>445</v>
      </c>
      <c r="L1197" s="8" t="str">
        <f>IF(Table1346[[#This Row],[Home Team Score]]&gt;Table1346[[#This Row],[Away Team Score]],"Win",IF(Table1346[[#This Row],[Home Team Score]]=Table1346[[#This Row],[Away Team Score]],"Tie","Lose"))</f>
        <v>Lose</v>
      </c>
      <c r="M1197" t="s">
        <v>19</v>
      </c>
      <c r="N1197">
        <v>28</v>
      </c>
      <c r="O1197" s="3">
        <v>4.1666666666666664E-2</v>
      </c>
      <c r="P1197" t="s">
        <v>22</v>
      </c>
      <c r="Q1197" t="s">
        <v>334</v>
      </c>
      <c r="R1197" t="e">
        <f>IF([1]!Table13[[#This Row],[Goal_assist]]="",1,0)</f>
        <v>#REF!</v>
      </c>
    </row>
    <row r="1198" spans="1:18" x14ac:dyDescent="0.35">
      <c r="A1198" t="s">
        <v>14</v>
      </c>
      <c r="B1198" t="s">
        <v>319</v>
      </c>
      <c r="C1198" t="s">
        <v>321</v>
      </c>
      <c r="D1198">
        <v>34</v>
      </c>
      <c r="E1198" s="2">
        <v>43582</v>
      </c>
      <c r="F1198" t="s">
        <v>24</v>
      </c>
      <c r="G1198" t="s">
        <v>260</v>
      </c>
      <c r="H1198" t="s">
        <v>348</v>
      </c>
      <c r="I1198" s="3">
        <v>4.2361111111111113E-2</v>
      </c>
      <c r="J1198" s="8" t="s">
        <v>444</v>
      </c>
      <c r="K1198" s="8" t="s">
        <v>444</v>
      </c>
      <c r="L1198" s="8" t="str">
        <f>IF(Table1346[[#This Row],[Home Team Score]]&gt;Table1346[[#This Row],[Away Team Score]],"Win",IF(Table1346[[#This Row],[Home Team Score]]=Table1346[[#This Row],[Away Team Score]],"Tie","Lose"))</f>
        <v>Tie</v>
      </c>
      <c r="M1198" t="s">
        <v>68</v>
      </c>
      <c r="N1198">
        <v>62</v>
      </c>
      <c r="O1198" s="3">
        <v>4.2361111111111113E-2</v>
      </c>
      <c r="P1198" t="s">
        <v>31</v>
      </c>
      <c r="Q1198" t="s">
        <v>334</v>
      </c>
      <c r="R1198" t="e">
        <f>IF([1]!Table13[[#This Row],[Goal_assist]]="",1,0)</f>
        <v>#REF!</v>
      </c>
    </row>
    <row r="1199" spans="1:18" x14ac:dyDescent="0.35">
      <c r="A1199" t="s">
        <v>64</v>
      </c>
      <c r="B1199" t="s">
        <v>319</v>
      </c>
      <c r="C1199" t="s">
        <v>65</v>
      </c>
      <c r="D1199">
        <v>35</v>
      </c>
      <c r="E1199" s="2">
        <v>43582</v>
      </c>
      <c r="F1199" t="s">
        <v>16</v>
      </c>
      <c r="G1199" t="s">
        <v>66</v>
      </c>
      <c r="H1199" t="s">
        <v>127</v>
      </c>
      <c r="I1199" s="3">
        <v>4.1666666666666664E-2</v>
      </c>
      <c r="J1199" s="8" t="s">
        <v>444</v>
      </c>
      <c r="K1199" s="8" t="s">
        <v>443</v>
      </c>
      <c r="L1199" s="8" t="str">
        <f>IF(Table1346[[#This Row],[Home Team Score]]&gt;Table1346[[#This Row],[Away Team Score]],"Win",IF(Table1346[[#This Row],[Home Team Score]]=Table1346[[#This Row],[Away Team Score]],"Tie","Lose"))</f>
        <v>Win</v>
      </c>
      <c r="M1199" t="s">
        <v>38</v>
      </c>
      <c r="N1199">
        <v>62</v>
      </c>
      <c r="O1199" s="3">
        <v>4.1666666666666664E-2</v>
      </c>
      <c r="P1199" t="s">
        <v>31</v>
      </c>
      <c r="Q1199" t="s">
        <v>326</v>
      </c>
      <c r="R1199" t="e">
        <f>IF([1]!Table13[[#This Row],[Goal_assist]]="",1,0)</f>
        <v>#REF!</v>
      </c>
    </row>
    <row r="1200" spans="1:18" x14ac:dyDescent="0.35">
      <c r="A1200" t="s">
        <v>64</v>
      </c>
      <c r="B1200" t="s">
        <v>319</v>
      </c>
      <c r="C1200" t="s">
        <v>75</v>
      </c>
      <c r="D1200" t="s">
        <v>62</v>
      </c>
      <c r="E1200" s="2">
        <v>43586</v>
      </c>
      <c r="F1200" t="s">
        <v>16</v>
      </c>
      <c r="G1200" t="s">
        <v>66</v>
      </c>
      <c r="H1200" t="s">
        <v>145</v>
      </c>
      <c r="I1200" s="3">
        <v>0.125</v>
      </c>
      <c r="J1200" s="8" t="s">
        <v>442</v>
      </c>
      <c r="K1200" s="8" t="s">
        <v>443</v>
      </c>
      <c r="L1200" s="8" t="str">
        <f>IF(Table1346[[#This Row],[Home Team Score]]&gt;Table1346[[#This Row],[Away Team Score]],"Win",IF(Table1346[[#This Row],[Home Team Score]]=Table1346[[#This Row],[Away Team Score]],"Tie","Lose"))</f>
        <v>Win</v>
      </c>
      <c r="M1200" t="s">
        <v>275</v>
      </c>
      <c r="N1200">
        <v>82</v>
      </c>
      <c r="O1200" s="3">
        <v>0.125</v>
      </c>
      <c r="P1200" t="s">
        <v>39</v>
      </c>
      <c r="R1200" t="e">
        <f>IF([1]!Table13[[#This Row],[Goal_assist]]="",1,0)</f>
        <v>#REF!</v>
      </c>
    </row>
    <row r="1201" spans="1:18" x14ac:dyDescent="0.35">
      <c r="A1201" t="s">
        <v>64</v>
      </c>
      <c r="B1201" t="s">
        <v>319</v>
      </c>
      <c r="C1201" t="s">
        <v>75</v>
      </c>
      <c r="D1201" t="s">
        <v>62</v>
      </c>
      <c r="E1201" s="2">
        <v>43586</v>
      </c>
      <c r="F1201" t="s">
        <v>16</v>
      </c>
      <c r="G1201" t="s">
        <v>66</v>
      </c>
      <c r="H1201" t="s">
        <v>145</v>
      </c>
      <c r="I1201" s="3">
        <v>0.125</v>
      </c>
      <c r="J1201" s="8" t="s">
        <v>442</v>
      </c>
      <c r="K1201" s="8" t="s">
        <v>443</v>
      </c>
      <c r="L1201" s="8" t="str">
        <f>IF(Table1346[[#This Row],[Home Team Score]]&gt;Table1346[[#This Row],[Away Team Score]],"Win",IF(Table1346[[#This Row],[Home Team Score]]=Table1346[[#This Row],[Away Team Score]],"Tie","Lose"))</f>
        <v>Win</v>
      </c>
      <c r="M1201" t="s">
        <v>275</v>
      </c>
      <c r="N1201">
        <v>75</v>
      </c>
      <c r="O1201" s="3">
        <v>8.3333333333333329E-2</v>
      </c>
      <c r="P1201" t="s">
        <v>31</v>
      </c>
      <c r="Q1201" t="s">
        <v>273</v>
      </c>
      <c r="R1201" t="e">
        <f>IF([1]!Table13[[#This Row],[Goal_assist]]="",1,0)</f>
        <v>#REF!</v>
      </c>
    </row>
    <row r="1202" spans="1:18" x14ac:dyDescent="0.35">
      <c r="A1202" t="s">
        <v>14</v>
      </c>
      <c r="B1202" t="s">
        <v>319</v>
      </c>
      <c r="C1202" t="s">
        <v>321</v>
      </c>
      <c r="D1202">
        <v>35</v>
      </c>
      <c r="E1202" s="2">
        <v>43588</v>
      </c>
      <c r="F1202" t="s">
        <v>16</v>
      </c>
      <c r="G1202" t="s">
        <v>260</v>
      </c>
      <c r="H1202" t="s">
        <v>336</v>
      </c>
      <c r="I1202" s="3">
        <v>4.2361111111111113E-2</v>
      </c>
      <c r="J1202" s="8" t="s">
        <v>444</v>
      </c>
      <c r="K1202" s="8" t="s">
        <v>444</v>
      </c>
      <c r="L1202" s="8" t="str">
        <f>IF(Table1346[[#This Row],[Home Team Score]]&gt;Table1346[[#This Row],[Away Team Score]],"Win",IF(Table1346[[#This Row],[Home Team Score]]=Table1346[[#This Row],[Away Team Score]],"Tie","Lose"))</f>
        <v>Tie</v>
      </c>
      <c r="M1202" t="s">
        <v>68</v>
      </c>
      <c r="N1202">
        <v>84</v>
      </c>
      <c r="O1202" s="3">
        <v>4.2361111111111113E-2</v>
      </c>
      <c r="P1202" t="s">
        <v>22</v>
      </c>
      <c r="Q1202" t="s">
        <v>349</v>
      </c>
      <c r="R1202" t="e">
        <f>IF([1]!Table13[[#This Row],[Goal_assist]]="",1,0)</f>
        <v>#REF!</v>
      </c>
    </row>
    <row r="1203" spans="1:18" x14ac:dyDescent="0.35">
      <c r="A1203" t="s">
        <v>64</v>
      </c>
      <c r="B1203" t="s">
        <v>319</v>
      </c>
      <c r="C1203" t="s">
        <v>65</v>
      </c>
      <c r="D1203">
        <v>38</v>
      </c>
      <c r="E1203" s="2">
        <v>43604</v>
      </c>
      <c r="F1203" t="s">
        <v>24</v>
      </c>
      <c r="G1203" t="s">
        <v>66</v>
      </c>
      <c r="H1203" t="s">
        <v>270</v>
      </c>
      <c r="I1203" s="3">
        <v>8.4722222222222227E-2</v>
      </c>
      <c r="J1203" s="8" t="s">
        <v>445</v>
      </c>
      <c r="K1203" s="8" t="s">
        <v>445</v>
      </c>
      <c r="L1203" s="8" t="str">
        <f>IF(Table1346[[#This Row],[Home Team Score]]&gt;Table1346[[#This Row],[Away Team Score]],"Win",IF(Table1346[[#This Row],[Home Team Score]]=Table1346[[#This Row],[Away Team Score]],"Tie","Lose"))</f>
        <v>Tie</v>
      </c>
      <c r="M1203" t="s">
        <v>251</v>
      </c>
      <c r="N1203">
        <v>31</v>
      </c>
      <c r="O1203" s="3">
        <v>4.2361111111111113E-2</v>
      </c>
      <c r="P1203" t="s">
        <v>31</v>
      </c>
      <c r="Q1203" t="s">
        <v>326</v>
      </c>
      <c r="R1203" t="e">
        <f>IF([1]!Table13[[#This Row],[Goal_assist]]="",1,0)</f>
        <v>#REF!</v>
      </c>
    </row>
    <row r="1204" spans="1:18" x14ac:dyDescent="0.35">
      <c r="A1204" t="s">
        <v>64</v>
      </c>
      <c r="B1204" t="s">
        <v>319</v>
      </c>
      <c r="C1204" t="s">
        <v>65</v>
      </c>
      <c r="D1204">
        <v>38</v>
      </c>
      <c r="E1204" s="2">
        <v>43604</v>
      </c>
      <c r="F1204" t="s">
        <v>24</v>
      </c>
      <c r="G1204" t="s">
        <v>66</v>
      </c>
      <c r="H1204" t="s">
        <v>270</v>
      </c>
      <c r="I1204" s="3">
        <v>8.4722222222222227E-2</v>
      </c>
      <c r="J1204" s="8" t="s">
        <v>445</v>
      </c>
      <c r="K1204" s="8" t="s">
        <v>445</v>
      </c>
      <c r="L1204" s="8" t="str">
        <f>IF(Table1346[[#This Row],[Home Team Score]]&gt;Table1346[[#This Row],[Away Team Score]],"Win",IF(Table1346[[#This Row],[Home Team Score]]=Table1346[[#This Row],[Away Team Score]],"Tie","Lose"))</f>
        <v>Tie</v>
      </c>
      <c r="M1204" t="s">
        <v>251</v>
      </c>
      <c r="N1204">
        <v>32</v>
      </c>
      <c r="O1204" s="3">
        <v>4.3055555555555555E-2</v>
      </c>
      <c r="P1204" t="s">
        <v>31</v>
      </c>
      <c r="Q1204" t="s">
        <v>276</v>
      </c>
      <c r="R1204" t="e">
        <f>IF([1]!Table13[[#This Row],[Goal_assist]]="",1,0)</f>
        <v>#REF!</v>
      </c>
    </row>
    <row r="1205" spans="1:18" x14ac:dyDescent="0.35">
      <c r="A1205" t="s">
        <v>64</v>
      </c>
      <c r="B1205" t="s">
        <v>319</v>
      </c>
      <c r="C1205" t="s">
        <v>91</v>
      </c>
      <c r="D1205" t="s">
        <v>46</v>
      </c>
      <c r="E1205" s="2">
        <v>43610</v>
      </c>
      <c r="F1205" t="s">
        <v>16</v>
      </c>
      <c r="G1205" t="s">
        <v>66</v>
      </c>
      <c r="H1205" t="s">
        <v>148</v>
      </c>
      <c r="I1205" s="3">
        <v>4.3055555555555555E-2</v>
      </c>
      <c r="J1205" s="8" t="s">
        <v>444</v>
      </c>
      <c r="K1205" s="8" t="s">
        <v>445</v>
      </c>
      <c r="L1205" s="8" t="str">
        <f>IF(Table1346[[#This Row],[Home Team Score]]&gt;Table1346[[#This Row],[Away Team Score]],"Win",IF(Table1346[[#This Row],[Home Team Score]]=Table1346[[#This Row],[Away Team Score]],"Tie","Lose"))</f>
        <v>Lose</v>
      </c>
      <c r="M1205" t="s">
        <v>251</v>
      </c>
      <c r="N1205">
        <v>73</v>
      </c>
      <c r="O1205" s="3">
        <v>4.3055555555555555E-2</v>
      </c>
      <c r="P1205" t="s">
        <v>31</v>
      </c>
      <c r="Q1205" t="s">
        <v>350</v>
      </c>
      <c r="R1205" t="e">
        <f>IF([1]!Table13[[#This Row],[Goal_assist]]="",1,0)</f>
        <v>#REF!</v>
      </c>
    </row>
    <row r="1206" spans="1:18" x14ac:dyDescent="0.35">
      <c r="A1206" t="s">
        <v>14</v>
      </c>
      <c r="B1206" t="s">
        <v>351</v>
      </c>
      <c r="C1206" t="s">
        <v>321</v>
      </c>
      <c r="D1206">
        <v>2</v>
      </c>
      <c r="E1206" s="2">
        <v>43708</v>
      </c>
      <c r="F1206" t="s">
        <v>16</v>
      </c>
      <c r="G1206" t="s">
        <v>260</v>
      </c>
      <c r="H1206" t="s">
        <v>352</v>
      </c>
      <c r="I1206" s="3">
        <v>0.16875000000000001</v>
      </c>
      <c r="J1206" s="8" t="s">
        <v>446</v>
      </c>
      <c r="K1206" s="8" t="s">
        <v>442</v>
      </c>
      <c r="L1206" s="8" t="str">
        <f>IF(Table1346[[#This Row],[Home Team Score]]&gt;Table1346[[#This Row],[Away Team Score]],"Win",IF(Table1346[[#This Row],[Home Team Score]]=Table1346[[#This Row],[Away Team Score]],"Tie","Lose"))</f>
        <v>Win</v>
      </c>
      <c r="M1206" t="s">
        <v>19</v>
      </c>
      <c r="N1206">
        <v>62</v>
      </c>
      <c r="O1206" s="3">
        <v>0.125</v>
      </c>
      <c r="P1206" t="s">
        <v>31</v>
      </c>
      <c r="Q1206" t="s">
        <v>353</v>
      </c>
      <c r="R1206" t="e">
        <f>IF([1]!Table13[[#This Row],[Goal_assist]]="",1,0)</f>
        <v>#REF!</v>
      </c>
    </row>
    <row r="1207" spans="1:18" x14ac:dyDescent="0.35">
      <c r="A1207" t="s">
        <v>14</v>
      </c>
      <c r="B1207" t="s">
        <v>351</v>
      </c>
      <c r="C1207" t="s">
        <v>321</v>
      </c>
      <c r="D1207">
        <v>4</v>
      </c>
      <c r="E1207" s="2">
        <v>43729</v>
      </c>
      <c r="F1207" t="s">
        <v>16</v>
      </c>
      <c r="G1207" t="s">
        <v>260</v>
      </c>
      <c r="H1207" t="s">
        <v>354</v>
      </c>
      <c r="I1207" s="3">
        <v>8.4027777777777785E-2</v>
      </c>
      <c r="J1207" s="8" t="s">
        <v>445</v>
      </c>
      <c r="K1207" s="8" t="s">
        <v>444</v>
      </c>
      <c r="L1207" s="8" t="str">
        <f>IF(Table1346[[#This Row],[Home Team Score]]&gt;Table1346[[#This Row],[Away Team Score]],"Win",IF(Table1346[[#This Row],[Home Team Score]]=Table1346[[#This Row],[Away Team Score]],"Tie","Lose"))</f>
        <v>Win</v>
      </c>
      <c r="M1207" t="s">
        <v>19</v>
      </c>
      <c r="N1207">
        <v>49</v>
      </c>
      <c r="O1207" s="3">
        <v>8.4027777777777785E-2</v>
      </c>
      <c r="P1207" t="s">
        <v>83</v>
      </c>
      <c r="R1207" t="e">
        <f>IF([1]!Table13[[#This Row],[Goal_assist]]="",1,0)</f>
        <v>#REF!</v>
      </c>
    </row>
    <row r="1208" spans="1:18" x14ac:dyDescent="0.35">
      <c r="A1208" t="s">
        <v>14</v>
      </c>
      <c r="B1208" t="s">
        <v>351</v>
      </c>
      <c r="C1208" t="s">
        <v>321</v>
      </c>
      <c r="D1208">
        <v>6</v>
      </c>
      <c r="E1208" s="2">
        <v>43736</v>
      </c>
      <c r="F1208" t="s">
        <v>16</v>
      </c>
      <c r="G1208" t="s">
        <v>260</v>
      </c>
      <c r="H1208" t="s">
        <v>333</v>
      </c>
      <c r="I1208" s="3">
        <v>8.3333333333333329E-2</v>
      </c>
      <c r="J1208" s="8" t="s">
        <v>445</v>
      </c>
      <c r="K1208" s="8" t="s">
        <v>443</v>
      </c>
      <c r="L1208" s="8" t="str">
        <f>IF(Table1346[[#This Row],[Home Team Score]]&gt;Table1346[[#This Row],[Away Team Score]],"Win",IF(Table1346[[#This Row],[Home Team Score]]=Table1346[[#This Row],[Away Team Score]],"Tie","Lose"))</f>
        <v>Win</v>
      </c>
      <c r="M1208" t="s">
        <v>68</v>
      </c>
      <c r="N1208">
        <v>78</v>
      </c>
      <c r="O1208" s="3">
        <v>8.3333333333333329E-2</v>
      </c>
      <c r="P1208" t="s">
        <v>22</v>
      </c>
      <c r="Q1208" t="s">
        <v>340</v>
      </c>
      <c r="R1208" t="e">
        <f>IF([1]!Table13[[#This Row],[Goal_assist]]="",1,0)</f>
        <v>#REF!</v>
      </c>
    </row>
    <row r="1209" spans="1:18" x14ac:dyDescent="0.35">
      <c r="A1209" t="s">
        <v>14</v>
      </c>
      <c r="B1209" t="s">
        <v>351</v>
      </c>
      <c r="C1209" t="s">
        <v>75</v>
      </c>
      <c r="D1209" t="s">
        <v>76</v>
      </c>
      <c r="E1209" s="2">
        <v>43739</v>
      </c>
      <c r="F1209" t="s">
        <v>16</v>
      </c>
      <c r="G1209" t="s">
        <v>260</v>
      </c>
      <c r="H1209" t="s">
        <v>236</v>
      </c>
      <c r="I1209" s="3">
        <v>0.125</v>
      </c>
      <c r="J1209" s="8" t="s">
        <v>442</v>
      </c>
      <c r="K1209" s="8" t="s">
        <v>443</v>
      </c>
      <c r="L1209" s="8" t="str">
        <f>IF(Table1346[[#This Row],[Home Team Score]]&gt;Table1346[[#This Row],[Away Team Score]],"Win",IF(Table1346[[#This Row],[Home Team Score]]=Table1346[[#This Row],[Away Team Score]],"Tie","Lose"))</f>
        <v>Win</v>
      </c>
      <c r="M1209" t="s">
        <v>68</v>
      </c>
      <c r="N1209">
        <v>89</v>
      </c>
      <c r="O1209" s="3">
        <v>0.125</v>
      </c>
      <c r="P1209" t="s">
        <v>26</v>
      </c>
      <c r="Q1209" t="s">
        <v>340</v>
      </c>
      <c r="R1209" t="e">
        <f>IF([1]!Table13[[#This Row],[Goal_assist]]="",1,0)</f>
        <v>#REF!</v>
      </c>
    </row>
    <row r="1210" spans="1:18" x14ac:dyDescent="0.35">
      <c r="A1210" t="s">
        <v>64</v>
      </c>
      <c r="B1210" t="s">
        <v>351</v>
      </c>
      <c r="C1210" t="s">
        <v>65</v>
      </c>
      <c r="D1210">
        <v>8</v>
      </c>
      <c r="E1210" s="2">
        <v>43744</v>
      </c>
      <c r="F1210" t="s">
        <v>16</v>
      </c>
      <c r="G1210" t="s">
        <v>66</v>
      </c>
      <c r="H1210" t="s">
        <v>105</v>
      </c>
      <c r="I1210" s="3">
        <v>0.16666666666666666</v>
      </c>
      <c r="J1210" s="8" t="s">
        <v>446</v>
      </c>
      <c r="K1210" s="8" t="s">
        <v>443</v>
      </c>
      <c r="L1210" s="8" t="str">
        <f>IF(Table1346[[#This Row],[Home Team Score]]&gt;Table1346[[#This Row],[Away Team Score]],"Win",IF(Table1346[[#This Row],[Home Team Score]]=Table1346[[#This Row],[Away Team Score]],"Tie","Lose"))</f>
        <v>Win</v>
      </c>
      <c r="M1210" t="s">
        <v>275</v>
      </c>
      <c r="N1210">
        <v>78</v>
      </c>
      <c r="O1210" s="3">
        <v>0.16666666666666666</v>
      </c>
      <c r="P1210" t="s">
        <v>39</v>
      </c>
      <c r="R1210" t="e">
        <f>IF([1]!Table13[[#This Row],[Goal_assist]]="",1,0)</f>
        <v>#REF!</v>
      </c>
    </row>
    <row r="1211" spans="1:18" x14ac:dyDescent="0.35">
      <c r="A1211" t="s">
        <v>64</v>
      </c>
      <c r="B1211" t="s">
        <v>351</v>
      </c>
      <c r="C1211" t="s">
        <v>65</v>
      </c>
      <c r="D1211">
        <v>9</v>
      </c>
      <c r="E1211" s="2">
        <v>43757</v>
      </c>
      <c r="F1211" t="s">
        <v>24</v>
      </c>
      <c r="G1211" t="s">
        <v>66</v>
      </c>
      <c r="H1211" t="s">
        <v>270</v>
      </c>
      <c r="I1211" s="3">
        <v>2.0833333333333333E-3</v>
      </c>
      <c r="J1211" s="8" t="s">
        <v>443</v>
      </c>
      <c r="K1211" s="8" t="s">
        <v>442</v>
      </c>
      <c r="L1211" s="8" t="str">
        <f>IF(Table1346[[#This Row],[Home Team Score]]&gt;Table1346[[#This Row],[Away Team Score]],"Win",IF(Table1346[[#This Row],[Home Team Score]]=Table1346[[#This Row],[Away Team Score]],"Tie","Lose"))</f>
        <v>Lose</v>
      </c>
      <c r="M1211" t="s">
        <v>275</v>
      </c>
      <c r="N1211">
        <v>58</v>
      </c>
      <c r="O1211" s="3">
        <v>1.3888888888888889E-3</v>
      </c>
      <c r="P1211" t="s">
        <v>31</v>
      </c>
      <c r="Q1211" t="s">
        <v>355</v>
      </c>
      <c r="R1211" t="e">
        <f>IF([1]!Table13[[#This Row],[Goal_assist]]="",1,0)</f>
        <v>#REF!</v>
      </c>
    </row>
    <row r="1212" spans="1:18" x14ac:dyDescent="0.35">
      <c r="A1212" t="s">
        <v>14</v>
      </c>
      <c r="B1212" t="s">
        <v>351</v>
      </c>
      <c r="C1212" t="s">
        <v>321</v>
      </c>
      <c r="D1212">
        <v>8</v>
      </c>
      <c r="E1212" s="2">
        <v>43757</v>
      </c>
      <c r="F1212" t="s">
        <v>16</v>
      </c>
      <c r="G1212" t="s">
        <v>260</v>
      </c>
      <c r="H1212" t="s">
        <v>356</v>
      </c>
      <c r="I1212" s="3">
        <v>8.4027777777777785E-2</v>
      </c>
      <c r="J1212" s="8" t="s">
        <v>445</v>
      </c>
      <c r="K1212" s="8" t="s">
        <v>444</v>
      </c>
      <c r="L1212" s="8" t="str">
        <f>IF(Table1346[[#This Row],[Home Team Score]]&gt;Table1346[[#This Row],[Away Team Score]],"Win",IF(Table1346[[#This Row],[Home Team Score]]=Table1346[[#This Row],[Away Team Score]],"Tie","Lose"))</f>
        <v>Win</v>
      </c>
      <c r="M1212" t="s">
        <v>68</v>
      </c>
      <c r="N1212">
        <v>19</v>
      </c>
      <c r="O1212" s="3">
        <v>4.1666666666666664E-2</v>
      </c>
      <c r="P1212" t="s">
        <v>26</v>
      </c>
      <c r="R1212" t="e">
        <f>IF([1]!Table13[[#This Row],[Goal_assist]]="",1,0)</f>
        <v>#REF!</v>
      </c>
    </row>
    <row r="1213" spans="1:18" x14ac:dyDescent="0.35">
      <c r="A1213" t="s">
        <v>64</v>
      </c>
      <c r="B1213" t="s">
        <v>351</v>
      </c>
      <c r="C1213" t="s">
        <v>75</v>
      </c>
      <c r="D1213" t="s">
        <v>76</v>
      </c>
      <c r="E1213" s="2">
        <v>43761</v>
      </c>
      <c r="F1213" t="s">
        <v>24</v>
      </c>
      <c r="G1213" t="s">
        <v>66</v>
      </c>
      <c r="H1213" t="s">
        <v>357</v>
      </c>
      <c r="I1213" s="3">
        <v>4.3055555555555555E-2</v>
      </c>
      <c r="J1213" s="8" t="s">
        <v>444</v>
      </c>
      <c r="K1213" s="8" t="s">
        <v>445</v>
      </c>
      <c r="L1213" s="8" t="str">
        <f>IF(Table1346[[#This Row],[Home Team Score]]&gt;Table1346[[#This Row],[Away Team Score]],"Win",IF(Table1346[[#This Row],[Home Team Score]]=Table1346[[#This Row],[Away Team Score]],"Tie","Lose"))</f>
        <v>Lose</v>
      </c>
      <c r="M1213" t="s">
        <v>275</v>
      </c>
      <c r="N1213">
        <v>3</v>
      </c>
      <c r="O1213" s="3">
        <v>6.9444444444444447E-4</v>
      </c>
      <c r="P1213" t="s">
        <v>31</v>
      </c>
      <c r="Q1213" t="s">
        <v>358</v>
      </c>
      <c r="R1213" t="e">
        <f>IF([1]!Table13[[#This Row],[Goal_assist]]="",1,0)</f>
        <v>#REF!</v>
      </c>
    </row>
    <row r="1214" spans="1:18" x14ac:dyDescent="0.35">
      <c r="A1214" t="s">
        <v>64</v>
      </c>
      <c r="B1214" t="s">
        <v>351</v>
      </c>
      <c r="C1214" t="s">
        <v>65</v>
      </c>
      <c r="D1214">
        <v>11</v>
      </c>
      <c r="E1214" s="2">
        <v>43767</v>
      </c>
      <c r="F1214" t="s">
        <v>16</v>
      </c>
      <c r="G1214" t="s">
        <v>66</v>
      </c>
      <c r="H1214" t="s">
        <v>197</v>
      </c>
      <c r="I1214" s="3">
        <v>0.20902777777777778</v>
      </c>
      <c r="J1214" s="8" t="s">
        <v>448</v>
      </c>
      <c r="K1214" s="8" t="s">
        <v>444</v>
      </c>
      <c r="L1214" s="8" t="str">
        <f>IF(Table1346[[#This Row],[Home Team Score]]&gt;Table1346[[#This Row],[Away Team Score]],"Win",IF(Table1346[[#This Row],[Home Team Score]]=Table1346[[#This Row],[Away Team Score]],"Tie","Lose"))</f>
        <v>Win</v>
      </c>
      <c r="M1214" t="s">
        <v>275</v>
      </c>
      <c r="N1214">
        <v>75</v>
      </c>
      <c r="O1214" s="3">
        <v>0.1673611111111111</v>
      </c>
      <c r="P1214" t="s">
        <v>31</v>
      </c>
      <c r="Q1214" t="s">
        <v>276</v>
      </c>
      <c r="R1214" t="e">
        <f>IF([1]!Table13[[#This Row],[Goal_assist]]="",1,0)</f>
        <v>#REF!</v>
      </c>
    </row>
    <row r="1215" spans="1:18" x14ac:dyDescent="0.35">
      <c r="A1215" t="s">
        <v>64</v>
      </c>
      <c r="B1215" t="s">
        <v>351</v>
      </c>
      <c r="C1215" t="s">
        <v>65</v>
      </c>
      <c r="D1215">
        <v>11</v>
      </c>
      <c r="E1215" s="2">
        <v>43767</v>
      </c>
      <c r="F1215" t="s">
        <v>16</v>
      </c>
      <c r="G1215" t="s">
        <v>66</v>
      </c>
      <c r="H1215" t="s">
        <v>197</v>
      </c>
      <c r="I1215" s="3">
        <v>0.20902777777777778</v>
      </c>
      <c r="J1215" s="8" t="s">
        <v>448</v>
      </c>
      <c r="K1215" s="8" t="s">
        <v>444</v>
      </c>
      <c r="L1215" s="8" t="str">
        <f>IF(Table1346[[#This Row],[Home Team Score]]&gt;Table1346[[#This Row],[Away Team Score]],"Win",IF(Table1346[[#This Row],[Home Team Score]]=Table1346[[#This Row],[Away Team Score]],"Tie","Lose"))</f>
        <v>Win</v>
      </c>
      <c r="M1215" t="s">
        <v>275</v>
      </c>
      <c r="N1215">
        <v>34</v>
      </c>
      <c r="O1215" s="3">
        <v>0.12569444444444444</v>
      </c>
      <c r="P1215" t="s">
        <v>39</v>
      </c>
      <c r="R1215" t="e">
        <f>IF([1]!Table13[[#This Row],[Goal_assist]]="",1,0)</f>
        <v>#REF!</v>
      </c>
    </row>
    <row r="1216" spans="1:18" x14ac:dyDescent="0.35">
      <c r="A1216" t="s">
        <v>14</v>
      </c>
      <c r="B1216" t="s">
        <v>351</v>
      </c>
      <c r="C1216" t="s">
        <v>321</v>
      </c>
      <c r="D1216">
        <v>10</v>
      </c>
      <c r="E1216" s="2">
        <v>43768</v>
      </c>
      <c r="F1216" t="s">
        <v>16</v>
      </c>
      <c r="G1216" t="s">
        <v>260</v>
      </c>
      <c r="H1216" t="s">
        <v>329</v>
      </c>
      <c r="I1216" s="3">
        <v>8.4027777777777785E-2</v>
      </c>
      <c r="J1216" s="8" t="s">
        <v>445</v>
      </c>
      <c r="K1216" s="8" t="s">
        <v>444</v>
      </c>
      <c r="L1216" s="8" t="str">
        <f>IF(Table1346[[#This Row],[Home Team Score]]&gt;Table1346[[#This Row],[Away Team Score]],"Win",IF(Table1346[[#This Row],[Home Team Score]]=Table1346[[#This Row],[Away Team Score]],"Tie","Lose"))</f>
        <v>Win</v>
      </c>
      <c r="M1216" t="s">
        <v>68</v>
      </c>
      <c r="N1216" t="s">
        <v>259</v>
      </c>
      <c r="O1216" s="3">
        <v>8.4027777777777785E-2</v>
      </c>
      <c r="P1216" t="s">
        <v>83</v>
      </c>
      <c r="R1216" t="e">
        <f>IF([1]!Table13[[#This Row],[Goal_assist]]="",1,0)</f>
        <v>#REF!</v>
      </c>
    </row>
    <row r="1217" spans="1:18" x14ac:dyDescent="0.35">
      <c r="A1217" t="s">
        <v>64</v>
      </c>
      <c r="B1217" t="s">
        <v>351</v>
      </c>
      <c r="C1217" t="s">
        <v>65</v>
      </c>
      <c r="D1217">
        <v>12</v>
      </c>
      <c r="E1217" s="2">
        <v>43771</v>
      </c>
      <c r="F1217" t="s">
        <v>24</v>
      </c>
      <c r="G1217" t="s">
        <v>66</v>
      </c>
      <c r="H1217" t="s">
        <v>127</v>
      </c>
      <c r="I1217" s="3">
        <v>0.12569444444444444</v>
      </c>
      <c r="J1217" s="8" t="s">
        <v>442</v>
      </c>
      <c r="K1217" s="8" t="s">
        <v>444</v>
      </c>
      <c r="L1217" s="8" t="str">
        <f>IF(Table1346[[#This Row],[Home Team Score]]&gt;Table1346[[#This Row],[Away Team Score]],"Win",IF(Table1346[[#This Row],[Home Team Score]]=Table1346[[#This Row],[Away Team Score]],"Tie","Lose"))</f>
        <v>Win</v>
      </c>
      <c r="M1217" t="s">
        <v>275</v>
      </c>
      <c r="N1217">
        <v>38</v>
      </c>
      <c r="O1217" s="3">
        <v>6.9444444444444447E-4</v>
      </c>
      <c r="P1217" t="s">
        <v>83</v>
      </c>
      <c r="R1217" t="e">
        <f>IF([1]!Table13[[#This Row],[Goal_assist]]="",1,0)</f>
        <v>#REF!</v>
      </c>
    </row>
    <row r="1218" spans="1:18" x14ac:dyDescent="0.35">
      <c r="A1218" t="s">
        <v>64</v>
      </c>
      <c r="B1218" t="s">
        <v>351</v>
      </c>
      <c r="C1218" t="s">
        <v>65</v>
      </c>
      <c r="D1218">
        <v>13</v>
      </c>
      <c r="E1218" s="2">
        <v>43778</v>
      </c>
      <c r="F1218" t="s">
        <v>16</v>
      </c>
      <c r="G1218" t="s">
        <v>66</v>
      </c>
      <c r="H1218" t="s">
        <v>98</v>
      </c>
      <c r="I1218" s="3">
        <v>0.1673611111111111</v>
      </c>
      <c r="J1218" s="8" t="s">
        <v>446</v>
      </c>
      <c r="K1218" s="8" t="s">
        <v>444</v>
      </c>
      <c r="L1218" s="8" t="str">
        <f>IF(Table1346[[#This Row],[Home Team Score]]&gt;Table1346[[#This Row],[Away Team Score]],"Win",IF(Table1346[[#This Row],[Home Team Score]]=Table1346[[#This Row],[Away Team Score]],"Tie","Lose"))</f>
        <v>Win</v>
      </c>
      <c r="M1218" t="s">
        <v>275</v>
      </c>
      <c r="N1218">
        <v>48</v>
      </c>
      <c r="O1218" s="3">
        <v>0.12569444444444444</v>
      </c>
      <c r="P1218" t="s">
        <v>39</v>
      </c>
      <c r="R1218" t="e">
        <f>IF([1]!Table13[[#This Row],[Goal_assist]]="",1,0)</f>
        <v>#REF!</v>
      </c>
    </row>
    <row r="1219" spans="1:18" x14ac:dyDescent="0.35">
      <c r="A1219" t="s">
        <v>64</v>
      </c>
      <c r="B1219" t="s">
        <v>351</v>
      </c>
      <c r="C1219" t="s">
        <v>65</v>
      </c>
      <c r="D1219">
        <v>13</v>
      </c>
      <c r="E1219" s="2">
        <v>43778</v>
      </c>
      <c r="F1219" t="s">
        <v>16</v>
      </c>
      <c r="G1219" t="s">
        <v>66</v>
      </c>
      <c r="H1219" t="s">
        <v>98</v>
      </c>
      <c r="I1219" s="3">
        <v>0.1673611111111111</v>
      </c>
      <c r="J1219" s="8" t="s">
        <v>446</v>
      </c>
      <c r="K1219" s="8" t="s">
        <v>444</v>
      </c>
      <c r="L1219" s="8" t="str">
        <f>IF(Table1346[[#This Row],[Home Team Score]]&gt;Table1346[[#This Row],[Away Team Score]],"Win",IF(Table1346[[#This Row],[Home Team Score]]=Table1346[[#This Row],[Away Team Score]],"Tie","Lose"))</f>
        <v>Win</v>
      </c>
      <c r="M1219" t="s">
        <v>275</v>
      </c>
      <c r="N1219" t="s">
        <v>58</v>
      </c>
      <c r="O1219" s="3">
        <v>8.4027777777777785E-2</v>
      </c>
      <c r="P1219" t="s">
        <v>39</v>
      </c>
      <c r="R1219" t="e">
        <f>IF([1]!Table13[[#This Row],[Goal_assist]]="",1,0)</f>
        <v>#REF!</v>
      </c>
    </row>
    <row r="1220" spans="1:18" x14ac:dyDescent="0.35">
      <c r="A1220" t="s">
        <v>64</v>
      </c>
      <c r="B1220" t="s">
        <v>351</v>
      </c>
      <c r="C1220" t="s">
        <v>65</v>
      </c>
      <c r="D1220">
        <v>13</v>
      </c>
      <c r="E1220" s="2">
        <v>43778</v>
      </c>
      <c r="F1220" t="s">
        <v>16</v>
      </c>
      <c r="G1220" t="s">
        <v>66</v>
      </c>
      <c r="H1220" t="s">
        <v>98</v>
      </c>
      <c r="I1220" s="3">
        <v>0.1673611111111111</v>
      </c>
      <c r="J1220" s="8" t="s">
        <v>446</v>
      </c>
      <c r="K1220" s="8" t="s">
        <v>444</v>
      </c>
      <c r="L1220" s="8" t="str">
        <f>IF(Table1346[[#This Row],[Home Team Score]]&gt;Table1346[[#This Row],[Away Team Score]],"Win",IF(Table1346[[#This Row],[Home Team Score]]=Table1346[[#This Row],[Away Team Score]],"Tie","Lose"))</f>
        <v>Win</v>
      </c>
      <c r="M1220" t="s">
        <v>275</v>
      </c>
      <c r="N1220">
        <v>23</v>
      </c>
      <c r="O1220" s="3">
        <v>4.1666666666666664E-2</v>
      </c>
      <c r="P1220" t="s">
        <v>83</v>
      </c>
      <c r="R1220" t="e">
        <f>IF([1]!Table13[[#This Row],[Goal_assist]]="",1,0)</f>
        <v>#REF!</v>
      </c>
    </row>
    <row r="1221" spans="1:18" x14ac:dyDescent="0.35">
      <c r="A1221" t="s">
        <v>64</v>
      </c>
      <c r="B1221" t="s">
        <v>351</v>
      </c>
      <c r="C1221" t="s">
        <v>75</v>
      </c>
      <c r="D1221" t="s">
        <v>76</v>
      </c>
      <c r="E1221" s="2">
        <v>43796</v>
      </c>
      <c r="F1221" t="s">
        <v>16</v>
      </c>
      <c r="G1221" t="s">
        <v>66</v>
      </c>
      <c r="H1221" t="s">
        <v>246</v>
      </c>
      <c r="I1221" s="3">
        <v>0.12569444444444444</v>
      </c>
      <c r="J1221" s="8" t="s">
        <v>442</v>
      </c>
      <c r="K1221" s="8" t="s">
        <v>444</v>
      </c>
      <c r="L1221" s="8" t="str">
        <f>IF(Table1346[[#This Row],[Home Team Score]]&gt;Table1346[[#This Row],[Away Team Score]],"Win",IF(Table1346[[#This Row],[Home Team Score]]=Table1346[[#This Row],[Away Team Score]],"Tie","Lose"))</f>
        <v>Win</v>
      </c>
      <c r="M1221" t="s">
        <v>275</v>
      </c>
      <c r="N1221">
        <v>33</v>
      </c>
      <c r="O1221" s="3">
        <v>8.3333333333333329E-2</v>
      </c>
      <c r="P1221" t="s">
        <v>31</v>
      </c>
      <c r="Q1221" t="s">
        <v>273</v>
      </c>
      <c r="R1221" t="e">
        <f>IF([1]!Table13[[#This Row],[Goal_assist]]="",1,0)</f>
        <v>#REF!</v>
      </c>
    </row>
    <row r="1222" spans="1:18" x14ac:dyDescent="0.35">
      <c r="A1222" t="s">
        <v>14</v>
      </c>
      <c r="B1222" t="s">
        <v>351</v>
      </c>
      <c r="C1222" t="s">
        <v>321</v>
      </c>
      <c r="D1222">
        <v>14</v>
      </c>
      <c r="E1222" s="2">
        <v>43800</v>
      </c>
      <c r="F1222" t="s">
        <v>16</v>
      </c>
      <c r="G1222" t="s">
        <v>260</v>
      </c>
      <c r="H1222" t="s">
        <v>322</v>
      </c>
      <c r="I1222" s="3">
        <v>8.4722222222222227E-2</v>
      </c>
      <c r="J1222" s="8" t="s">
        <v>445</v>
      </c>
      <c r="K1222" s="8" t="s">
        <v>445</v>
      </c>
      <c r="L1222" s="8" t="str">
        <f>IF(Table1346[[#This Row],[Home Team Score]]&gt;Table1346[[#This Row],[Away Team Score]],"Win",IF(Table1346[[#This Row],[Home Team Score]]=Table1346[[#This Row],[Away Team Score]],"Tie","Lose"))</f>
        <v>Tie</v>
      </c>
      <c r="M1222" t="s">
        <v>68</v>
      </c>
      <c r="N1222">
        <v>68</v>
      </c>
      <c r="O1222" s="3">
        <v>8.4722222222222227E-2</v>
      </c>
      <c r="P1222" t="s">
        <v>83</v>
      </c>
      <c r="R1222" t="e">
        <f>IF([1]!Table13[[#This Row],[Goal_assist]]="",1,0)</f>
        <v>#REF!</v>
      </c>
    </row>
    <row r="1223" spans="1:18" x14ac:dyDescent="0.35">
      <c r="A1223" t="s">
        <v>64</v>
      </c>
      <c r="B1223" t="s">
        <v>351</v>
      </c>
      <c r="C1223" t="s">
        <v>65</v>
      </c>
      <c r="D1223">
        <v>15</v>
      </c>
      <c r="E1223" s="2">
        <v>43800</v>
      </c>
      <c r="F1223" t="s">
        <v>24</v>
      </c>
      <c r="G1223" t="s">
        <v>66</v>
      </c>
      <c r="H1223" t="s">
        <v>119</v>
      </c>
      <c r="I1223" s="3">
        <v>6.9444444444444447E-4</v>
      </c>
      <c r="J1223" s="8" t="s">
        <v>443</v>
      </c>
      <c r="K1223" s="8" t="s">
        <v>444</v>
      </c>
      <c r="L1223" s="8" t="str">
        <f>IF(Table1346[[#This Row],[Home Team Score]]&gt;Table1346[[#This Row],[Away Team Score]],"Win",IF(Table1346[[#This Row],[Home Team Score]]=Table1346[[#This Row],[Away Team Score]],"Tie","Lose"))</f>
        <v>Lose</v>
      </c>
      <c r="M1223" t="s">
        <v>275</v>
      </c>
      <c r="N1223">
        <v>86</v>
      </c>
      <c r="O1223" s="3">
        <v>6.9444444444444447E-4</v>
      </c>
      <c r="P1223" t="s">
        <v>31</v>
      </c>
      <c r="Q1223" t="s">
        <v>273</v>
      </c>
      <c r="R1223" t="e">
        <f>IF([1]!Table13[[#This Row],[Goal_assist]]="",1,0)</f>
        <v>#REF!</v>
      </c>
    </row>
    <row r="1224" spans="1:18" x14ac:dyDescent="0.35">
      <c r="A1224" t="s">
        <v>64</v>
      </c>
      <c r="B1224" t="s">
        <v>351</v>
      </c>
      <c r="C1224" t="s">
        <v>65</v>
      </c>
      <c r="D1224">
        <v>16</v>
      </c>
      <c r="E1224" s="2">
        <v>43806</v>
      </c>
      <c r="F1224" t="s">
        <v>16</v>
      </c>
      <c r="G1224" t="s">
        <v>66</v>
      </c>
      <c r="H1224" t="s">
        <v>89</v>
      </c>
      <c r="I1224" s="3">
        <v>0.20972222222222223</v>
      </c>
      <c r="J1224" s="8" t="s">
        <v>448</v>
      </c>
      <c r="K1224" s="8" t="s">
        <v>445</v>
      </c>
      <c r="L1224" s="8" t="str">
        <f>IF(Table1346[[#This Row],[Home Team Score]]&gt;Table1346[[#This Row],[Away Team Score]],"Win",IF(Table1346[[#This Row],[Home Team Score]]=Table1346[[#This Row],[Away Team Score]],"Tie","Lose"))</f>
        <v>Win</v>
      </c>
      <c r="M1224" t="s">
        <v>275</v>
      </c>
      <c r="N1224">
        <v>41</v>
      </c>
      <c r="O1224" s="3">
        <v>0.12569444444444444</v>
      </c>
      <c r="P1224" t="s">
        <v>31</v>
      </c>
      <c r="Q1224" t="s">
        <v>276</v>
      </c>
      <c r="R1224" t="e">
        <f>IF([1]!Table13[[#This Row],[Goal_assist]]="",1,0)</f>
        <v>#REF!</v>
      </c>
    </row>
    <row r="1225" spans="1:18" x14ac:dyDescent="0.35">
      <c r="A1225" t="s">
        <v>64</v>
      </c>
      <c r="B1225" t="s">
        <v>351</v>
      </c>
      <c r="C1225" t="s">
        <v>65</v>
      </c>
      <c r="D1225">
        <v>16</v>
      </c>
      <c r="E1225" s="2">
        <v>43806</v>
      </c>
      <c r="F1225" t="s">
        <v>16</v>
      </c>
      <c r="G1225" t="s">
        <v>66</v>
      </c>
      <c r="H1225" t="s">
        <v>89</v>
      </c>
      <c r="I1225" s="3">
        <v>0.20972222222222223</v>
      </c>
      <c r="J1225" s="8" t="s">
        <v>448</v>
      </c>
      <c r="K1225" s="8" t="s">
        <v>445</v>
      </c>
      <c r="L1225" s="8" t="str">
        <f>IF(Table1346[[#This Row],[Home Team Score]]&gt;Table1346[[#This Row],[Away Team Score]],"Win",IF(Table1346[[#This Row],[Home Team Score]]=Table1346[[#This Row],[Away Team Score]],"Tie","Lose"))</f>
        <v>Win</v>
      </c>
      <c r="M1225" t="s">
        <v>275</v>
      </c>
      <c r="N1225">
        <v>83</v>
      </c>
      <c r="O1225" s="3">
        <v>0.20972222222222223</v>
      </c>
      <c r="P1225" t="s">
        <v>31</v>
      </c>
      <c r="Q1225" t="s">
        <v>273</v>
      </c>
      <c r="R1225" t="e">
        <f>IF([1]!Table13[[#This Row],[Goal_assist]]="",1,0)</f>
        <v>#REF!</v>
      </c>
    </row>
    <row r="1226" spans="1:18" x14ac:dyDescent="0.35">
      <c r="A1226" t="s">
        <v>64</v>
      </c>
      <c r="B1226" t="s">
        <v>351</v>
      </c>
      <c r="C1226" t="s">
        <v>65</v>
      </c>
      <c r="D1226">
        <v>16</v>
      </c>
      <c r="E1226" s="2">
        <v>43806</v>
      </c>
      <c r="F1226" t="s">
        <v>16</v>
      </c>
      <c r="G1226" t="s">
        <v>66</v>
      </c>
      <c r="H1226" t="s">
        <v>89</v>
      </c>
      <c r="I1226" s="3">
        <v>0.20972222222222223</v>
      </c>
      <c r="J1226" s="8" t="s">
        <v>448</v>
      </c>
      <c r="K1226" s="8" t="s">
        <v>445</v>
      </c>
      <c r="L1226" s="8" t="str">
        <f>IF(Table1346[[#This Row],[Home Team Score]]&gt;Table1346[[#This Row],[Away Team Score]],"Win",IF(Table1346[[#This Row],[Home Team Score]]=Table1346[[#This Row],[Away Team Score]],"Tie","Lose"))</f>
        <v>Win</v>
      </c>
      <c r="M1226" t="s">
        <v>275</v>
      </c>
      <c r="N1226">
        <v>17</v>
      </c>
      <c r="O1226" s="3">
        <v>8.3333333333333329E-2</v>
      </c>
      <c r="P1226" t="s">
        <v>31</v>
      </c>
      <c r="Q1226" t="s">
        <v>355</v>
      </c>
      <c r="R1226" t="e">
        <f>IF([1]!Table13[[#This Row],[Goal_assist]]="",1,0)</f>
        <v>#REF!</v>
      </c>
    </row>
    <row r="1227" spans="1:18" x14ac:dyDescent="0.35">
      <c r="A1227" t="s">
        <v>14</v>
      </c>
      <c r="B1227" t="s">
        <v>351</v>
      </c>
      <c r="C1227" t="s">
        <v>321</v>
      </c>
      <c r="D1227">
        <v>15</v>
      </c>
      <c r="E1227" s="2">
        <v>43806</v>
      </c>
      <c r="F1227" t="s">
        <v>24</v>
      </c>
      <c r="G1227" t="s">
        <v>260</v>
      </c>
      <c r="H1227" t="s">
        <v>343</v>
      </c>
      <c r="I1227" s="3">
        <v>0.12569444444444444</v>
      </c>
      <c r="J1227" s="8" t="s">
        <v>442</v>
      </c>
      <c r="K1227" s="8" t="s">
        <v>444</v>
      </c>
      <c r="L1227" s="8" t="str">
        <f>IF(Table1346[[#This Row],[Home Team Score]]&gt;Table1346[[#This Row],[Away Team Score]],"Win",IF(Table1346[[#This Row],[Home Team Score]]=Table1346[[#This Row],[Away Team Score]],"Tie","Lose"))</f>
        <v>Win</v>
      </c>
      <c r="M1227" t="s">
        <v>68</v>
      </c>
      <c r="N1227">
        <v>25</v>
      </c>
      <c r="O1227" s="3">
        <v>6.9444444444444447E-4</v>
      </c>
      <c r="P1227" t="s">
        <v>55</v>
      </c>
      <c r="Q1227" t="s">
        <v>359</v>
      </c>
      <c r="R1227" t="e">
        <f>IF([1]!Table13[[#This Row],[Goal_assist]]="",1,0)</f>
        <v>#REF!</v>
      </c>
    </row>
    <row r="1228" spans="1:18" x14ac:dyDescent="0.35">
      <c r="A1228" t="s">
        <v>14</v>
      </c>
      <c r="B1228" t="s">
        <v>351</v>
      </c>
      <c r="C1228" t="s">
        <v>75</v>
      </c>
      <c r="D1228" t="s">
        <v>76</v>
      </c>
      <c r="E1228" s="2">
        <v>43810</v>
      </c>
      <c r="F1228" t="s">
        <v>24</v>
      </c>
      <c r="G1228" t="s">
        <v>260</v>
      </c>
      <c r="H1228" t="s">
        <v>236</v>
      </c>
      <c r="I1228" s="3">
        <v>1.3888888888888889E-3</v>
      </c>
      <c r="J1228" s="8" t="s">
        <v>443</v>
      </c>
      <c r="K1228" s="8" t="s">
        <v>445</v>
      </c>
      <c r="L1228" s="8" t="str">
        <f>IF(Table1346[[#This Row],[Home Team Score]]&gt;Table1346[[#This Row],[Away Team Score]],"Win",IF(Table1346[[#This Row],[Home Team Score]]=Table1346[[#This Row],[Away Team Score]],"Tie","Lose"))</f>
        <v>Lose</v>
      </c>
      <c r="M1228" t="s">
        <v>68</v>
      </c>
      <c r="N1228">
        <v>75</v>
      </c>
      <c r="O1228" s="3">
        <v>6.9444444444444447E-4</v>
      </c>
      <c r="P1228" t="s">
        <v>26</v>
      </c>
      <c r="Q1228" t="s">
        <v>340</v>
      </c>
      <c r="R1228" t="e">
        <f>IF([1]!Table13[[#This Row],[Goal_assist]]="",1,0)</f>
        <v>#REF!</v>
      </c>
    </row>
    <row r="1229" spans="1:18" x14ac:dyDescent="0.35">
      <c r="A1229" t="s">
        <v>14</v>
      </c>
      <c r="B1229" t="s">
        <v>351</v>
      </c>
      <c r="C1229" t="s">
        <v>321</v>
      </c>
      <c r="D1229">
        <v>16</v>
      </c>
      <c r="E1229" s="2">
        <v>43814</v>
      </c>
      <c r="F1229" t="s">
        <v>16</v>
      </c>
      <c r="G1229" t="s">
        <v>260</v>
      </c>
      <c r="H1229" t="s">
        <v>327</v>
      </c>
      <c r="I1229" s="3">
        <v>0.12569444444444444</v>
      </c>
      <c r="J1229" s="8" t="s">
        <v>442</v>
      </c>
      <c r="K1229" s="8" t="s">
        <v>444</v>
      </c>
      <c r="L1229" s="8" t="str">
        <f>IF(Table1346[[#This Row],[Home Team Score]]&gt;Table1346[[#This Row],[Away Team Score]],"Win",IF(Table1346[[#This Row],[Home Team Score]]=Table1346[[#This Row],[Away Team Score]],"Tie","Lose"))</f>
        <v>Win</v>
      </c>
      <c r="M1229" t="s">
        <v>68</v>
      </c>
      <c r="N1229">
        <v>9</v>
      </c>
      <c r="O1229" s="3">
        <v>4.1666666666666664E-2</v>
      </c>
      <c r="P1229" t="s">
        <v>26</v>
      </c>
      <c r="R1229" t="e">
        <f>IF([1]!Table13[[#This Row],[Goal_assist]]="",1,0)</f>
        <v>#REF!</v>
      </c>
    </row>
    <row r="1230" spans="1:18" x14ac:dyDescent="0.35">
      <c r="A1230" t="s">
        <v>14</v>
      </c>
      <c r="B1230" t="s">
        <v>351</v>
      </c>
      <c r="C1230" t="s">
        <v>321</v>
      </c>
      <c r="D1230">
        <v>16</v>
      </c>
      <c r="E1230" s="2">
        <v>43814</v>
      </c>
      <c r="F1230" t="s">
        <v>16</v>
      </c>
      <c r="G1230" t="s">
        <v>260</v>
      </c>
      <c r="H1230" t="s">
        <v>327</v>
      </c>
      <c r="I1230" s="3">
        <v>0.12569444444444444</v>
      </c>
      <c r="J1230" s="8" t="s">
        <v>442</v>
      </c>
      <c r="K1230" s="8" t="s">
        <v>444</v>
      </c>
      <c r="L1230" s="8" t="str">
        <f>IF(Table1346[[#This Row],[Home Team Score]]&gt;Table1346[[#This Row],[Away Team Score]],"Win",IF(Table1346[[#This Row],[Home Team Score]]=Table1346[[#This Row],[Away Team Score]],"Tie","Lose"))</f>
        <v>Win</v>
      </c>
      <c r="M1230" t="s">
        <v>68</v>
      </c>
      <c r="N1230">
        <v>37</v>
      </c>
      <c r="O1230" s="3">
        <v>8.3333333333333329E-2</v>
      </c>
      <c r="P1230" t="s">
        <v>31</v>
      </c>
      <c r="Q1230" t="s">
        <v>188</v>
      </c>
      <c r="R1230" t="e">
        <f>IF([1]!Table13[[#This Row],[Goal_assist]]="",1,0)</f>
        <v>#REF!</v>
      </c>
    </row>
    <row r="1231" spans="1:18" x14ac:dyDescent="0.35">
      <c r="A1231" t="s">
        <v>14</v>
      </c>
      <c r="B1231" t="s">
        <v>351</v>
      </c>
      <c r="C1231" t="s">
        <v>321</v>
      </c>
      <c r="D1231">
        <v>17</v>
      </c>
      <c r="E1231" s="2">
        <v>43817</v>
      </c>
      <c r="F1231" t="s">
        <v>24</v>
      </c>
      <c r="G1231" t="s">
        <v>260</v>
      </c>
      <c r="H1231" t="s">
        <v>339</v>
      </c>
      <c r="I1231" s="3">
        <v>4.3055555555555555E-2</v>
      </c>
      <c r="J1231" s="8" t="s">
        <v>444</v>
      </c>
      <c r="K1231" s="8" t="s">
        <v>445</v>
      </c>
      <c r="L1231" s="8" t="str">
        <f>IF(Table1346[[#This Row],[Home Team Score]]&gt;Table1346[[#This Row],[Away Team Score]],"Win",IF(Table1346[[#This Row],[Home Team Score]]=Table1346[[#This Row],[Away Team Score]],"Tie","Lose"))</f>
        <v>Lose</v>
      </c>
      <c r="M1231" t="s">
        <v>19</v>
      </c>
      <c r="N1231">
        <v>45</v>
      </c>
      <c r="O1231" s="3">
        <v>4.3055555555555555E-2</v>
      </c>
      <c r="P1231" t="s">
        <v>22</v>
      </c>
      <c r="Q1231" t="s">
        <v>360</v>
      </c>
      <c r="R1231" t="e">
        <f>IF([1]!Table13[[#This Row],[Goal_assist]]="",1,0)</f>
        <v>#REF!</v>
      </c>
    </row>
    <row r="1232" spans="1:18" x14ac:dyDescent="0.35">
      <c r="A1232" t="s">
        <v>64</v>
      </c>
      <c r="B1232" t="s">
        <v>351</v>
      </c>
      <c r="C1232" t="s">
        <v>65</v>
      </c>
      <c r="D1232">
        <v>18</v>
      </c>
      <c r="E1232" s="2">
        <v>43820</v>
      </c>
      <c r="F1232" t="s">
        <v>16</v>
      </c>
      <c r="G1232" t="s">
        <v>66</v>
      </c>
      <c r="H1232" t="s">
        <v>88</v>
      </c>
      <c r="I1232" s="3">
        <v>0.1673611111111111</v>
      </c>
      <c r="J1232" s="8" t="s">
        <v>446</v>
      </c>
      <c r="K1232" s="8" t="s">
        <v>444</v>
      </c>
      <c r="L1232" s="8" t="str">
        <f>IF(Table1346[[#This Row],[Home Team Score]]&gt;Table1346[[#This Row],[Away Team Score]],"Win",IF(Table1346[[#This Row],[Home Team Score]]=Table1346[[#This Row],[Away Team Score]],"Tie","Lose"))</f>
        <v>Win</v>
      </c>
      <c r="M1232" t="s">
        <v>275</v>
      </c>
      <c r="N1232">
        <v>69</v>
      </c>
      <c r="O1232" s="3">
        <v>0.12569444444444444</v>
      </c>
      <c r="P1232" t="s">
        <v>31</v>
      </c>
      <c r="Q1232" t="s">
        <v>273</v>
      </c>
      <c r="R1232" t="e">
        <f>IF([1]!Table13[[#This Row],[Goal_assist]]="",1,0)</f>
        <v>#REF!</v>
      </c>
    </row>
    <row r="1233" spans="1:18" x14ac:dyDescent="0.35">
      <c r="A1233" t="s">
        <v>14</v>
      </c>
      <c r="B1233" t="s">
        <v>351</v>
      </c>
      <c r="C1233" t="s">
        <v>321</v>
      </c>
      <c r="D1233">
        <v>18</v>
      </c>
      <c r="E1233" s="2">
        <v>43836</v>
      </c>
      <c r="F1233" t="s">
        <v>16</v>
      </c>
      <c r="G1233" t="s">
        <v>260</v>
      </c>
      <c r="H1233" t="s">
        <v>361</v>
      </c>
      <c r="I1233" s="3">
        <v>0.16666666666666666</v>
      </c>
      <c r="J1233" s="8" t="s">
        <v>446</v>
      </c>
      <c r="K1233" s="8" t="s">
        <v>443</v>
      </c>
      <c r="L1233" s="8" t="str">
        <f>IF(Table1346[[#This Row],[Home Team Score]]&gt;Table1346[[#This Row],[Away Team Score]],"Win",IF(Table1346[[#This Row],[Home Team Score]]=Table1346[[#This Row],[Away Team Score]],"Tie","Lose"))</f>
        <v>Win</v>
      </c>
      <c r="M1233" t="s">
        <v>68</v>
      </c>
      <c r="N1233">
        <v>49</v>
      </c>
      <c r="O1233" s="3">
        <v>4.1666666666666664E-2</v>
      </c>
      <c r="P1233" t="s">
        <v>26</v>
      </c>
      <c r="R1233" t="e">
        <f>IF([1]!Table13[[#This Row],[Goal_assist]]="",1,0)</f>
        <v>#REF!</v>
      </c>
    </row>
    <row r="1234" spans="1:18" x14ac:dyDescent="0.35">
      <c r="A1234" t="s">
        <v>14</v>
      </c>
      <c r="B1234" t="s">
        <v>351</v>
      </c>
      <c r="C1234" t="s">
        <v>321</v>
      </c>
      <c r="D1234">
        <v>18</v>
      </c>
      <c r="E1234" s="2">
        <v>43836</v>
      </c>
      <c r="F1234" t="s">
        <v>16</v>
      </c>
      <c r="G1234" t="s">
        <v>260</v>
      </c>
      <c r="H1234" t="s">
        <v>361</v>
      </c>
      <c r="I1234" s="3">
        <v>0.16666666666666666</v>
      </c>
      <c r="J1234" s="8" t="s">
        <v>446</v>
      </c>
      <c r="K1234" s="8" t="s">
        <v>443</v>
      </c>
      <c r="L1234" s="8" t="str">
        <f>IF(Table1346[[#This Row],[Home Team Score]]&gt;Table1346[[#This Row],[Away Team Score]],"Win",IF(Table1346[[#This Row],[Home Team Score]]=Table1346[[#This Row],[Away Team Score]],"Tie","Lose"))</f>
        <v>Win</v>
      </c>
      <c r="M1234" t="s">
        <v>68</v>
      </c>
      <c r="N1234">
        <v>67</v>
      </c>
      <c r="O1234" s="3">
        <v>8.3333333333333329E-2</v>
      </c>
      <c r="P1234" t="s">
        <v>83</v>
      </c>
      <c r="R1234" t="e">
        <f>IF([1]!Table13[[#This Row],[Goal_assist]]="",1,0)</f>
        <v>#REF!</v>
      </c>
    </row>
    <row r="1235" spans="1:18" x14ac:dyDescent="0.35">
      <c r="A1235" t="s">
        <v>14</v>
      </c>
      <c r="B1235" t="s">
        <v>351</v>
      </c>
      <c r="C1235" t="s">
        <v>321</v>
      </c>
      <c r="D1235">
        <v>18</v>
      </c>
      <c r="E1235" s="2">
        <v>43836</v>
      </c>
      <c r="F1235" t="s">
        <v>16</v>
      </c>
      <c r="G1235" t="s">
        <v>260</v>
      </c>
      <c r="H1235" t="s">
        <v>361</v>
      </c>
      <c r="I1235" s="3">
        <v>0.16666666666666666</v>
      </c>
      <c r="J1235" s="8" t="s">
        <v>446</v>
      </c>
      <c r="K1235" s="8" t="s">
        <v>443</v>
      </c>
      <c r="L1235" s="8" t="str">
        <f>IF(Table1346[[#This Row],[Home Team Score]]&gt;Table1346[[#This Row],[Away Team Score]],"Win",IF(Table1346[[#This Row],[Home Team Score]]=Table1346[[#This Row],[Away Team Score]],"Tie","Lose"))</f>
        <v>Win</v>
      </c>
      <c r="M1235" t="s">
        <v>68</v>
      </c>
      <c r="N1235">
        <v>82</v>
      </c>
      <c r="O1235" s="3">
        <v>0.16666666666666666</v>
      </c>
      <c r="P1235" t="s">
        <v>31</v>
      </c>
      <c r="Q1235" t="s">
        <v>353</v>
      </c>
      <c r="R1235" t="e">
        <f>IF([1]!Table13[[#This Row],[Goal_assist]]="",1,0)</f>
        <v>#REF!</v>
      </c>
    </row>
    <row r="1236" spans="1:18" x14ac:dyDescent="0.35">
      <c r="A1236" t="s">
        <v>64</v>
      </c>
      <c r="B1236" t="s">
        <v>351</v>
      </c>
      <c r="C1236" t="s">
        <v>172</v>
      </c>
      <c r="D1236" t="s">
        <v>62</v>
      </c>
      <c r="E1236" s="2">
        <v>43839</v>
      </c>
      <c r="F1236" t="s">
        <v>16</v>
      </c>
      <c r="G1236" t="s">
        <v>66</v>
      </c>
      <c r="H1236" t="s">
        <v>119</v>
      </c>
      <c r="I1236" s="3">
        <v>8.5416666666666669E-2</v>
      </c>
      <c r="J1236" s="8" t="s">
        <v>445</v>
      </c>
      <c r="K1236" s="8" t="s">
        <v>442</v>
      </c>
      <c r="L1236" s="8" t="str">
        <f>IF(Table1346[[#This Row],[Home Team Score]]&gt;Table1346[[#This Row],[Away Team Score]],"Win",IF(Table1346[[#This Row],[Home Team Score]]=Table1346[[#This Row],[Away Team Score]],"Tie","Lose"))</f>
        <v>Lose</v>
      </c>
      <c r="M1236" t="s">
        <v>275</v>
      </c>
      <c r="N1236">
        <v>51</v>
      </c>
      <c r="O1236" s="3">
        <v>4.2361111111111113E-2</v>
      </c>
      <c r="P1236" t="s">
        <v>26</v>
      </c>
      <c r="Q1236" t="s">
        <v>273</v>
      </c>
      <c r="R1236" t="e">
        <f>IF([1]!Table13[[#This Row],[Goal_assist]]="",1,0)</f>
        <v>#REF!</v>
      </c>
    </row>
    <row r="1237" spans="1:18" x14ac:dyDescent="0.35">
      <c r="A1237" t="s">
        <v>14</v>
      </c>
      <c r="B1237" t="s">
        <v>351</v>
      </c>
      <c r="C1237" t="s">
        <v>321</v>
      </c>
      <c r="D1237">
        <v>19</v>
      </c>
      <c r="E1237" s="2">
        <v>43842</v>
      </c>
      <c r="F1237" t="s">
        <v>24</v>
      </c>
      <c r="G1237" t="s">
        <v>260</v>
      </c>
      <c r="H1237" t="s">
        <v>116</v>
      </c>
      <c r="I1237" s="3">
        <v>4.3055555555555555E-2</v>
      </c>
      <c r="J1237" s="8" t="s">
        <v>444</v>
      </c>
      <c r="K1237" s="8" t="s">
        <v>445</v>
      </c>
      <c r="L1237" s="8" t="str">
        <f>IF(Table1346[[#This Row],[Home Team Score]]&gt;Table1346[[#This Row],[Away Team Score]],"Win",IF(Table1346[[#This Row],[Home Team Score]]=Table1346[[#This Row],[Away Team Score]],"Tie","Lose"))</f>
        <v>Lose</v>
      </c>
      <c r="M1237" t="s">
        <v>68</v>
      </c>
      <c r="N1237">
        <v>10</v>
      </c>
      <c r="O1237" s="3">
        <v>1.3888888888888889E-3</v>
      </c>
      <c r="P1237" t="s">
        <v>83</v>
      </c>
      <c r="R1237" t="e">
        <f>IF([1]!Table13[[#This Row],[Goal_assist]]="",1,0)</f>
        <v>#REF!</v>
      </c>
    </row>
    <row r="1238" spans="1:18" x14ac:dyDescent="0.35">
      <c r="A1238" t="s">
        <v>64</v>
      </c>
      <c r="B1238" t="s">
        <v>351</v>
      </c>
      <c r="C1238" t="s">
        <v>65</v>
      </c>
      <c r="D1238">
        <v>20</v>
      </c>
      <c r="E1238" s="2">
        <v>43849</v>
      </c>
      <c r="F1238" t="s">
        <v>16</v>
      </c>
      <c r="G1238" t="s">
        <v>66</v>
      </c>
      <c r="H1238" t="s">
        <v>233</v>
      </c>
      <c r="I1238" s="3">
        <v>4.1666666666666664E-2</v>
      </c>
      <c r="J1238" s="8" t="s">
        <v>444</v>
      </c>
      <c r="K1238" s="8" t="s">
        <v>443</v>
      </c>
      <c r="L1238" s="8" t="str">
        <f>IF(Table1346[[#This Row],[Home Team Score]]&gt;Table1346[[#This Row],[Away Team Score]],"Win",IF(Table1346[[#This Row],[Home Team Score]]=Table1346[[#This Row],[Away Team Score]],"Tie","Lose"))</f>
        <v>Win</v>
      </c>
      <c r="M1238" t="s">
        <v>251</v>
      </c>
      <c r="N1238">
        <v>76</v>
      </c>
      <c r="O1238" s="3">
        <v>4.1666666666666664E-2</v>
      </c>
      <c r="P1238" t="s">
        <v>26</v>
      </c>
      <c r="Q1238" t="s">
        <v>326</v>
      </c>
      <c r="R1238" t="e">
        <f>IF([1]!Table13[[#This Row],[Goal_assist]]="",1,0)</f>
        <v>#REF!</v>
      </c>
    </row>
    <row r="1239" spans="1:18" x14ac:dyDescent="0.35">
      <c r="A1239" t="s">
        <v>14</v>
      </c>
      <c r="B1239" t="s">
        <v>351</v>
      </c>
      <c r="C1239" t="s">
        <v>321</v>
      </c>
      <c r="D1239">
        <v>20</v>
      </c>
      <c r="E1239" s="2">
        <v>43849</v>
      </c>
      <c r="F1239" t="s">
        <v>16</v>
      </c>
      <c r="G1239" t="s">
        <v>260</v>
      </c>
      <c r="H1239" t="s">
        <v>344</v>
      </c>
      <c r="I1239" s="3">
        <v>8.4027777777777785E-2</v>
      </c>
      <c r="J1239" s="8" t="s">
        <v>445</v>
      </c>
      <c r="K1239" s="8" t="s">
        <v>444</v>
      </c>
      <c r="L1239" s="8" t="str">
        <f>IF(Table1346[[#This Row],[Home Team Score]]&gt;Table1346[[#This Row],[Away Team Score]],"Win",IF(Table1346[[#This Row],[Home Team Score]]=Table1346[[#This Row],[Away Team Score]],"Tie","Lose"))</f>
        <v>Win</v>
      </c>
      <c r="M1239" t="s">
        <v>68</v>
      </c>
      <c r="N1239">
        <v>58</v>
      </c>
      <c r="O1239" s="3">
        <v>8.4027777777777785E-2</v>
      </c>
      <c r="P1239" t="s">
        <v>26</v>
      </c>
      <c r="Q1239" t="s">
        <v>340</v>
      </c>
      <c r="R1239" t="e">
        <f>IF([1]!Table13[[#This Row],[Goal_assist]]="",1,0)</f>
        <v>#REF!</v>
      </c>
    </row>
    <row r="1240" spans="1:18" x14ac:dyDescent="0.35">
      <c r="A1240" t="s">
        <v>14</v>
      </c>
      <c r="B1240" t="s">
        <v>351</v>
      </c>
      <c r="C1240" t="s">
        <v>321</v>
      </c>
      <c r="D1240">
        <v>20</v>
      </c>
      <c r="E1240" s="2">
        <v>43849</v>
      </c>
      <c r="F1240" t="s">
        <v>16</v>
      </c>
      <c r="G1240" t="s">
        <v>260</v>
      </c>
      <c r="H1240" t="s">
        <v>344</v>
      </c>
      <c r="I1240" s="3">
        <v>8.4027777777777785E-2</v>
      </c>
      <c r="J1240" s="8" t="s">
        <v>445</v>
      </c>
      <c r="K1240" s="8" t="s">
        <v>444</v>
      </c>
      <c r="L1240" s="8" t="str">
        <f>IF(Table1346[[#This Row],[Home Team Score]]&gt;Table1346[[#This Row],[Away Team Score]],"Win",IF(Table1346[[#This Row],[Home Team Score]]=Table1346[[#This Row],[Away Team Score]],"Tie","Lose"))</f>
        <v>Win</v>
      </c>
      <c r="M1240" t="s">
        <v>68</v>
      </c>
      <c r="N1240">
        <v>43</v>
      </c>
      <c r="O1240" s="3">
        <v>4.1666666666666664E-2</v>
      </c>
      <c r="P1240" t="s">
        <v>129</v>
      </c>
      <c r="Q1240" t="s">
        <v>331</v>
      </c>
      <c r="R1240" t="e">
        <f>IF([1]!Table13[[#This Row],[Goal_assist]]="",1,0)</f>
        <v>#REF!</v>
      </c>
    </row>
    <row r="1241" spans="1:18" x14ac:dyDescent="0.35">
      <c r="A1241" t="s">
        <v>14</v>
      </c>
      <c r="B1241" t="s">
        <v>351</v>
      </c>
      <c r="C1241" t="s">
        <v>362</v>
      </c>
      <c r="D1241" t="s">
        <v>92</v>
      </c>
      <c r="E1241" s="2">
        <v>43852</v>
      </c>
      <c r="F1241" t="s">
        <v>16</v>
      </c>
      <c r="G1241" t="s">
        <v>260</v>
      </c>
      <c r="H1241" t="s">
        <v>116</v>
      </c>
      <c r="I1241" s="3">
        <v>0.12569444444444444</v>
      </c>
      <c r="J1241" s="8" t="s">
        <v>442</v>
      </c>
      <c r="K1241" s="8" t="s">
        <v>444</v>
      </c>
      <c r="L1241" s="8" t="str">
        <f>IF(Table1346[[#This Row],[Home Team Score]]&gt;Table1346[[#This Row],[Away Team Score]],"Win",IF(Table1346[[#This Row],[Home Team Score]]=Table1346[[#This Row],[Away Team Score]],"Tie","Lose"))</f>
        <v>Win</v>
      </c>
      <c r="M1241" t="s">
        <v>19</v>
      </c>
      <c r="N1241">
        <v>26</v>
      </c>
      <c r="O1241" s="3">
        <v>4.1666666666666664E-2</v>
      </c>
      <c r="P1241" t="s">
        <v>31</v>
      </c>
      <c r="Q1241" t="s">
        <v>188</v>
      </c>
      <c r="R1241" t="e">
        <f>IF([1]!Table13[[#This Row],[Goal_assist]]="",1,0)</f>
        <v>#REF!</v>
      </c>
    </row>
    <row r="1242" spans="1:18" x14ac:dyDescent="0.35">
      <c r="A1242" t="s">
        <v>14</v>
      </c>
      <c r="B1242" t="s">
        <v>351</v>
      </c>
      <c r="C1242" t="s">
        <v>321</v>
      </c>
      <c r="D1242">
        <v>21</v>
      </c>
      <c r="E1242" s="2">
        <v>43856</v>
      </c>
      <c r="F1242" t="s">
        <v>24</v>
      </c>
      <c r="G1242" t="s">
        <v>260</v>
      </c>
      <c r="H1242" t="s">
        <v>352</v>
      </c>
      <c r="I1242" s="3">
        <v>8.4027777777777785E-2</v>
      </c>
      <c r="J1242" s="8" t="s">
        <v>445</v>
      </c>
      <c r="K1242" s="8" t="s">
        <v>444</v>
      </c>
      <c r="L1242" s="8" t="str">
        <f>IF(Table1346[[#This Row],[Home Team Score]]&gt;Table1346[[#This Row],[Away Team Score]],"Win",IF(Table1346[[#This Row],[Home Team Score]]=Table1346[[#This Row],[Away Team Score]],"Tie","Lose"))</f>
        <v>Win</v>
      </c>
      <c r="M1242" t="s">
        <v>19</v>
      </c>
      <c r="N1242">
        <v>90</v>
      </c>
      <c r="O1242" s="3">
        <v>8.4027777777777785E-2</v>
      </c>
      <c r="P1242" t="s">
        <v>26</v>
      </c>
      <c r="Q1242" t="s">
        <v>359</v>
      </c>
      <c r="R1242" t="e">
        <f>IF([1]!Table13[[#This Row],[Goal_assist]]="",1,0)</f>
        <v>#REF!</v>
      </c>
    </row>
    <row r="1243" spans="1:18" x14ac:dyDescent="0.35">
      <c r="A1243" t="s">
        <v>64</v>
      </c>
      <c r="B1243" t="s">
        <v>351</v>
      </c>
      <c r="C1243" t="s">
        <v>91</v>
      </c>
      <c r="D1243" t="s">
        <v>81</v>
      </c>
      <c r="E1243" s="2">
        <v>43860</v>
      </c>
      <c r="F1243" t="s">
        <v>16</v>
      </c>
      <c r="G1243" t="s">
        <v>66</v>
      </c>
      <c r="H1243" t="s">
        <v>294</v>
      </c>
      <c r="I1243" s="3">
        <v>0.20833333333333334</v>
      </c>
      <c r="J1243" s="8" t="s">
        <v>448</v>
      </c>
      <c r="K1243" s="8" t="s">
        <v>443</v>
      </c>
      <c r="L1243" s="8" t="str">
        <f>IF(Table1346[[#This Row],[Home Team Score]]&gt;Table1346[[#This Row],[Away Team Score]],"Win",IF(Table1346[[#This Row],[Home Team Score]]=Table1346[[#This Row],[Away Team Score]],"Tie","Lose"))</f>
        <v>Win</v>
      </c>
      <c r="M1243" t="s">
        <v>275</v>
      </c>
      <c r="N1243">
        <v>59</v>
      </c>
      <c r="O1243" s="3">
        <v>0.125</v>
      </c>
      <c r="P1243" t="s">
        <v>31</v>
      </c>
      <c r="Q1243" t="s">
        <v>363</v>
      </c>
      <c r="R1243" t="e">
        <f>IF([1]!Table13[[#This Row],[Goal_assist]]="",1,0)</f>
        <v>#REF!</v>
      </c>
    </row>
    <row r="1244" spans="1:18" x14ac:dyDescent="0.35">
      <c r="A1244" t="s">
        <v>64</v>
      </c>
      <c r="B1244" t="s">
        <v>351</v>
      </c>
      <c r="C1244" t="s">
        <v>91</v>
      </c>
      <c r="D1244" t="s">
        <v>81</v>
      </c>
      <c r="E1244" s="2">
        <v>43860</v>
      </c>
      <c r="F1244" t="s">
        <v>16</v>
      </c>
      <c r="G1244" t="s">
        <v>66</v>
      </c>
      <c r="H1244" t="s">
        <v>294</v>
      </c>
      <c r="I1244" s="3">
        <v>0.20833333333333334</v>
      </c>
      <c r="J1244" s="8" t="s">
        <v>448</v>
      </c>
      <c r="K1244" s="8" t="s">
        <v>443</v>
      </c>
      <c r="L1244" s="8" t="str">
        <f>IF(Table1346[[#This Row],[Home Team Score]]&gt;Table1346[[#This Row],[Away Team Score]],"Win",IF(Table1346[[#This Row],[Home Team Score]]=Table1346[[#This Row],[Away Team Score]],"Tie","Lose"))</f>
        <v>Win</v>
      </c>
      <c r="M1244" t="s">
        <v>275</v>
      </c>
      <c r="N1244">
        <v>89</v>
      </c>
      <c r="O1244" s="3">
        <v>0.20833333333333334</v>
      </c>
      <c r="P1244" t="s">
        <v>31</v>
      </c>
      <c r="Q1244" t="s">
        <v>276</v>
      </c>
      <c r="R1244" t="e">
        <f>IF([1]!Table13[[#This Row],[Goal_assist]]="",1,0)</f>
        <v>#REF!</v>
      </c>
    </row>
    <row r="1245" spans="1:18" x14ac:dyDescent="0.35">
      <c r="A1245" t="s">
        <v>14</v>
      </c>
      <c r="B1245" t="s">
        <v>351</v>
      </c>
      <c r="C1245" t="s">
        <v>321</v>
      </c>
      <c r="D1245">
        <v>22</v>
      </c>
      <c r="E1245" s="2">
        <v>43863</v>
      </c>
      <c r="F1245" t="s">
        <v>16</v>
      </c>
      <c r="G1245" t="s">
        <v>260</v>
      </c>
      <c r="H1245" t="s">
        <v>335</v>
      </c>
      <c r="I1245" s="3">
        <v>0.125</v>
      </c>
      <c r="J1245" s="8" t="s">
        <v>442</v>
      </c>
      <c r="K1245" s="8" t="s">
        <v>443</v>
      </c>
      <c r="L1245" s="8" t="str">
        <f>IF(Table1346[[#This Row],[Home Team Score]]&gt;Table1346[[#This Row],[Away Team Score]],"Win",IF(Table1346[[#This Row],[Home Team Score]]=Table1346[[#This Row],[Away Team Score]],"Tie","Lose"))</f>
        <v>Win</v>
      </c>
      <c r="M1245" t="s">
        <v>19</v>
      </c>
      <c r="N1245">
        <v>40</v>
      </c>
      <c r="O1245" s="3">
        <v>4.1666666666666664E-2</v>
      </c>
      <c r="P1245" t="s">
        <v>83</v>
      </c>
      <c r="R1245" t="e">
        <f>IF([1]!Table13[[#This Row],[Goal_assist]]="",1,0)</f>
        <v>#REF!</v>
      </c>
    </row>
    <row r="1246" spans="1:18" x14ac:dyDescent="0.35">
      <c r="A1246" t="s">
        <v>14</v>
      </c>
      <c r="B1246" t="s">
        <v>351</v>
      </c>
      <c r="C1246" t="s">
        <v>321</v>
      </c>
      <c r="D1246">
        <v>22</v>
      </c>
      <c r="E1246" s="2">
        <v>43863</v>
      </c>
      <c r="F1246" t="s">
        <v>16</v>
      </c>
      <c r="G1246" t="s">
        <v>260</v>
      </c>
      <c r="H1246" t="s">
        <v>335</v>
      </c>
      <c r="I1246" s="3">
        <v>0.125</v>
      </c>
      <c r="J1246" s="8" t="s">
        <v>442</v>
      </c>
      <c r="K1246" s="8" t="s">
        <v>443</v>
      </c>
      <c r="L1246" s="8" t="str">
        <f>IF(Table1346[[#This Row],[Home Team Score]]&gt;Table1346[[#This Row],[Away Team Score]],"Win",IF(Table1346[[#This Row],[Home Team Score]]=Table1346[[#This Row],[Away Team Score]],"Tie","Lose"))</f>
        <v>Win</v>
      </c>
      <c r="M1246" t="s">
        <v>19</v>
      </c>
      <c r="N1246">
        <v>80</v>
      </c>
      <c r="O1246" s="3">
        <v>8.3333333333333329E-2</v>
      </c>
      <c r="P1246" t="s">
        <v>83</v>
      </c>
      <c r="R1246" t="e">
        <f>IF([1]!Table13[[#This Row],[Goal_assist]]="",1,0)</f>
        <v>#REF!</v>
      </c>
    </row>
    <row r="1247" spans="1:18" x14ac:dyDescent="0.35">
      <c r="A1247" t="s">
        <v>14</v>
      </c>
      <c r="B1247" t="s">
        <v>351</v>
      </c>
      <c r="C1247" t="s">
        <v>321</v>
      </c>
      <c r="D1247">
        <v>23</v>
      </c>
      <c r="E1247" s="2">
        <v>43869</v>
      </c>
      <c r="F1247" t="s">
        <v>24</v>
      </c>
      <c r="G1247" t="s">
        <v>260</v>
      </c>
      <c r="H1247" t="s">
        <v>354</v>
      </c>
      <c r="I1247" s="3">
        <v>8.4027777777777785E-2</v>
      </c>
      <c r="J1247" s="8" t="s">
        <v>445</v>
      </c>
      <c r="K1247" s="8" t="s">
        <v>444</v>
      </c>
      <c r="L1247" s="8" t="str">
        <f>IF(Table1346[[#This Row],[Home Team Score]]&gt;Table1346[[#This Row],[Away Team Score]],"Win",IF(Table1346[[#This Row],[Home Team Score]]=Table1346[[#This Row],[Away Team Score]],"Tie","Lose"))</f>
        <v>Win</v>
      </c>
      <c r="M1247" t="s">
        <v>19</v>
      </c>
      <c r="N1247">
        <v>65</v>
      </c>
      <c r="O1247" s="3">
        <v>6.9444444444444447E-4</v>
      </c>
      <c r="P1247" t="s">
        <v>26</v>
      </c>
      <c r="Q1247" t="s">
        <v>359</v>
      </c>
      <c r="R1247" t="e">
        <f>IF([1]!Table13[[#This Row],[Goal_assist]]="",1,0)</f>
        <v>#REF!</v>
      </c>
    </row>
    <row r="1248" spans="1:18" x14ac:dyDescent="0.35">
      <c r="A1248" t="s">
        <v>14</v>
      </c>
      <c r="B1248" t="s">
        <v>351</v>
      </c>
      <c r="C1248" t="s">
        <v>362</v>
      </c>
      <c r="D1248" t="s">
        <v>62</v>
      </c>
      <c r="E1248" s="2">
        <v>43874</v>
      </c>
      <c r="F1248" t="s">
        <v>24</v>
      </c>
      <c r="G1248" t="s">
        <v>260</v>
      </c>
      <c r="H1248" t="s">
        <v>118</v>
      </c>
      <c r="I1248" s="3">
        <v>4.2361111111111113E-2</v>
      </c>
      <c r="J1248" s="8" t="s">
        <v>444</v>
      </c>
      <c r="K1248" s="8" t="s">
        <v>444</v>
      </c>
      <c r="L1248" s="8" t="str">
        <f>IF(Table1346[[#This Row],[Home Team Score]]&gt;Table1346[[#This Row],[Away Team Score]],"Win",IF(Table1346[[#This Row],[Home Team Score]]=Table1346[[#This Row],[Away Team Score]],"Tie","Lose"))</f>
        <v>Tie</v>
      </c>
      <c r="M1248" t="s">
        <v>19</v>
      </c>
      <c r="N1248" t="s">
        <v>69</v>
      </c>
      <c r="O1248" s="3">
        <v>4.2361111111111113E-2</v>
      </c>
      <c r="P1248" t="s">
        <v>83</v>
      </c>
      <c r="R1248" t="e">
        <f>IF([1]!Table13[[#This Row],[Goal_assist]]="",1,0)</f>
        <v>#REF!</v>
      </c>
    </row>
    <row r="1249" spans="1:18" x14ac:dyDescent="0.35">
      <c r="A1249" t="s">
        <v>64</v>
      </c>
      <c r="B1249" t="s">
        <v>351</v>
      </c>
      <c r="C1249" t="s">
        <v>65</v>
      </c>
      <c r="D1249">
        <v>25</v>
      </c>
      <c r="E1249" s="2">
        <v>43883</v>
      </c>
      <c r="F1249" t="s">
        <v>16</v>
      </c>
      <c r="G1249" t="s">
        <v>66</v>
      </c>
      <c r="H1249" t="s">
        <v>270</v>
      </c>
      <c r="I1249" s="3">
        <v>0.20833333333333334</v>
      </c>
      <c r="J1249" s="8" t="s">
        <v>448</v>
      </c>
      <c r="K1249" s="8" t="s">
        <v>443</v>
      </c>
      <c r="L1249" s="8" t="str">
        <f>IF(Table1346[[#This Row],[Home Team Score]]&gt;Table1346[[#This Row],[Away Team Score]],"Win",IF(Table1346[[#This Row],[Home Team Score]]=Table1346[[#This Row],[Away Team Score]],"Tie","Lose"))</f>
        <v>Win</v>
      </c>
      <c r="M1249" t="s">
        <v>311</v>
      </c>
      <c r="N1249">
        <v>37</v>
      </c>
      <c r="O1249" s="3">
        <v>8.3333333333333329E-2</v>
      </c>
      <c r="P1249" t="s">
        <v>31</v>
      </c>
      <c r="Q1249" t="s">
        <v>326</v>
      </c>
      <c r="R1249" t="e">
        <f>IF([1]!Table13[[#This Row],[Goal_assist]]="",1,0)</f>
        <v>#REF!</v>
      </c>
    </row>
    <row r="1250" spans="1:18" x14ac:dyDescent="0.35">
      <c r="A1250" t="s">
        <v>64</v>
      </c>
      <c r="B1250" t="s">
        <v>351</v>
      </c>
      <c r="C1250" t="s">
        <v>65</v>
      </c>
      <c r="D1250">
        <v>25</v>
      </c>
      <c r="E1250" s="2">
        <v>43883</v>
      </c>
      <c r="F1250" t="s">
        <v>16</v>
      </c>
      <c r="G1250" t="s">
        <v>66</v>
      </c>
      <c r="H1250" t="s">
        <v>270</v>
      </c>
      <c r="I1250" s="3">
        <v>0.20833333333333334</v>
      </c>
      <c r="J1250" s="8" t="s">
        <v>448</v>
      </c>
      <c r="K1250" s="8" t="s">
        <v>443</v>
      </c>
      <c r="L1250" s="8" t="str">
        <f>IF(Table1346[[#This Row],[Home Team Score]]&gt;Table1346[[#This Row],[Away Team Score]],"Win",IF(Table1346[[#This Row],[Home Team Score]]=Table1346[[#This Row],[Away Team Score]],"Tie","Lose"))</f>
        <v>Win</v>
      </c>
      <c r="M1250" t="s">
        <v>311</v>
      </c>
      <c r="N1250">
        <v>40</v>
      </c>
      <c r="O1250" s="3">
        <v>0.125</v>
      </c>
      <c r="P1250" t="s">
        <v>31</v>
      </c>
      <c r="R1250" t="e">
        <f>IF([1]!Table13[[#This Row],[Goal_assist]]="",1,0)</f>
        <v>#REF!</v>
      </c>
    </row>
    <row r="1251" spans="1:18" x14ac:dyDescent="0.35">
      <c r="A1251" t="s">
        <v>64</v>
      </c>
      <c r="B1251" t="s">
        <v>351</v>
      </c>
      <c r="C1251" t="s">
        <v>65</v>
      </c>
      <c r="D1251">
        <v>25</v>
      </c>
      <c r="E1251" s="2">
        <v>43883</v>
      </c>
      <c r="F1251" t="s">
        <v>16</v>
      </c>
      <c r="G1251" t="s">
        <v>66</v>
      </c>
      <c r="H1251" t="s">
        <v>270</v>
      </c>
      <c r="I1251" s="3">
        <v>0.20833333333333334</v>
      </c>
      <c r="J1251" s="8" t="s">
        <v>448</v>
      </c>
      <c r="K1251" s="8" t="s">
        <v>443</v>
      </c>
      <c r="L1251" s="8" t="str">
        <f>IF(Table1346[[#This Row],[Home Team Score]]&gt;Table1346[[#This Row],[Away Team Score]],"Win",IF(Table1346[[#This Row],[Home Team Score]]=Table1346[[#This Row],[Away Team Score]],"Tie","Lose"))</f>
        <v>Win</v>
      </c>
      <c r="M1251" t="s">
        <v>311</v>
      </c>
      <c r="N1251">
        <v>87</v>
      </c>
      <c r="O1251" s="3">
        <v>0.16666666666666666</v>
      </c>
      <c r="P1251" t="s">
        <v>31</v>
      </c>
      <c r="R1251" t="e">
        <f>IF([1]!Table13[[#This Row],[Goal_assist]]="",1,0)</f>
        <v>#REF!</v>
      </c>
    </row>
    <row r="1252" spans="1:18" x14ac:dyDescent="0.35">
      <c r="A1252" t="s">
        <v>64</v>
      </c>
      <c r="B1252" t="s">
        <v>351</v>
      </c>
      <c r="C1252" t="s">
        <v>65</v>
      </c>
      <c r="D1252">
        <v>25</v>
      </c>
      <c r="E1252" s="2">
        <v>43883</v>
      </c>
      <c r="F1252" t="s">
        <v>16</v>
      </c>
      <c r="G1252" t="s">
        <v>66</v>
      </c>
      <c r="H1252" t="s">
        <v>270</v>
      </c>
      <c r="I1252" s="3">
        <v>0.20833333333333334</v>
      </c>
      <c r="J1252" s="8" t="s">
        <v>448</v>
      </c>
      <c r="K1252" s="8" t="s">
        <v>443</v>
      </c>
      <c r="L1252" s="8" t="str">
        <f>IF(Table1346[[#This Row],[Home Team Score]]&gt;Table1346[[#This Row],[Away Team Score]],"Win",IF(Table1346[[#This Row],[Home Team Score]]=Table1346[[#This Row],[Away Team Score]],"Tie","Lose"))</f>
        <v>Win</v>
      </c>
      <c r="M1252" t="s">
        <v>311</v>
      </c>
      <c r="N1252">
        <v>14</v>
      </c>
      <c r="O1252" s="3">
        <v>4.1666666666666664E-2</v>
      </c>
      <c r="P1252" t="s">
        <v>31</v>
      </c>
      <c r="Q1252" t="s">
        <v>276</v>
      </c>
      <c r="R1252" t="e">
        <f>IF([1]!Table13[[#This Row],[Goal_assist]]="",1,0)</f>
        <v>#REF!</v>
      </c>
    </row>
    <row r="1253" spans="1:18" x14ac:dyDescent="0.35">
      <c r="A1253" t="s">
        <v>14</v>
      </c>
      <c r="B1253" t="s">
        <v>351</v>
      </c>
      <c r="C1253" t="s">
        <v>321</v>
      </c>
      <c r="D1253">
        <v>25</v>
      </c>
      <c r="E1253" s="2">
        <v>43883</v>
      </c>
      <c r="F1253" t="s">
        <v>24</v>
      </c>
      <c r="G1253" t="s">
        <v>260</v>
      </c>
      <c r="H1253" t="s">
        <v>333</v>
      </c>
      <c r="I1253" s="3">
        <v>4.3055555555555555E-2</v>
      </c>
      <c r="J1253" s="8" t="s">
        <v>444</v>
      </c>
      <c r="K1253" s="8" t="s">
        <v>445</v>
      </c>
      <c r="L1253" s="8" t="str">
        <f>IF(Table1346[[#This Row],[Home Team Score]]&gt;Table1346[[#This Row],[Away Team Score]],"Win",IF(Table1346[[#This Row],[Home Team Score]]=Table1346[[#This Row],[Away Team Score]],"Tie","Lose"))</f>
        <v>Lose</v>
      </c>
      <c r="M1253" t="s">
        <v>19</v>
      </c>
      <c r="N1253">
        <v>39</v>
      </c>
      <c r="O1253" s="3">
        <v>6.9444444444444447E-4</v>
      </c>
      <c r="P1253" t="s">
        <v>55</v>
      </c>
      <c r="Q1253" t="s">
        <v>364</v>
      </c>
      <c r="R1253" t="e">
        <f>IF([1]!Table13[[#This Row],[Goal_assist]]="",1,0)</f>
        <v>#REF!</v>
      </c>
    </row>
    <row r="1254" spans="1:18" x14ac:dyDescent="0.35">
      <c r="A1254" t="s">
        <v>64</v>
      </c>
      <c r="B1254" t="s">
        <v>351</v>
      </c>
      <c r="C1254" t="s">
        <v>65</v>
      </c>
      <c r="D1254">
        <v>27</v>
      </c>
      <c r="E1254" s="2">
        <v>43897</v>
      </c>
      <c r="F1254" t="s">
        <v>16</v>
      </c>
      <c r="G1254" t="s">
        <v>66</v>
      </c>
      <c r="H1254" t="s">
        <v>217</v>
      </c>
      <c r="I1254" s="3">
        <v>4.1666666666666664E-2</v>
      </c>
      <c r="J1254" s="8" t="s">
        <v>444</v>
      </c>
      <c r="K1254" s="8" t="s">
        <v>443</v>
      </c>
      <c r="L1254" s="8" t="str">
        <f>IF(Table1346[[#This Row],[Home Team Score]]&gt;Table1346[[#This Row],[Away Team Score]],"Win",IF(Table1346[[#This Row],[Home Team Score]]=Table1346[[#This Row],[Away Team Score]],"Tie","Lose"))</f>
        <v>Win</v>
      </c>
      <c r="M1254" t="s">
        <v>251</v>
      </c>
      <c r="N1254">
        <v>81</v>
      </c>
      <c r="O1254" s="3">
        <v>4.1666666666666664E-2</v>
      </c>
      <c r="P1254" t="s">
        <v>83</v>
      </c>
      <c r="R1254" t="e">
        <f>IF([1]!Table13[[#This Row],[Goal_assist]]="",1,0)</f>
        <v>#REF!</v>
      </c>
    </row>
    <row r="1255" spans="1:18" x14ac:dyDescent="0.35">
      <c r="A1255" t="s">
        <v>64</v>
      </c>
      <c r="B1255" t="s">
        <v>351</v>
      </c>
      <c r="C1255" t="s">
        <v>65</v>
      </c>
      <c r="D1255">
        <v>28</v>
      </c>
      <c r="E1255" s="2">
        <v>43995</v>
      </c>
      <c r="F1255" t="s">
        <v>24</v>
      </c>
      <c r="G1255" t="s">
        <v>66</v>
      </c>
      <c r="H1255" t="s">
        <v>89</v>
      </c>
      <c r="I1255" s="3">
        <v>2.7777777777777779E-3</v>
      </c>
      <c r="J1255" s="8" t="s">
        <v>443</v>
      </c>
      <c r="K1255" s="8" t="s">
        <v>446</v>
      </c>
      <c r="L1255" s="8" t="str">
        <f>IF(Table1346[[#This Row],[Home Team Score]]&gt;Table1346[[#This Row],[Away Team Score]],"Win",IF(Table1346[[#This Row],[Home Team Score]]=Table1346[[#This Row],[Away Team Score]],"Tie","Lose"))</f>
        <v>Lose</v>
      </c>
      <c r="M1255" t="s">
        <v>275</v>
      </c>
      <c r="N1255" t="s">
        <v>136</v>
      </c>
      <c r="O1255" s="3">
        <v>2.7777777777777779E-3</v>
      </c>
      <c r="P1255" t="s">
        <v>26</v>
      </c>
      <c r="Q1255" t="s">
        <v>273</v>
      </c>
      <c r="R1255" t="e">
        <f>IF([1]!Table13[[#This Row],[Goal_assist]]="",1,0)</f>
        <v>#REF!</v>
      </c>
    </row>
    <row r="1256" spans="1:18" x14ac:dyDescent="0.35">
      <c r="A1256" t="s">
        <v>64</v>
      </c>
      <c r="B1256" t="s">
        <v>351</v>
      </c>
      <c r="C1256" t="s">
        <v>65</v>
      </c>
      <c r="D1256">
        <v>29</v>
      </c>
      <c r="E1256" s="2">
        <v>43998</v>
      </c>
      <c r="F1256" t="s">
        <v>16</v>
      </c>
      <c r="G1256" t="s">
        <v>66</v>
      </c>
      <c r="H1256" t="s">
        <v>294</v>
      </c>
      <c r="I1256" s="3">
        <v>8.3333333333333329E-2</v>
      </c>
      <c r="J1256" s="8" t="s">
        <v>445</v>
      </c>
      <c r="K1256" s="8" t="s">
        <v>443</v>
      </c>
      <c r="L1256" s="8" t="str">
        <f>IF(Table1346[[#This Row],[Home Team Score]]&gt;Table1346[[#This Row],[Away Team Score]],"Win",IF(Table1346[[#This Row],[Home Team Score]]=Table1346[[#This Row],[Away Team Score]],"Tie","Lose"))</f>
        <v>Win</v>
      </c>
      <c r="M1256" t="s">
        <v>275</v>
      </c>
      <c r="N1256">
        <v>69</v>
      </c>
      <c r="O1256" s="3">
        <v>8.3333333333333329E-2</v>
      </c>
      <c r="P1256" t="s">
        <v>83</v>
      </c>
      <c r="R1256" t="e">
        <f>IF([1]!Table13[[#This Row],[Goal_assist]]="",1,0)</f>
        <v>#REF!</v>
      </c>
    </row>
    <row r="1257" spans="1:18" x14ac:dyDescent="0.35">
      <c r="A1257" t="s">
        <v>14</v>
      </c>
      <c r="B1257" t="s">
        <v>351</v>
      </c>
      <c r="C1257" t="s">
        <v>321</v>
      </c>
      <c r="D1257">
        <v>27</v>
      </c>
      <c r="E1257" s="2">
        <v>44004</v>
      </c>
      <c r="F1257" t="s">
        <v>24</v>
      </c>
      <c r="G1257" t="s">
        <v>260</v>
      </c>
      <c r="H1257" t="s">
        <v>356</v>
      </c>
      <c r="I1257" s="3">
        <v>1.3888888888888889E-3</v>
      </c>
      <c r="J1257" s="8" t="s">
        <v>443</v>
      </c>
      <c r="K1257" s="8" t="s">
        <v>445</v>
      </c>
      <c r="L1257" s="8" t="str">
        <f>IF(Table1346[[#This Row],[Home Team Score]]&gt;Table1346[[#This Row],[Away Team Score]],"Win",IF(Table1346[[#This Row],[Home Team Score]]=Table1346[[#This Row],[Away Team Score]],"Tie","Lose"))</f>
        <v>Lose</v>
      </c>
      <c r="M1257" t="s">
        <v>19</v>
      </c>
      <c r="N1257">
        <v>23</v>
      </c>
      <c r="O1257" s="3">
        <v>6.9444444444444447E-4</v>
      </c>
      <c r="P1257" t="s">
        <v>83</v>
      </c>
      <c r="R1257" t="e">
        <f>IF([1]!Table13[[#This Row],[Goal_assist]]="",1,0)</f>
        <v>#REF!</v>
      </c>
    </row>
    <row r="1258" spans="1:18" x14ac:dyDescent="0.35">
      <c r="A1258" t="s">
        <v>14</v>
      </c>
      <c r="B1258" t="s">
        <v>351</v>
      </c>
      <c r="C1258" t="s">
        <v>321</v>
      </c>
      <c r="D1258">
        <v>28</v>
      </c>
      <c r="E1258" s="2">
        <v>44008</v>
      </c>
      <c r="F1258" t="s">
        <v>16</v>
      </c>
      <c r="G1258" t="s">
        <v>260</v>
      </c>
      <c r="H1258" t="s">
        <v>365</v>
      </c>
      <c r="I1258" s="3">
        <v>0.16666666666666666</v>
      </c>
      <c r="J1258" s="8" t="s">
        <v>446</v>
      </c>
      <c r="K1258" s="8" t="s">
        <v>443</v>
      </c>
      <c r="L1258" s="8" t="str">
        <f>IF(Table1346[[#This Row],[Home Team Score]]&gt;Table1346[[#This Row],[Away Team Score]],"Win",IF(Table1346[[#This Row],[Home Team Score]]=Table1346[[#This Row],[Away Team Score]],"Tie","Lose"))</f>
        <v>Win</v>
      </c>
      <c r="M1258" t="s">
        <v>19</v>
      </c>
      <c r="N1258">
        <v>62</v>
      </c>
      <c r="O1258" s="3">
        <v>8.3333333333333329E-2</v>
      </c>
      <c r="P1258" t="s">
        <v>83</v>
      </c>
      <c r="R1258" t="e">
        <f>IF([1]!Table13[[#This Row],[Goal_assist]]="",1,0)</f>
        <v>#REF!</v>
      </c>
    </row>
    <row r="1259" spans="1:18" x14ac:dyDescent="0.35">
      <c r="A1259" t="s">
        <v>64</v>
      </c>
      <c r="B1259" t="s">
        <v>351</v>
      </c>
      <c r="C1259" t="s">
        <v>65</v>
      </c>
      <c r="D1259">
        <v>33</v>
      </c>
      <c r="E1259" s="2">
        <v>44012</v>
      </c>
      <c r="F1259" t="s">
        <v>16</v>
      </c>
      <c r="G1259" t="s">
        <v>66</v>
      </c>
      <c r="H1259" t="s">
        <v>119</v>
      </c>
      <c r="I1259" s="3">
        <v>8.4722222222222227E-2</v>
      </c>
      <c r="J1259" s="8" t="s">
        <v>445</v>
      </c>
      <c r="K1259" s="8" t="s">
        <v>445</v>
      </c>
      <c r="L1259" s="8" t="str">
        <f>IF(Table1346[[#This Row],[Home Team Score]]&gt;Table1346[[#This Row],[Away Team Score]],"Win",IF(Table1346[[#This Row],[Home Team Score]]=Table1346[[#This Row],[Away Team Score]],"Tie","Lose"))</f>
        <v>Tie</v>
      </c>
      <c r="M1259" t="s">
        <v>311</v>
      </c>
      <c r="N1259">
        <v>50</v>
      </c>
      <c r="O1259" s="3">
        <v>8.4027777777777785E-2</v>
      </c>
      <c r="P1259" t="s">
        <v>83</v>
      </c>
      <c r="R1259" t="e">
        <f>IF([1]!Table13[[#This Row],[Goal_assist]]="",1,0)</f>
        <v>#REF!</v>
      </c>
    </row>
    <row r="1260" spans="1:18" x14ac:dyDescent="0.35">
      <c r="A1260" t="s">
        <v>14</v>
      </c>
      <c r="B1260" t="s">
        <v>351</v>
      </c>
      <c r="C1260" t="s">
        <v>321</v>
      </c>
      <c r="D1260">
        <v>29</v>
      </c>
      <c r="E1260" s="2">
        <v>44012</v>
      </c>
      <c r="F1260" t="s">
        <v>24</v>
      </c>
      <c r="G1260" t="s">
        <v>260</v>
      </c>
      <c r="H1260" t="s">
        <v>329</v>
      </c>
      <c r="I1260" s="3">
        <v>4.3749999999999997E-2</v>
      </c>
      <c r="J1260" s="8" t="s">
        <v>444</v>
      </c>
      <c r="K1260" s="8" t="s">
        <v>442</v>
      </c>
      <c r="L1260" s="8" t="str">
        <f>IF(Table1346[[#This Row],[Home Team Score]]&gt;Table1346[[#This Row],[Away Team Score]],"Win",IF(Table1346[[#This Row],[Home Team Score]]=Table1346[[#This Row],[Away Team Score]],"Tie","Lose"))</f>
        <v>Lose</v>
      </c>
      <c r="M1260" t="s">
        <v>19</v>
      </c>
      <c r="N1260">
        <v>56</v>
      </c>
      <c r="O1260" s="3">
        <v>1.3888888888888889E-3</v>
      </c>
      <c r="P1260" t="s">
        <v>170</v>
      </c>
      <c r="Q1260" t="s">
        <v>334</v>
      </c>
      <c r="R1260" t="e">
        <f>IF([1]!Table13[[#This Row],[Goal_assist]]="",1,0)</f>
        <v>#REF!</v>
      </c>
    </row>
    <row r="1261" spans="1:18" x14ac:dyDescent="0.35">
      <c r="A1261" t="s">
        <v>14</v>
      </c>
      <c r="B1261" t="s">
        <v>351</v>
      </c>
      <c r="C1261" t="s">
        <v>321</v>
      </c>
      <c r="D1261">
        <v>30</v>
      </c>
      <c r="E1261" s="2">
        <v>44016</v>
      </c>
      <c r="F1261" t="s">
        <v>16</v>
      </c>
      <c r="G1261" t="s">
        <v>260</v>
      </c>
      <c r="H1261" t="s">
        <v>336</v>
      </c>
      <c r="I1261" s="3">
        <v>0.1673611111111111</v>
      </c>
      <c r="J1261" s="8" t="s">
        <v>446</v>
      </c>
      <c r="K1261" s="8" t="s">
        <v>444</v>
      </c>
      <c r="L1261" s="8" t="str">
        <f>IF(Table1346[[#This Row],[Home Team Score]]&gt;Table1346[[#This Row],[Away Team Score]],"Win",IF(Table1346[[#This Row],[Home Team Score]]=Table1346[[#This Row],[Away Team Score]],"Tie","Lose"))</f>
        <v>Win</v>
      </c>
      <c r="M1261" t="s">
        <v>19</v>
      </c>
      <c r="N1261">
        <v>61</v>
      </c>
      <c r="O1261" s="3">
        <v>0.12569444444444444</v>
      </c>
      <c r="P1261" t="s">
        <v>39</v>
      </c>
      <c r="R1261" t="e">
        <f>IF([1]!Table13[[#This Row],[Goal_assist]]="",1,0)</f>
        <v>#REF!</v>
      </c>
    </row>
    <row r="1262" spans="1:18" x14ac:dyDescent="0.35">
      <c r="A1262" t="s">
        <v>14</v>
      </c>
      <c r="B1262" t="s">
        <v>351</v>
      </c>
      <c r="C1262" t="s">
        <v>321</v>
      </c>
      <c r="D1262">
        <v>31</v>
      </c>
      <c r="E1262" s="2">
        <v>44019</v>
      </c>
      <c r="F1262" t="s">
        <v>24</v>
      </c>
      <c r="G1262" t="s">
        <v>260</v>
      </c>
      <c r="H1262" t="s">
        <v>118</v>
      </c>
      <c r="I1262" s="3">
        <v>0.16805555555555557</v>
      </c>
      <c r="J1262" s="8" t="s">
        <v>446</v>
      </c>
      <c r="K1262" s="8" t="s">
        <v>445</v>
      </c>
      <c r="L1262" s="8" t="str">
        <f>IF(Table1346[[#This Row],[Home Team Score]]&gt;Table1346[[#This Row],[Away Team Score]],"Win",IF(Table1346[[#This Row],[Home Team Score]]=Table1346[[#This Row],[Away Team Score]],"Tie","Lose"))</f>
        <v>Win</v>
      </c>
      <c r="M1262" t="s">
        <v>19</v>
      </c>
      <c r="N1262">
        <v>53</v>
      </c>
      <c r="O1262" s="3">
        <v>1.3888888888888889E-3</v>
      </c>
      <c r="P1262" t="s">
        <v>31</v>
      </c>
      <c r="Q1262" t="s">
        <v>364</v>
      </c>
      <c r="R1262" t="e">
        <f>IF([1]!Table13[[#This Row],[Goal_assist]]="",1,0)</f>
        <v>#REF!</v>
      </c>
    </row>
    <row r="1263" spans="1:18" x14ac:dyDescent="0.35">
      <c r="A1263" t="s">
        <v>14</v>
      </c>
      <c r="B1263" t="s">
        <v>351</v>
      </c>
      <c r="C1263" t="s">
        <v>321</v>
      </c>
      <c r="D1263">
        <v>32</v>
      </c>
      <c r="E1263" s="2">
        <v>44023</v>
      </c>
      <c r="F1263" t="s">
        <v>16</v>
      </c>
      <c r="G1263" t="s">
        <v>260</v>
      </c>
      <c r="H1263" t="s">
        <v>337</v>
      </c>
      <c r="I1263" s="3">
        <v>8.4722222222222227E-2</v>
      </c>
      <c r="J1263" s="8" t="s">
        <v>445</v>
      </c>
      <c r="K1263" s="8" t="s">
        <v>445</v>
      </c>
      <c r="L1263" s="8" t="str">
        <f>IF(Table1346[[#This Row],[Home Team Score]]&gt;Table1346[[#This Row],[Away Team Score]],"Win",IF(Table1346[[#This Row],[Home Team Score]]=Table1346[[#This Row],[Away Team Score]],"Tie","Lose"))</f>
        <v>Tie</v>
      </c>
      <c r="M1263" t="s">
        <v>19</v>
      </c>
      <c r="N1263">
        <v>90</v>
      </c>
      <c r="O1263" s="3">
        <v>8.4722222222222227E-2</v>
      </c>
      <c r="P1263" t="s">
        <v>83</v>
      </c>
      <c r="R1263" t="e">
        <f>IF([1]!Table13[[#This Row],[Goal_assist]]="",1,0)</f>
        <v>#REF!</v>
      </c>
    </row>
    <row r="1264" spans="1:18" x14ac:dyDescent="0.35">
      <c r="A1264" t="s">
        <v>14</v>
      </c>
      <c r="B1264" t="s">
        <v>351</v>
      </c>
      <c r="C1264" t="s">
        <v>321</v>
      </c>
      <c r="D1264">
        <v>32</v>
      </c>
      <c r="E1264" s="2">
        <v>44023</v>
      </c>
      <c r="F1264" t="s">
        <v>16</v>
      </c>
      <c r="G1264" t="s">
        <v>260</v>
      </c>
      <c r="H1264" t="s">
        <v>337</v>
      </c>
      <c r="I1264" s="3">
        <v>8.4722222222222227E-2</v>
      </c>
      <c r="J1264" s="8" t="s">
        <v>445</v>
      </c>
      <c r="K1264" s="8" t="s">
        <v>445</v>
      </c>
      <c r="L1264" s="8" t="str">
        <f>IF(Table1346[[#This Row],[Home Team Score]]&gt;Table1346[[#This Row],[Away Team Score]],"Win",IF(Table1346[[#This Row],[Home Team Score]]=Table1346[[#This Row],[Away Team Score]],"Tie","Lose"))</f>
        <v>Tie</v>
      </c>
      <c r="M1264" t="s">
        <v>19</v>
      </c>
      <c r="N1264">
        <v>55</v>
      </c>
      <c r="O1264" s="3">
        <v>4.2361111111111113E-2</v>
      </c>
      <c r="P1264" t="s">
        <v>83</v>
      </c>
      <c r="R1264" t="e">
        <f>IF([1]!Table13[[#This Row],[Goal_assist]]="",1,0)</f>
        <v>#REF!</v>
      </c>
    </row>
    <row r="1265" spans="1:18" x14ac:dyDescent="0.35">
      <c r="A1265" t="s">
        <v>64</v>
      </c>
      <c r="B1265" t="s">
        <v>351</v>
      </c>
      <c r="C1265" t="s">
        <v>65</v>
      </c>
      <c r="D1265">
        <v>37</v>
      </c>
      <c r="E1265" s="2">
        <v>44028</v>
      </c>
      <c r="F1265" t="s">
        <v>16</v>
      </c>
      <c r="G1265" t="s">
        <v>66</v>
      </c>
      <c r="H1265" t="s">
        <v>100</v>
      </c>
      <c r="I1265" s="3">
        <v>4.3055555555555555E-2</v>
      </c>
      <c r="J1265" s="8" t="s">
        <v>444</v>
      </c>
      <c r="K1265" s="8" t="s">
        <v>445</v>
      </c>
      <c r="L1265" s="8" t="str">
        <f>IF(Table1346[[#This Row],[Home Team Score]]&gt;Table1346[[#This Row],[Away Team Score]],"Win",IF(Table1346[[#This Row],[Home Team Score]]=Table1346[[#This Row],[Away Team Score]],"Tie","Lose"))</f>
        <v>Lose</v>
      </c>
      <c r="M1265" t="s">
        <v>275</v>
      </c>
      <c r="N1265">
        <v>62</v>
      </c>
      <c r="O1265" s="3">
        <v>4.2361111111111113E-2</v>
      </c>
      <c r="P1265" t="s">
        <v>39</v>
      </c>
      <c r="R1265" t="e">
        <f>IF([1]!Table13[[#This Row],[Goal_assist]]="",1,0)</f>
        <v>#REF!</v>
      </c>
    </row>
    <row r="1266" spans="1:18" x14ac:dyDescent="0.35">
      <c r="A1266" t="s">
        <v>64</v>
      </c>
      <c r="B1266" t="s">
        <v>351</v>
      </c>
      <c r="C1266" t="s">
        <v>65</v>
      </c>
      <c r="D1266">
        <v>38</v>
      </c>
      <c r="E1266" s="2">
        <v>44031</v>
      </c>
      <c r="F1266" t="s">
        <v>24</v>
      </c>
      <c r="G1266" t="s">
        <v>66</v>
      </c>
      <c r="H1266" t="s">
        <v>88</v>
      </c>
      <c r="I1266" s="3">
        <v>3.472222222222222E-3</v>
      </c>
      <c r="J1266" s="8" t="s">
        <v>443</v>
      </c>
      <c r="K1266" s="8" t="s">
        <v>448</v>
      </c>
      <c r="L1266" s="8" t="str">
        <f>IF(Table1346[[#This Row],[Home Team Score]]&gt;Table1346[[#This Row],[Away Team Score]],"Win",IF(Table1346[[#This Row],[Home Team Score]]=Table1346[[#This Row],[Away Team Score]],"Tie","Lose"))</f>
        <v>Lose</v>
      </c>
      <c r="M1266" t="s">
        <v>275</v>
      </c>
      <c r="N1266">
        <v>34</v>
      </c>
      <c r="O1266" s="3">
        <v>1.3888888888888889E-3</v>
      </c>
      <c r="P1266" t="s">
        <v>31</v>
      </c>
      <c r="Q1266" t="s">
        <v>366</v>
      </c>
      <c r="R1266" t="e">
        <f>IF([1]!Table13[[#This Row],[Goal_assist]]="",1,0)</f>
        <v>#REF!</v>
      </c>
    </row>
    <row r="1267" spans="1:18" x14ac:dyDescent="0.35">
      <c r="A1267" t="s">
        <v>64</v>
      </c>
      <c r="B1267" t="s">
        <v>351</v>
      </c>
      <c r="C1267" t="s">
        <v>65</v>
      </c>
      <c r="D1267">
        <v>38</v>
      </c>
      <c r="E1267" s="2">
        <v>44031</v>
      </c>
      <c r="F1267" t="s">
        <v>24</v>
      </c>
      <c r="G1267" t="s">
        <v>66</v>
      </c>
      <c r="H1267" t="s">
        <v>88</v>
      </c>
      <c r="I1267" s="3">
        <v>3.472222222222222E-3</v>
      </c>
      <c r="J1267" s="8" t="s">
        <v>443</v>
      </c>
      <c r="K1267" s="8" t="s">
        <v>448</v>
      </c>
      <c r="L1267" s="8" t="str">
        <f>IF(Table1346[[#This Row],[Home Team Score]]&gt;Table1346[[#This Row],[Away Team Score]],"Win",IF(Table1346[[#This Row],[Home Team Score]]=Table1346[[#This Row],[Away Team Score]],"Tie","Lose"))</f>
        <v>Lose</v>
      </c>
      <c r="M1267" t="s">
        <v>275</v>
      </c>
      <c r="N1267">
        <v>75</v>
      </c>
      <c r="O1267" s="3">
        <v>3.472222222222222E-3</v>
      </c>
      <c r="P1267" t="s">
        <v>31</v>
      </c>
      <c r="Q1267" t="s">
        <v>243</v>
      </c>
      <c r="R1267" t="e">
        <f>IF([1]!Table13[[#This Row],[Goal_assist]]="",1,0)</f>
        <v>#REF!</v>
      </c>
    </row>
    <row r="1268" spans="1:18" x14ac:dyDescent="0.35">
      <c r="A1268" t="s">
        <v>14</v>
      </c>
      <c r="B1268" t="s">
        <v>351</v>
      </c>
      <c r="C1268" t="s">
        <v>321</v>
      </c>
      <c r="D1268">
        <v>34</v>
      </c>
      <c r="E1268" s="2">
        <v>44032</v>
      </c>
      <c r="F1268" t="s">
        <v>16</v>
      </c>
      <c r="G1268" t="s">
        <v>260</v>
      </c>
      <c r="H1268" t="s">
        <v>343</v>
      </c>
      <c r="I1268" s="3">
        <v>8.4027777777777785E-2</v>
      </c>
      <c r="J1268" s="8" t="s">
        <v>445</v>
      </c>
      <c r="K1268" s="8" t="s">
        <v>444</v>
      </c>
      <c r="L1268" s="8" t="str">
        <f>IF(Table1346[[#This Row],[Home Team Score]]&gt;Table1346[[#This Row],[Away Team Score]],"Win",IF(Table1346[[#This Row],[Home Team Score]]=Table1346[[#This Row],[Away Team Score]],"Tie","Lose"))</f>
        <v>Win</v>
      </c>
      <c r="M1268" t="s">
        <v>19</v>
      </c>
      <c r="N1268">
        <v>54</v>
      </c>
      <c r="O1268" s="3">
        <v>8.3333333333333329E-2</v>
      </c>
      <c r="P1268" t="s">
        <v>162</v>
      </c>
      <c r="Q1268" t="s">
        <v>340</v>
      </c>
      <c r="R1268" t="e">
        <f>IF([1]!Table13[[#This Row],[Goal_assist]]="",1,0)</f>
        <v>#REF!</v>
      </c>
    </row>
    <row r="1269" spans="1:18" x14ac:dyDescent="0.35">
      <c r="A1269" t="s">
        <v>14</v>
      </c>
      <c r="B1269" t="s">
        <v>351</v>
      </c>
      <c r="C1269" t="s">
        <v>321</v>
      </c>
      <c r="D1269">
        <v>34</v>
      </c>
      <c r="E1269" s="2">
        <v>44032</v>
      </c>
      <c r="F1269" t="s">
        <v>16</v>
      </c>
      <c r="G1269" t="s">
        <v>260</v>
      </c>
      <c r="H1269" t="s">
        <v>343</v>
      </c>
      <c r="I1269" s="3">
        <v>8.4027777777777785E-2</v>
      </c>
      <c r="J1269" s="8" t="s">
        <v>445</v>
      </c>
      <c r="K1269" s="8" t="s">
        <v>444</v>
      </c>
      <c r="L1269" s="8" t="str">
        <f>IF(Table1346[[#This Row],[Home Team Score]]&gt;Table1346[[#This Row],[Away Team Score]],"Win",IF(Table1346[[#This Row],[Home Team Score]]=Table1346[[#This Row],[Away Team Score]],"Tie","Lose"))</f>
        <v>Win</v>
      </c>
      <c r="M1269" t="s">
        <v>19</v>
      </c>
      <c r="N1269">
        <v>51</v>
      </c>
      <c r="O1269" s="3">
        <v>4.1666666666666664E-2</v>
      </c>
      <c r="P1269" t="s">
        <v>83</v>
      </c>
      <c r="R1269" t="e">
        <f>IF([1]!Table13[[#This Row],[Goal_assist]]="",1,0)</f>
        <v>#REF!</v>
      </c>
    </row>
    <row r="1270" spans="1:18" x14ac:dyDescent="0.35">
      <c r="A1270" t="s">
        <v>14</v>
      </c>
      <c r="B1270" t="s">
        <v>351</v>
      </c>
      <c r="C1270" t="s">
        <v>321</v>
      </c>
      <c r="D1270">
        <v>36</v>
      </c>
      <c r="E1270" s="2">
        <v>44038</v>
      </c>
      <c r="F1270" t="s">
        <v>16</v>
      </c>
      <c r="G1270" t="s">
        <v>260</v>
      </c>
      <c r="H1270" t="s">
        <v>339</v>
      </c>
      <c r="I1270" s="3">
        <v>8.3333333333333329E-2</v>
      </c>
      <c r="J1270" s="8" t="s">
        <v>445</v>
      </c>
      <c r="K1270" s="8" t="s">
        <v>443</v>
      </c>
      <c r="L1270" s="8" t="str">
        <f>IF(Table1346[[#This Row],[Home Team Score]]&gt;Table1346[[#This Row],[Away Team Score]],"Win",IF(Table1346[[#This Row],[Home Team Score]]=Table1346[[#This Row],[Away Team Score]],"Tie","Lose"))</f>
        <v>Win</v>
      </c>
      <c r="M1270" t="s">
        <v>19</v>
      </c>
      <c r="N1270" t="s">
        <v>367</v>
      </c>
      <c r="O1270" s="3">
        <v>4.1666666666666664E-2</v>
      </c>
      <c r="P1270" t="s">
        <v>26</v>
      </c>
      <c r="Q1270" t="s">
        <v>334</v>
      </c>
      <c r="R1270" t="e">
        <f>IF([1]!Table13[[#This Row],[Goal_assist]]="",1,0)</f>
        <v>#REF!</v>
      </c>
    </row>
    <row r="1271" spans="1:18" x14ac:dyDescent="0.35">
      <c r="A1271" t="s">
        <v>14</v>
      </c>
      <c r="B1271" t="s">
        <v>351</v>
      </c>
      <c r="C1271" t="s">
        <v>75</v>
      </c>
      <c r="D1271" t="s">
        <v>143</v>
      </c>
      <c r="E1271" s="2">
        <v>44050</v>
      </c>
      <c r="F1271" t="s">
        <v>16</v>
      </c>
      <c r="G1271" t="s">
        <v>260</v>
      </c>
      <c r="H1271" t="s">
        <v>125</v>
      </c>
      <c r="I1271" s="3">
        <v>8.4027777777777785E-2</v>
      </c>
      <c r="J1271" s="8" t="s">
        <v>445</v>
      </c>
      <c r="K1271" s="8" t="s">
        <v>444</v>
      </c>
      <c r="L1271" s="8" t="str">
        <f>IF(Table1346[[#This Row],[Home Team Score]]&gt;Table1346[[#This Row],[Away Team Score]],"Win",IF(Table1346[[#This Row],[Home Team Score]]=Table1346[[#This Row],[Away Team Score]],"Tie","Lose"))</f>
        <v>Win</v>
      </c>
      <c r="M1271" t="s">
        <v>19</v>
      </c>
      <c r="N1271">
        <v>43</v>
      </c>
      <c r="O1271" s="3">
        <v>4.2361111111111113E-2</v>
      </c>
      <c r="P1271" t="s">
        <v>83</v>
      </c>
      <c r="R1271" t="e">
        <f>IF([1]!Table13[[#This Row],[Goal_assist]]="",1,0)</f>
        <v>#REF!</v>
      </c>
    </row>
    <row r="1272" spans="1:18" x14ac:dyDescent="0.35">
      <c r="A1272" t="s">
        <v>14</v>
      </c>
      <c r="B1272" t="s">
        <v>351</v>
      </c>
      <c r="C1272" t="s">
        <v>75</v>
      </c>
      <c r="D1272" t="s">
        <v>143</v>
      </c>
      <c r="E1272" s="2">
        <v>44050</v>
      </c>
      <c r="F1272" t="s">
        <v>16</v>
      </c>
      <c r="G1272" t="s">
        <v>260</v>
      </c>
      <c r="H1272" t="s">
        <v>125</v>
      </c>
      <c r="I1272" s="3">
        <v>8.4027777777777785E-2</v>
      </c>
      <c r="J1272" s="8" t="s">
        <v>445</v>
      </c>
      <c r="K1272" s="8" t="s">
        <v>444</v>
      </c>
      <c r="L1272" s="8" t="str">
        <f>IF(Table1346[[#This Row],[Home Team Score]]&gt;Table1346[[#This Row],[Away Team Score]],"Win",IF(Table1346[[#This Row],[Home Team Score]]=Table1346[[#This Row],[Away Team Score]],"Tie","Lose"))</f>
        <v>Win</v>
      </c>
      <c r="M1272" t="s">
        <v>19</v>
      </c>
      <c r="N1272">
        <v>60</v>
      </c>
      <c r="O1272" s="3">
        <v>8.4027777777777785E-2</v>
      </c>
      <c r="P1272" t="s">
        <v>31</v>
      </c>
      <c r="Q1272" t="s">
        <v>345</v>
      </c>
      <c r="R1272" t="e">
        <f>IF([1]!Table13[[#This Row],[Goal_assist]]="",1,0)</f>
        <v>#REF!</v>
      </c>
    </row>
    <row r="1273" spans="1:18" x14ac:dyDescent="0.35">
      <c r="A1273" t="s">
        <v>64</v>
      </c>
      <c r="B1273" t="s">
        <v>351</v>
      </c>
      <c r="C1273" t="s">
        <v>75</v>
      </c>
      <c r="D1273" t="s">
        <v>143</v>
      </c>
      <c r="E1273" s="2">
        <v>44051</v>
      </c>
      <c r="F1273" t="s">
        <v>16</v>
      </c>
      <c r="G1273" t="s">
        <v>66</v>
      </c>
      <c r="H1273" t="s">
        <v>352</v>
      </c>
      <c r="I1273" s="3">
        <v>0.12569444444444444</v>
      </c>
      <c r="J1273" s="8" t="s">
        <v>442</v>
      </c>
      <c r="K1273" s="8" t="s">
        <v>444</v>
      </c>
      <c r="L1273" s="8" t="str">
        <f>IF(Table1346[[#This Row],[Home Team Score]]&gt;Table1346[[#This Row],[Away Team Score]],"Win",IF(Table1346[[#This Row],[Home Team Score]]=Table1346[[#This Row],[Away Team Score]],"Tie","Lose"))</f>
        <v>Win</v>
      </c>
      <c r="M1273" t="s">
        <v>311</v>
      </c>
      <c r="N1273">
        <v>23</v>
      </c>
      <c r="O1273" s="3">
        <v>8.3333333333333329E-2</v>
      </c>
      <c r="P1273" t="s">
        <v>31</v>
      </c>
      <c r="R1273" t="e">
        <f>IF([1]!Table13[[#This Row],[Goal_assist]]="",1,0)</f>
        <v>#REF!</v>
      </c>
    </row>
    <row r="1274" spans="1:18" x14ac:dyDescent="0.35">
      <c r="A1274" t="s">
        <v>14</v>
      </c>
      <c r="B1274" t="s">
        <v>368</v>
      </c>
      <c r="C1274" t="s">
        <v>321</v>
      </c>
      <c r="D1274">
        <v>1</v>
      </c>
      <c r="E1274" s="2">
        <v>44094</v>
      </c>
      <c r="F1274" t="s">
        <v>16</v>
      </c>
      <c r="G1274" t="s">
        <v>260</v>
      </c>
      <c r="H1274" t="s">
        <v>339</v>
      </c>
      <c r="I1274" s="3">
        <v>0.125</v>
      </c>
      <c r="J1274" s="8" t="s">
        <v>442</v>
      </c>
      <c r="K1274" s="8" t="s">
        <v>443</v>
      </c>
      <c r="L1274" s="8" t="str">
        <f>IF(Table1346[[#This Row],[Home Team Score]]&gt;Table1346[[#This Row],[Away Team Score]],"Win",IF(Table1346[[#This Row],[Home Team Score]]=Table1346[[#This Row],[Away Team Score]],"Tie","Lose"))</f>
        <v>Win</v>
      </c>
      <c r="M1274" t="s">
        <v>68</v>
      </c>
      <c r="N1274">
        <v>88</v>
      </c>
      <c r="O1274" s="3">
        <v>0.125</v>
      </c>
      <c r="P1274" t="s">
        <v>26</v>
      </c>
      <c r="Q1274" t="s">
        <v>369</v>
      </c>
      <c r="R1274" t="e">
        <f>IF([1]!Table13[[#This Row],[Goal_assist]]="",1,0)</f>
        <v>#REF!</v>
      </c>
    </row>
    <row r="1275" spans="1:18" x14ac:dyDescent="0.35">
      <c r="A1275" t="s">
        <v>14</v>
      </c>
      <c r="B1275" t="s">
        <v>368</v>
      </c>
      <c r="C1275" t="s">
        <v>321</v>
      </c>
      <c r="D1275">
        <v>2</v>
      </c>
      <c r="E1275" s="2">
        <v>44101</v>
      </c>
      <c r="F1275" t="s">
        <v>24</v>
      </c>
      <c r="G1275" t="s">
        <v>260</v>
      </c>
      <c r="H1275" t="s">
        <v>116</v>
      </c>
      <c r="I1275" s="3">
        <v>8.4722222222222227E-2</v>
      </c>
      <c r="J1275" s="8" t="s">
        <v>445</v>
      </c>
      <c r="K1275" s="8" t="s">
        <v>445</v>
      </c>
      <c r="L1275" s="8" t="str">
        <f>IF(Table1346[[#This Row],[Home Team Score]]&gt;Table1346[[#This Row],[Away Team Score]],"Win",IF(Table1346[[#This Row],[Home Team Score]]=Table1346[[#This Row],[Away Team Score]],"Tie","Lose"))</f>
        <v>Tie</v>
      </c>
      <c r="M1275" t="s">
        <v>68</v>
      </c>
      <c r="N1275">
        <v>44</v>
      </c>
      <c r="O1275" s="3">
        <v>4.2361111111111113E-2</v>
      </c>
      <c r="P1275" t="s">
        <v>83</v>
      </c>
      <c r="R1275" t="e">
        <f>IF([1]!Table13[[#This Row],[Goal_assist]]="",1,0)</f>
        <v>#REF!</v>
      </c>
    </row>
    <row r="1276" spans="1:18" x14ac:dyDescent="0.35">
      <c r="A1276" t="s">
        <v>64</v>
      </c>
      <c r="B1276" t="s">
        <v>368</v>
      </c>
      <c r="C1276" t="s">
        <v>65</v>
      </c>
      <c r="D1276">
        <v>3</v>
      </c>
      <c r="E1276" s="2">
        <v>44101</v>
      </c>
      <c r="F1276" t="s">
        <v>16</v>
      </c>
      <c r="G1276" t="s">
        <v>66</v>
      </c>
      <c r="H1276" t="s">
        <v>180</v>
      </c>
      <c r="I1276" s="3">
        <v>0.16666666666666666</v>
      </c>
      <c r="J1276" s="8" t="s">
        <v>446</v>
      </c>
      <c r="K1276" s="8" t="s">
        <v>443</v>
      </c>
      <c r="L1276" s="8" t="str">
        <f>IF(Table1346[[#This Row],[Home Team Score]]&gt;Table1346[[#This Row],[Away Team Score]],"Win",IF(Table1346[[#This Row],[Home Team Score]]=Table1346[[#This Row],[Away Team Score]],"Tie","Lose"))</f>
        <v>Win</v>
      </c>
      <c r="M1276" t="s">
        <v>251</v>
      </c>
      <c r="N1276">
        <v>35</v>
      </c>
      <c r="O1276" s="3">
        <v>0.125</v>
      </c>
      <c r="P1276" t="s">
        <v>83</v>
      </c>
      <c r="R1276" t="e">
        <f>IF([1]!Table13[[#This Row],[Goal_assist]]="",1,0)</f>
        <v>#REF!</v>
      </c>
    </row>
    <row r="1277" spans="1:18" x14ac:dyDescent="0.35">
      <c r="A1277" t="s">
        <v>14</v>
      </c>
      <c r="B1277" t="s">
        <v>368</v>
      </c>
      <c r="C1277" t="s">
        <v>321</v>
      </c>
      <c r="D1277">
        <v>2</v>
      </c>
      <c r="E1277" s="2">
        <v>44101</v>
      </c>
      <c r="F1277" t="s">
        <v>24</v>
      </c>
      <c r="G1277" t="s">
        <v>260</v>
      </c>
      <c r="H1277" t="s">
        <v>116</v>
      </c>
      <c r="I1277" s="3">
        <v>8.4722222222222227E-2</v>
      </c>
      <c r="J1277" s="8" t="s">
        <v>445</v>
      </c>
      <c r="K1277" s="8" t="s">
        <v>445</v>
      </c>
      <c r="L1277" s="8" t="str">
        <f>IF(Table1346[[#This Row],[Home Team Score]]&gt;Table1346[[#This Row],[Away Team Score]],"Win",IF(Table1346[[#This Row],[Home Team Score]]=Table1346[[#This Row],[Away Team Score]],"Tie","Lose"))</f>
        <v>Tie</v>
      </c>
      <c r="M1277" t="s">
        <v>68</v>
      </c>
      <c r="N1277">
        <v>69</v>
      </c>
      <c r="O1277" s="3">
        <v>8.4722222222222227E-2</v>
      </c>
      <c r="P1277" t="s">
        <v>22</v>
      </c>
      <c r="Q1277" t="s">
        <v>285</v>
      </c>
      <c r="R1277" t="e">
        <f>IF([1]!Table13[[#This Row],[Goal_assist]]="",1,0)</f>
        <v>#REF!</v>
      </c>
    </row>
    <row r="1278" spans="1:18" x14ac:dyDescent="0.35">
      <c r="A1278" t="s">
        <v>64</v>
      </c>
      <c r="B1278" t="s">
        <v>368</v>
      </c>
      <c r="C1278" t="s">
        <v>75</v>
      </c>
      <c r="D1278" t="s">
        <v>76</v>
      </c>
      <c r="E1278" s="2">
        <v>44124</v>
      </c>
      <c r="F1278" t="s">
        <v>16</v>
      </c>
      <c r="G1278" t="s">
        <v>66</v>
      </c>
      <c r="H1278" t="s">
        <v>370</v>
      </c>
      <c r="I1278" s="3">
        <v>0.20902777777777778</v>
      </c>
      <c r="J1278" s="8" t="s">
        <v>448</v>
      </c>
      <c r="K1278" s="8" t="s">
        <v>444</v>
      </c>
      <c r="L1278" s="8" t="str">
        <f>IF(Table1346[[#This Row],[Home Team Score]]&gt;Table1346[[#This Row],[Away Team Score]],"Win",IF(Table1346[[#This Row],[Home Team Score]]=Table1346[[#This Row],[Away Team Score]],"Tie","Lose"))</f>
        <v>Win</v>
      </c>
      <c r="M1278" t="s">
        <v>251</v>
      </c>
      <c r="N1278">
        <v>27</v>
      </c>
      <c r="O1278" s="3">
        <v>4.1666666666666664E-2</v>
      </c>
      <c r="P1278" t="s">
        <v>83</v>
      </c>
      <c r="R1278" t="e">
        <f>IF([1]!Table13[[#This Row],[Goal_assist]]="",1,0)</f>
        <v>#REF!</v>
      </c>
    </row>
    <row r="1279" spans="1:18" x14ac:dyDescent="0.35">
      <c r="A1279" t="s">
        <v>64</v>
      </c>
      <c r="B1279" t="s">
        <v>368</v>
      </c>
      <c r="C1279" t="s">
        <v>75</v>
      </c>
      <c r="D1279" t="s">
        <v>76</v>
      </c>
      <c r="E1279" s="2">
        <v>44132</v>
      </c>
      <c r="F1279" t="s">
        <v>24</v>
      </c>
      <c r="G1279" t="s">
        <v>66</v>
      </c>
      <c r="H1279" t="s">
        <v>260</v>
      </c>
      <c r="I1279" s="3">
        <v>1.3888888888888889E-3</v>
      </c>
      <c r="J1279" s="8" t="s">
        <v>443</v>
      </c>
      <c r="K1279" s="8" t="s">
        <v>445</v>
      </c>
      <c r="L1279" s="8" t="str">
        <f>IF(Table1346[[#This Row],[Home Team Score]]&gt;Table1346[[#This Row],[Away Team Score]],"Win",IF(Table1346[[#This Row],[Home Team Score]]=Table1346[[#This Row],[Away Team Score]],"Tie","Lose"))</f>
        <v>Lose</v>
      </c>
      <c r="M1279" t="s">
        <v>251</v>
      </c>
      <c r="N1279" t="s">
        <v>69</v>
      </c>
      <c r="O1279" s="3">
        <v>1.3888888888888889E-3</v>
      </c>
      <c r="P1279" t="s">
        <v>83</v>
      </c>
      <c r="R1279" t="e">
        <f>IF([1]!Table13[[#This Row],[Goal_assist]]="",1,0)</f>
        <v>#REF!</v>
      </c>
    </row>
    <row r="1280" spans="1:18" x14ac:dyDescent="0.35">
      <c r="A1280" t="s">
        <v>14</v>
      </c>
      <c r="B1280" t="s">
        <v>368</v>
      </c>
      <c r="C1280" t="s">
        <v>321</v>
      </c>
      <c r="D1280">
        <v>6</v>
      </c>
      <c r="E1280" s="2">
        <v>44136</v>
      </c>
      <c r="F1280" t="s">
        <v>24</v>
      </c>
      <c r="G1280" t="s">
        <v>260</v>
      </c>
      <c r="H1280" t="s">
        <v>371</v>
      </c>
      <c r="I1280" s="3">
        <v>4.4444444444444446E-2</v>
      </c>
      <c r="J1280" s="8" t="s">
        <v>444</v>
      </c>
      <c r="K1280" s="8" t="s">
        <v>446</v>
      </c>
      <c r="L1280" s="8" t="str">
        <f>IF(Table1346[[#This Row],[Home Team Score]]&gt;Table1346[[#This Row],[Away Team Score]],"Win",IF(Table1346[[#This Row],[Home Team Score]]=Table1346[[#This Row],[Away Team Score]],"Tie","Lose"))</f>
        <v>Lose</v>
      </c>
      <c r="M1280" t="s">
        <v>68</v>
      </c>
      <c r="N1280">
        <v>59</v>
      </c>
      <c r="O1280" s="3">
        <v>4.3055555555555555E-2</v>
      </c>
      <c r="P1280" t="s">
        <v>26</v>
      </c>
      <c r="Q1280" t="s">
        <v>295</v>
      </c>
      <c r="R1280" t="e">
        <f>IF([1]!Table13[[#This Row],[Goal_assist]]="",1,0)</f>
        <v>#REF!</v>
      </c>
    </row>
    <row r="1281" spans="1:18" x14ac:dyDescent="0.35">
      <c r="A1281" t="s">
        <v>14</v>
      </c>
      <c r="B1281" t="s">
        <v>368</v>
      </c>
      <c r="C1281" t="s">
        <v>321</v>
      </c>
      <c r="D1281">
        <v>6</v>
      </c>
      <c r="E1281" s="2">
        <v>44136</v>
      </c>
      <c r="F1281" t="s">
        <v>24</v>
      </c>
      <c r="G1281" t="s">
        <v>260</v>
      </c>
      <c r="H1281" t="s">
        <v>371</v>
      </c>
      <c r="I1281" s="3">
        <v>4.4444444444444446E-2</v>
      </c>
      <c r="J1281" s="8" t="s">
        <v>444</v>
      </c>
      <c r="K1281" s="8" t="s">
        <v>446</v>
      </c>
      <c r="L1281" s="8" t="str">
        <f>IF(Table1346[[#This Row],[Home Team Score]]&gt;Table1346[[#This Row],[Away Team Score]],"Win",IF(Table1346[[#This Row],[Home Team Score]]=Table1346[[#This Row],[Away Team Score]],"Tie","Lose"))</f>
        <v>Lose</v>
      </c>
      <c r="M1281" t="s">
        <v>68</v>
      </c>
      <c r="N1281">
        <v>76</v>
      </c>
      <c r="O1281" s="3">
        <v>4.4444444444444446E-2</v>
      </c>
      <c r="P1281" t="s">
        <v>83</v>
      </c>
      <c r="R1281" t="e">
        <f>IF([1]!Table13[[#This Row],[Goal_assist]]="",1,0)</f>
        <v>#REF!</v>
      </c>
    </row>
    <row r="1282" spans="1:18" x14ac:dyDescent="0.35">
      <c r="A1282" t="s">
        <v>64</v>
      </c>
      <c r="B1282" t="s">
        <v>368</v>
      </c>
      <c r="C1282" t="s">
        <v>75</v>
      </c>
      <c r="D1282" t="s">
        <v>76</v>
      </c>
      <c r="E1282" s="2">
        <v>44139</v>
      </c>
      <c r="F1282" t="s">
        <v>16</v>
      </c>
      <c r="G1282" t="s">
        <v>66</v>
      </c>
      <c r="H1282" t="s">
        <v>130</v>
      </c>
      <c r="I1282" s="3">
        <v>8.4027777777777785E-2</v>
      </c>
      <c r="J1282" s="8" t="s">
        <v>445</v>
      </c>
      <c r="K1282" s="8" t="s">
        <v>444</v>
      </c>
      <c r="L1282" s="8" t="str">
        <f>IF(Table1346[[#This Row],[Home Team Score]]&gt;Table1346[[#This Row],[Away Team Score]],"Win",IF(Table1346[[#This Row],[Home Team Score]]=Table1346[[#This Row],[Away Team Score]],"Tie","Lose"))</f>
        <v>Win</v>
      </c>
      <c r="M1282" t="s">
        <v>275</v>
      </c>
      <c r="N1282">
        <v>5</v>
      </c>
      <c r="O1282" s="3">
        <v>4.1666666666666664E-2</v>
      </c>
      <c r="P1282" t="s">
        <v>83</v>
      </c>
      <c r="R1282" t="e">
        <f>IF([1]!Table13[[#This Row],[Goal_assist]]="",1,0)</f>
        <v>#REF!</v>
      </c>
    </row>
    <row r="1283" spans="1:18" x14ac:dyDescent="0.35">
      <c r="A1283" t="s">
        <v>64</v>
      </c>
      <c r="B1283" t="s">
        <v>368</v>
      </c>
      <c r="C1283" t="s">
        <v>65</v>
      </c>
      <c r="D1283">
        <v>9</v>
      </c>
      <c r="E1283" s="2">
        <v>44142</v>
      </c>
      <c r="F1283" t="s">
        <v>16</v>
      </c>
      <c r="G1283" t="s">
        <v>66</v>
      </c>
      <c r="H1283" t="s">
        <v>95</v>
      </c>
      <c r="I1283" s="3">
        <v>0.20972222222222223</v>
      </c>
      <c r="J1283" s="8" t="s">
        <v>448</v>
      </c>
      <c r="K1283" s="8" t="s">
        <v>445</v>
      </c>
      <c r="L1283" s="8" t="str">
        <f>IF(Table1346[[#This Row],[Home Team Score]]&gt;Table1346[[#This Row],[Away Team Score]],"Win",IF(Table1346[[#This Row],[Home Team Score]]=Table1346[[#This Row],[Away Team Score]],"Tie","Lose"))</f>
        <v>Win</v>
      </c>
      <c r="M1283" t="s">
        <v>68</v>
      </c>
      <c r="N1283">
        <v>82</v>
      </c>
      <c r="O1283" s="3">
        <v>0.16805555555555557</v>
      </c>
      <c r="P1283" t="s">
        <v>31</v>
      </c>
      <c r="Q1283" t="s">
        <v>293</v>
      </c>
      <c r="R1283" t="e">
        <f>IF([1]!Table13[[#This Row],[Goal_assist]]="",1,0)</f>
        <v>#REF!</v>
      </c>
    </row>
    <row r="1284" spans="1:18" x14ac:dyDescent="0.35">
      <c r="A1284" t="s">
        <v>64</v>
      </c>
      <c r="B1284" t="s">
        <v>368</v>
      </c>
      <c r="C1284" t="s">
        <v>65</v>
      </c>
      <c r="D1284">
        <v>9</v>
      </c>
      <c r="E1284" s="2">
        <v>44142</v>
      </c>
      <c r="F1284" t="s">
        <v>16</v>
      </c>
      <c r="G1284" t="s">
        <v>66</v>
      </c>
      <c r="H1284" t="s">
        <v>95</v>
      </c>
      <c r="I1284" s="3">
        <v>0.20972222222222223</v>
      </c>
      <c r="J1284" s="8" t="s">
        <v>448</v>
      </c>
      <c r="K1284" s="8" t="s">
        <v>445</v>
      </c>
      <c r="L1284" s="8" t="str">
        <f>IF(Table1346[[#This Row],[Home Team Score]]&gt;Table1346[[#This Row],[Away Team Score]],"Win",IF(Table1346[[#This Row],[Home Team Score]]=Table1346[[#This Row],[Away Team Score]],"Tie","Lose"))</f>
        <v>Win</v>
      </c>
      <c r="M1284" t="s">
        <v>68</v>
      </c>
      <c r="N1284">
        <v>61</v>
      </c>
      <c r="O1284" s="3">
        <v>0.12569444444444444</v>
      </c>
      <c r="P1284" t="s">
        <v>83</v>
      </c>
      <c r="R1284" t="e">
        <f>IF([1]!Table13[[#This Row],[Goal_assist]]="",1,0)</f>
        <v>#REF!</v>
      </c>
    </row>
    <row r="1285" spans="1:18" x14ac:dyDescent="0.35">
      <c r="A1285" t="s">
        <v>14</v>
      </c>
      <c r="B1285" t="s">
        <v>368</v>
      </c>
      <c r="C1285" t="s">
        <v>321</v>
      </c>
      <c r="D1285">
        <v>7</v>
      </c>
      <c r="E1285" s="2">
        <v>44143</v>
      </c>
      <c r="F1285" t="s">
        <v>24</v>
      </c>
      <c r="G1285" t="s">
        <v>260</v>
      </c>
      <c r="H1285" t="s">
        <v>343</v>
      </c>
      <c r="I1285" s="3">
        <v>4.2361111111111113E-2</v>
      </c>
      <c r="J1285" s="8" t="s">
        <v>444</v>
      </c>
      <c r="K1285" s="8" t="s">
        <v>444</v>
      </c>
      <c r="L1285" s="8" t="str">
        <f>IF(Table1346[[#This Row],[Home Team Score]]&gt;Table1346[[#This Row],[Away Team Score]],"Win",IF(Table1346[[#This Row],[Home Team Score]]=Table1346[[#This Row],[Away Team Score]],"Tie","Lose"))</f>
        <v>Tie</v>
      </c>
      <c r="M1285" t="s">
        <v>19</v>
      </c>
      <c r="N1285">
        <v>15</v>
      </c>
      <c r="O1285" s="3">
        <v>6.9444444444444447E-4</v>
      </c>
      <c r="P1285" t="s">
        <v>26</v>
      </c>
      <c r="Q1285" t="s">
        <v>364</v>
      </c>
      <c r="R1285" t="e">
        <f>IF([1]!Table13[[#This Row],[Goal_assist]]="",1,0)</f>
        <v>#REF!</v>
      </c>
    </row>
    <row r="1286" spans="1:18" x14ac:dyDescent="0.35">
      <c r="A1286" t="s">
        <v>14</v>
      </c>
      <c r="B1286" t="s">
        <v>368</v>
      </c>
      <c r="C1286" t="s">
        <v>321</v>
      </c>
      <c r="D1286">
        <v>8</v>
      </c>
      <c r="E1286" s="2">
        <v>44156</v>
      </c>
      <c r="F1286" t="s">
        <v>16</v>
      </c>
      <c r="G1286" t="s">
        <v>260</v>
      </c>
      <c r="H1286" t="s">
        <v>361</v>
      </c>
      <c r="I1286" s="3">
        <v>8.3333333333333329E-2</v>
      </c>
      <c r="J1286" s="8" t="s">
        <v>445</v>
      </c>
      <c r="K1286" s="8" t="s">
        <v>443</v>
      </c>
      <c r="L1286" s="8" t="str">
        <f>IF(Table1346[[#This Row],[Home Team Score]]&gt;Table1346[[#This Row],[Away Team Score]],"Win",IF(Table1346[[#This Row],[Home Team Score]]=Table1346[[#This Row],[Away Team Score]],"Tie","Lose"))</f>
        <v>Win</v>
      </c>
      <c r="M1286" t="s">
        <v>68</v>
      </c>
      <c r="N1286">
        <v>38</v>
      </c>
      <c r="O1286" s="3">
        <v>4.1666666666666664E-2</v>
      </c>
      <c r="P1286" t="s">
        <v>26</v>
      </c>
      <c r="Q1286" t="s">
        <v>295</v>
      </c>
      <c r="R1286" t="e">
        <f>IF([1]!Table13[[#This Row],[Goal_assist]]="",1,0)</f>
        <v>#REF!</v>
      </c>
    </row>
    <row r="1287" spans="1:18" x14ac:dyDescent="0.35">
      <c r="A1287" t="s">
        <v>14</v>
      </c>
      <c r="B1287" t="s">
        <v>368</v>
      </c>
      <c r="C1287" t="s">
        <v>321</v>
      </c>
      <c r="D1287">
        <v>8</v>
      </c>
      <c r="E1287" s="2">
        <v>44156</v>
      </c>
      <c r="F1287" t="s">
        <v>16</v>
      </c>
      <c r="G1287" t="s">
        <v>260</v>
      </c>
      <c r="H1287" t="s">
        <v>361</v>
      </c>
      <c r="I1287" s="3">
        <v>8.3333333333333329E-2</v>
      </c>
      <c r="J1287" s="8" t="s">
        <v>445</v>
      </c>
      <c r="K1287" s="8" t="s">
        <v>443</v>
      </c>
      <c r="L1287" s="8" t="str">
        <f>IF(Table1346[[#This Row],[Home Team Score]]&gt;Table1346[[#This Row],[Away Team Score]],"Win",IF(Table1346[[#This Row],[Home Team Score]]=Table1346[[#This Row],[Away Team Score]],"Tie","Lose"))</f>
        <v>Win</v>
      </c>
      <c r="M1287" t="s">
        <v>68</v>
      </c>
      <c r="N1287">
        <v>42</v>
      </c>
      <c r="O1287" s="3">
        <v>8.3333333333333329E-2</v>
      </c>
      <c r="P1287" t="s">
        <v>26</v>
      </c>
      <c r="Q1287" t="s">
        <v>372</v>
      </c>
      <c r="R1287" t="e">
        <f>IF([1]!Table13[[#This Row],[Goal_assist]]="",1,0)</f>
        <v>#REF!</v>
      </c>
    </row>
    <row r="1288" spans="1:18" x14ac:dyDescent="0.35">
      <c r="A1288" t="s">
        <v>14</v>
      </c>
      <c r="B1288" t="s">
        <v>368</v>
      </c>
      <c r="C1288" t="s">
        <v>75</v>
      </c>
      <c r="D1288" t="s">
        <v>76</v>
      </c>
      <c r="E1288" s="2">
        <v>44159</v>
      </c>
      <c r="F1288" t="s">
        <v>16</v>
      </c>
      <c r="G1288" t="s">
        <v>260</v>
      </c>
      <c r="H1288" t="s">
        <v>370</v>
      </c>
      <c r="I1288" s="3">
        <v>8.4027777777777785E-2</v>
      </c>
      <c r="J1288" s="8" t="s">
        <v>445</v>
      </c>
      <c r="K1288" s="8" t="s">
        <v>444</v>
      </c>
      <c r="L1288" s="8" t="str">
        <f>IF(Table1346[[#This Row],[Home Team Score]]&gt;Table1346[[#This Row],[Away Team Score]],"Win",IF(Table1346[[#This Row],[Home Team Score]]=Table1346[[#This Row],[Away Team Score]],"Tie","Lose"))</f>
        <v>Win</v>
      </c>
      <c r="M1288" t="s">
        <v>68</v>
      </c>
      <c r="N1288">
        <v>35</v>
      </c>
      <c r="O1288" s="3">
        <v>4.2361111111111113E-2</v>
      </c>
      <c r="P1288" t="s">
        <v>31</v>
      </c>
      <c r="Q1288" t="s">
        <v>364</v>
      </c>
      <c r="R1288" t="e">
        <f>IF([1]!Table13[[#This Row],[Goal_assist]]="",1,0)</f>
        <v>#REF!</v>
      </c>
    </row>
    <row r="1289" spans="1:18" x14ac:dyDescent="0.35">
      <c r="A1289" t="s">
        <v>64</v>
      </c>
      <c r="B1289" t="s">
        <v>368</v>
      </c>
      <c r="C1289" t="s">
        <v>65</v>
      </c>
      <c r="D1289">
        <v>11</v>
      </c>
      <c r="E1289" s="2">
        <v>44164</v>
      </c>
      <c r="F1289" t="s">
        <v>16</v>
      </c>
      <c r="G1289" t="s">
        <v>66</v>
      </c>
      <c r="H1289" t="s">
        <v>100</v>
      </c>
      <c r="I1289" s="3">
        <v>0.16666666666666666</v>
      </c>
      <c r="J1289" s="8" t="s">
        <v>446</v>
      </c>
      <c r="K1289" s="8" t="s">
        <v>443</v>
      </c>
      <c r="L1289" s="8" t="str">
        <f>IF(Table1346[[#This Row],[Home Team Score]]&gt;Table1346[[#This Row],[Away Team Score]],"Win",IF(Table1346[[#This Row],[Home Team Score]]=Table1346[[#This Row],[Away Team Score]],"Tie","Lose"))</f>
        <v>Win</v>
      </c>
      <c r="M1289" t="s">
        <v>275</v>
      </c>
      <c r="N1289">
        <v>73</v>
      </c>
      <c r="O1289" s="3">
        <v>0.16666666666666666</v>
      </c>
      <c r="P1289" t="s">
        <v>31</v>
      </c>
      <c r="Q1289" t="s">
        <v>373</v>
      </c>
      <c r="R1289" t="e">
        <f>IF([1]!Table13[[#This Row],[Goal_assist]]="",1,0)</f>
        <v>#REF!</v>
      </c>
    </row>
    <row r="1290" spans="1:18" x14ac:dyDescent="0.35">
      <c r="A1290" t="s">
        <v>14</v>
      </c>
      <c r="B1290" t="s">
        <v>368</v>
      </c>
      <c r="C1290" t="s">
        <v>75</v>
      </c>
      <c r="D1290" t="s">
        <v>76</v>
      </c>
      <c r="E1290" s="2">
        <v>44167</v>
      </c>
      <c r="F1290" t="s">
        <v>16</v>
      </c>
      <c r="G1290" t="s">
        <v>260</v>
      </c>
      <c r="H1290" t="s">
        <v>130</v>
      </c>
      <c r="I1290" s="3">
        <v>0.125</v>
      </c>
      <c r="J1290" s="8" t="s">
        <v>442</v>
      </c>
      <c r="K1290" s="8" t="s">
        <v>443</v>
      </c>
      <c r="L1290" s="8" t="str">
        <f>IF(Table1346[[#This Row],[Home Team Score]]&gt;Table1346[[#This Row],[Away Team Score]],"Win",IF(Table1346[[#This Row],[Home Team Score]]=Table1346[[#This Row],[Away Team Score]],"Tie","Lose"))</f>
        <v>Win</v>
      </c>
      <c r="M1290" t="s">
        <v>68</v>
      </c>
      <c r="N1290">
        <v>57</v>
      </c>
      <c r="O1290" s="3">
        <v>8.3333333333333329E-2</v>
      </c>
      <c r="P1290" t="s">
        <v>26</v>
      </c>
      <c r="Q1290" t="s">
        <v>295</v>
      </c>
      <c r="R1290" t="e">
        <f>IF([1]!Table13[[#This Row],[Goal_assist]]="",1,0)</f>
        <v>#REF!</v>
      </c>
    </row>
    <row r="1291" spans="1:18" x14ac:dyDescent="0.35">
      <c r="A1291" t="s">
        <v>14</v>
      </c>
      <c r="B1291" t="s">
        <v>368</v>
      </c>
      <c r="C1291" t="s">
        <v>75</v>
      </c>
      <c r="D1291" t="s">
        <v>76</v>
      </c>
      <c r="E1291" s="2">
        <v>44173</v>
      </c>
      <c r="F1291" t="s">
        <v>24</v>
      </c>
      <c r="G1291" t="s">
        <v>260</v>
      </c>
      <c r="H1291" t="s">
        <v>66</v>
      </c>
      <c r="I1291" s="3">
        <v>2.0833333333333333E-3</v>
      </c>
      <c r="J1291" s="8" t="s">
        <v>443</v>
      </c>
      <c r="K1291" s="8" t="s">
        <v>442</v>
      </c>
      <c r="L1291" s="8" t="str">
        <f>IF(Table1346[[#This Row],[Home Team Score]]&gt;Table1346[[#This Row],[Away Team Score]],"Win",IF(Table1346[[#This Row],[Home Team Score]]=Table1346[[#This Row],[Away Team Score]],"Tie","Lose"))</f>
        <v>Lose</v>
      </c>
      <c r="M1291" t="s">
        <v>68</v>
      </c>
      <c r="N1291">
        <v>13</v>
      </c>
      <c r="O1291" s="3">
        <v>6.9444444444444447E-4</v>
      </c>
      <c r="P1291" t="s">
        <v>83</v>
      </c>
      <c r="R1291" t="e">
        <f>IF([1]!Table13[[#This Row],[Goal_assist]]="",1,0)</f>
        <v>#REF!</v>
      </c>
    </row>
    <row r="1292" spans="1:18" x14ac:dyDescent="0.35">
      <c r="A1292" t="s">
        <v>14</v>
      </c>
      <c r="B1292" t="s">
        <v>368</v>
      </c>
      <c r="C1292" t="s">
        <v>75</v>
      </c>
      <c r="D1292" t="s">
        <v>76</v>
      </c>
      <c r="E1292" s="2">
        <v>44173</v>
      </c>
      <c r="F1292" t="s">
        <v>24</v>
      </c>
      <c r="G1292" t="s">
        <v>260</v>
      </c>
      <c r="H1292" t="s">
        <v>66</v>
      </c>
      <c r="I1292" s="3">
        <v>2.0833333333333333E-3</v>
      </c>
      <c r="J1292" s="8" t="s">
        <v>443</v>
      </c>
      <c r="K1292" s="8" t="s">
        <v>442</v>
      </c>
      <c r="L1292" s="8" t="str">
        <f>IF(Table1346[[#This Row],[Home Team Score]]&gt;Table1346[[#This Row],[Away Team Score]],"Win",IF(Table1346[[#This Row],[Home Team Score]]=Table1346[[#This Row],[Away Team Score]],"Tie","Lose"))</f>
        <v>Lose</v>
      </c>
      <c r="M1292" t="s">
        <v>68</v>
      </c>
      <c r="N1292">
        <v>52</v>
      </c>
      <c r="O1292" s="3">
        <v>2.0833333333333333E-3</v>
      </c>
      <c r="P1292" t="s">
        <v>83</v>
      </c>
      <c r="R1292" t="e">
        <f>IF([1]!Table13[[#This Row],[Goal_assist]]="",1,0)</f>
        <v>#REF!</v>
      </c>
    </row>
    <row r="1293" spans="1:18" x14ac:dyDescent="0.35">
      <c r="A1293" t="s">
        <v>14</v>
      </c>
      <c r="B1293" t="s">
        <v>368</v>
      </c>
      <c r="C1293" t="s">
        <v>321</v>
      </c>
      <c r="D1293">
        <v>11</v>
      </c>
      <c r="E1293" s="2">
        <v>44178</v>
      </c>
      <c r="F1293" t="s">
        <v>24</v>
      </c>
      <c r="G1293" t="s">
        <v>260</v>
      </c>
      <c r="H1293" t="s">
        <v>329</v>
      </c>
      <c r="I1293" s="3">
        <v>4.3749999999999997E-2</v>
      </c>
      <c r="J1293" s="8" t="s">
        <v>444</v>
      </c>
      <c r="K1293" s="8" t="s">
        <v>442</v>
      </c>
      <c r="L1293" s="8" t="str">
        <f>IF(Table1346[[#This Row],[Home Team Score]]&gt;Table1346[[#This Row],[Away Team Score]],"Win",IF(Table1346[[#This Row],[Home Team Score]]=Table1346[[#This Row],[Away Team Score]],"Tie","Lose"))</f>
        <v>Lose</v>
      </c>
      <c r="M1293" t="s">
        <v>68</v>
      </c>
      <c r="N1293">
        <v>78</v>
      </c>
      <c r="O1293" s="3">
        <v>4.3055555555555555E-2</v>
      </c>
      <c r="P1293" t="s">
        <v>83</v>
      </c>
      <c r="R1293" t="e">
        <f>IF([1]!Table13[[#This Row],[Goal_assist]]="",1,0)</f>
        <v>#REF!</v>
      </c>
    </row>
    <row r="1294" spans="1:18" x14ac:dyDescent="0.35">
      <c r="A1294" t="s">
        <v>14</v>
      </c>
      <c r="B1294" t="s">
        <v>368</v>
      </c>
      <c r="C1294" t="s">
        <v>321</v>
      </c>
      <c r="D1294">
        <v>11</v>
      </c>
      <c r="E1294" s="2">
        <v>44178</v>
      </c>
      <c r="F1294" t="s">
        <v>24</v>
      </c>
      <c r="G1294" t="s">
        <v>260</v>
      </c>
      <c r="H1294" t="s">
        <v>329</v>
      </c>
      <c r="I1294" s="3">
        <v>4.3749999999999997E-2</v>
      </c>
      <c r="J1294" s="8" t="s">
        <v>444</v>
      </c>
      <c r="K1294" s="8" t="s">
        <v>442</v>
      </c>
      <c r="L1294" s="8" t="str">
        <f>IF(Table1346[[#This Row],[Home Team Score]]&gt;Table1346[[#This Row],[Away Team Score]],"Win",IF(Table1346[[#This Row],[Home Team Score]]=Table1346[[#This Row],[Away Team Score]],"Tie","Lose"))</f>
        <v>Lose</v>
      </c>
      <c r="M1294" t="s">
        <v>68</v>
      </c>
      <c r="N1294">
        <v>89</v>
      </c>
      <c r="O1294" s="3">
        <v>4.3749999999999997E-2</v>
      </c>
      <c r="P1294" t="s">
        <v>83</v>
      </c>
      <c r="R1294" t="e">
        <f>IF([1]!Table13[[#This Row],[Goal_assist]]="",1,0)</f>
        <v>#REF!</v>
      </c>
    </row>
    <row r="1295" spans="1:18" x14ac:dyDescent="0.35">
      <c r="A1295" t="s">
        <v>64</v>
      </c>
      <c r="B1295" t="s">
        <v>368</v>
      </c>
      <c r="C1295" t="s">
        <v>65</v>
      </c>
      <c r="D1295">
        <v>13</v>
      </c>
      <c r="E1295" s="2">
        <v>44178</v>
      </c>
      <c r="F1295" t="s">
        <v>16</v>
      </c>
      <c r="G1295" t="s">
        <v>66</v>
      </c>
      <c r="H1295" t="s">
        <v>127</v>
      </c>
      <c r="I1295" s="3">
        <v>4.1666666666666664E-2</v>
      </c>
      <c r="J1295" s="8" t="s">
        <v>444</v>
      </c>
      <c r="K1295" s="8" t="s">
        <v>443</v>
      </c>
      <c r="L1295" s="8" t="str">
        <f>IF(Table1346[[#This Row],[Home Team Score]]&gt;Table1346[[#This Row],[Away Team Score]],"Win",IF(Table1346[[#This Row],[Home Team Score]]=Table1346[[#This Row],[Away Team Score]],"Tie","Lose"))</f>
        <v>Win</v>
      </c>
      <c r="M1295" t="s">
        <v>251</v>
      </c>
      <c r="N1295">
        <v>76</v>
      </c>
      <c r="O1295" s="3">
        <v>4.1666666666666664E-2</v>
      </c>
      <c r="P1295" t="s">
        <v>31</v>
      </c>
      <c r="Q1295" t="s">
        <v>363</v>
      </c>
      <c r="R1295" t="e">
        <f>IF([1]!Table13[[#This Row],[Goal_assist]]="",1,0)</f>
        <v>#REF!</v>
      </c>
    </row>
    <row r="1296" spans="1:18" x14ac:dyDescent="0.35">
      <c r="A1296" t="s">
        <v>64</v>
      </c>
      <c r="B1296" t="s">
        <v>368</v>
      </c>
      <c r="C1296" t="s">
        <v>65</v>
      </c>
      <c r="D1296">
        <v>14</v>
      </c>
      <c r="E1296" s="2">
        <v>44184</v>
      </c>
      <c r="F1296" t="s">
        <v>16</v>
      </c>
      <c r="G1296" t="s">
        <v>66</v>
      </c>
      <c r="H1296" t="s">
        <v>148</v>
      </c>
      <c r="I1296" s="3">
        <v>8.4722222222222227E-2</v>
      </c>
      <c r="J1296" s="8" t="s">
        <v>445</v>
      </c>
      <c r="K1296" s="8" t="s">
        <v>445</v>
      </c>
      <c r="L1296" s="8" t="str">
        <f>IF(Table1346[[#This Row],[Home Team Score]]&gt;Table1346[[#This Row],[Away Team Score]],"Win",IF(Table1346[[#This Row],[Home Team Score]]=Table1346[[#This Row],[Away Team Score]],"Tie","Lose"))</f>
        <v>Tie</v>
      </c>
      <c r="M1296" t="s">
        <v>251</v>
      </c>
      <c r="N1296" t="s">
        <v>374</v>
      </c>
      <c r="O1296" s="3">
        <v>4.2361111111111113E-2</v>
      </c>
      <c r="P1296" t="s">
        <v>22</v>
      </c>
      <c r="R1296" t="e">
        <f>IF([1]!Table13[[#This Row],[Goal_assist]]="",1,0)</f>
        <v>#REF!</v>
      </c>
    </row>
    <row r="1297" spans="1:18" x14ac:dyDescent="0.35">
      <c r="A1297" t="s">
        <v>14</v>
      </c>
      <c r="B1297" t="s">
        <v>368</v>
      </c>
      <c r="C1297" t="s">
        <v>321</v>
      </c>
      <c r="D1297">
        <v>13</v>
      </c>
      <c r="E1297" s="2">
        <v>44184</v>
      </c>
      <c r="F1297" t="s">
        <v>24</v>
      </c>
      <c r="G1297" t="s">
        <v>260</v>
      </c>
      <c r="H1297" t="s">
        <v>344</v>
      </c>
      <c r="I1297" s="3">
        <v>2.7777777777777779E-3</v>
      </c>
      <c r="J1297" s="8" t="s">
        <v>443</v>
      </c>
      <c r="K1297" s="8" t="s">
        <v>446</v>
      </c>
      <c r="L1297" s="8" t="str">
        <f>IF(Table1346[[#This Row],[Home Team Score]]&gt;Table1346[[#This Row],[Away Team Score]],"Win",IF(Table1346[[#This Row],[Home Team Score]]=Table1346[[#This Row],[Away Team Score]],"Tie","Lose"))</f>
        <v>Lose</v>
      </c>
      <c r="M1297" t="s">
        <v>68</v>
      </c>
      <c r="N1297">
        <v>48</v>
      </c>
      <c r="O1297" s="3">
        <v>2.0833333333333333E-3</v>
      </c>
      <c r="P1297" t="s">
        <v>31</v>
      </c>
      <c r="Q1297" t="s">
        <v>369</v>
      </c>
      <c r="R1297" t="e">
        <f>IF([1]!Table13[[#This Row],[Goal_assist]]="",1,0)</f>
        <v>#REF!</v>
      </c>
    </row>
    <row r="1298" spans="1:18" x14ac:dyDescent="0.35">
      <c r="A1298" t="s">
        <v>14</v>
      </c>
      <c r="B1298" t="s">
        <v>368</v>
      </c>
      <c r="C1298" t="s">
        <v>321</v>
      </c>
      <c r="D1298">
        <v>13</v>
      </c>
      <c r="E1298" s="2">
        <v>44184</v>
      </c>
      <c r="F1298" t="s">
        <v>24</v>
      </c>
      <c r="G1298" t="s">
        <v>260</v>
      </c>
      <c r="H1298" t="s">
        <v>344</v>
      </c>
      <c r="I1298" s="3">
        <v>2.7777777777777779E-3</v>
      </c>
      <c r="J1298" s="8" t="s">
        <v>443</v>
      </c>
      <c r="K1298" s="8" t="s">
        <v>446</v>
      </c>
      <c r="L1298" s="8" t="str">
        <f>IF(Table1346[[#This Row],[Home Team Score]]&gt;Table1346[[#This Row],[Away Team Score]],"Win",IF(Table1346[[#This Row],[Home Team Score]]=Table1346[[#This Row],[Away Team Score]],"Tie","Lose"))</f>
        <v>Lose</v>
      </c>
      <c r="M1298" t="s">
        <v>68</v>
      </c>
      <c r="N1298">
        <v>26</v>
      </c>
      <c r="O1298" s="3">
        <v>1.3888888888888889E-3</v>
      </c>
      <c r="P1298" t="s">
        <v>22</v>
      </c>
      <c r="Q1298" t="s">
        <v>295</v>
      </c>
      <c r="R1298" t="e">
        <f>IF([1]!Table13[[#This Row],[Goal_assist]]="",1,0)</f>
        <v>#REF!</v>
      </c>
    </row>
    <row r="1299" spans="1:18" x14ac:dyDescent="0.35">
      <c r="A1299" t="s">
        <v>64</v>
      </c>
      <c r="B1299" t="s">
        <v>368</v>
      </c>
      <c r="C1299" t="s">
        <v>65</v>
      </c>
      <c r="D1299">
        <v>15</v>
      </c>
      <c r="E1299" s="2">
        <v>44187</v>
      </c>
      <c r="F1299" t="s">
        <v>24</v>
      </c>
      <c r="G1299" t="s">
        <v>66</v>
      </c>
      <c r="H1299" t="s">
        <v>197</v>
      </c>
      <c r="I1299" s="3">
        <v>2.0833333333333333E-3</v>
      </c>
      <c r="J1299" s="8" t="s">
        <v>443</v>
      </c>
      <c r="K1299" s="8" t="s">
        <v>442</v>
      </c>
      <c r="L1299" s="8" t="str">
        <f>IF(Table1346[[#This Row],[Home Team Score]]&gt;Table1346[[#This Row],[Away Team Score]],"Win",IF(Table1346[[#This Row],[Home Team Score]]=Table1346[[#This Row],[Away Team Score]],"Tie","Lose"))</f>
        <v>Lose</v>
      </c>
      <c r="M1299" t="s">
        <v>282</v>
      </c>
      <c r="N1299">
        <v>65</v>
      </c>
      <c r="O1299" s="3">
        <v>2.0833333333333333E-3</v>
      </c>
      <c r="P1299" t="s">
        <v>31</v>
      </c>
      <c r="Q1299" t="s">
        <v>375</v>
      </c>
      <c r="R1299" t="e">
        <f>IF([1]!Table13[[#This Row],[Goal_assist]]="",1,0)</f>
        <v>#REF!</v>
      </c>
    </row>
    <row r="1300" spans="1:18" x14ac:dyDescent="0.35">
      <c r="A1300" t="s">
        <v>14</v>
      </c>
      <c r="B1300" t="s">
        <v>368</v>
      </c>
      <c r="C1300" t="s">
        <v>321</v>
      </c>
      <c r="D1300">
        <v>15</v>
      </c>
      <c r="E1300" s="2">
        <v>44199</v>
      </c>
      <c r="F1300" t="s">
        <v>16</v>
      </c>
      <c r="G1300" t="s">
        <v>260</v>
      </c>
      <c r="H1300" t="s">
        <v>327</v>
      </c>
      <c r="I1300" s="3">
        <v>0.1673611111111111</v>
      </c>
      <c r="J1300" s="8" t="s">
        <v>446</v>
      </c>
      <c r="K1300" s="8" t="s">
        <v>444</v>
      </c>
      <c r="L1300" s="8" t="str">
        <f>IF(Table1346[[#This Row],[Home Team Score]]&gt;Table1346[[#This Row],[Away Team Score]],"Win",IF(Table1346[[#This Row],[Home Team Score]]=Table1346[[#This Row],[Away Team Score]],"Tie","Lose"))</f>
        <v>Win</v>
      </c>
      <c r="M1300" t="s">
        <v>68</v>
      </c>
      <c r="N1300">
        <v>70</v>
      </c>
      <c r="O1300" s="3">
        <v>0.125</v>
      </c>
      <c r="P1300" t="s">
        <v>31</v>
      </c>
      <c r="Q1300" t="s">
        <v>359</v>
      </c>
      <c r="R1300" t="e">
        <f>IF([1]!Table13[[#This Row],[Goal_assist]]="",1,0)</f>
        <v>#REF!</v>
      </c>
    </row>
    <row r="1301" spans="1:18" x14ac:dyDescent="0.35">
      <c r="A1301" t="s">
        <v>14</v>
      </c>
      <c r="B1301" t="s">
        <v>368</v>
      </c>
      <c r="C1301" t="s">
        <v>321</v>
      </c>
      <c r="D1301">
        <v>15</v>
      </c>
      <c r="E1301" s="2">
        <v>44199</v>
      </c>
      <c r="F1301" t="s">
        <v>16</v>
      </c>
      <c r="G1301" t="s">
        <v>260</v>
      </c>
      <c r="H1301" t="s">
        <v>327</v>
      </c>
      <c r="I1301" s="3">
        <v>0.1673611111111111</v>
      </c>
      <c r="J1301" s="8" t="s">
        <v>446</v>
      </c>
      <c r="K1301" s="8" t="s">
        <v>444</v>
      </c>
      <c r="L1301" s="8" t="str">
        <f>IF(Table1346[[#This Row],[Home Team Score]]&gt;Table1346[[#This Row],[Away Team Score]],"Win",IF(Table1346[[#This Row],[Home Team Score]]=Table1346[[#This Row],[Away Team Score]],"Tie","Lose"))</f>
        <v>Win</v>
      </c>
      <c r="M1301" t="s">
        <v>68</v>
      </c>
      <c r="N1301">
        <v>31</v>
      </c>
      <c r="O1301" s="3">
        <v>4.1666666666666664E-2</v>
      </c>
      <c r="P1301" t="s">
        <v>26</v>
      </c>
      <c r="Q1301" t="s">
        <v>369</v>
      </c>
      <c r="R1301" t="e">
        <f>IF([1]!Table13[[#This Row],[Goal_assist]]="",1,0)</f>
        <v>#REF!</v>
      </c>
    </row>
    <row r="1302" spans="1:18" x14ac:dyDescent="0.35">
      <c r="A1302" t="s">
        <v>64</v>
      </c>
      <c r="B1302" t="s">
        <v>368</v>
      </c>
      <c r="C1302" t="s">
        <v>65</v>
      </c>
      <c r="D1302">
        <v>2</v>
      </c>
      <c r="E1302" s="2">
        <v>44202</v>
      </c>
      <c r="F1302" t="s">
        <v>24</v>
      </c>
      <c r="G1302" t="s">
        <v>66</v>
      </c>
      <c r="H1302" t="s">
        <v>86</v>
      </c>
      <c r="I1302" s="3">
        <v>8.5416666666666669E-2</v>
      </c>
      <c r="J1302" s="8" t="s">
        <v>445</v>
      </c>
      <c r="K1302" s="8" t="s">
        <v>442</v>
      </c>
      <c r="L1302" s="8" t="str">
        <f>IF(Table1346[[#This Row],[Home Team Score]]&gt;Table1346[[#This Row],[Away Team Score]],"Win",IF(Table1346[[#This Row],[Home Team Score]]=Table1346[[#This Row],[Away Team Score]],"Tie","Lose"))</f>
        <v>Lose</v>
      </c>
      <c r="M1302" t="s">
        <v>251</v>
      </c>
      <c r="N1302">
        <v>62</v>
      </c>
      <c r="O1302" s="3">
        <v>4.3749999999999997E-2</v>
      </c>
      <c r="P1302" t="s">
        <v>31</v>
      </c>
      <c r="Q1302" t="s">
        <v>355</v>
      </c>
      <c r="R1302" t="e">
        <f>IF([1]!Table13[[#This Row],[Goal_assist]]="",1,0)</f>
        <v>#REF!</v>
      </c>
    </row>
    <row r="1303" spans="1:18" x14ac:dyDescent="0.35">
      <c r="A1303" t="s">
        <v>64</v>
      </c>
      <c r="B1303" t="s">
        <v>368</v>
      </c>
      <c r="C1303" t="s">
        <v>65</v>
      </c>
      <c r="D1303">
        <v>2</v>
      </c>
      <c r="E1303" s="2">
        <v>44202</v>
      </c>
      <c r="F1303" t="s">
        <v>24</v>
      </c>
      <c r="G1303" t="s">
        <v>66</v>
      </c>
      <c r="H1303" t="s">
        <v>86</v>
      </c>
      <c r="I1303" s="3">
        <v>8.5416666666666669E-2</v>
      </c>
      <c r="J1303" s="8" t="s">
        <v>445</v>
      </c>
      <c r="K1303" s="8" t="s">
        <v>442</v>
      </c>
      <c r="L1303" s="8" t="str">
        <f>IF(Table1346[[#This Row],[Home Team Score]]&gt;Table1346[[#This Row],[Away Team Score]],"Win",IF(Table1346[[#This Row],[Home Team Score]]=Table1346[[#This Row],[Away Team Score]],"Tie","Lose"))</f>
        <v>Lose</v>
      </c>
      <c r="M1303" t="s">
        <v>251</v>
      </c>
      <c r="N1303">
        <v>38</v>
      </c>
      <c r="O1303" s="3">
        <v>4.3055555555555555E-2</v>
      </c>
      <c r="P1303" t="s">
        <v>31</v>
      </c>
      <c r="Q1303" t="s">
        <v>375</v>
      </c>
      <c r="R1303" t="e">
        <f>IF([1]!Table13[[#This Row],[Goal_assist]]="",1,0)</f>
        <v>#REF!</v>
      </c>
    </row>
    <row r="1304" spans="1:18" x14ac:dyDescent="0.35">
      <c r="A1304" t="s">
        <v>64</v>
      </c>
      <c r="B1304" t="s">
        <v>368</v>
      </c>
      <c r="C1304" t="s">
        <v>65</v>
      </c>
      <c r="D1304">
        <v>18</v>
      </c>
      <c r="E1304" s="2">
        <v>44205</v>
      </c>
      <c r="F1304" t="s">
        <v>24</v>
      </c>
      <c r="G1304" t="s">
        <v>66</v>
      </c>
      <c r="H1304" t="s">
        <v>233</v>
      </c>
      <c r="I1304" s="3">
        <v>2.7777777777777779E-3</v>
      </c>
      <c r="J1304" s="8" t="s">
        <v>443</v>
      </c>
      <c r="K1304" s="8" t="s">
        <v>446</v>
      </c>
      <c r="L1304" s="8" t="str">
        <f>IF(Table1346[[#This Row],[Home Team Score]]&gt;Table1346[[#This Row],[Away Team Score]],"Win",IF(Table1346[[#This Row],[Home Team Score]]=Table1346[[#This Row],[Away Team Score]],"Tie","Lose"))</f>
        <v>Lose</v>
      </c>
      <c r="M1304" t="s">
        <v>251</v>
      </c>
      <c r="N1304">
        <v>35</v>
      </c>
      <c r="O1304" s="3">
        <v>1.3888888888888889E-3</v>
      </c>
      <c r="P1304" t="s">
        <v>31</v>
      </c>
      <c r="Q1304" t="s">
        <v>355</v>
      </c>
      <c r="R1304" t="e">
        <f>IF([1]!Table13[[#This Row],[Goal_assist]]="",1,0)</f>
        <v>#REF!</v>
      </c>
    </row>
    <row r="1305" spans="1:18" x14ac:dyDescent="0.35">
      <c r="A1305" t="s">
        <v>64</v>
      </c>
      <c r="B1305" t="s">
        <v>368</v>
      </c>
      <c r="C1305" t="s">
        <v>65</v>
      </c>
      <c r="D1305">
        <v>18</v>
      </c>
      <c r="E1305" s="2">
        <v>44205</v>
      </c>
      <c r="F1305" t="s">
        <v>24</v>
      </c>
      <c r="G1305" t="s">
        <v>66</v>
      </c>
      <c r="H1305" t="s">
        <v>233</v>
      </c>
      <c r="I1305" s="3">
        <v>2.7777777777777779E-3</v>
      </c>
      <c r="J1305" s="8" t="s">
        <v>443</v>
      </c>
      <c r="K1305" s="8" t="s">
        <v>446</v>
      </c>
      <c r="L1305" s="8" t="str">
        <f>IF(Table1346[[#This Row],[Home Team Score]]&gt;Table1346[[#This Row],[Away Team Score]],"Win",IF(Table1346[[#This Row],[Home Team Score]]=Table1346[[#This Row],[Away Team Score]],"Tie","Lose"))</f>
        <v>Lose</v>
      </c>
      <c r="M1305" t="s">
        <v>251</v>
      </c>
      <c r="N1305">
        <v>42</v>
      </c>
      <c r="O1305" s="3">
        <v>2.0833333333333333E-3</v>
      </c>
      <c r="P1305" t="s">
        <v>39</v>
      </c>
      <c r="R1305" t="e">
        <f>IF([1]!Table13[[#This Row],[Goal_assist]]="",1,0)</f>
        <v>#REF!</v>
      </c>
    </row>
    <row r="1306" spans="1:18" x14ac:dyDescent="0.35">
      <c r="A1306" t="s">
        <v>14</v>
      </c>
      <c r="B1306" t="s">
        <v>368</v>
      </c>
      <c r="C1306" t="s">
        <v>321</v>
      </c>
      <c r="D1306">
        <v>17</v>
      </c>
      <c r="E1306" s="2">
        <v>44206</v>
      </c>
      <c r="F1306" t="s">
        <v>16</v>
      </c>
      <c r="G1306" t="s">
        <v>260</v>
      </c>
      <c r="H1306" t="s">
        <v>322</v>
      </c>
      <c r="I1306" s="3">
        <v>0.12569444444444444</v>
      </c>
      <c r="J1306" s="8" t="s">
        <v>442</v>
      </c>
      <c r="K1306" s="8" t="s">
        <v>444</v>
      </c>
      <c r="L1306" s="8" t="str">
        <f>IF(Table1346[[#This Row],[Home Team Score]]&gt;Table1346[[#This Row],[Away Team Score]],"Win",IF(Table1346[[#This Row],[Home Team Score]]=Table1346[[#This Row],[Away Team Score]],"Tie","Lose"))</f>
        <v>Win</v>
      </c>
      <c r="M1306" t="s">
        <v>68</v>
      </c>
      <c r="N1306" t="s">
        <v>141</v>
      </c>
      <c r="O1306" s="3">
        <v>0.12569444444444444</v>
      </c>
      <c r="P1306" t="s">
        <v>26</v>
      </c>
      <c r="Q1306" t="s">
        <v>285</v>
      </c>
      <c r="R1306" t="e">
        <f>IF([1]!Table13[[#This Row],[Goal_assist]]="",1,0)</f>
        <v>#REF!</v>
      </c>
    </row>
    <row r="1307" spans="1:18" x14ac:dyDescent="0.35">
      <c r="A1307" t="s">
        <v>14</v>
      </c>
      <c r="B1307" t="s">
        <v>368</v>
      </c>
      <c r="C1307" t="s">
        <v>341</v>
      </c>
      <c r="D1307" t="s">
        <v>46</v>
      </c>
      <c r="E1307" s="2">
        <v>44216</v>
      </c>
      <c r="F1307" t="s">
        <v>16</v>
      </c>
      <c r="G1307" t="s">
        <v>260</v>
      </c>
      <c r="H1307" t="s">
        <v>352</v>
      </c>
      <c r="I1307" s="3">
        <v>8.3333333333333329E-2</v>
      </c>
      <c r="J1307" s="8" t="s">
        <v>445</v>
      </c>
      <c r="K1307" s="8" t="s">
        <v>443</v>
      </c>
      <c r="L1307" s="8" t="str">
        <f>IF(Table1346[[#This Row],[Home Team Score]]&gt;Table1346[[#This Row],[Away Team Score]],"Win",IF(Table1346[[#This Row],[Home Team Score]]=Table1346[[#This Row],[Away Team Score]],"Tie","Lose"))</f>
        <v>Win</v>
      </c>
      <c r="M1307" t="s">
        <v>68</v>
      </c>
      <c r="N1307">
        <v>64</v>
      </c>
      <c r="O1307" s="3">
        <v>4.1666666666666664E-2</v>
      </c>
      <c r="P1307" t="s">
        <v>55</v>
      </c>
      <c r="R1307" t="e">
        <f>IF([1]!Table13[[#This Row],[Goal_assist]]="",1,0)</f>
        <v>#REF!</v>
      </c>
    </row>
    <row r="1308" spans="1:18" x14ac:dyDescent="0.35">
      <c r="A1308" t="s">
        <v>64</v>
      </c>
      <c r="B1308" t="s">
        <v>368</v>
      </c>
      <c r="C1308" t="s">
        <v>91</v>
      </c>
      <c r="D1308" t="s">
        <v>81</v>
      </c>
      <c r="E1308" s="2">
        <v>44223</v>
      </c>
      <c r="F1308" t="s">
        <v>24</v>
      </c>
      <c r="G1308" t="s">
        <v>66</v>
      </c>
      <c r="H1308" t="s">
        <v>225</v>
      </c>
      <c r="I1308" s="3">
        <v>4.3055555555555555E-2</v>
      </c>
      <c r="J1308" s="8" t="s">
        <v>444</v>
      </c>
      <c r="K1308" s="8" t="s">
        <v>445</v>
      </c>
      <c r="L1308" s="8" t="str">
        <f>IF(Table1346[[#This Row],[Home Team Score]]&gt;Table1346[[#This Row],[Away Team Score]],"Win",IF(Table1346[[#This Row],[Home Team Score]]=Table1346[[#This Row],[Away Team Score]],"Tie","Lose"))</f>
        <v>Lose</v>
      </c>
      <c r="M1308" t="s">
        <v>251</v>
      </c>
      <c r="N1308">
        <v>69</v>
      </c>
      <c r="O1308" s="3">
        <v>4.2361111111111113E-2</v>
      </c>
      <c r="P1308" t="s">
        <v>31</v>
      </c>
      <c r="Q1308" t="s">
        <v>355</v>
      </c>
      <c r="R1308" t="e">
        <f>IF([1]!Table13[[#This Row],[Goal_assist]]="",1,0)</f>
        <v>#REF!</v>
      </c>
    </row>
    <row r="1309" spans="1:18" x14ac:dyDescent="0.35">
      <c r="A1309" t="s">
        <v>64</v>
      </c>
      <c r="B1309" t="s">
        <v>368</v>
      </c>
      <c r="C1309" t="s">
        <v>65</v>
      </c>
      <c r="D1309">
        <v>21</v>
      </c>
      <c r="E1309" s="2">
        <v>44227</v>
      </c>
      <c r="F1309" t="s">
        <v>16</v>
      </c>
      <c r="G1309" t="s">
        <v>66</v>
      </c>
      <c r="H1309" t="s">
        <v>86</v>
      </c>
      <c r="I1309" s="3">
        <v>8.4027777777777785E-2</v>
      </c>
      <c r="J1309" s="8" t="s">
        <v>445</v>
      </c>
      <c r="K1309" s="8" t="s">
        <v>444</v>
      </c>
      <c r="L1309" s="8" t="str">
        <f>IF(Table1346[[#This Row],[Home Team Score]]&gt;Table1346[[#This Row],[Away Team Score]],"Win",IF(Table1346[[#This Row],[Home Team Score]]=Table1346[[#This Row],[Away Team Score]],"Tie","Lose"))</f>
        <v>Win</v>
      </c>
      <c r="M1309" t="s">
        <v>251</v>
      </c>
      <c r="N1309">
        <v>20</v>
      </c>
      <c r="O1309" s="3">
        <v>4.1666666666666664E-2</v>
      </c>
      <c r="P1309" t="s">
        <v>39</v>
      </c>
      <c r="R1309" t="e">
        <f>IF([1]!Table13[[#This Row],[Goal_assist]]="",1,0)</f>
        <v>#REF!</v>
      </c>
    </row>
    <row r="1310" spans="1:18" x14ac:dyDescent="0.35">
      <c r="A1310" t="s">
        <v>14</v>
      </c>
      <c r="B1310" t="s">
        <v>368</v>
      </c>
      <c r="C1310" t="s">
        <v>362</v>
      </c>
      <c r="D1310" t="s">
        <v>62</v>
      </c>
      <c r="E1310" s="2">
        <v>44229</v>
      </c>
      <c r="F1310" t="s">
        <v>24</v>
      </c>
      <c r="G1310" t="s">
        <v>260</v>
      </c>
      <c r="H1310" t="s">
        <v>348</v>
      </c>
      <c r="I1310" s="3">
        <v>4.3055555555555555E-2</v>
      </c>
      <c r="J1310" s="8" t="s">
        <v>444</v>
      </c>
      <c r="K1310" s="8" t="s">
        <v>445</v>
      </c>
      <c r="L1310" s="8" t="str">
        <f>IF(Table1346[[#This Row],[Home Team Score]]&gt;Table1346[[#This Row],[Away Team Score]],"Win",IF(Table1346[[#This Row],[Home Team Score]]=Table1346[[#This Row],[Away Team Score]],"Tie","Lose"))</f>
        <v>Lose</v>
      </c>
      <c r="M1310" t="s">
        <v>68</v>
      </c>
      <c r="N1310">
        <v>35</v>
      </c>
      <c r="O1310" s="3">
        <v>4.3055555555555555E-2</v>
      </c>
      <c r="P1310" t="s">
        <v>31</v>
      </c>
      <c r="R1310" t="e">
        <f>IF([1]!Table13[[#This Row],[Goal_assist]]="",1,0)</f>
        <v>#REF!</v>
      </c>
    </row>
    <row r="1311" spans="1:18" x14ac:dyDescent="0.35">
      <c r="A1311" t="s">
        <v>14</v>
      </c>
      <c r="B1311" t="s">
        <v>368</v>
      </c>
      <c r="C1311" t="s">
        <v>362</v>
      </c>
      <c r="D1311" t="s">
        <v>62</v>
      </c>
      <c r="E1311" s="2">
        <v>44229</v>
      </c>
      <c r="F1311" t="s">
        <v>24</v>
      </c>
      <c r="G1311" t="s">
        <v>260</v>
      </c>
      <c r="H1311" t="s">
        <v>348</v>
      </c>
      <c r="I1311" s="3">
        <v>4.3055555555555555E-2</v>
      </c>
      <c r="J1311" s="8" t="s">
        <v>444</v>
      </c>
      <c r="K1311" s="8" t="s">
        <v>445</v>
      </c>
      <c r="L1311" s="8" t="str">
        <f>IF(Table1346[[#This Row],[Home Team Score]]&gt;Table1346[[#This Row],[Away Team Score]],"Win",IF(Table1346[[#This Row],[Home Team Score]]=Table1346[[#This Row],[Away Team Score]],"Tie","Lose"))</f>
        <v>Lose</v>
      </c>
      <c r="M1311" t="s">
        <v>68</v>
      </c>
      <c r="N1311">
        <v>26</v>
      </c>
      <c r="O1311" s="3">
        <v>4.2361111111111113E-2</v>
      </c>
      <c r="P1311" t="s">
        <v>83</v>
      </c>
      <c r="R1311" t="e">
        <f>IF([1]!Table13[[#This Row],[Goal_assist]]="",1,0)</f>
        <v>#REF!</v>
      </c>
    </row>
    <row r="1312" spans="1:18" x14ac:dyDescent="0.35">
      <c r="A1312" t="s">
        <v>14</v>
      </c>
      <c r="B1312" t="s">
        <v>368</v>
      </c>
      <c r="C1312" t="s">
        <v>321</v>
      </c>
      <c r="D1312">
        <v>21</v>
      </c>
      <c r="E1312" s="2">
        <v>44233</v>
      </c>
      <c r="F1312" t="s">
        <v>16</v>
      </c>
      <c r="G1312" t="s">
        <v>260</v>
      </c>
      <c r="H1312" t="s">
        <v>116</v>
      </c>
      <c r="I1312" s="3">
        <v>8.3333333333333329E-2</v>
      </c>
      <c r="J1312" s="8" t="s">
        <v>445</v>
      </c>
      <c r="K1312" s="8" t="s">
        <v>443</v>
      </c>
      <c r="L1312" s="8" t="str">
        <f>IF(Table1346[[#This Row],[Home Team Score]]&gt;Table1346[[#This Row],[Away Team Score]],"Win",IF(Table1346[[#This Row],[Home Team Score]]=Table1346[[#This Row],[Away Team Score]],"Tie","Lose"))</f>
        <v>Win</v>
      </c>
      <c r="M1312" t="s">
        <v>68</v>
      </c>
      <c r="N1312">
        <v>13</v>
      </c>
      <c r="O1312" s="3">
        <v>4.1666666666666664E-2</v>
      </c>
      <c r="P1312" t="s">
        <v>31</v>
      </c>
      <c r="Q1312" t="s">
        <v>295</v>
      </c>
      <c r="R1312" t="e">
        <f>IF([1]!Table13[[#This Row],[Goal_assist]]="",1,0)</f>
        <v>#REF!</v>
      </c>
    </row>
    <row r="1313" spans="1:18" x14ac:dyDescent="0.35">
      <c r="A1313" t="s">
        <v>64</v>
      </c>
      <c r="B1313" t="s">
        <v>368</v>
      </c>
      <c r="C1313" t="s">
        <v>65</v>
      </c>
      <c r="D1313">
        <v>22</v>
      </c>
      <c r="E1313" s="2">
        <v>44234</v>
      </c>
      <c r="F1313" t="s">
        <v>24</v>
      </c>
      <c r="G1313" t="s">
        <v>66</v>
      </c>
      <c r="H1313" t="s">
        <v>95</v>
      </c>
      <c r="I1313" s="3">
        <v>8.5416666666666669E-2</v>
      </c>
      <c r="J1313" s="8" t="s">
        <v>445</v>
      </c>
      <c r="K1313" s="8" t="s">
        <v>442</v>
      </c>
      <c r="L1313" s="8" t="str">
        <f>IF(Table1346[[#This Row],[Home Team Score]]&gt;Table1346[[#This Row],[Away Team Score]],"Win",IF(Table1346[[#This Row],[Home Team Score]]=Table1346[[#This Row],[Away Team Score]],"Tie","Lose"))</f>
        <v>Lose</v>
      </c>
      <c r="M1313" t="s">
        <v>68</v>
      </c>
      <c r="N1313">
        <v>59</v>
      </c>
      <c r="O1313" s="3">
        <v>4.2361111111111113E-2</v>
      </c>
      <c r="P1313" t="s">
        <v>31</v>
      </c>
      <c r="Q1313" t="s">
        <v>316</v>
      </c>
      <c r="R1313" t="e">
        <f>IF([1]!Table13[[#This Row],[Goal_assist]]="",1,0)</f>
        <v>#REF!</v>
      </c>
    </row>
    <row r="1314" spans="1:18" x14ac:dyDescent="0.35">
      <c r="A1314" t="s">
        <v>64</v>
      </c>
      <c r="B1314" t="s">
        <v>368</v>
      </c>
      <c r="C1314" t="s">
        <v>65</v>
      </c>
      <c r="D1314">
        <v>23</v>
      </c>
      <c r="E1314" s="2">
        <v>44240</v>
      </c>
      <c r="F1314" t="s">
        <v>16</v>
      </c>
      <c r="G1314" t="s">
        <v>66</v>
      </c>
      <c r="H1314" t="s">
        <v>88</v>
      </c>
      <c r="I1314" s="3">
        <v>0.20902777777777778</v>
      </c>
      <c r="J1314" s="8" t="s">
        <v>448</v>
      </c>
      <c r="K1314" s="8" t="s">
        <v>444</v>
      </c>
      <c r="L1314" s="8" t="str">
        <f>IF(Table1346[[#This Row],[Home Team Score]]&gt;Table1346[[#This Row],[Away Team Score]],"Win",IF(Table1346[[#This Row],[Home Team Score]]=Table1346[[#This Row],[Away Team Score]],"Tie","Lose"))</f>
        <v>Win</v>
      </c>
      <c r="M1314" t="s">
        <v>251</v>
      </c>
      <c r="N1314">
        <v>75</v>
      </c>
      <c r="O1314" s="3">
        <v>0.1673611111111111</v>
      </c>
      <c r="P1314" t="s">
        <v>31</v>
      </c>
      <c r="Q1314" t="s">
        <v>355</v>
      </c>
      <c r="R1314" t="e">
        <f>IF([1]!Table13[[#This Row],[Goal_assist]]="",1,0)</f>
        <v>#REF!</v>
      </c>
    </row>
    <row r="1315" spans="1:18" x14ac:dyDescent="0.35">
      <c r="A1315" t="s">
        <v>64</v>
      </c>
      <c r="B1315" t="s">
        <v>368</v>
      </c>
      <c r="C1315" t="s">
        <v>65</v>
      </c>
      <c r="D1315">
        <v>23</v>
      </c>
      <c r="E1315" s="2">
        <v>44240</v>
      </c>
      <c r="F1315" t="s">
        <v>16</v>
      </c>
      <c r="G1315" t="s">
        <v>66</v>
      </c>
      <c r="H1315" t="s">
        <v>88</v>
      </c>
      <c r="I1315" s="3">
        <v>0.20902777777777778</v>
      </c>
      <c r="J1315" s="8" t="s">
        <v>448</v>
      </c>
      <c r="K1315" s="8" t="s">
        <v>444</v>
      </c>
      <c r="L1315" s="8" t="str">
        <f>IF(Table1346[[#This Row],[Home Team Score]]&gt;Table1346[[#This Row],[Away Team Score]],"Win",IF(Table1346[[#This Row],[Home Team Score]]=Table1346[[#This Row],[Away Team Score]],"Tie","Lose"))</f>
        <v>Win</v>
      </c>
      <c r="M1315" t="s">
        <v>251</v>
      </c>
      <c r="N1315" t="s">
        <v>58</v>
      </c>
      <c r="O1315" s="3">
        <v>8.3333333333333329E-2</v>
      </c>
      <c r="P1315" t="s">
        <v>31</v>
      </c>
      <c r="Q1315" t="s">
        <v>222</v>
      </c>
      <c r="R1315" t="e">
        <f>IF([1]!Table13[[#This Row],[Goal_assist]]="",1,0)</f>
        <v>#REF!</v>
      </c>
    </row>
    <row r="1316" spans="1:18" x14ac:dyDescent="0.35">
      <c r="A1316" t="s">
        <v>64</v>
      </c>
      <c r="B1316" t="s">
        <v>368</v>
      </c>
      <c r="C1316" t="s">
        <v>75</v>
      </c>
      <c r="D1316" t="s">
        <v>143</v>
      </c>
      <c r="E1316" s="2">
        <v>44243</v>
      </c>
      <c r="F1316" t="s">
        <v>16</v>
      </c>
      <c r="G1316" t="s">
        <v>66</v>
      </c>
      <c r="H1316" t="s">
        <v>252</v>
      </c>
      <c r="I1316" s="3">
        <v>4.4444444444444446E-2</v>
      </c>
      <c r="J1316" s="8" t="s">
        <v>444</v>
      </c>
      <c r="K1316" s="8" t="s">
        <v>446</v>
      </c>
      <c r="L1316" s="8" t="str">
        <f>IF(Table1346[[#This Row],[Home Team Score]]&gt;Table1346[[#This Row],[Away Team Score]],"Win",IF(Table1346[[#This Row],[Home Team Score]]=Table1346[[#This Row],[Away Team Score]],"Tie","Lose"))</f>
        <v>Lose</v>
      </c>
      <c r="M1316" t="s">
        <v>251</v>
      </c>
      <c r="N1316">
        <v>27</v>
      </c>
      <c r="O1316" s="3">
        <v>4.1666666666666664E-2</v>
      </c>
      <c r="P1316" t="s">
        <v>83</v>
      </c>
      <c r="R1316" t="e">
        <f>IF([1]!Table13[[#This Row],[Goal_assist]]="",1,0)</f>
        <v>#REF!</v>
      </c>
    </row>
    <row r="1317" spans="1:18" x14ac:dyDescent="0.35">
      <c r="A1317" t="s">
        <v>64</v>
      </c>
      <c r="B1317" t="s">
        <v>368</v>
      </c>
      <c r="C1317" t="s">
        <v>65</v>
      </c>
      <c r="D1317">
        <v>24</v>
      </c>
      <c r="E1317" s="2">
        <v>44248</v>
      </c>
      <c r="F1317" t="s">
        <v>16</v>
      </c>
      <c r="G1317" t="s">
        <v>66</v>
      </c>
      <c r="H1317" t="s">
        <v>376</v>
      </c>
      <c r="I1317" s="3">
        <v>4.2361111111111113E-2</v>
      </c>
      <c r="J1317" s="8" t="s">
        <v>444</v>
      </c>
      <c r="K1317" s="8" t="s">
        <v>444</v>
      </c>
      <c r="L1317" s="8" t="str">
        <f>IF(Table1346[[#This Row],[Home Team Score]]&gt;Table1346[[#This Row],[Away Team Score]],"Win",IF(Table1346[[#This Row],[Home Team Score]]=Table1346[[#This Row],[Away Team Score]],"Tie","Lose"))</f>
        <v>Tie</v>
      </c>
      <c r="M1317" t="s">
        <v>251</v>
      </c>
      <c r="N1317">
        <v>32</v>
      </c>
      <c r="O1317" s="3">
        <v>4.1666666666666664E-2</v>
      </c>
      <c r="P1317" t="s">
        <v>83</v>
      </c>
      <c r="R1317" t="e">
        <f>IF([1]!Table13[[#This Row],[Goal_assist]]="",1,0)</f>
        <v>#REF!</v>
      </c>
    </row>
    <row r="1318" spans="1:18" x14ac:dyDescent="0.35">
      <c r="A1318" t="s">
        <v>14</v>
      </c>
      <c r="B1318" t="s">
        <v>368</v>
      </c>
      <c r="C1318" t="s">
        <v>321</v>
      </c>
      <c r="D1318">
        <v>23</v>
      </c>
      <c r="E1318" s="2">
        <v>44249</v>
      </c>
      <c r="F1318" t="s">
        <v>16</v>
      </c>
      <c r="G1318" t="s">
        <v>260</v>
      </c>
      <c r="H1318" t="s">
        <v>377</v>
      </c>
      <c r="I1318" s="3">
        <v>0.125</v>
      </c>
      <c r="J1318" s="8" t="s">
        <v>442</v>
      </c>
      <c r="K1318" s="8" t="s">
        <v>443</v>
      </c>
      <c r="L1318" s="8" t="str">
        <f>IF(Table1346[[#This Row],[Home Team Score]]&gt;Table1346[[#This Row],[Away Team Score]],"Win",IF(Table1346[[#This Row],[Home Team Score]]=Table1346[[#This Row],[Away Team Score]],"Tie","Lose"))</f>
        <v>Win</v>
      </c>
      <c r="M1318" t="s">
        <v>68</v>
      </c>
      <c r="N1318">
        <v>38</v>
      </c>
      <c r="O1318" s="3">
        <v>4.1666666666666664E-2</v>
      </c>
      <c r="P1318" t="s">
        <v>22</v>
      </c>
      <c r="Q1318" t="s">
        <v>360</v>
      </c>
      <c r="R1318" t="e">
        <f>IF([1]!Table13[[#This Row],[Goal_assist]]="",1,0)</f>
        <v>#REF!</v>
      </c>
    </row>
    <row r="1319" spans="1:18" x14ac:dyDescent="0.35">
      <c r="A1319" t="s">
        <v>14</v>
      </c>
      <c r="B1319" t="s">
        <v>368</v>
      </c>
      <c r="C1319" t="s">
        <v>321</v>
      </c>
      <c r="D1319">
        <v>23</v>
      </c>
      <c r="E1319" s="2">
        <v>44249</v>
      </c>
      <c r="F1319" t="s">
        <v>16</v>
      </c>
      <c r="G1319" t="s">
        <v>260</v>
      </c>
      <c r="H1319" t="s">
        <v>377</v>
      </c>
      <c r="I1319" s="3">
        <v>0.125</v>
      </c>
      <c r="J1319" s="8" t="s">
        <v>442</v>
      </c>
      <c r="K1319" s="8" t="s">
        <v>443</v>
      </c>
      <c r="L1319" s="8" t="str">
        <f>IF(Table1346[[#This Row],[Home Team Score]]&gt;Table1346[[#This Row],[Away Team Score]],"Win",IF(Table1346[[#This Row],[Home Team Score]]=Table1346[[#This Row],[Away Team Score]],"Tie","Lose"))</f>
        <v>Win</v>
      </c>
      <c r="M1319" t="s">
        <v>68</v>
      </c>
      <c r="N1319" t="s">
        <v>58</v>
      </c>
      <c r="O1319" s="3">
        <v>8.3333333333333329E-2</v>
      </c>
      <c r="P1319" t="s">
        <v>22</v>
      </c>
      <c r="Q1319" t="s">
        <v>369</v>
      </c>
      <c r="R1319" t="e">
        <f>IF([1]!Table13[[#This Row],[Goal_assist]]="",1,0)</f>
        <v>#REF!</v>
      </c>
    </row>
    <row r="1320" spans="1:18" x14ac:dyDescent="0.35">
      <c r="A1320" t="s">
        <v>64</v>
      </c>
      <c r="B1320" t="s">
        <v>368</v>
      </c>
      <c r="C1320" t="s">
        <v>65</v>
      </c>
      <c r="D1320">
        <v>1</v>
      </c>
      <c r="E1320" s="2">
        <v>44251</v>
      </c>
      <c r="F1320" t="s">
        <v>16</v>
      </c>
      <c r="G1320" t="s">
        <v>66</v>
      </c>
      <c r="H1320" t="s">
        <v>258</v>
      </c>
      <c r="I1320" s="3">
        <v>0.125</v>
      </c>
      <c r="J1320" s="8" t="s">
        <v>442</v>
      </c>
      <c r="K1320" s="8" t="s">
        <v>443</v>
      </c>
      <c r="L1320" s="8" t="str">
        <f>IF(Table1346[[#This Row],[Home Team Score]]&gt;Table1346[[#This Row],[Away Team Score]],"Win",IF(Table1346[[#This Row],[Home Team Score]]=Table1346[[#This Row],[Away Team Score]],"Tie","Lose"))</f>
        <v>Win</v>
      </c>
      <c r="M1320" t="s">
        <v>251</v>
      </c>
      <c r="N1320">
        <v>48</v>
      </c>
      <c r="O1320" s="3">
        <v>4.1666666666666664E-2</v>
      </c>
      <c r="P1320" t="s">
        <v>31</v>
      </c>
      <c r="Q1320" t="s">
        <v>378</v>
      </c>
      <c r="R1320" t="e">
        <f>IF([1]!Table13[[#This Row],[Goal_assist]]="",1,0)</f>
        <v>#REF!</v>
      </c>
    </row>
    <row r="1321" spans="1:18" x14ac:dyDescent="0.35">
      <c r="A1321" t="s">
        <v>64</v>
      </c>
      <c r="B1321" t="s">
        <v>368</v>
      </c>
      <c r="C1321" t="s">
        <v>65</v>
      </c>
      <c r="D1321">
        <v>1</v>
      </c>
      <c r="E1321" s="2">
        <v>44251</v>
      </c>
      <c r="F1321" t="s">
        <v>16</v>
      </c>
      <c r="G1321" t="s">
        <v>66</v>
      </c>
      <c r="H1321" t="s">
        <v>258</v>
      </c>
      <c r="I1321" s="3">
        <v>0.125</v>
      </c>
      <c r="J1321" s="8" t="s">
        <v>442</v>
      </c>
      <c r="K1321" s="8" t="s">
        <v>443</v>
      </c>
      <c r="L1321" s="8" t="str">
        <f>IF(Table1346[[#This Row],[Home Team Score]]&gt;Table1346[[#This Row],[Away Team Score]],"Win",IF(Table1346[[#This Row],[Home Team Score]]=Table1346[[#This Row],[Away Team Score]],"Tie","Lose"))</f>
        <v>Win</v>
      </c>
      <c r="M1321" t="s">
        <v>251</v>
      </c>
      <c r="N1321">
        <v>68</v>
      </c>
      <c r="O1321" s="3">
        <v>8.3333333333333329E-2</v>
      </c>
      <c r="P1321" t="s">
        <v>31</v>
      </c>
      <c r="Q1321" t="s">
        <v>363</v>
      </c>
      <c r="R1321" t="e">
        <f>IF([1]!Table13[[#This Row],[Goal_assist]]="",1,0)</f>
        <v>#REF!</v>
      </c>
    </row>
    <row r="1322" spans="1:18" x14ac:dyDescent="0.35">
      <c r="A1322" t="s">
        <v>64</v>
      </c>
      <c r="B1322" t="s">
        <v>368</v>
      </c>
      <c r="C1322" t="s">
        <v>65</v>
      </c>
      <c r="D1322">
        <v>25</v>
      </c>
      <c r="E1322" s="2">
        <v>44254</v>
      </c>
      <c r="F1322" t="s">
        <v>24</v>
      </c>
      <c r="G1322" t="s">
        <v>66</v>
      </c>
      <c r="H1322" t="s">
        <v>105</v>
      </c>
      <c r="I1322" s="3">
        <v>1.3888888888888889E-3</v>
      </c>
      <c r="J1322" s="8" t="s">
        <v>443</v>
      </c>
      <c r="K1322" s="8" t="s">
        <v>445</v>
      </c>
      <c r="L1322" s="8" t="str">
        <f>IF(Table1346[[#This Row],[Home Team Score]]&gt;Table1346[[#This Row],[Away Team Score]],"Win",IF(Table1346[[#This Row],[Home Team Score]]=Table1346[[#This Row],[Away Team Score]],"Tie","Lose"))</f>
        <v>Lose</v>
      </c>
      <c r="M1322" t="s">
        <v>251</v>
      </c>
      <c r="N1322">
        <v>85</v>
      </c>
      <c r="O1322" s="3">
        <v>1.3888888888888889E-3</v>
      </c>
      <c r="P1322" t="s">
        <v>26</v>
      </c>
      <c r="Q1322" t="s">
        <v>379</v>
      </c>
      <c r="R1322" t="e">
        <f>IF([1]!Table13[[#This Row],[Goal_assist]]="",1,0)</f>
        <v>#REF!</v>
      </c>
    </row>
    <row r="1323" spans="1:18" x14ac:dyDescent="0.35">
      <c r="A1323" t="s">
        <v>14</v>
      </c>
      <c r="B1323" t="s">
        <v>368</v>
      </c>
      <c r="C1323" t="s">
        <v>321</v>
      </c>
      <c r="D1323">
        <v>24</v>
      </c>
      <c r="E1323" s="2">
        <v>44254</v>
      </c>
      <c r="F1323" t="s">
        <v>24</v>
      </c>
      <c r="G1323" t="s">
        <v>260</v>
      </c>
      <c r="H1323" t="s">
        <v>354</v>
      </c>
      <c r="I1323" s="3">
        <v>4.2361111111111113E-2</v>
      </c>
      <c r="J1323" s="8" t="s">
        <v>444</v>
      </c>
      <c r="K1323" s="8" t="s">
        <v>444</v>
      </c>
      <c r="L1323" s="8" t="str">
        <f>IF(Table1346[[#This Row],[Home Team Score]]&gt;Table1346[[#This Row],[Away Team Score]],"Win",IF(Table1346[[#This Row],[Home Team Score]]=Table1346[[#This Row],[Away Team Score]],"Tie","Lose"))</f>
        <v>Tie</v>
      </c>
      <c r="M1323" t="s">
        <v>68</v>
      </c>
      <c r="N1323">
        <v>49</v>
      </c>
      <c r="O1323" s="3">
        <v>6.9444444444444447E-4</v>
      </c>
      <c r="P1323" t="s">
        <v>26</v>
      </c>
      <c r="Q1323" t="s">
        <v>380</v>
      </c>
      <c r="R1323" t="e">
        <f>IF([1]!Table13[[#This Row],[Goal_assist]]="",1,0)</f>
        <v>#REF!</v>
      </c>
    </row>
    <row r="1324" spans="1:18" x14ac:dyDescent="0.35">
      <c r="A1324" t="s">
        <v>14</v>
      </c>
      <c r="B1324" t="s">
        <v>368</v>
      </c>
      <c r="C1324" t="s">
        <v>321</v>
      </c>
      <c r="D1324">
        <v>25</v>
      </c>
      <c r="E1324" s="2">
        <v>44257</v>
      </c>
      <c r="F1324" t="s">
        <v>16</v>
      </c>
      <c r="G1324" t="s">
        <v>260</v>
      </c>
      <c r="H1324" t="s">
        <v>371</v>
      </c>
      <c r="I1324" s="3">
        <v>0.125</v>
      </c>
      <c r="J1324" s="8" t="s">
        <v>442</v>
      </c>
      <c r="K1324" s="8" t="s">
        <v>443</v>
      </c>
      <c r="L1324" s="8" t="str">
        <f>IF(Table1346[[#This Row],[Home Team Score]]&gt;Table1346[[#This Row],[Away Team Score]],"Win",IF(Table1346[[#This Row],[Home Team Score]]=Table1346[[#This Row],[Away Team Score]],"Tie","Lose"))</f>
        <v>Win</v>
      </c>
      <c r="M1324" t="s">
        <v>68</v>
      </c>
      <c r="N1324">
        <v>89</v>
      </c>
      <c r="O1324" s="3">
        <v>0.125</v>
      </c>
      <c r="P1324" t="s">
        <v>162</v>
      </c>
      <c r="Q1324" t="s">
        <v>359</v>
      </c>
      <c r="R1324" t="e">
        <f>IF([1]!Table13[[#This Row],[Goal_assist]]="",1,0)</f>
        <v>#REF!</v>
      </c>
    </row>
    <row r="1325" spans="1:18" x14ac:dyDescent="0.35">
      <c r="A1325" t="s">
        <v>64</v>
      </c>
      <c r="B1325" t="s">
        <v>368</v>
      </c>
      <c r="C1325" t="s">
        <v>75</v>
      </c>
      <c r="D1325" t="s">
        <v>143</v>
      </c>
      <c r="E1325" s="2">
        <v>44265</v>
      </c>
      <c r="F1325" t="s">
        <v>24</v>
      </c>
      <c r="G1325" t="s">
        <v>66</v>
      </c>
      <c r="H1325" t="s">
        <v>252</v>
      </c>
      <c r="I1325" s="3">
        <v>4.2361111111111113E-2</v>
      </c>
      <c r="J1325" s="8" t="s">
        <v>444</v>
      </c>
      <c r="K1325" s="8" t="s">
        <v>444</v>
      </c>
      <c r="L1325" s="8" t="str">
        <f>IF(Table1346[[#This Row],[Home Team Score]]&gt;Table1346[[#This Row],[Away Team Score]],"Win",IF(Table1346[[#This Row],[Home Team Score]]=Table1346[[#This Row],[Away Team Score]],"Tie","Lose"))</f>
        <v>Tie</v>
      </c>
      <c r="M1325" t="s">
        <v>311</v>
      </c>
      <c r="N1325">
        <v>37</v>
      </c>
      <c r="O1325" s="3">
        <v>4.2361111111111113E-2</v>
      </c>
      <c r="P1325" t="s">
        <v>170</v>
      </c>
      <c r="Q1325" t="s">
        <v>375</v>
      </c>
      <c r="R1325" t="e">
        <f>IF([1]!Table13[[#This Row],[Goal_assist]]="",1,0)</f>
        <v>#REF!</v>
      </c>
    </row>
    <row r="1326" spans="1:18" x14ac:dyDescent="0.35">
      <c r="A1326" t="s">
        <v>14</v>
      </c>
      <c r="B1326" t="s">
        <v>368</v>
      </c>
      <c r="C1326" t="s">
        <v>321</v>
      </c>
      <c r="D1326">
        <v>27</v>
      </c>
      <c r="E1326" s="2">
        <v>44269</v>
      </c>
      <c r="F1326" t="s">
        <v>24</v>
      </c>
      <c r="G1326" t="s">
        <v>260</v>
      </c>
      <c r="H1326" t="s">
        <v>361</v>
      </c>
      <c r="I1326" s="3">
        <v>4.3749999999999997E-2</v>
      </c>
      <c r="J1326" s="8" t="s">
        <v>444</v>
      </c>
      <c r="K1326" s="8" t="s">
        <v>442</v>
      </c>
      <c r="L1326" s="8" t="str">
        <f>IF(Table1346[[#This Row],[Home Team Score]]&gt;Table1346[[#This Row],[Away Team Score]],"Win",IF(Table1346[[#This Row],[Home Team Score]]=Table1346[[#This Row],[Away Team Score]],"Tie","Lose"))</f>
        <v>Lose</v>
      </c>
      <c r="M1326" t="s">
        <v>68</v>
      </c>
      <c r="N1326">
        <v>25</v>
      </c>
      <c r="O1326" s="3">
        <v>1.3888888888888889E-3</v>
      </c>
      <c r="P1326" t="s">
        <v>83</v>
      </c>
      <c r="R1326" t="e">
        <f>IF([1]!Table13[[#This Row],[Goal_assist]]="",1,0)</f>
        <v>#REF!</v>
      </c>
    </row>
    <row r="1327" spans="1:18" x14ac:dyDescent="0.35">
      <c r="A1327" t="s">
        <v>14</v>
      </c>
      <c r="B1327" t="s">
        <v>368</v>
      </c>
      <c r="C1327" t="s">
        <v>321</v>
      </c>
      <c r="D1327">
        <v>27</v>
      </c>
      <c r="E1327" s="2">
        <v>44269</v>
      </c>
      <c r="F1327" t="s">
        <v>24</v>
      </c>
      <c r="G1327" t="s">
        <v>260</v>
      </c>
      <c r="H1327" t="s">
        <v>361</v>
      </c>
      <c r="I1327" s="3">
        <v>4.3749999999999997E-2</v>
      </c>
      <c r="J1327" s="8" t="s">
        <v>444</v>
      </c>
      <c r="K1327" s="8" t="s">
        <v>442</v>
      </c>
      <c r="L1327" s="8" t="str">
        <f>IF(Table1346[[#This Row],[Home Team Score]]&gt;Table1346[[#This Row],[Away Team Score]],"Win",IF(Table1346[[#This Row],[Home Team Score]]=Table1346[[#This Row],[Away Team Score]],"Tie","Lose"))</f>
        <v>Lose</v>
      </c>
      <c r="M1327" t="s">
        <v>68</v>
      </c>
      <c r="N1327">
        <v>32</v>
      </c>
      <c r="O1327" s="3">
        <v>2.0833333333333333E-3</v>
      </c>
      <c r="P1327" t="s">
        <v>31</v>
      </c>
      <c r="Q1327" t="s">
        <v>380</v>
      </c>
      <c r="R1327" t="e">
        <f>IF([1]!Table13[[#This Row],[Goal_assist]]="",1,0)</f>
        <v>#REF!</v>
      </c>
    </row>
    <row r="1328" spans="1:18" x14ac:dyDescent="0.35">
      <c r="A1328" t="s">
        <v>14</v>
      </c>
      <c r="B1328" t="s">
        <v>368</v>
      </c>
      <c r="C1328" t="s">
        <v>321</v>
      </c>
      <c r="D1328">
        <v>27</v>
      </c>
      <c r="E1328" s="2">
        <v>44269</v>
      </c>
      <c r="F1328" t="s">
        <v>24</v>
      </c>
      <c r="G1328" t="s">
        <v>260</v>
      </c>
      <c r="H1328" t="s">
        <v>361</v>
      </c>
      <c r="I1328" s="3">
        <v>4.3749999999999997E-2</v>
      </c>
      <c r="J1328" s="8" t="s">
        <v>444</v>
      </c>
      <c r="K1328" s="8" t="s">
        <v>442</v>
      </c>
      <c r="L1328" s="8" t="str">
        <f>IF(Table1346[[#This Row],[Home Team Score]]&gt;Table1346[[#This Row],[Away Team Score]],"Win",IF(Table1346[[#This Row],[Home Team Score]]=Table1346[[#This Row],[Away Team Score]],"Tie","Lose"))</f>
        <v>Lose</v>
      </c>
      <c r="M1328" t="s">
        <v>68</v>
      </c>
      <c r="N1328">
        <v>10</v>
      </c>
      <c r="O1328" s="3">
        <v>6.9444444444444447E-4</v>
      </c>
      <c r="P1328" t="s">
        <v>22</v>
      </c>
      <c r="Q1328" t="s">
        <v>364</v>
      </c>
      <c r="R1328" t="e">
        <f>IF([1]!Table13[[#This Row],[Goal_assist]]="",1,0)</f>
        <v>#REF!</v>
      </c>
    </row>
    <row r="1329" spans="1:18" x14ac:dyDescent="0.35">
      <c r="A1329" t="s">
        <v>64</v>
      </c>
      <c r="B1329" t="s">
        <v>368</v>
      </c>
      <c r="C1329" t="s">
        <v>65</v>
      </c>
      <c r="D1329">
        <v>27</v>
      </c>
      <c r="E1329" s="2">
        <v>44270</v>
      </c>
      <c r="F1329" t="s">
        <v>16</v>
      </c>
      <c r="G1329" t="s">
        <v>66</v>
      </c>
      <c r="H1329" t="s">
        <v>320</v>
      </c>
      <c r="I1329" s="3">
        <v>0.1673611111111111</v>
      </c>
      <c r="J1329" s="8" t="s">
        <v>446</v>
      </c>
      <c r="K1329" s="8" t="s">
        <v>444</v>
      </c>
      <c r="L1329" s="8" t="str">
        <f>IF(Table1346[[#This Row],[Home Team Score]]&gt;Table1346[[#This Row],[Away Team Score]],"Win",IF(Table1346[[#This Row],[Home Team Score]]=Table1346[[#This Row],[Away Team Score]],"Tie","Lose"))</f>
        <v>Win</v>
      </c>
      <c r="M1329" t="s">
        <v>311</v>
      </c>
      <c r="N1329">
        <v>90</v>
      </c>
      <c r="O1329" s="3">
        <v>0.1673611111111111</v>
      </c>
      <c r="P1329" t="s">
        <v>31</v>
      </c>
      <c r="Q1329" t="s">
        <v>373</v>
      </c>
      <c r="R1329" t="e">
        <f>IF([1]!Table13[[#This Row],[Goal_assist]]="",1,0)</f>
        <v>#REF!</v>
      </c>
    </row>
    <row r="1330" spans="1:18" x14ac:dyDescent="0.35">
      <c r="A1330" t="s">
        <v>64</v>
      </c>
      <c r="B1330" t="s">
        <v>368</v>
      </c>
      <c r="C1330" t="s">
        <v>65</v>
      </c>
      <c r="D1330">
        <v>27</v>
      </c>
      <c r="E1330" s="2">
        <v>44270</v>
      </c>
      <c r="F1330" t="s">
        <v>16</v>
      </c>
      <c r="G1330" t="s">
        <v>66</v>
      </c>
      <c r="H1330" t="s">
        <v>320</v>
      </c>
      <c r="I1330" s="3">
        <v>0.1673611111111111</v>
      </c>
      <c r="J1330" s="8" t="s">
        <v>446</v>
      </c>
      <c r="K1330" s="8" t="s">
        <v>444</v>
      </c>
      <c r="L1330" s="8" t="str">
        <f>IF(Table1346[[#This Row],[Home Team Score]]&gt;Table1346[[#This Row],[Away Team Score]],"Win",IF(Table1346[[#This Row],[Home Team Score]]=Table1346[[#This Row],[Away Team Score]],"Tie","Lose"))</f>
        <v>Win</v>
      </c>
      <c r="M1330" t="s">
        <v>311</v>
      </c>
      <c r="N1330">
        <v>13</v>
      </c>
      <c r="O1330" s="3">
        <v>4.1666666666666664E-2</v>
      </c>
      <c r="P1330" t="s">
        <v>31</v>
      </c>
      <c r="Q1330" t="s">
        <v>222</v>
      </c>
      <c r="R1330" t="e">
        <f>IF([1]!Table13[[#This Row],[Goal_assist]]="",1,0)</f>
        <v>#REF!</v>
      </c>
    </row>
    <row r="1331" spans="1:18" x14ac:dyDescent="0.35">
      <c r="A1331" t="s">
        <v>64</v>
      </c>
      <c r="B1331" t="s">
        <v>368</v>
      </c>
      <c r="C1331" t="s">
        <v>65</v>
      </c>
      <c r="D1331">
        <v>28</v>
      </c>
      <c r="E1331" s="2">
        <v>44276</v>
      </c>
      <c r="F1331" t="s">
        <v>24</v>
      </c>
      <c r="G1331" t="s">
        <v>66</v>
      </c>
      <c r="H1331" t="s">
        <v>217</v>
      </c>
      <c r="I1331" s="3">
        <v>4.583333333333333E-2</v>
      </c>
      <c r="J1331" s="8" t="s">
        <v>444</v>
      </c>
      <c r="K1331" s="8" t="s">
        <v>450</v>
      </c>
      <c r="L1331" s="8" t="str">
        <f>IF(Table1346[[#This Row],[Home Team Score]]&gt;Table1346[[#This Row],[Away Team Score]],"Win",IF(Table1346[[#This Row],[Home Team Score]]=Table1346[[#This Row],[Away Team Score]],"Tie","Lose"))</f>
        <v>Lose</v>
      </c>
      <c r="M1331" t="s">
        <v>311</v>
      </c>
      <c r="N1331">
        <v>89</v>
      </c>
      <c r="O1331" s="3">
        <v>4.583333333333333E-2</v>
      </c>
      <c r="P1331" t="s">
        <v>31</v>
      </c>
      <c r="Q1331" t="s">
        <v>243</v>
      </c>
      <c r="R1331" t="e">
        <f>IF([1]!Table13[[#This Row],[Goal_assist]]="",1,0)</f>
        <v>#REF!</v>
      </c>
    </row>
    <row r="1332" spans="1:18" x14ac:dyDescent="0.35">
      <c r="A1332" t="s">
        <v>64</v>
      </c>
      <c r="B1332" t="s">
        <v>368</v>
      </c>
      <c r="C1332" t="s">
        <v>65</v>
      </c>
      <c r="D1332">
        <v>28</v>
      </c>
      <c r="E1332" s="2">
        <v>44276</v>
      </c>
      <c r="F1332" t="s">
        <v>24</v>
      </c>
      <c r="G1332" t="s">
        <v>66</v>
      </c>
      <c r="H1332" t="s">
        <v>217</v>
      </c>
      <c r="I1332" s="3">
        <v>4.583333333333333E-2</v>
      </c>
      <c r="J1332" s="8" t="s">
        <v>444</v>
      </c>
      <c r="K1332" s="8" t="s">
        <v>450</v>
      </c>
      <c r="L1332" s="8" t="str">
        <f>IF(Table1346[[#This Row],[Home Team Score]]&gt;Table1346[[#This Row],[Away Team Score]],"Win",IF(Table1346[[#This Row],[Home Team Score]]=Table1346[[#This Row],[Away Team Score]],"Tie","Lose"))</f>
        <v>Lose</v>
      </c>
      <c r="M1332" t="s">
        <v>311</v>
      </c>
      <c r="N1332">
        <v>56</v>
      </c>
      <c r="O1332" s="3">
        <v>2.7777777777777779E-3</v>
      </c>
      <c r="P1332" t="s">
        <v>31</v>
      </c>
      <c r="Q1332" t="s">
        <v>222</v>
      </c>
      <c r="R1332" t="e">
        <f>IF([1]!Table13[[#This Row],[Goal_assist]]="",1,0)</f>
        <v>#REF!</v>
      </c>
    </row>
    <row r="1333" spans="1:18" x14ac:dyDescent="0.35">
      <c r="A1333" t="s">
        <v>14</v>
      </c>
      <c r="B1333" t="s">
        <v>368</v>
      </c>
      <c r="C1333" t="s">
        <v>321</v>
      </c>
      <c r="D1333">
        <v>29</v>
      </c>
      <c r="E1333" s="2">
        <v>44289</v>
      </c>
      <c r="F1333" t="s">
        <v>24</v>
      </c>
      <c r="G1333" t="s">
        <v>260</v>
      </c>
      <c r="H1333" t="s">
        <v>336</v>
      </c>
      <c r="I1333" s="3">
        <v>8.4722222222222227E-2</v>
      </c>
      <c r="J1333" s="8" t="s">
        <v>445</v>
      </c>
      <c r="K1333" s="8" t="s">
        <v>445</v>
      </c>
      <c r="L1333" s="8" t="str">
        <f>IF(Table1346[[#This Row],[Home Team Score]]&gt;Table1346[[#This Row],[Away Team Score]],"Win",IF(Table1346[[#This Row],[Home Team Score]]=Table1346[[#This Row],[Away Team Score]],"Tie","Lose"))</f>
        <v>Tie</v>
      </c>
      <c r="M1333" t="s">
        <v>68</v>
      </c>
      <c r="N1333">
        <v>79</v>
      </c>
      <c r="O1333" s="3">
        <v>8.4722222222222227E-2</v>
      </c>
      <c r="P1333" t="s">
        <v>22</v>
      </c>
      <c r="Q1333" t="s">
        <v>338</v>
      </c>
      <c r="R1333" t="e">
        <f>IF([1]!Table13[[#This Row],[Goal_assist]]="",1,0)</f>
        <v>#REF!</v>
      </c>
    </row>
    <row r="1334" spans="1:18" x14ac:dyDescent="0.35">
      <c r="A1334" t="s">
        <v>14</v>
      </c>
      <c r="B1334" t="s">
        <v>368</v>
      </c>
      <c r="C1334" t="s">
        <v>321</v>
      </c>
      <c r="D1334">
        <v>3</v>
      </c>
      <c r="E1334" s="2">
        <v>44293</v>
      </c>
      <c r="F1334" t="s">
        <v>16</v>
      </c>
      <c r="G1334" t="s">
        <v>260</v>
      </c>
      <c r="H1334" t="s">
        <v>352</v>
      </c>
      <c r="I1334" s="3">
        <v>8.4027777777777785E-2</v>
      </c>
      <c r="J1334" s="8" t="s">
        <v>445</v>
      </c>
      <c r="K1334" s="8" t="s">
        <v>444</v>
      </c>
      <c r="L1334" s="8" t="str">
        <f>IF(Table1346[[#This Row],[Home Team Score]]&gt;Table1346[[#This Row],[Away Team Score]],"Win",IF(Table1346[[#This Row],[Home Team Score]]=Table1346[[#This Row],[Away Team Score]],"Tie","Lose"))</f>
        <v>Win</v>
      </c>
      <c r="M1334" t="s">
        <v>68</v>
      </c>
      <c r="N1334">
        <v>13</v>
      </c>
      <c r="O1334" s="3">
        <v>4.1666666666666664E-2</v>
      </c>
      <c r="P1334" t="s">
        <v>26</v>
      </c>
      <c r="Q1334" t="s">
        <v>380</v>
      </c>
      <c r="R1334" t="e">
        <f>IF([1]!Table13[[#This Row],[Goal_assist]]="",1,0)</f>
        <v>#REF!</v>
      </c>
    </row>
    <row r="1335" spans="1:18" x14ac:dyDescent="0.35">
      <c r="A1335" t="s">
        <v>64</v>
      </c>
      <c r="B1335" t="s">
        <v>368</v>
      </c>
      <c r="C1335" t="s">
        <v>91</v>
      </c>
      <c r="D1335" t="s">
        <v>46</v>
      </c>
      <c r="E1335" s="2">
        <v>44303</v>
      </c>
      <c r="F1335" t="s">
        <v>24</v>
      </c>
      <c r="G1335" t="s">
        <v>66</v>
      </c>
      <c r="H1335" t="s">
        <v>86</v>
      </c>
      <c r="I1335" s="3">
        <v>2.7777777777777779E-3</v>
      </c>
      <c r="J1335" s="8" t="s">
        <v>443</v>
      </c>
      <c r="K1335" s="8" t="s">
        <v>446</v>
      </c>
      <c r="L1335" s="8" t="str">
        <f>IF(Table1346[[#This Row],[Home Team Score]]&gt;Table1346[[#This Row],[Away Team Score]],"Win",IF(Table1346[[#This Row],[Home Team Score]]=Table1346[[#This Row],[Away Team Score]],"Tie","Lose"))</f>
        <v>Lose</v>
      </c>
      <c r="M1335" t="s">
        <v>251</v>
      </c>
      <c r="N1335">
        <v>72</v>
      </c>
      <c r="O1335" s="3">
        <v>2.7777777777777779E-3</v>
      </c>
      <c r="P1335" t="s">
        <v>31</v>
      </c>
      <c r="Q1335" t="s">
        <v>243</v>
      </c>
      <c r="R1335" t="e">
        <f>IF([1]!Table13[[#This Row],[Goal_assist]]="",1,0)</f>
        <v>#REF!</v>
      </c>
    </row>
    <row r="1336" spans="1:18" x14ac:dyDescent="0.35">
      <c r="A1336" t="s">
        <v>64</v>
      </c>
      <c r="B1336" t="s">
        <v>368</v>
      </c>
      <c r="C1336" t="s">
        <v>91</v>
      </c>
      <c r="D1336" t="s">
        <v>46</v>
      </c>
      <c r="E1336" s="2">
        <v>44303</v>
      </c>
      <c r="F1336" t="s">
        <v>24</v>
      </c>
      <c r="G1336" t="s">
        <v>66</v>
      </c>
      <c r="H1336" t="s">
        <v>86</v>
      </c>
      <c r="I1336" s="3">
        <v>2.7777777777777779E-3</v>
      </c>
      <c r="J1336" s="8" t="s">
        <v>443</v>
      </c>
      <c r="K1336" s="8" t="s">
        <v>446</v>
      </c>
      <c r="L1336" s="8" t="str">
        <f>IF(Table1346[[#This Row],[Home Team Score]]&gt;Table1346[[#This Row],[Away Team Score]],"Win",IF(Table1346[[#This Row],[Home Team Score]]=Table1346[[#This Row],[Away Team Score]],"Tie","Lose"))</f>
        <v>Lose</v>
      </c>
      <c r="M1336" t="s">
        <v>251</v>
      </c>
      <c r="N1336">
        <v>68</v>
      </c>
      <c r="O1336" s="3">
        <v>2.0833333333333333E-3</v>
      </c>
      <c r="P1336" t="s">
        <v>31</v>
      </c>
      <c r="Q1336" t="s">
        <v>363</v>
      </c>
      <c r="R1336" t="e">
        <f>IF([1]!Table13[[#This Row],[Goal_assist]]="",1,0)</f>
        <v>#REF!</v>
      </c>
    </row>
    <row r="1337" spans="1:18" x14ac:dyDescent="0.35">
      <c r="A1337" t="s">
        <v>64</v>
      </c>
      <c r="B1337" t="s">
        <v>368</v>
      </c>
      <c r="C1337" t="s">
        <v>65</v>
      </c>
      <c r="D1337">
        <v>31</v>
      </c>
      <c r="E1337" s="2">
        <v>44308</v>
      </c>
      <c r="F1337" t="s">
        <v>16</v>
      </c>
      <c r="G1337" t="s">
        <v>66</v>
      </c>
      <c r="H1337" t="s">
        <v>117</v>
      </c>
      <c r="I1337" s="3">
        <v>0.20972222222222223</v>
      </c>
      <c r="J1337" s="8" t="s">
        <v>448</v>
      </c>
      <c r="K1337" s="8" t="s">
        <v>445</v>
      </c>
      <c r="L1337" s="8" t="str">
        <f>IF(Table1346[[#This Row],[Home Team Score]]&gt;Table1346[[#This Row],[Away Team Score]],"Win",IF(Table1346[[#This Row],[Home Team Score]]=Table1346[[#This Row],[Away Team Score]],"Tie","Lose"))</f>
        <v>Win</v>
      </c>
      <c r="M1337" t="s">
        <v>251</v>
      </c>
      <c r="N1337">
        <v>8</v>
      </c>
      <c r="O1337" s="3">
        <v>4.1666666666666664E-2</v>
      </c>
      <c r="P1337" t="s">
        <v>31</v>
      </c>
      <c r="Q1337" t="s">
        <v>222</v>
      </c>
      <c r="R1337" t="e">
        <f>IF([1]!Table13[[#This Row],[Goal_assist]]="",1,0)</f>
        <v>#REF!</v>
      </c>
    </row>
    <row r="1338" spans="1:18" x14ac:dyDescent="0.35">
      <c r="A1338" t="s">
        <v>64</v>
      </c>
      <c r="B1338" t="s">
        <v>368</v>
      </c>
      <c r="C1338" t="s">
        <v>65</v>
      </c>
      <c r="D1338">
        <v>31</v>
      </c>
      <c r="E1338" s="2">
        <v>44308</v>
      </c>
      <c r="F1338" t="s">
        <v>16</v>
      </c>
      <c r="G1338" t="s">
        <v>66</v>
      </c>
      <c r="H1338" t="s">
        <v>117</v>
      </c>
      <c r="I1338" s="3">
        <v>0.20972222222222223</v>
      </c>
      <c r="J1338" s="8" t="s">
        <v>448</v>
      </c>
      <c r="K1338" s="8" t="s">
        <v>445</v>
      </c>
      <c r="L1338" s="8" t="str">
        <f>IF(Table1346[[#This Row],[Home Team Score]]&gt;Table1346[[#This Row],[Away Team Score]],"Win",IF(Table1346[[#This Row],[Home Team Score]]=Table1346[[#This Row],[Away Team Score]],"Tie","Lose"))</f>
        <v>Win</v>
      </c>
      <c r="M1338" t="s">
        <v>251</v>
      </c>
      <c r="N1338">
        <v>33</v>
      </c>
      <c r="O1338" s="3">
        <v>0.12569444444444444</v>
      </c>
      <c r="P1338" t="s">
        <v>31</v>
      </c>
      <c r="R1338" t="e">
        <f>IF([1]!Table13[[#This Row],[Goal_assist]]="",1,0)</f>
        <v>#REF!</v>
      </c>
    </row>
    <row r="1339" spans="1:18" x14ac:dyDescent="0.35">
      <c r="A1339" t="s">
        <v>64</v>
      </c>
      <c r="B1339" t="s">
        <v>368</v>
      </c>
      <c r="C1339" t="s">
        <v>65</v>
      </c>
      <c r="D1339">
        <v>33</v>
      </c>
      <c r="E1339" s="2">
        <v>44315</v>
      </c>
      <c r="F1339" t="s">
        <v>16</v>
      </c>
      <c r="G1339" t="s">
        <v>66</v>
      </c>
      <c r="H1339" t="s">
        <v>233</v>
      </c>
      <c r="I1339" s="3">
        <v>4.3055555555555555E-2</v>
      </c>
      <c r="J1339" s="8" t="s">
        <v>444</v>
      </c>
      <c r="K1339" s="8" t="s">
        <v>445</v>
      </c>
      <c r="L1339" s="8" t="str">
        <f>IF(Table1346[[#This Row],[Home Team Score]]&gt;Table1346[[#This Row],[Away Team Score]],"Win",IF(Table1346[[#This Row],[Home Team Score]]=Table1346[[#This Row],[Away Team Score]],"Tie","Lose"))</f>
        <v>Lose</v>
      </c>
      <c r="M1339" t="s">
        <v>251</v>
      </c>
      <c r="N1339">
        <v>23</v>
      </c>
      <c r="O1339" s="3">
        <v>4.1666666666666664E-2</v>
      </c>
      <c r="P1339" t="s">
        <v>31</v>
      </c>
      <c r="Q1339" t="s">
        <v>355</v>
      </c>
      <c r="R1339" t="e">
        <f>IF([1]!Table13[[#This Row],[Goal_assist]]="",1,0)</f>
        <v>#REF!</v>
      </c>
    </row>
    <row r="1340" spans="1:18" x14ac:dyDescent="0.35">
      <c r="A1340" t="s">
        <v>64</v>
      </c>
      <c r="B1340" t="s">
        <v>368</v>
      </c>
      <c r="C1340" t="s">
        <v>65</v>
      </c>
      <c r="D1340">
        <v>34</v>
      </c>
      <c r="E1340" s="2">
        <v>44318</v>
      </c>
      <c r="F1340" t="s">
        <v>24</v>
      </c>
      <c r="G1340" t="s">
        <v>66</v>
      </c>
      <c r="H1340" t="s">
        <v>148</v>
      </c>
      <c r="I1340" s="3">
        <v>8.5416666666666669E-2</v>
      </c>
      <c r="J1340" s="8" t="s">
        <v>445</v>
      </c>
      <c r="K1340" s="8" t="s">
        <v>442</v>
      </c>
      <c r="L1340" s="8" t="str">
        <f>IF(Table1346[[#This Row],[Home Team Score]]&gt;Table1346[[#This Row],[Away Team Score]],"Win",IF(Table1346[[#This Row],[Home Team Score]]=Table1346[[#This Row],[Away Team Score]],"Tie","Lose"))</f>
        <v>Lose</v>
      </c>
      <c r="M1340" t="s">
        <v>251</v>
      </c>
      <c r="N1340">
        <v>69</v>
      </c>
      <c r="O1340" s="3">
        <v>4.3749999999999997E-2</v>
      </c>
      <c r="P1340" t="s">
        <v>39</v>
      </c>
      <c r="R1340" t="e">
        <f>IF([1]!Table13[[#This Row],[Goal_assist]]="",1,0)</f>
        <v>#REF!</v>
      </c>
    </row>
    <row r="1341" spans="1:18" x14ac:dyDescent="0.35">
      <c r="A1341" t="s">
        <v>64</v>
      </c>
      <c r="B1341" t="s">
        <v>368</v>
      </c>
      <c r="C1341" t="s">
        <v>65</v>
      </c>
      <c r="D1341">
        <v>34</v>
      </c>
      <c r="E1341" s="2">
        <v>44318</v>
      </c>
      <c r="F1341" t="s">
        <v>24</v>
      </c>
      <c r="G1341" t="s">
        <v>66</v>
      </c>
      <c r="H1341" t="s">
        <v>148</v>
      </c>
      <c r="I1341" s="3">
        <v>8.5416666666666669E-2</v>
      </c>
      <c r="J1341" s="8" t="s">
        <v>445</v>
      </c>
      <c r="K1341" s="8" t="s">
        <v>442</v>
      </c>
      <c r="L1341" s="8" t="str">
        <f>IF(Table1346[[#This Row],[Home Team Score]]&gt;Table1346[[#This Row],[Away Team Score]],"Win",IF(Table1346[[#This Row],[Home Team Score]]=Table1346[[#This Row],[Away Team Score]],"Tie","Lose"))</f>
        <v>Lose</v>
      </c>
      <c r="M1341" t="s">
        <v>251</v>
      </c>
      <c r="N1341">
        <v>57</v>
      </c>
      <c r="O1341" s="3">
        <v>4.2361111111111113E-2</v>
      </c>
      <c r="P1341" t="s">
        <v>31</v>
      </c>
      <c r="R1341" t="e">
        <f>IF([1]!Table13[[#This Row],[Goal_assist]]="",1,0)</f>
        <v>#REF!</v>
      </c>
    </row>
    <row r="1342" spans="1:18" x14ac:dyDescent="0.35">
      <c r="A1342" t="s">
        <v>14</v>
      </c>
      <c r="B1342" t="s">
        <v>368</v>
      </c>
      <c r="C1342" t="s">
        <v>321</v>
      </c>
      <c r="D1342">
        <v>34</v>
      </c>
      <c r="E1342" s="2">
        <v>44318</v>
      </c>
      <c r="F1342" t="s">
        <v>24</v>
      </c>
      <c r="G1342" t="s">
        <v>260</v>
      </c>
      <c r="H1342" t="s">
        <v>327</v>
      </c>
      <c r="I1342" s="3">
        <v>4.3055555555555555E-2</v>
      </c>
      <c r="J1342" s="8" t="s">
        <v>444</v>
      </c>
      <c r="K1342" s="8" t="s">
        <v>445</v>
      </c>
      <c r="L1342" s="8" t="str">
        <f>IF(Table1346[[#This Row],[Home Team Score]]&gt;Table1346[[#This Row],[Away Team Score]],"Win",IF(Table1346[[#This Row],[Home Team Score]]=Table1346[[#This Row],[Away Team Score]],"Tie","Lose"))</f>
        <v>Lose</v>
      </c>
      <c r="M1342" t="s">
        <v>68</v>
      </c>
      <c r="N1342">
        <v>89</v>
      </c>
      <c r="O1342" s="3">
        <v>4.3055555555555555E-2</v>
      </c>
      <c r="P1342" t="s">
        <v>22</v>
      </c>
      <c r="Q1342" t="s">
        <v>381</v>
      </c>
      <c r="R1342" t="e">
        <f>IF([1]!Table13[[#This Row],[Goal_assist]]="",1,0)</f>
        <v>#REF!</v>
      </c>
    </row>
    <row r="1343" spans="1:18" x14ac:dyDescent="0.35">
      <c r="A1343" t="s">
        <v>14</v>
      </c>
      <c r="B1343" t="s">
        <v>368</v>
      </c>
      <c r="C1343" t="s">
        <v>321</v>
      </c>
      <c r="D1343">
        <v>34</v>
      </c>
      <c r="E1343" s="2">
        <v>44318</v>
      </c>
      <c r="F1343" t="s">
        <v>24</v>
      </c>
      <c r="G1343" t="s">
        <v>260</v>
      </c>
      <c r="H1343" t="s">
        <v>327</v>
      </c>
      <c r="I1343" s="3">
        <v>4.3055555555555555E-2</v>
      </c>
      <c r="J1343" s="8" t="s">
        <v>444</v>
      </c>
      <c r="K1343" s="8" t="s">
        <v>445</v>
      </c>
      <c r="L1343" s="8" t="str">
        <f>IF(Table1346[[#This Row],[Home Team Score]]&gt;Table1346[[#This Row],[Away Team Score]],"Win",IF(Table1346[[#This Row],[Home Team Score]]=Table1346[[#This Row],[Away Team Score]],"Tie","Lose"))</f>
        <v>Lose</v>
      </c>
      <c r="M1343" t="s">
        <v>68</v>
      </c>
      <c r="N1343">
        <v>83</v>
      </c>
      <c r="O1343" s="3">
        <v>4.2361111111111113E-2</v>
      </c>
      <c r="P1343" t="s">
        <v>83</v>
      </c>
      <c r="R1343" t="e">
        <f>IF([1]!Table13[[#This Row],[Goal_assist]]="",1,0)</f>
        <v>#REF!</v>
      </c>
    </row>
    <row r="1344" spans="1:18" x14ac:dyDescent="0.35">
      <c r="A1344" t="s">
        <v>64</v>
      </c>
      <c r="B1344" t="s">
        <v>368</v>
      </c>
      <c r="C1344" t="s">
        <v>65</v>
      </c>
      <c r="D1344">
        <v>36</v>
      </c>
      <c r="E1344" s="2">
        <v>44327</v>
      </c>
      <c r="F1344" t="s">
        <v>24</v>
      </c>
      <c r="G1344" t="s">
        <v>66</v>
      </c>
      <c r="H1344" t="s">
        <v>127</v>
      </c>
      <c r="I1344" s="3">
        <v>0.12708333333333333</v>
      </c>
      <c r="J1344" s="8" t="s">
        <v>442</v>
      </c>
      <c r="K1344" s="8" t="s">
        <v>442</v>
      </c>
      <c r="L1344" s="8" t="str">
        <f>IF(Table1346[[#This Row],[Home Team Score]]&gt;Table1346[[#This Row],[Away Team Score]],"Win",IF(Table1346[[#This Row],[Home Team Score]]=Table1346[[#This Row],[Away Team Score]],"Tie","Lose"))</f>
        <v>Tie</v>
      </c>
      <c r="M1344" t="s">
        <v>311</v>
      </c>
      <c r="N1344">
        <v>25</v>
      </c>
      <c r="O1344" s="3">
        <v>6.9444444444444447E-4</v>
      </c>
      <c r="P1344" t="s">
        <v>31</v>
      </c>
      <c r="R1344" t="e">
        <f>IF([1]!Table13[[#This Row],[Goal_assist]]="",1,0)</f>
        <v>#REF!</v>
      </c>
    </row>
    <row r="1345" spans="1:18" x14ac:dyDescent="0.35">
      <c r="A1345" t="s">
        <v>14</v>
      </c>
      <c r="B1345" t="s">
        <v>368</v>
      </c>
      <c r="C1345" t="s">
        <v>321</v>
      </c>
      <c r="D1345">
        <v>36</v>
      </c>
      <c r="E1345" s="2">
        <v>44328</v>
      </c>
      <c r="F1345" t="s">
        <v>24</v>
      </c>
      <c r="G1345" t="s">
        <v>260</v>
      </c>
      <c r="H1345" t="s">
        <v>322</v>
      </c>
      <c r="I1345" s="3">
        <v>4.3749999999999997E-2</v>
      </c>
      <c r="J1345" s="8" t="s">
        <v>444</v>
      </c>
      <c r="K1345" s="8" t="s">
        <v>442</v>
      </c>
      <c r="L1345" s="8" t="str">
        <f>IF(Table1346[[#This Row],[Home Team Score]]&gt;Table1346[[#This Row],[Away Team Score]],"Win",IF(Table1346[[#This Row],[Home Team Score]]=Table1346[[#This Row],[Away Team Score]],"Tie","Lose"))</f>
        <v>Lose</v>
      </c>
      <c r="M1345" t="s">
        <v>68</v>
      </c>
      <c r="N1345">
        <v>45</v>
      </c>
      <c r="O1345" s="3">
        <v>1.3888888888888889E-3</v>
      </c>
      <c r="P1345" t="s">
        <v>31</v>
      </c>
      <c r="R1345" t="e">
        <f>IF([1]!Table13[[#This Row],[Goal_assist]]="",1,0)</f>
        <v>#REF!</v>
      </c>
    </row>
    <row r="1346" spans="1:18" x14ac:dyDescent="0.35">
      <c r="A1346" t="s">
        <v>14</v>
      </c>
      <c r="B1346" t="s">
        <v>368</v>
      </c>
      <c r="C1346" t="s">
        <v>321</v>
      </c>
      <c r="D1346">
        <v>37</v>
      </c>
      <c r="E1346" s="2">
        <v>44331</v>
      </c>
      <c r="F1346" t="s">
        <v>16</v>
      </c>
      <c r="G1346" t="s">
        <v>260</v>
      </c>
      <c r="H1346" t="s">
        <v>348</v>
      </c>
      <c r="I1346" s="3">
        <v>0.12638888888888888</v>
      </c>
      <c r="J1346" s="8" t="s">
        <v>442</v>
      </c>
      <c r="K1346" s="8" t="s">
        <v>445</v>
      </c>
      <c r="L1346" s="8" t="str">
        <f>IF(Table1346[[#This Row],[Home Team Score]]&gt;Table1346[[#This Row],[Away Team Score]],"Win",IF(Table1346[[#This Row],[Home Team Score]]=Table1346[[#This Row],[Away Team Score]],"Tie","Lose"))</f>
        <v>Win</v>
      </c>
      <c r="M1346" t="s">
        <v>68</v>
      </c>
      <c r="N1346">
        <v>24</v>
      </c>
      <c r="O1346" s="3">
        <v>4.1666666666666664E-2</v>
      </c>
      <c r="P1346" t="s">
        <v>107</v>
      </c>
      <c r="R1346" t="e">
        <f>IF([1]!Table13[[#This Row],[Goal_assist]]="",1,0)</f>
        <v>#REF!</v>
      </c>
    </row>
    <row r="1347" spans="1:18" x14ac:dyDescent="0.35">
      <c r="A1347" t="s">
        <v>64</v>
      </c>
      <c r="B1347" t="s">
        <v>368</v>
      </c>
      <c r="C1347" t="s">
        <v>65</v>
      </c>
      <c r="D1347">
        <v>37</v>
      </c>
      <c r="E1347" s="2">
        <v>44332</v>
      </c>
      <c r="F1347" t="s">
        <v>16</v>
      </c>
      <c r="G1347" t="s">
        <v>66</v>
      </c>
      <c r="H1347" t="s">
        <v>98</v>
      </c>
      <c r="I1347" s="3">
        <v>4.3055555555555555E-2</v>
      </c>
      <c r="J1347" s="8" t="s">
        <v>444</v>
      </c>
      <c r="K1347" s="8" t="s">
        <v>445</v>
      </c>
      <c r="L1347" s="8" t="str">
        <f>IF(Table1346[[#This Row],[Home Team Score]]&gt;Table1346[[#This Row],[Away Team Score]],"Win",IF(Table1346[[#This Row],[Home Team Score]]=Table1346[[#This Row],[Away Team Score]],"Tie","Lose"))</f>
        <v>Lose</v>
      </c>
      <c r="M1347" t="s">
        <v>311</v>
      </c>
      <c r="N1347">
        <v>28</v>
      </c>
      <c r="O1347" s="3">
        <v>4.1666666666666664E-2</v>
      </c>
      <c r="P1347" t="s">
        <v>22</v>
      </c>
      <c r="Q1347" t="s">
        <v>222</v>
      </c>
      <c r="R1347" t="e">
        <f>IF([1]!Table13[[#This Row],[Goal_assist]]="",1,0)</f>
        <v>#REF!</v>
      </c>
    </row>
    <row r="1348" spans="1:18" x14ac:dyDescent="0.35">
      <c r="A1348" t="s">
        <v>14</v>
      </c>
      <c r="B1348" t="s">
        <v>382</v>
      </c>
      <c r="C1348" t="s">
        <v>35</v>
      </c>
      <c r="D1348">
        <v>4</v>
      </c>
      <c r="E1348" s="2">
        <v>44450</v>
      </c>
      <c r="F1348" t="s">
        <v>16</v>
      </c>
      <c r="G1348" t="s">
        <v>36</v>
      </c>
      <c r="H1348" t="s">
        <v>63</v>
      </c>
      <c r="I1348" s="3">
        <v>0.1673611111111111</v>
      </c>
      <c r="J1348" s="8" t="s">
        <v>446</v>
      </c>
      <c r="K1348" s="8" t="s">
        <v>444</v>
      </c>
      <c r="L1348" s="8" t="str">
        <f>IF(Table1346[[#This Row],[Home Team Score]]&gt;Table1346[[#This Row],[Away Team Score]],"Win",IF(Table1346[[#This Row],[Home Team Score]]=Table1346[[#This Row],[Away Team Score]],"Tie","Lose"))</f>
        <v>Win</v>
      </c>
      <c r="M1348" t="s">
        <v>68</v>
      </c>
      <c r="N1348">
        <v>62</v>
      </c>
      <c r="O1348" s="3">
        <v>8.4027777777777785E-2</v>
      </c>
      <c r="P1348" t="s">
        <v>31</v>
      </c>
      <c r="Q1348" t="s">
        <v>383</v>
      </c>
      <c r="R1348" t="e">
        <f>IF([1]!Table13[[#This Row],[Goal_assist]]="",1,0)</f>
        <v>#REF!</v>
      </c>
    </row>
    <row r="1349" spans="1:18" x14ac:dyDescent="0.35">
      <c r="A1349" t="s">
        <v>14</v>
      </c>
      <c r="B1349" t="s">
        <v>382</v>
      </c>
      <c r="C1349" t="s">
        <v>35</v>
      </c>
      <c r="D1349">
        <v>4</v>
      </c>
      <c r="E1349" s="2">
        <v>44450</v>
      </c>
      <c r="F1349" t="s">
        <v>16</v>
      </c>
      <c r="G1349" t="s">
        <v>36</v>
      </c>
      <c r="H1349" t="s">
        <v>63</v>
      </c>
      <c r="I1349" s="3">
        <v>0.1673611111111111</v>
      </c>
      <c r="J1349" s="8" t="s">
        <v>446</v>
      </c>
      <c r="K1349" s="8" t="s">
        <v>444</v>
      </c>
      <c r="L1349" s="8" t="str">
        <f>IF(Table1346[[#This Row],[Home Team Score]]&gt;Table1346[[#This Row],[Away Team Score]],"Win",IF(Table1346[[#This Row],[Home Team Score]]=Table1346[[#This Row],[Away Team Score]],"Tie","Lose"))</f>
        <v>Win</v>
      </c>
      <c r="M1349" t="s">
        <v>68</v>
      </c>
      <c r="N1349" t="s">
        <v>228</v>
      </c>
      <c r="O1349" s="3">
        <v>4.1666666666666664E-2</v>
      </c>
      <c r="P1349" t="s">
        <v>55</v>
      </c>
      <c r="R1349" t="e">
        <f>IF([1]!Table13[[#This Row],[Goal_assist]]="",1,0)</f>
        <v>#REF!</v>
      </c>
    </row>
    <row r="1350" spans="1:18" x14ac:dyDescent="0.35">
      <c r="A1350" t="s">
        <v>14</v>
      </c>
      <c r="B1350" t="s">
        <v>382</v>
      </c>
      <c r="C1350" t="s">
        <v>75</v>
      </c>
      <c r="D1350" t="s">
        <v>76</v>
      </c>
      <c r="E1350" s="2">
        <v>44453</v>
      </c>
      <c r="F1350" t="s">
        <v>24</v>
      </c>
      <c r="G1350" t="s">
        <v>36</v>
      </c>
      <c r="H1350" t="s">
        <v>384</v>
      </c>
      <c r="I1350" s="3">
        <v>8.4027777777777785E-2</v>
      </c>
      <c r="J1350" s="8" t="s">
        <v>445</v>
      </c>
      <c r="K1350" s="8" t="s">
        <v>444</v>
      </c>
      <c r="L1350" s="8" t="str">
        <f>IF(Table1346[[#This Row],[Home Team Score]]&gt;Table1346[[#This Row],[Away Team Score]],"Win",IF(Table1346[[#This Row],[Home Team Score]]=Table1346[[#This Row],[Away Team Score]],"Tie","Lose"))</f>
        <v>Win</v>
      </c>
      <c r="M1350" t="s">
        <v>68</v>
      </c>
      <c r="N1350">
        <v>13</v>
      </c>
      <c r="O1350" s="3">
        <v>6.9444444444444447E-4</v>
      </c>
      <c r="P1350" t="s">
        <v>26</v>
      </c>
      <c r="Q1350" t="s">
        <v>385</v>
      </c>
      <c r="R1350" t="e">
        <f>IF([1]!Table13[[#This Row],[Goal_assist]]="",1,0)</f>
        <v>#REF!</v>
      </c>
    </row>
    <row r="1351" spans="1:18" x14ac:dyDescent="0.35">
      <c r="A1351" t="s">
        <v>14</v>
      </c>
      <c r="B1351" t="s">
        <v>382</v>
      </c>
      <c r="C1351" t="s">
        <v>35</v>
      </c>
      <c r="D1351">
        <v>5</v>
      </c>
      <c r="E1351" s="2">
        <v>44458</v>
      </c>
      <c r="F1351" t="s">
        <v>24</v>
      </c>
      <c r="G1351" t="s">
        <v>36</v>
      </c>
      <c r="H1351" t="s">
        <v>140</v>
      </c>
      <c r="I1351" s="3">
        <v>4.3055555555555555E-2</v>
      </c>
      <c r="J1351" s="8" t="s">
        <v>444</v>
      </c>
      <c r="K1351" s="8" t="s">
        <v>445</v>
      </c>
      <c r="L1351" s="8" t="str">
        <f>IF(Table1346[[#This Row],[Home Team Score]]&gt;Table1346[[#This Row],[Away Team Score]],"Win",IF(Table1346[[#This Row],[Home Team Score]]=Table1346[[#This Row],[Away Team Score]],"Tie","Lose"))</f>
        <v>Lose</v>
      </c>
      <c r="M1351" t="s">
        <v>68</v>
      </c>
      <c r="N1351">
        <v>35</v>
      </c>
      <c r="O1351" s="3">
        <v>4.2361111111111113E-2</v>
      </c>
      <c r="P1351" t="s">
        <v>26</v>
      </c>
      <c r="R1351" t="e">
        <f>IF([1]!Table13[[#This Row],[Goal_assist]]="",1,0)</f>
        <v>#REF!</v>
      </c>
    </row>
    <row r="1352" spans="1:18" x14ac:dyDescent="0.35">
      <c r="A1352" t="s">
        <v>64</v>
      </c>
      <c r="B1352" t="s">
        <v>382</v>
      </c>
      <c r="C1352" t="s">
        <v>75</v>
      </c>
      <c r="D1352" t="s">
        <v>76</v>
      </c>
      <c r="E1352" s="2">
        <v>44467</v>
      </c>
      <c r="F1352" t="s">
        <v>16</v>
      </c>
      <c r="G1352" t="s">
        <v>252</v>
      </c>
      <c r="H1352" t="s">
        <v>41</v>
      </c>
      <c r="I1352" s="3">
        <v>8.3333333333333329E-2</v>
      </c>
      <c r="J1352" s="8" t="s">
        <v>445</v>
      </c>
      <c r="K1352" s="8" t="s">
        <v>443</v>
      </c>
      <c r="L1352" s="8" t="str">
        <f>IF(Table1346[[#This Row],[Home Team Score]]&gt;Table1346[[#This Row],[Away Team Score]],"Win",IF(Table1346[[#This Row],[Home Team Score]]=Table1346[[#This Row],[Away Team Score]],"Tie","Lose"))</f>
        <v>Win</v>
      </c>
      <c r="M1352" t="s">
        <v>38</v>
      </c>
      <c r="N1352">
        <v>74</v>
      </c>
      <c r="O1352" s="3">
        <v>8.3333333333333329E-2</v>
      </c>
      <c r="P1352" t="s">
        <v>31</v>
      </c>
      <c r="Q1352" t="s">
        <v>386</v>
      </c>
      <c r="R1352" t="e">
        <f>IF([1]!Table13[[#This Row],[Goal_assist]]="",1,0)</f>
        <v>#REF!</v>
      </c>
    </row>
    <row r="1353" spans="1:18" x14ac:dyDescent="0.35">
      <c r="A1353" t="s">
        <v>14</v>
      </c>
      <c r="B1353" t="s">
        <v>382</v>
      </c>
      <c r="C1353" t="s">
        <v>75</v>
      </c>
      <c r="D1353" t="s">
        <v>76</v>
      </c>
      <c r="E1353" s="2">
        <v>44468</v>
      </c>
      <c r="F1353" t="s">
        <v>16</v>
      </c>
      <c r="G1353" t="s">
        <v>36</v>
      </c>
      <c r="H1353" t="s">
        <v>180</v>
      </c>
      <c r="I1353" s="3">
        <v>8.4027777777777785E-2</v>
      </c>
      <c r="J1353" s="8" t="s">
        <v>445</v>
      </c>
      <c r="K1353" s="8" t="s">
        <v>444</v>
      </c>
      <c r="L1353" s="8" t="str">
        <f>IF(Table1346[[#This Row],[Home Team Score]]&gt;Table1346[[#This Row],[Away Team Score]],"Win",IF(Table1346[[#This Row],[Home Team Score]]=Table1346[[#This Row],[Away Team Score]],"Tie","Lose"))</f>
        <v>Win</v>
      </c>
      <c r="M1353" t="s">
        <v>68</v>
      </c>
      <c r="N1353" t="s">
        <v>21</v>
      </c>
      <c r="O1353" s="3">
        <v>8.4027777777777785E-2</v>
      </c>
      <c r="P1353" t="s">
        <v>26</v>
      </c>
      <c r="Q1353" t="s">
        <v>387</v>
      </c>
      <c r="R1353" t="e">
        <f>IF([1]!Table13[[#This Row],[Goal_assist]]="",1,0)</f>
        <v>#REF!</v>
      </c>
    </row>
    <row r="1354" spans="1:18" x14ac:dyDescent="0.35">
      <c r="A1354" t="s">
        <v>64</v>
      </c>
      <c r="B1354" t="s">
        <v>382</v>
      </c>
      <c r="C1354" t="s">
        <v>75</v>
      </c>
      <c r="D1354" t="s">
        <v>76</v>
      </c>
      <c r="E1354" s="2">
        <v>44488</v>
      </c>
      <c r="F1354" t="s">
        <v>16</v>
      </c>
      <c r="G1354" t="s">
        <v>252</v>
      </c>
      <c r="H1354" t="s">
        <v>388</v>
      </c>
      <c r="I1354" s="3">
        <v>0.12638888888888888</v>
      </c>
      <c r="J1354" s="8" t="s">
        <v>442</v>
      </c>
      <c r="K1354" s="8" t="s">
        <v>445</v>
      </c>
      <c r="L1354" s="8" t="str">
        <f>IF(Table1346[[#This Row],[Home Team Score]]&gt;Table1346[[#This Row],[Away Team Score]],"Win",IF(Table1346[[#This Row],[Home Team Score]]=Table1346[[#This Row],[Away Team Score]],"Tie","Lose"))</f>
        <v>Win</v>
      </c>
      <c r="M1354" t="s">
        <v>38</v>
      </c>
      <c r="N1354">
        <v>74</v>
      </c>
      <c r="O1354" s="3">
        <v>0.12638888888888888</v>
      </c>
      <c r="P1354" t="s">
        <v>83</v>
      </c>
      <c r="R1354" t="e">
        <f>IF([1]!Table13[[#This Row],[Goal_assist]]="",1,0)</f>
        <v>#REF!</v>
      </c>
    </row>
    <row r="1355" spans="1:18" x14ac:dyDescent="0.35">
      <c r="A1355" t="s">
        <v>64</v>
      </c>
      <c r="B1355" t="s">
        <v>382</v>
      </c>
      <c r="C1355" t="s">
        <v>75</v>
      </c>
      <c r="D1355" t="s">
        <v>76</v>
      </c>
      <c r="E1355" s="2">
        <v>44488</v>
      </c>
      <c r="F1355" t="s">
        <v>16</v>
      </c>
      <c r="G1355" t="s">
        <v>252</v>
      </c>
      <c r="H1355" t="s">
        <v>388</v>
      </c>
      <c r="I1355" s="3">
        <v>0.12638888888888888</v>
      </c>
      <c r="J1355" s="8" t="s">
        <v>442</v>
      </c>
      <c r="K1355" s="8" t="s">
        <v>445</v>
      </c>
      <c r="L1355" s="8" t="str">
        <f>IF(Table1346[[#This Row],[Home Team Score]]&gt;Table1346[[#This Row],[Away Team Score]],"Win",IF(Table1346[[#This Row],[Home Team Score]]=Table1346[[#This Row],[Away Team Score]],"Tie","Lose"))</f>
        <v>Win</v>
      </c>
      <c r="M1355" t="s">
        <v>38</v>
      </c>
      <c r="N1355">
        <v>67</v>
      </c>
      <c r="O1355" s="3">
        <v>8.4722222222222227E-2</v>
      </c>
      <c r="P1355" t="s">
        <v>31</v>
      </c>
      <c r="Q1355" t="s">
        <v>386</v>
      </c>
      <c r="R1355" t="e">
        <f>IF([1]!Table13[[#This Row],[Goal_assist]]="",1,0)</f>
        <v>#REF!</v>
      </c>
    </row>
    <row r="1356" spans="1:18" x14ac:dyDescent="0.35">
      <c r="A1356" t="s">
        <v>14</v>
      </c>
      <c r="B1356" t="s">
        <v>382</v>
      </c>
      <c r="C1356" t="s">
        <v>75</v>
      </c>
      <c r="D1356" t="s">
        <v>76</v>
      </c>
      <c r="E1356" s="2">
        <v>44489</v>
      </c>
      <c r="F1356" t="s">
        <v>16</v>
      </c>
      <c r="G1356" t="s">
        <v>36</v>
      </c>
      <c r="H1356" t="s">
        <v>337</v>
      </c>
      <c r="I1356" s="3">
        <v>0.12638888888888888</v>
      </c>
      <c r="J1356" s="8" t="s">
        <v>442</v>
      </c>
      <c r="K1356" s="8" t="s">
        <v>445</v>
      </c>
      <c r="L1356" s="8" t="str">
        <f>IF(Table1346[[#This Row],[Home Team Score]]&gt;Table1346[[#This Row],[Away Team Score]],"Win",IF(Table1346[[#This Row],[Home Team Score]]=Table1346[[#This Row],[Away Team Score]],"Tie","Lose"))</f>
        <v>Win</v>
      </c>
      <c r="M1356" t="s">
        <v>68</v>
      </c>
      <c r="N1356">
        <v>81</v>
      </c>
      <c r="O1356" s="3">
        <v>0.12638888888888888</v>
      </c>
      <c r="P1356" t="s">
        <v>22</v>
      </c>
      <c r="Q1356" t="s">
        <v>383</v>
      </c>
      <c r="R1356" t="e">
        <f>IF([1]!Table13[[#This Row],[Goal_assist]]="",1,0)</f>
        <v>#REF!</v>
      </c>
    </row>
    <row r="1357" spans="1:18" x14ac:dyDescent="0.35">
      <c r="A1357" t="s">
        <v>14</v>
      </c>
      <c r="B1357" t="s">
        <v>382</v>
      </c>
      <c r="C1357" t="s">
        <v>35</v>
      </c>
      <c r="D1357">
        <v>10</v>
      </c>
      <c r="E1357" s="2">
        <v>44499</v>
      </c>
      <c r="F1357" t="s">
        <v>24</v>
      </c>
      <c r="G1357" t="s">
        <v>36</v>
      </c>
      <c r="H1357" t="s">
        <v>42</v>
      </c>
      <c r="I1357" s="3">
        <v>2.0833333333333333E-3</v>
      </c>
      <c r="J1357" s="8" t="s">
        <v>443</v>
      </c>
      <c r="K1357" s="8" t="s">
        <v>442</v>
      </c>
      <c r="L1357" s="8" t="str">
        <f>IF(Table1346[[#This Row],[Home Team Score]]&gt;Table1346[[#This Row],[Away Team Score]],"Win",IF(Table1346[[#This Row],[Home Team Score]]=Table1346[[#This Row],[Away Team Score]],"Tie","Lose"))</f>
        <v>Lose</v>
      </c>
      <c r="M1357" t="s">
        <v>68</v>
      </c>
      <c r="N1357">
        <v>39</v>
      </c>
      <c r="O1357" s="3">
        <v>6.9444444444444447E-4</v>
      </c>
      <c r="P1357" t="s">
        <v>26</v>
      </c>
      <c r="Q1357" t="s">
        <v>385</v>
      </c>
      <c r="R1357" t="e">
        <f>IF([1]!Table13[[#This Row],[Goal_assist]]="",1,0)</f>
        <v>#REF!</v>
      </c>
    </row>
    <row r="1358" spans="1:18" x14ac:dyDescent="0.35">
      <c r="A1358" t="s">
        <v>14</v>
      </c>
      <c r="B1358" t="s">
        <v>382</v>
      </c>
      <c r="C1358" t="s">
        <v>75</v>
      </c>
      <c r="D1358" t="s">
        <v>76</v>
      </c>
      <c r="E1358" s="2">
        <v>44502</v>
      </c>
      <c r="F1358" t="s">
        <v>24</v>
      </c>
      <c r="G1358" t="s">
        <v>36</v>
      </c>
      <c r="H1358" t="s">
        <v>337</v>
      </c>
      <c r="I1358" s="3">
        <v>8.4722222222222227E-2</v>
      </c>
      <c r="J1358" s="8" t="s">
        <v>445</v>
      </c>
      <c r="K1358" s="8" t="s">
        <v>445</v>
      </c>
      <c r="L1358" s="8" t="str">
        <f>IF(Table1346[[#This Row],[Home Team Score]]&gt;Table1346[[#This Row],[Away Team Score]],"Win",IF(Table1346[[#This Row],[Home Team Score]]=Table1346[[#This Row],[Away Team Score]],"Tie","Lose"))</f>
        <v>Tie</v>
      </c>
      <c r="M1358" t="s">
        <v>68</v>
      </c>
      <c r="N1358" t="s">
        <v>69</v>
      </c>
      <c r="O1358" s="3">
        <v>8.4722222222222227E-2</v>
      </c>
      <c r="P1358" t="s">
        <v>26</v>
      </c>
      <c r="Q1358" t="s">
        <v>389</v>
      </c>
      <c r="R1358" t="e">
        <f>IF([1]!Table13[[#This Row],[Goal_assist]]="",1,0)</f>
        <v>#REF!</v>
      </c>
    </row>
    <row r="1359" spans="1:18" x14ac:dyDescent="0.35">
      <c r="A1359" t="s">
        <v>14</v>
      </c>
      <c r="B1359" t="s">
        <v>382</v>
      </c>
      <c r="C1359" t="s">
        <v>75</v>
      </c>
      <c r="D1359" t="s">
        <v>76</v>
      </c>
      <c r="E1359" s="2">
        <v>44502</v>
      </c>
      <c r="F1359" t="s">
        <v>24</v>
      </c>
      <c r="G1359" t="s">
        <v>36</v>
      </c>
      <c r="H1359" t="s">
        <v>337</v>
      </c>
      <c r="I1359" s="3">
        <v>8.4722222222222227E-2</v>
      </c>
      <c r="J1359" s="8" t="s">
        <v>445</v>
      </c>
      <c r="K1359" s="8" t="s">
        <v>445</v>
      </c>
      <c r="L1359" s="8" t="str">
        <f>IF(Table1346[[#This Row],[Home Team Score]]&gt;Table1346[[#This Row],[Away Team Score]],"Win",IF(Table1346[[#This Row],[Home Team Score]]=Table1346[[#This Row],[Away Team Score]],"Tie","Lose"))</f>
        <v>Tie</v>
      </c>
      <c r="M1359" t="s">
        <v>68</v>
      </c>
      <c r="N1359" t="s">
        <v>58</v>
      </c>
      <c r="O1359" s="3">
        <v>4.2361111111111113E-2</v>
      </c>
      <c r="P1359" t="s">
        <v>26</v>
      </c>
      <c r="Q1359" t="s">
        <v>385</v>
      </c>
      <c r="R1359" t="e">
        <f>IF([1]!Table13[[#This Row],[Goal_assist]]="",1,0)</f>
        <v>#REF!</v>
      </c>
    </row>
    <row r="1360" spans="1:18" x14ac:dyDescent="0.35">
      <c r="A1360" t="s">
        <v>64</v>
      </c>
      <c r="B1360" t="s">
        <v>382</v>
      </c>
      <c r="C1360" t="s">
        <v>390</v>
      </c>
      <c r="D1360">
        <v>14</v>
      </c>
      <c r="E1360" s="2">
        <v>44520</v>
      </c>
      <c r="F1360" t="s">
        <v>16</v>
      </c>
      <c r="G1360" t="s">
        <v>252</v>
      </c>
      <c r="H1360" t="s">
        <v>391</v>
      </c>
      <c r="I1360" s="3">
        <v>0.12569444444444444</v>
      </c>
      <c r="J1360" s="8" t="s">
        <v>442</v>
      </c>
      <c r="K1360" s="8" t="s">
        <v>444</v>
      </c>
      <c r="L1360" s="8" t="str">
        <f>IF(Table1346[[#This Row],[Home Team Score]]&gt;Table1346[[#This Row],[Away Team Score]],"Win",IF(Table1346[[#This Row],[Home Team Score]]=Table1346[[#This Row],[Away Team Score]],"Tie","Lose"))</f>
        <v>Win</v>
      </c>
      <c r="M1360" t="s">
        <v>38</v>
      </c>
      <c r="N1360">
        <v>87</v>
      </c>
      <c r="O1360" s="3">
        <v>0.12569444444444444</v>
      </c>
      <c r="P1360" t="s">
        <v>31</v>
      </c>
      <c r="Q1360" t="s">
        <v>386</v>
      </c>
      <c r="R1360" t="e">
        <f>IF([1]!Table13[[#This Row],[Goal_assist]]="",1,0)</f>
        <v>#REF!</v>
      </c>
    </row>
    <row r="1361" spans="1:18" x14ac:dyDescent="0.35">
      <c r="A1361" t="s">
        <v>14</v>
      </c>
      <c r="B1361" t="s">
        <v>382</v>
      </c>
      <c r="C1361" t="s">
        <v>75</v>
      </c>
      <c r="D1361" t="s">
        <v>76</v>
      </c>
      <c r="E1361" s="2">
        <v>44523</v>
      </c>
      <c r="F1361" t="s">
        <v>24</v>
      </c>
      <c r="G1361" t="s">
        <v>36</v>
      </c>
      <c r="H1361" t="s">
        <v>180</v>
      </c>
      <c r="I1361" s="3">
        <v>1.3888888888888889E-3</v>
      </c>
      <c r="J1361" s="8" t="s">
        <v>443</v>
      </c>
      <c r="K1361" s="8" t="s">
        <v>445</v>
      </c>
      <c r="L1361" s="8" t="str">
        <f>IF(Table1346[[#This Row],[Home Team Score]]&gt;Table1346[[#This Row],[Away Team Score]],"Win",IF(Table1346[[#This Row],[Home Team Score]]=Table1346[[#This Row],[Away Team Score]],"Tie","Lose"))</f>
        <v>Lose</v>
      </c>
      <c r="M1361" t="s">
        <v>68</v>
      </c>
      <c r="N1361">
        <v>78</v>
      </c>
      <c r="O1361" s="3">
        <v>6.9444444444444447E-4</v>
      </c>
      <c r="P1361" t="s">
        <v>26</v>
      </c>
      <c r="R1361" t="e">
        <f>IF([1]!Table13[[#This Row],[Goal_assist]]="",1,0)</f>
        <v>#REF!</v>
      </c>
    </row>
    <row r="1362" spans="1:18" x14ac:dyDescent="0.35">
      <c r="A1362" t="s">
        <v>14</v>
      </c>
      <c r="B1362" t="s">
        <v>382</v>
      </c>
      <c r="C1362" t="s">
        <v>35</v>
      </c>
      <c r="D1362">
        <v>14</v>
      </c>
      <c r="E1362" s="2">
        <v>44532</v>
      </c>
      <c r="F1362" t="s">
        <v>16</v>
      </c>
      <c r="G1362" t="s">
        <v>36</v>
      </c>
      <c r="H1362" t="s">
        <v>54</v>
      </c>
      <c r="I1362" s="3">
        <v>0.12638888888888888</v>
      </c>
      <c r="J1362" s="8" t="s">
        <v>442</v>
      </c>
      <c r="K1362" s="8" t="s">
        <v>445</v>
      </c>
      <c r="L1362" s="8" t="str">
        <f>IF(Table1346[[#This Row],[Home Team Score]]&gt;Table1346[[#This Row],[Away Team Score]],"Win",IF(Table1346[[#This Row],[Home Team Score]]=Table1346[[#This Row],[Away Team Score]],"Tie","Lose"))</f>
        <v>Win</v>
      </c>
      <c r="M1362" t="s">
        <v>68</v>
      </c>
      <c r="N1362">
        <v>70</v>
      </c>
      <c r="O1362" s="3">
        <v>0.12638888888888888</v>
      </c>
      <c r="P1362" t="s">
        <v>83</v>
      </c>
      <c r="R1362" t="e">
        <f>IF([1]!Table13[[#This Row],[Goal_assist]]="",1,0)</f>
        <v>#REF!</v>
      </c>
    </row>
    <row r="1363" spans="1:18" x14ac:dyDescent="0.35">
      <c r="A1363" t="s">
        <v>14</v>
      </c>
      <c r="B1363" t="s">
        <v>382</v>
      </c>
      <c r="C1363" t="s">
        <v>35</v>
      </c>
      <c r="D1363">
        <v>14</v>
      </c>
      <c r="E1363" s="2">
        <v>44532</v>
      </c>
      <c r="F1363" t="s">
        <v>16</v>
      </c>
      <c r="G1363" t="s">
        <v>36</v>
      </c>
      <c r="H1363" t="s">
        <v>54</v>
      </c>
      <c r="I1363" s="3">
        <v>0.12638888888888888</v>
      </c>
      <c r="J1363" s="8" t="s">
        <v>442</v>
      </c>
      <c r="K1363" s="8" t="s">
        <v>445</v>
      </c>
      <c r="L1363" s="8" t="str">
        <f>IF(Table1346[[#This Row],[Home Team Score]]&gt;Table1346[[#This Row],[Away Team Score]],"Win",IF(Table1346[[#This Row],[Home Team Score]]=Table1346[[#This Row],[Away Team Score]],"Tie","Lose"))</f>
        <v>Win</v>
      </c>
      <c r="M1363" t="s">
        <v>68</v>
      </c>
      <c r="N1363">
        <v>52</v>
      </c>
      <c r="O1363" s="3">
        <v>8.4027777777777785E-2</v>
      </c>
      <c r="P1363" t="s">
        <v>26</v>
      </c>
      <c r="Q1363" t="s">
        <v>392</v>
      </c>
      <c r="R1363" t="e">
        <f>IF([1]!Table13[[#This Row],[Goal_assist]]="",1,0)</f>
        <v>#REF!</v>
      </c>
    </row>
    <row r="1364" spans="1:18" x14ac:dyDescent="0.35">
      <c r="A1364" t="s">
        <v>64</v>
      </c>
      <c r="B1364" t="s">
        <v>382</v>
      </c>
      <c r="C1364" t="s">
        <v>75</v>
      </c>
      <c r="D1364" t="s">
        <v>76</v>
      </c>
      <c r="E1364" s="2">
        <v>44537</v>
      </c>
      <c r="F1364" t="s">
        <v>16</v>
      </c>
      <c r="G1364" t="s">
        <v>252</v>
      </c>
      <c r="H1364" t="s">
        <v>393</v>
      </c>
      <c r="I1364" s="3">
        <v>0.1673611111111111</v>
      </c>
      <c r="J1364" s="8" t="s">
        <v>446</v>
      </c>
      <c r="K1364" s="8" t="s">
        <v>444</v>
      </c>
      <c r="L1364" s="8" t="str">
        <f>IF(Table1346[[#This Row],[Home Team Score]]&gt;Table1346[[#This Row],[Away Team Score]],"Win",IF(Table1346[[#This Row],[Home Team Score]]=Table1346[[#This Row],[Away Team Score]],"Tie","Lose"))</f>
        <v>Win</v>
      </c>
      <c r="M1364" t="s">
        <v>68</v>
      </c>
      <c r="N1364">
        <v>38</v>
      </c>
      <c r="O1364" s="3">
        <v>0.125</v>
      </c>
      <c r="P1364" t="s">
        <v>31</v>
      </c>
      <c r="Q1364" t="s">
        <v>386</v>
      </c>
      <c r="R1364" t="e">
        <f>IF([1]!Table13[[#This Row],[Goal_assist]]="",1,0)</f>
        <v>#REF!</v>
      </c>
    </row>
    <row r="1365" spans="1:18" x14ac:dyDescent="0.35">
      <c r="A1365" t="s">
        <v>64</v>
      </c>
      <c r="B1365" t="s">
        <v>382</v>
      </c>
      <c r="C1365" t="s">
        <v>75</v>
      </c>
      <c r="D1365" t="s">
        <v>76</v>
      </c>
      <c r="E1365" s="2">
        <v>44537</v>
      </c>
      <c r="F1365" t="s">
        <v>16</v>
      </c>
      <c r="G1365" t="s">
        <v>252</v>
      </c>
      <c r="H1365" t="s">
        <v>393</v>
      </c>
      <c r="I1365" s="3">
        <v>0.1673611111111111</v>
      </c>
      <c r="J1365" s="8" t="s">
        <v>446</v>
      </c>
      <c r="K1365" s="8" t="s">
        <v>444</v>
      </c>
      <c r="L1365" s="8" t="str">
        <f>IF(Table1346[[#This Row],[Home Team Score]]&gt;Table1346[[#This Row],[Away Team Score]],"Win",IF(Table1346[[#This Row],[Home Team Score]]=Table1346[[#This Row],[Away Team Score]],"Tie","Lose"))</f>
        <v>Win</v>
      </c>
      <c r="M1365" t="s">
        <v>68</v>
      </c>
      <c r="N1365">
        <v>76</v>
      </c>
      <c r="O1365" s="3">
        <v>0.1673611111111111</v>
      </c>
      <c r="P1365" t="s">
        <v>83</v>
      </c>
      <c r="R1365" t="e">
        <f>IF([1]!Table13[[#This Row],[Goal_assist]]="",1,0)</f>
        <v>#REF!</v>
      </c>
    </row>
    <row r="1366" spans="1:18" x14ac:dyDescent="0.35">
      <c r="A1366" t="s">
        <v>14</v>
      </c>
      <c r="B1366" t="s">
        <v>382</v>
      </c>
      <c r="C1366" t="s">
        <v>35</v>
      </c>
      <c r="D1366">
        <v>16</v>
      </c>
      <c r="E1366" s="2">
        <v>44541</v>
      </c>
      <c r="F1366" t="s">
        <v>24</v>
      </c>
      <c r="G1366" t="s">
        <v>36</v>
      </c>
      <c r="H1366" t="s">
        <v>394</v>
      </c>
      <c r="I1366" s="3">
        <v>6.9444444444444447E-4</v>
      </c>
      <c r="J1366" s="8" t="s">
        <v>443</v>
      </c>
      <c r="K1366" s="8" t="s">
        <v>444</v>
      </c>
      <c r="L1366" s="8" t="str">
        <f>IF(Table1346[[#This Row],[Home Team Score]]&gt;Table1346[[#This Row],[Away Team Score]],"Win",IF(Table1346[[#This Row],[Home Team Score]]=Table1346[[#This Row],[Away Team Score]],"Tie","Lose"))</f>
        <v>Lose</v>
      </c>
      <c r="M1366" t="s">
        <v>68</v>
      </c>
      <c r="N1366">
        <v>75</v>
      </c>
      <c r="O1366" s="3">
        <v>6.9444444444444447E-4</v>
      </c>
      <c r="P1366" t="s">
        <v>83</v>
      </c>
      <c r="R1366" t="e">
        <f>IF([1]!Table13[[#This Row],[Goal_assist]]="",1,0)</f>
        <v>#REF!</v>
      </c>
    </row>
    <row r="1367" spans="1:18" x14ac:dyDescent="0.35">
      <c r="A1367" t="s">
        <v>14</v>
      </c>
      <c r="B1367" t="s">
        <v>382</v>
      </c>
      <c r="C1367" t="s">
        <v>35</v>
      </c>
      <c r="D1367">
        <v>20</v>
      </c>
      <c r="E1367" s="2">
        <v>44560</v>
      </c>
      <c r="F1367" t="s">
        <v>16</v>
      </c>
      <c r="G1367" t="s">
        <v>36</v>
      </c>
      <c r="H1367" t="s">
        <v>395</v>
      </c>
      <c r="I1367" s="3">
        <v>0.12569444444444444</v>
      </c>
      <c r="J1367" s="8" t="s">
        <v>442</v>
      </c>
      <c r="K1367" s="8" t="s">
        <v>444</v>
      </c>
      <c r="L1367" s="8" t="str">
        <f>IF(Table1346[[#This Row],[Home Team Score]]&gt;Table1346[[#This Row],[Away Team Score]],"Win",IF(Table1346[[#This Row],[Home Team Score]]=Table1346[[#This Row],[Away Team Score]],"Tie","Lose"))</f>
        <v>Win</v>
      </c>
      <c r="M1367" t="s">
        <v>68</v>
      </c>
      <c r="N1367">
        <v>35</v>
      </c>
      <c r="O1367" s="3">
        <v>0.125</v>
      </c>
      <c r="P1367" t="s">
        <v>26</v>
      </c>
      <c r="R1367" t="e">
        <f>IF([1]!Table13[[#This Row],[Goal_assist]]="",1,0)</f>
        <v>#REF!</v>
      </c>
    </row>
    <row r="1368" spans="1:18" x14ac:dyDescent="0.35">
      <c r="A1368" t="s">
        <v>64</v>
      </c>
      <c r="B1368" t="s">
        <v>382</v>
      </c>
      <c r="C1368" t="s">
        <v>390</v>
      </c>
      <c r="D1368">
        <v>23</v>
      </c>
      <c r="E1368" s="2">
        <v>44598</v>
      </c>
      <c r="F1368" t="s">
        <v>24</v>
      </c>
      <c r="G1368" t="s">
        <v>252</v>
      </c>
      <c r="H1368" t="s">
        <v>396</v>
      </c>
      <c r="I1368" s="3">
        <v>4.5138888888888888E-2</v>
      </c>
      <c r="J1368" s="8" t="s">
        <v>444</v>
      </c>
      <c r="K1368" s="8" t="s">
        <v>448</v>
      </c>
      <c r="L1368" s="8" t="str">
        <f>IF(Table1346[[#This Row],[Home Team Score]]&gt;Table1346[[#This Row],[Away Team Score]],"Win",IF(Table1346[[#This Row],[Home Team Score]]=Table1346[[#This Row],[Away Team Score]],"Tie","Lose"))</f>
        <v>Lose</v>
      </c>
      <c r="M1368" t="s">
        <v>68</v>
      </c>
      <c r="N1368">
        <v>38</v>
      </c>
      <c r="O1368" s="3">
        <v>4.3749999999999997E-2</v>
      </c>
      <c r="P1368" t="s">
        <v>31</v>
      </c>
      <c r="R1368" t="e">
        <f>IF([1]!Table13[[#This Row],[Goal_assist]]="",1,0)</f>
        <v>#REF!</v>
      </c>
    </row>
    <row r="1369" spans="1:18" x14ac:dyDescent="0.35">
      <c r="A1369" t="s">
        <v>14</v>
      </c>
      <c r="B1369" t="s">
        <v>382</v>
      </c>
      <c r="C1369" t="s">
        <v>35</v>
      </c>
      <c r="D1369">
        <v>18</v>
      </c>
      <c r="E1369" s="2">
        <v>44607</v>
      </c>
      <c r="F1369" t="s">
        <v>16</v>
      </c>
      <c r="G1369" t="s">
        <v>36</v>
      </c>
      <c r="H1369" t="s">
        <v>397</v>
      </c>
      <c r="I1369" s="3">
        <v>8.3333333333333329E-2</v>
      </c>
      <c r="J1369" s="8" t="s">
        <v>445</v>
      </c>
      <c r="K1369" s="8" t="s">
        <v>443</v>
      </c>
      <c r="L1369" s="8" t="str">
        <f>IF(Table1346[[#This Row],[Home Team Score]]&gt;Table1346[[#This Row],[Away Team Score]],"Win",IF(Table1346[[#This Row],[Home Team Score]]=Table1346[[#This Row],[Away Team Score]],"Tie","Lose"))</f>
        <v>Win</v>
      </c>
      <c r="M1369" t="s">
        <v>68</v>
      </c>
      <c r="N1369">
        <v>51</v>
      </c>
      <c r="O1369" s="3">
        <v>4.1666666666666664E-2</v>
      </c>
      <c r="P1369" t="s">
        <v>26</v>
      </c>
      <c r="Q1369" t="s">
        <v>398</v>
      </c>
      <c r="R1369" t="e">
        <f>IF([1]!Table13[[#This Row],[Goal_assist]]="",1,0)</f>
        <v>#REF!</v>
      </c>
    </row>
    <row r="1370" spans="1:18" x14ac:dyDescent="0.35">
      <c r="A1370" t="s">
        <v>14</v>
      </c>
      <c r="B1370" t="s">
        <v>382</v>
      </c>
      <c r="C1370" t="s">
        <v>35</v>
      </c>
      <c r="D1370">
        <v>29</v>
      </c>
      <c r="E1370" s="2">
        <v>44632</v>
      </c>
      <c r="F1370" t="s">
        <v>16</v>
      </c>
      <c r="G1370" t="s">
        <v>36</v>
      </c>
      <c r="H1370" t="s">
        <v>42</v>
      </c>
      <c r="I1370" s="3">
        <v>0.12638888888888888</v>
      </c>
      <c r="J1370" s="8" t="s">
        <v>442</v>
      </c>
      <c r="K1370" s="8" t="s">
        <v>445</v>
      </c>
      <c r="L1370" s="8" t="str">
        <f>IF(Table1346[[#This Row],[Home Team Score]]&gt;Table1346[[#This Row],[Away Team Score]],"Win",IF(Table1346[[#This Row],[Home Team Score]]=Table1346[[#This Row],[Away Team Score]],"Tie","Lose"))</f>
        <v>Win</v>
      </c>
      <c r="M1370" t="s">
        <v>68</v>
      </c>
      <c r="N1370">
        <v>81</v>
      </c>
      <c r="O1370" s="3">
        <v>0.12638888888888888</v>
      </c>
      <c r="P1370" t="s">
        <v>22</v>
      </c>
      <c r="Q1370" t="s">
        <v>399</v>
      </c>
      <c r="R1370" t="e">
        <f>IF([1]!Table13[[#This Row],[Goal_assist]]="",1,0)</f>
        <v>#REF!</v>
      </c>
    </row>
    <row r="1371" spans="1:18" x14ac:dyDescent="0.35">
      <c r="A1371" t="s">
        <v>14</v>
      </c>
      <c r="B1371" t="s">
        <v>382</v>
      </c>
      <c r="C1371" t="s">
        <v>35</v>
      </c>
      <c r="D1371">
        <v>29</v>
      </c>
      <c r="E1371" s="2">
        <v>44632</v>
      </c>
      <c r="F1371" t="s">
        <v>16</v>
      </c>
      <c r="G1371" t="s">
        <v>36</v>
      </c>
      <c r="H1371" t="s">
        <v>42</v>
      </c>
      <c r="I1371" s="3">
        <v>0.12638888888888888</v>
      </c>
      <c r="J1371" s="8" t="s">
        <v>442</v>
      </c>
      <c r="K1371" s="8" t="s">
        <v>445</v>
      </c>
      <c r="L1371" s="8" t="str">
        <f>IF(Table1346[[#This Row],[Home Team Score]]&gt;Table1346[[#This Row],[Away Team Score]],"Win",IF(Table1346[[#This Row],[Home Team Score]]=Table1346[[#This Row],[Away Team Score]],"Tie","Lose"))</f>
        <v>Win</v>
      </c>
      <c r="M1371" t="s">
        <v>68</v>
      </c>
      <c r="N1371">
        <v>38</v>
      </c>
      <c r="O1371" s="3">
        <v>8.4027777777777785E-2</v>
      </c>
      <c r="P1371" t="s">
        <v>26</v>
      </c>
      <c r="Q1371" t="s">
        <v>400</v>
      </c>
      <c r="R1371" t="e">
        <f>IF([1]!Table13[[#This Row],[Goal_assist]]="",1,0)</f>
        <v>#REF!</v>
      </c>
    </row>
    <row r="1372" spans="1:18" x14ac:dyDescent="0.35">
      <c r="A1372" t="s">
        <v>14</v>
      </c>
      <c r="B1372" t="s">
        <v>382</v>
      </c>
      <c r="C1372" t="s">
        <v>35</v>
      </c>
      <c r="D1372">
        <v>29</v>
      </c>
      <c r="E1372" s="2">
        <v>44632</v>
      </c>
      <c r="F1372" t="s">
        <v>16</v>
      </c>
      <c r="G1372" t="s">
        <v>36</v>
      </c>
      <c r="H1372" t="s">
        <v>42</v>
      </c>
      <c r="I1372" s="3">
        <v>0.12638888888888888</v>
      </c>
      <c r="J1372" s="8" t="s">
        <v>442</v>
      </c>
      <c r="K1372" s="8" t="s">
        <v>445</v>
      </c>
      <c r="L1372" s="8" t="str">
        <f>IF(Table1346[[#This Row],[Home Team Score]]&gt;Table1346[[#This Row],[Away Team Score]],"Win",IF(Table1346[[#This Row],[Home Team Score]]=Table1346[[#This Row],[Away Team Score]],"Tie","Lose"))</f>
        <v>Win</v>
      </c>
      <c r="M1372" t="s">
        <v>68</v>
      </c>
      <c r="N1372">
        <v>12</v>
      </c>
      <c r="O1372" s="3">
        <v>4.1666666666666664E-2</v>
      </c>
      <c r="P1372" t="s">
        <v>26</v>
      </c>
      <c r="Q1372" t="s">
        <v>401</v>
      </c>
      <c r="R1372" t="e">
        <f>IF([1]!Table13[[#This Row],[Goal_assist]]="",1,0)</f>
        <v>#REF!</v>
      </c>
    </row>
    <row r="1373" spans="1:18" x14ac:dyDescent="0.35">
      <c r="A1373" t="s">
        <v>64</v>
      </c>
      <c r="B1373" t="s">
        <v>382</v>
      </c>
      <c r="C1373" t="s">
        <v>390</v>
      </c>
      <c r="D1373">
        <v>30</v>
      </c>
      <c r="E1373" s="2">
        <v>44654</v>
      </c>
      <c r="F1373" t="s">
        <v>16</v>
      </c>
      <c r="G1373" t="s">
        <v>252</v>
      </c>
      <c r="H1373" t="s">
        <v>402</v>
      </c>
      <c r="I1373" s="3">
        <v>0.20902777777777778</v>
      </c>
      <c r="J1373" s="8" t="s">
        <v>448</v>
      </c>
      <c r="K1373" s="8" t="s">
        <v>444</v>
      </c>
      <c r="L1373" s="8" t="str">
        <f>IF(Table1346[[#This Row],[Home Team Score]]&gt;Table1346[[#This Row],[Away Team Score]],"Win",IF(Table1346[[#This Row],[Home Team Score]]=Table1346[[#This Row],[Away Team Score]],"Tie","Lose"))</f>
        <v>Win</v>
      </c>
      <c r="M1373" t="s">
        <v>38</v>
      </c>
      <c r="N1373">
        <v>73</v>
      </c>
      <c r="O1373" s="3">
        <v>0.1673611111111111</v>
      </c>
      <c r="P1373" t="s">
        <v>31</v>
      </c>
      <c r="Q1373" t="s">
        <v>386</v>
      </c>
      <c r="R1373" t="e">
        <f>IF([1]!Table13[[#This Row],[Goal_assist]]="",1,0)</f>
        <v>#REF!</v>
      </c>
    </row>
    <row r="1374" spans="1:18" x14ac:dyDescent="0.35">
      <c r="A1374" t="s">
        <v>14</v>
      </c>
      <c r="B1374" t="s">
        <v>382</v>
      </c>
      <c r="C1374" t="s">
        <v>35</v>
      </c>
      <c r="D1374">
        <v>33</v>
      </c>
      <c r="E1374" s="2">
        <v>44667</v>
      </c>
      <c r="F1374" t="s">
        <v>16</v>
      </c>
      <c r="G1374" t="s">
        <v>36</v>
      </c>
      <c r="H1374" t="s">
        <v>394</v>
      </c>
      <c r="I1374" s="3">
        <v>0.12638888888888888</v>
      </c>
      <c r="J1374" s="8" t="s">
        <v>442</v>
      </c>
      <c r="K1374" s="8" t="s">
        <v>445</v>
      </c>
      <c r="L1374" s="8" t="str">
        <f>IF(Table1346[[#This Row],[Home Team Score]]&gt;Table1346[[#This Row],[Away Team Score]],"Win",IF(Table1346[[#This Row],[Home Team Score]]=Table1346[[#This Row],[Away Team Score]],"Tie","Lose"))</f>
        <v>Win</v>
      </c>
      <c r="M1374" t="s">
        <v>68</v>
      </c>
      <c r="N1374">
        <v>7</v>
      </c>
      <c r="O1374" s="3">
        <v>4.1666666666666664E-2</v>
      </c>
      <c r="P1374" t="s">
        <v>26</v>
      </c>
      <c r="Q1374" t="s">
        <v>403</v>
      </c>
      <c r="R1374" t="e">
        <f>IF([1]!Table13[[#This Row],[Goal_assist]]="",1,0)</f>
        <v>#REF!</v>
      </c>
    </row>
    <row r="1375" spans="1:18" x14ac:dyDescent="0.35">
      <c r="A1375" t="s">
        <v>14</v>
      </c>
      <c r="B1375" t="s">
        <v>382</v>
      </c>
      <c r="C1375" t="s">
        <v>35</v>
      </c>
      <c r="D1375">
        <v>33</v>
      </c>
      <c r="E1375" s="2">
        <v>44667</v>
      </c>
      <c r="F1375" t="s">
        <v>16</v>
      </c>
      <c r="G1375" t="s">
        <v>36</v>
      </c>
      <c r="H1375" t="s">
        <v>394</v>
      </c>
      <c r="I1375" s="3">
        <v>0.12638888888888888</v>
      </c>
      <c r="J1375" s="8" t="s">
        <v>442</v>
      </c>
      <c r="K1375" s="8" t="s">
        <v>445</v>
      </c>
      <c r="L1375" s="8" t="str">
        <f>IF(Table1346[[#This Row],[Home Team Score]]&gt;Table1346[[#This Row],[Away Team Score]],"Win",IF(Table1346[[#This Row],[Home Team Score]]=Table1346[[#This Row],[Away Team Score]],"Tie","Lose"))</f>
        <v>Win</v>
      </c>
      <c r="M1375" t="s">
        <v>68</v>
      </c>
      <c r="N1375">
        <v>32</v>
      </c>
      <c r="O1375" s="3">
        <v>8.3333333333333329E-2</v>
      </c>
      <c r="P1375" t="s">
        <v>22</v>
      </c>
      <c r="Q1375" t="s">
        <v>399</v>
      </c>
      <c r="R1375" t="e">
        <f>IF([1]!Table13[[#This Row],[Goal_assist]]="",1,0)</f>
        <v>#REF!</v>
      </c>
    </row>
    <row r="1376" spans="1:18" x14ac:dyDescent="0.35">
      <c r="A1376" t="s">
        <v>14</v>
      </c>
      <c r="B1376" t="s">
        <v>382</v>
      </c>
      <c r="C1376" t="s">
        <v>35</v>
      </c>
      <c r="D1376">
        <v>33</v>
      </c>
      <c r="E1376" s="2">
        <v>44667</v>
      </c>
      <c r="F1376" t="s">
        <v>16</v>
      </c>
      <c r="G1376" t="s">
        <v>36</v>
      </c>
      <c r="H1376" t="s">
        <v>394</v>
      </c>
      <c r="I1376" s="3">
        <v>0.12638888888888888</v>
      </c>
      <c r="J1376" s="8" t="s">
        <v>442</v>
      </c>
      <c r="K1376" s="8" t="s">
        <v>445</v>
      </c>
      <c r="L1376" s="8" t="str">
        <f>IF(Table1346[[#This Row],[Home Team Score]]&gt;Table1346[[#This Row],[Away Team Score]],"Win",IF(Table1346[[#This Row],[Home Team Score]]=Table1346[[#This Row],[Away Team Score]],"Tie","Lose"))</f>
        <v>Win</v>
      </c>
      <c r="M1376" t="s">
        <v>68</v>
      </c>
      <c r="N1376">
        <v>76</v>
      </c>
      <c r="O1376" s="3">
        <v>0.12638888888888888</v>
      </c>
      <c r="P1376" t="s">
        <v>39</v>
      </c>
      <c r="R1376" t="e">
        <f>IF([1]!Table13[[#This Row],[Goal_assist]]="",1,0)</f>
        <v>#REF!</v>
      </c>
    </row>
    <row r="1377" spans="1:18" x14ac:dyDescent="0.35">
      <c r="A1377" t="s">
        <v>14</v>
      </c>
      <c r="B1377" t="s">
        <v>382</v>
      </c>
      <c r="C1377" t="s">
        <v>35</v>
      </c>
      <c r="D1377">
        <v>34</v>
      </c>
      <c r="E1377" s="2">
        <v>44674</v>
      </c>
      <c r="F1377" t="s">
        <v>24</v>
      </c>
      <c r="G1377" t="s">
        <v>36</v>
      </c>
      <c r="H1377" t="s">
        <v>54</v>
      </c>
      <c r="I1377" s="3">
        <v>0.12569444444444444</v>
      </c>
      <c r="J1377" s="8" t="s">
        <v>442</v>
      </c>
      <c r="K1377" s="8" t="s">
        <v>444</v>
      </c>
      <c r="L1377" s="8" t="str">
        <f>IF(Table1346[[#This Row],[Home Team Score]]&gt;Table1346[[#This Row],[Away Team Score]],"Win",IF(Table1346[[#This Row],[Home Team Score]]=Table1346[[#This Row],[Away Team Score]],"Tie","Lose"))</f>
        <v>Win</v>
      </c>
      <c r="M1377" t="s">
        <v>68</v>
      </c>
      <c r="N1377">
        <v>34</v>
      </c>
      <c r="O1377" s="3">
        <v>8.4027777777777785E-2</v>
      </c>
      <c r="P1377" t="s">
        <v>31</v>
      </c>
      <c r="Q1377" t="s">
        <v>404</v>
      </c>
      <c r="R1377" t="e">
        <f>IF([1]!Table13[[#This Row],[Goal_assist]]="",1,0)</f>
        <v>#REF!</v>
      </c>
    </row>
    <row r="1378" spans="1:18" x14ac:dyDescent="0.35">
      <c r="A1378" t="s">
        <v>64</v>
      </c>
      <c r="B1378" t="s">
        <v>382</v>
      </c>
      <c r="C1378" t="s">
        <v>390</v>
      </c>
      <c r="D1378">
        <v>34</v>
      </c>
      <c r="E1378" s="2">
        <v>44674</v>
      </c>
      <c r="F1378" t="s">
        <v>16</v>
      </c>
      <c r="G1378" t="s">
        <v>252</v>
      </c>
      <c r="H1378" t="s">
        <v>405</v>
      </c>
      <c r="I1378" s="3">
        <v>4.2361111111111113E-2</v>
      </c>
      <c r="J1378" s="8" t="s">
        <v>444</v>
      </c>
      <c r="K1378" s="8" t="s">
        <v>444</v>
      </c>
      <c r="L1378" s="8" t="str">
        <f>IF(Table1346[[#This Row],[Home Team Score]]&gt;Table1346[[#This Row],[Away Team Score]],"Win",IF(Table1346[[#This Row],[Home Team Score]]=Table1346[[#This Row],[Away Team Score]],"Tie","Lose"))</f>
        <v>Tie</v>
      </c>
      <c r="M1378" t="s">
        <v>38</v>
      </c>
      <c r="N1378">
        <v>68</v>
      </c>
      <c r="O1378" s="3">
        <v>4.1666666666666664E-2</v>
      </c>
      <c r="P1378" t="s">
        <v>31</v>
      </c>
      <c r="Q1378" t="s">
        <v>256</v>
      </c>
      <c r="R1378" t="e">
        <f>IF([1]!Table13[[#This Row],[Goal_assist]]="",1,0)</f>
        <v>#REF!</v>
      </c>
    </row>
    <row r="1379" spans="1:18" x14ac:dyDescent="0.35">
      <c r="A1379" t="s">
        <v>14</v>
      </c>
      <c r="B1379" t="s">
        <v>382</v>
      </c>
      <c r="C1379" t="s">
        <v>35</v>
      </c>
      <c r="D1379">
        <v>37</v>
      </c>
      <c r="E1379" s="2">
        <v>44679</v>
      </c>
      <c r="F1379" t="s">
        <v>16</v>
      </c>
      <c r="G1379" t="s">
        <v>36</v>
      </c>
      <c r="H1379" t="s">
        <v>149</v>
      </c>
      <c r="I1379" s="3">
        <v>4.2361111111111113E-2</v>
      </c>
      <c r="J1379" s="8" t="s">
        <v>444</v>
      </c>
      <c r="K1379" s="8" t="s">
        <v>444</v>
      </c>
      <c r="L1379" s="8" t="str">
        <f>IF(Table1346[[#This Row],[Home Team Score]]&gt;Table1346[[#This Row],[Away Team Score]],"Win",IF(Table1346[[#This Row],[Home Team Score]]=Table1346[[#This Row],[Away Team Score]],"Tie","Lose"))</f>
        <v>Tie</v>
      </c>
      <c r="M1379" t="s">
        <v>68</v>
      </c>
      <c r="N1379">
        <v>62</v>
      </c>
      <c r="O1379" s="3">
        <v>4.2361111111111113E-2</v>
      </c>
      <c r="P1379" t="s">
        <v>26</v>
      </c>
      <c r="Q1379" t="s">
        <v>404</v>
      </c>
      <c r="R1379" t="e">
        <f>IF([1]!Table13[[#This Row],[Goal_assist]]="",1,0)</f>
        <v>#REF!</v>
      </c>
    </row>
    <row r="1380" spans="1:18" x14ac:dyDescent="0.35">
      <c r="A1380" t="s">
        <v>14</v>
      </c>
      <c r="B1380" t="s">
        <v>382</v>
      </c>
      <c r="C1380" t="s">
        <v>35</v>
      </c>
      <c r="D1380">
        <v>35</v>
      </c>
      <c r="E1380" s="2">
        <v>44683</v>
      </c>
      <c r="F1380" t="s">
        <v>16</v>
      </c>
      <c r="G1380" t="s">
        <v>36</v>
      </c>
      <c r="H1380" t="s">
        <v>406</v>
      </c>
      <c r="I1380" s="3">
        <v>0.125</v>
      </c>
      <c r="J1380" s="8" t="s">
        <v>442</v>
      </c>
      <c r="K1380" s="8" t="s">
        <v>443</v>
      </c>
      <c r="L1380" s="8" t="str">
        <f>IF(Table1346[[#This Row],[Home Team Score]]&gt;Table1346[[#This Row],[Away Team Score]],"Win",IF(Table1346[[#This Row],[Home Team Score]]=Table1346[[#This Row],[Away Team Score]],"Tie","Lose"))</f>
        <v>Win</v>
      </c>
      <c r="M1380" t="s">
        <v>68</v>
      </c>
      <c r="N1380">
        <v>61</v>
      </c>
      <c r="O1380" s="3">
        <v>8.3333333333333329E-2</v>
      </c>
      <c r="P1380" t="s">
        <v>83</v>
      </c>
      <c r="R1380" t="e">
        <f>IF([1]!Table13[[#This Row],[Goal_assist]]="",1,0)</f>
        <v>#REF!</v>
      </c>
    </row>
    <row r="1381" spans="1:18" x14ac:dyDescent="0.35">
      <c r="A1381" t="s">
        <v>64</v>
      </c>
      <c r="B1381" t="s">
        <v>382</v>
      </c>
      <c r="C1381" t="s">
        <v>390</v>
      </c>
      <c r="D1381">
        <v>37</v>
      </c>
      <c r="E1381" s="2">
        <v>44695</v>
      </c>
      <c r="F1381" t="s">
        <v>24</v>
      </c>
      <c r="G1381" t="s">
        <v>252</v>
      </c>
      <c r="H1381" t="s">
        <v>407</v>
      </c>
      <c r="I1381" s="3">
        <v>2.7777777777777779E-3</v>
      </c>
      <c r="J1381" s="8" t="s">
        <v>443</v>
      </c>
      <c r="K1381" s="8" t="s">
        <v>446</v>
      </c>
      <c r="L1381" s="8" t="str">
        <f>IF(Table1346[[#This Row],[Home Team Score]]&gt;Table1346[[#This Row],[Away Team Score]],"Win",IF(Table1346[[#This Row],[Home Team Score]]=Table1346[[#This Row],[Away Team Score]],"Tie","Lose"))</f>
        <v>Lose</v>
      </c>
      <c r="M1381" t="s">
        <v>68</v>
      </c>
      <c r="N1381">
        <v>6</v>
      </c>
      <c r="O1381" s="3">
        <v>6.9444444444444447E-4</v>
      </c>
      <c r="P1381" t="s">
        <v>31</v>
      </c>
      <c r="Q1381" t="s">
        <v>408</v>
      </c>
      <c r="R1381" t="e">
        <f>IF([1]!Table13[[#This Row],[Goal_assist]]="",1,0)</f>
        <v>#REF!</v>
      </c>
    </row>
    <row r="1382" spans="1:18" x14ac:dyDescent="0.35">
      <c r="A1382" t="s">
        <v>64</v>
      </c>
      <c r="B1382" t="s">
        <v>382</v>
      </c>
      <c r="C1382" t="s">
        <v>390</v>
      </c>
      <c r="D1382">
        <v>37</v>
      </c>
      <c r="E1382" s="2">
        <v>44695</v>
      </c>
      <c r="F1382" t="s">
        <v>24</v>
      </c>
      <c r="G1382" t="s">
        <v>252</v>
      </c>
      <c r="H1382" t="s">
        <v>407</v>
      </c>
      <c r="I1382" s="3">
        <v>2.7777777777777779E-3</v>
      </c>
      <c r="J1382" s="8" t="s">
        <v>443</v>
      </c>
      <c r="K1382" s="8" t="s">
        <v>446</v>
      </c>
      <c r="L1382" s="8" t="str">
        <f>IF(Table1346[[#This Row],[Home Team Score]]&gt;Table1346[[#This Row],[Away Team Score]],"Win",IF(Table1346[[#This Row],[Home Team Score]]=Table1346[[#This Row],[Away Team Score]],"Tie","Lose"))</f>
        <v>Lose</v>
      </c>
      <c r="M1382" t="s">
        <v>68</v>
      </c>
      <c r="N1382">
        <v>20</v>
      </c>
      <c r="O1382" s="3">
        <v>1.3888888888888889E-3</v>
      </c>
      <c r="P1382" t="s">
        <v>31</v>
      </c>
      <c r="Q1382" t="s">
        <v>408</v>
      </c>
      <c r="R1382" t="e">
        <f>IF([1]!Table13[[#This Row],[Goal_assist]]="",1,0)</f>
        <v>#REF!</v>
      </c>
    </row>
    <row r="1383" spans="1:18" x14ac:dyDescent="0.35">
      <c r="A1383" t="s">
        <v>64</v>
      </c>
      <c r="B1383" t="s">
        <v>409</v>
      </c>
      <c r="C1383" t="s">
        <v>410</v>
      </c>
      <c r="D1383" t="s">
        <v>46</v>
      </c>
      <c r="E1383" s="2">
        <v>44773</v>
      </c>
      <c r="F1383" t="s">
        <v>16</v>
      </c>
      <c r="G1383" t="s">
        <v>252</v>
      </c>
      <c r="H1383" t="s">
        <v>391</v>
      </c>
      <c r="I1383" s="3">
        <v>0.16666666666666666</v>
      </c>
      <c r="J1383" s="8" t="s">
        <v>446</v>
      </c>
      <c r="K1383" s="8" t="s">
        <v>443</v>
      </c>
      <c r="L1383" s="8" t="str">
        <f>IF(Table1346[[#This Row],[Home Team Score]]&gt;Table1346[[#This Row],[Away Team Score]],"Win",IF(Table1346[[#This Row],[Home Team Score]]=Table1346[[#This Row],[Away Team Score]],"Tie","Lose"))</f>
        <v>Win</v>
      </c>
      <c r="M1383" t="s">
        <v>68</v>
      </c>
      <c r="N1383">
        <v>22</v>
      </c>
      <c r="O1383" s="3">
        <v>4.1666666666666664E-2</v>
      </c>
      <c r="P1383" t="s">
        <v>26</v>
      </c>
      <c r="R1383" t="e">
        <f>IF([1]!Table13[[#This Row],[Goal_assist]]="",1,0)</f>
        <v>#REF!</v>
      </c>
    </row>
    <row r="1384" spans="1:18" x14ac:dyDescent="0.35">
      <c r="A1384" t="s">
        <v>64</v>
      </c>
      <c r="B1384" t="s">
        <v>382</v>
      </c>
      <c r="C1384" t="s">
        <v>411</v>
      </c>
      <c r="D1384" t="s">
        <v>46</v>
      </c>
      <c r="E1384" s="2">
        <v>44773</v>
      </c>
      <c r="F1384" t="s">
        <v>16</v>
      </c>
      <c r="G1384" t="s">
        <v>252</v>
      </c>
      <c r="H1384" t="s">
        <v>391</v>
      </c>
      <c r="I1384" s="3">
        <v>0.16666666666666666</v>
      </c>
      <c r="J1384" s="8" t="s">
        <v>446</v>
      </c>
      <c r="K1384" s="8" t="s">
        <v>443</v>
      </c>
      <c r="L1384" s="8" t="str">
        <f>IF(Table1346[[#This Row],[Home Team Score]]&gt;Table1346[[#This Row],[Away Team Score]],"Win",IF(Table1346[[#This Row],[Home Team Score]]=Table1346[[#This Row],[Away Team Score]],"Tie","Lose"))</f>
        <v>Win</v>
      </c>
      <c r="M1384" t="s">
        <v>68</v>
      </c>
      <c r="N1384">
        <v>22</v>
      </c>
      <c r="O1384" s="3">
        <v>4.1666666666666664E-2</v>
      </c>
      <c r="P1384" t="s">
        <v>26</v>
      </c>
      <c r="R1384" t="e">
        <f>IF([1]!Table13[[#This Row],[Goal_assist]]="",1,0)</f>
        <v>#REF!</v>
      </c>
    </row>
    <row r="1385" spans="1:18" x14ac:dyDescent="0.35">
      <c r="A1385" t="s">
        <v>64</v>
      </c>
      <c r="B1385" t="s">
        <v>409</v>
      </c>
      <c r="C1385" t="s">
        <v>390</v>
      </c>
      <c r="D1385">
        <v>1</v>
      </c>
      <c r="E1385" s="2">
        <v>44779</v>
      </c>
      <c r="F1385" t="s">
        <v>24</v>
      </c>
      <c r="G1385" t="s">
        <v>252</v>
      </c>
      <c r="H1385" t="s">
        <v>412</v>
      </c>
      <c r="I1385" s="3">
        <v>3.472222222222222E-3</v>
      </c>
      <c r="J1385" s="8" t="s">
        <v>443</v>
      </c>
      <c r="K1385" s="8" t="s">
        <v>448</v>
      </c>
      <c r="L1385" s="8" t="str">
        <f>IF(Table1346[[#This Row],[Home Team Score]]&gt;Table1346[[#This Row],[Away Team Score]],"Win",IF(Table1346[[#This Row],[Home Team Score]]=Table1346[[#This Row],[Away Team Score]],"Tie","Lose"))</f>
        <v>Lose</v>
      </c>
      <c r="M1385" t="s">
        <v>68</v>
      </c>
      <c r="N1385">
        <v>80</v>
      </c>
      <c r="O1385" s="3">
        <v>2.7777777777777779E-3</v>
      </c>
      <c r="P1385" t="s">
        <v>31</v>
      </c>
      <c r="Q1385" t="s">
        <v>256</v>
      </c>
      <c r="R1385" t="e">
        <f>IF([1]!Table13[[#This Row],[Goal_assist]]="",1,0)</f>
        <v>#REF!</v>
      </c>
    </row>
    <row r="1386" spans="1:18" x14ac:dyDescent="0.35">
      <c r="A1386" t="s">
        <v>64</v>
      </c>
      <c r="B1386" t="s">
        <v>409</v>
      </c>
      <c r="C1386" t="s">
        <v>390</v>
      </c>
      <c r="D1386">
        <v>1</v>
      </c>
      <c r="E1386" s="2">
        <v>44779</v>
      </c>
      <c r="F1386" t="s">
        <v>24</v>
      </c>
      <c r="G1386" t="s">
        <v>252</v>
      </c>
      <c r="H1386" t="s">
        <v>412</v>
      </c>
      <c r="I1386" s="3">
        <v>3.472222222222222E-3</v>
      </c>
      <c r="J1386" s="8" t="s">
        <v>443</v>
      </c>
      <c r="K1386" s="8" t="s">
        <v>448</v>
      </c>
      <c r="L1386" s="8" t="str">
        <f>IF(Table1346[[#This Row],[Home Team Score]]&gt;Table1346[[#This Row],[Away Team Score]],"Win",IF(Table1346[[#This Row],[Home Team Score]]=Table1346[[#This Row],[Away Team Score]],"Tie","Lose"))</f>
        <v>Lose</v>
      </c>
      <c r="M1386" t="s">
        <v>68</v>
      </c>
      <c r="N1386">
        <v>86</v>
      </c>
      <c r="O1386" s="3">
        <v>3.472222222222222E-3</v>
      </c>
      <c r="P1386" t="s">
        <v>31</v>
      </c>
      <c r="Q1386" t="s">
        <v>413</v>
      </c>
      <c r="R1386" t="e">
        <f>IF([1]!Table13[[#This Row],[Goal_assist]]="",1,0)</f>
        <v>#REF!</v>
      </c>
    </row>
    <row r="1387" spans="1:18" x14ac:dyDescent="0.35">
      <c r="A1387" t="s">
        <v>64</v>
      </c>
      <c r="B1387" t="s">
        <v>382</v>
      </c>
      <c r="C1387" t="s">
        <v>390</v>
      </c>
      <c r="D1387">
        <v>1</v>
      </c>
      <c r="E1387" s="2">
        <v>44779</v>
      </c>
      <c r="F1387" t="s">
        <v>24</v>
      </c>
      <c r="G1387" t="s">
        <v>252</v>
      </c>
      <c r="H1387" t="s">
        <v>412</v>
      </c>
      <c r="I1387" s="3">
        <v>3.472222222222222E-3</v>
      </c>
      <c r="J1387" s="8" t="s">
        <v>443</v>
      </c>
      <c r="K1387" s="8" t="s">
        <v>448</v>
      </c>
      <c r="L1387" s="8" t="str">
        <f>IF(Table1346[[#This Row],[Home Team Score]]&gt;Table1346[[#This Row],[Away Team Score]],"Win",IF(Table1346[[#This Row],[Home Team Score]]=Table1346[[#This Row],[Away Team Score]],"Tie","Lose"))</f>
        <v>Lose</v>
      </c>
      <c r="M1387" t="s">
        <v>68</v>
      </c>
      <c r="N1387">
        <v>86</v>
      </c>
      <c r="O1387" s="3">
        <v>3.472222222222222E-3</v>
      </c>
      <c r="P1387" t="s">
        <v>31</v>
      </c>
      <c r="Q1387" t="s">
        <v>413</v>
      </c>
      <c r="R1387" t="e">
        <f>IF([1]!Table13[[#This Row],[Goal_assist]]="",1,0)</f>
        <v>#REF!</v>
      </c>
    </row>
    <row r="1388" spans="1:18" x14ac:dyDescent="0.35">
      <c r="A1388" t="s">
        <v>64</v>
      </c>
      <c r="B1388" t="s">
        <v>382</v>
      </c>
      <c r="C1388" t="s">
        <v>390</v>
      </c>
      <c r="D1388">
        <v>1</v>
      </c>
      <c r="E1388" s="2">
        <v>44779</v>
      </c>
      <c r="F1388" t="s">
        <v>24</v>
      </c>
      <c r="G1388" t="s">
        <v>252</v>
      </c>
      <c r="H1388" t="s">
        <v>412</v>
      </c>
      <c r="I1388" s="3">
        <v>3.472222222222222E-3</v>
      </c>
      <c r="J1388" s="8" t="s">
        <v>443</v>
      </c>
      <c r="K1388" s="8" t="s">
        <v>448</v>
      </c>
      <c r="L1388" s="8" t="str">
        <f>IF(Table1346[[#This Row],[Home Team Score]]&gt;Table1346[[#This Row],[Away Team Score]],"Win",IF(Table1346[[#This Row],[Home Team Score]]=Table1346[[#This Row],[Away Team Score]],"Tie","Lose"))</f>
        <v>Lose</v>
      </c>
      <c r="M1388" t="s">
        <v>68</v>
      </c>
      <c r="N1388">
        <v>80</v>
      </c>
      <c r="O1388" s="3">
        <v>2.7777777777777779E-3</v>
      </c>
      <c r="P1388" t="s">
        <v>31</v>
      </c>
      <c r="Q1388" t="s">
        <v>256</v>
      </c>
      <c r="R1388" t="e">
        <f>IF([1]!Table13[[#This Row],[Goal_assist]]="",1,0)</f>
        <v>#REF!</v>
      </c>
    </row>
    <row r="1389" spans="1:18" x14ac:dyDescent="0.35">
      <c r="A1389" t="s">
        <v>64</v>
      </c>
      <c r="B1389" t="s">
        <v>409</v>
      </c>
      <c r="C1389" t="s">
        <v>390</v>
      </c>
      <c r="D1389">
        <v>3</v>
      </c>
      <c r="E1389" s="2">
        <v>44794</v>
      </c>
      <c r="F1389" t="s">
        <v>24</v>
      </c>
      <c r="G1389" t="s">
        <v>252</v>
      </c>
      <c r="H1389" t="s">
        <v>396</v>
      </c>
      <c r="I1389" s="3">
        <v>4.6527777777777779E-2</v>
      </c>
      <c r="J1389" s="8" t="s">
        <v>444</v>
      </c>
      <c r="K1389" s="8" t="s">
        <v>449</v>
      </c>
      <c r="L1389" s="8" t="str">
        <f>IF(Table1346[[#This Row],[Home Team Score]]&gt;Table1346[[#This Row],[Away Team Score]],"Win",IF(Table1346[[#This Row],[Home Team Score]]=Table1346[[#This Row],[Away Team Score]],"Tie","Lose"))</f>
        <v>Lose</v>
      </c>
      <c r="M1389" t="s">
        <v>274</v>
      </c>
      <c r="N1389">
        <v>27</v>
      </c>
      <c r="O1389" s="3">
        <v>1.3888888888888889E-3</v>
      </c>
      <c r="P1389" t="s">
        <v>26</v>
      </c>
      <c r="Q1389" t="s">
        <v>414</v>
      </c>
      <c r="R1389" t="e">
        <f>IF([1]!Table13[[#This Row],[Goal_assist]]="",1,0)</f>
        <v>#REF!</v>
      </c>
    </row>
    <row r="1390" spans="1:18" x14ac:dyDescent="0.35">
      <c r="A1390" t="s">
        <v>64</v>
      </c>
      <c r="B1390" t="s">
        <v>409</v>
      </c>
      <c r="C1390" t="s">
        <v>415</v>
      </c>
      <c r="D1390" t="s">
        <v>76</v>
      </c>
      <c r="E1390" s="2">
        <v>44818</v>
      </c>
      <c r="F1390" t="s">
        <v>24</v>
      </c>
      <c r="G1390" t="s">
        <v>252</v>
      </c>
      <c r="H1390" t="s">
        <v>416</v>
      </c>
      <c r="I1390" s="3">
        <v>4.3749999999999997E-2</v>
      </c>
      <c r="J1390" s="8" t="s">
        <v>444</v>
      </c>
      <c r="K1390" s="8" t="s">
        <v>442</v>
      </c>
      <c r="L1390" s="8" t="str">
        <f>IF(Table1346[[#This Row],[Home Team Score]]&gt;Table1346[[#This Row],[Away Team Score]],"Win",IF(Table1346[[#This Row],[Home Team Score]]=Table1346[[#This Row],[Away Team Score]],"Tie","Lose"))</f>
        <v>Lose</v>
      </c>
      <c r="M1390" t="s">
        <v>230</v>
      </c>
      <c r="N1390">
        <v>37</v>
      </c>
      <c r="O1390" s="3">
        <v>4.2361111111111113E-2</v>
      </c>
      <c r="P1390" t="s">
        <v>31</v>
      </c>
      <c r="R1390" t="e">
        <f>IF([1]!Table13[[#This Row],[Goal_assist]]="",1,0)</f>
        <v>#REF!</v>
      </c>
    </row>
    <row r="1391" spans="1:18" x14ac:dyDescent="0.35">
      <c r="A1391" t="s">
        <v>14</v>
      </c>
      <c r="B1391" t="s">
        <v>409</v>
      </c>
      <c r="C1391" t="s">
        <v>417</v>
      </c>
      <c r="D1391" t="s">
        <v>76</v>
      </c>
      <c r="E1391" s="2">
        <v>44819</v>
      </c>
      <c r="F1391" t="s">
        <v>24</v>
      </c>
      <c r="G1391" t="s">
        <v>36</v>
      </c>
      <c r="H1391" t="s">
        <v>418</v>
      </c>
      <c r="I1391" s="3">
        <v>1.3888888888888889E-3</v>
      </c>
      <c r="J1391" s="8" t="s">
        <v>443</v>
      </c>
      <c r="K1391" s="8" t="s">
        <v>445</v>
      </c>
      <c r="L1391" s="8" t="str">
        <f>IF(Table1346[[#This Row],[Home Team Score]]&gt;Table1346[[#This Row],[Away Team Score]],"Win",IF(Table1346[[#This Row],[Home Team Score]]=Table1346[[#This Row],[Away Team Score]],"Tie","Lose"))</f>
        <v>Lose</v>
      </c>
      <c r="M1391" t="s">
        <v>68</v>
      </c>
      <c r="N1391">
        <v>39</v>
      </c>
      <c r="O1391" s="3">
        <v>1.3888888888888889E-3</v>
      </c>
      <c r="P1391" t="s">
        <v>83</v>
      </c>
      <c r="R1391" t="e">
        <f>IF([1]!Table13[[#This Row],[Goal_assist]]="",1,0)</f>
        <v>#REF!</v>
      </c>
    </row>
    <row r="1392" spans="1:18" x14ac:dyDescent="0.35">
      <c r="A1392" t="s">
        <v>64</v>
      </c>
      <c r="B1392" t="s">
        <v>409</v>
      </c>
      <c r="C1392" t="s">
        <v>390</v>
      </c>
      <c r="D1392">
        <v>8</v>
      </c>
      <c r="E1392" s="2">
        <v>44822</v>
      </c>
      <c r="F1392" t="s">
        <v>24</v>
      </c>
      <c r="G1392" t="s">
        <v>252</v>
      </c>
      <c r="H1392" t="s">
        <v>125</v>
      </c>
      <c r="I1392" s="3">
        <v>6.9444444444444447E-4</v>
      </c>
      <c r="J1392" s="8" t="s">
        <v>443</v>
      </c>
      <c r="K1392" s="8" t="s">
        <v>444</v>
      </c>
      <c r="L1392" s="8" t="str">
        <f>IF(Table1346[[#This Row],[Home Team Score]]&gt;Table1346[[#This Row],[Away Team Score]],"Win",IF(Table1346[[#This Row],[Home Team Score]]=Table1346[[#This Row],[Away Team Score]],"Tie","Lose"))</f>
        <v>Lose</v>
      </c>
      <c r="M1392" t="s">
        <v>274</v>
      </c>
      <c r="N1392">
        <v>5</v>
      </c>
      <c r="O1392" s="3">
        <v>6.9444444444444447E-4</v>
      </c>
      <c r="P1392" t="s">
        <v>31</v>
      </c>
      <c r="Q1392" t="s">
        <v>256</v>
      </c>
      <c r="R1392" t="e">
        <f>IF([1]!Table13[[#This Row],[Goal_assist]]="",1,0)</f>
        <v>#REF!</v>
      </c>
    </row>
    <row r="1393" spans="1:18" x14ac:dyDescent="0.35">
      <c r="A1393" t="s">
        <v>64</v>
      </c>
      <c r="B1393" t="s">
        <v>409</v>
      </c>
      <c r="C1393" t="s">
        <v>390</v>
      </c>
      <c r="D1393">
        <v>9</v>
      </c>
      <c r="E1393" s="2">
        <v>44835</v>
      </c>
      <c r="F1393" t="s">
        <v>16</v>
      </c>
      <c r="G1393" t="s">
        <v>252</v>
      </c>
      <c r="H1393" t="s">
        <v>419</v>
      </c>
      <c r="I1393" s="3">
        <v>8.4027777777777785E-2</v>
      </c>
      <c r="J1393" s="8" t="s">
        <v>445</v>
      </c>
      <c r="K1393" s="8" t="s">
        <v>444</v>
      </c>
      <c r="L1393" s="8" t="str">
        <f>IF(Table1346[[#This Row],[Home Team Score]]&gt;Table1346[[#This Row],[Away Team Score]],"Win",IF(Table1346[[#This Row],[Home Team Score]]=Table1346[[#This Row],[Away Team Score]],"Tie","Lose"))</f>
        <v>Win</v>
      </c>
      <c r="M1393" t="s">
        <v>274</v>
      </c>
      <c r="N1393">
        <v>28</v>
      </c>
      <c r="O1393" s="3">
        <v>4.1666666666666664E-2</v>
      </c>
      <c r="P1393" t="s">
        <v>39</v>
      </c>
      <c r="R1393" t="e">
        <f>IF([1]!Table13[[#This Row],[Goal_assist]]="",1,0)</f>
        <v>#REF!</v>
      </c>
    </row>
    <row r="1394" spans="1:18" x14ac:dyDescent="0.35">
      <c r="A1394" t="s">
        <v>64</v>
      </c>
      <c r="B1394" t="s">
        <v>409</v>
      </c>
      <c r="C1394" t="s">
        <v>75</v>
      </c>
      <c r="D1394" t="s">
        <v>76</v>
      </c>
      <c r="E1394" s="2">
        <v>44839</v>
      </c>
      <c r="F1394" t="s">
        <v>24</v>
      </c>
      <c r="G1394" t="s">
        <v>252</v>
      </c>
      <c r="H1394" t="s">
        <v>420</v>
      </c>
      <c r="I1394" s="3">
        <v>4.2361111111111113E-2</v>
      </c>
      <c r="J1394" s="8" t="s">
        <v>444</v>
      </c>
      <c r="K1394" s="8" t="s">
        <v>444</v>
      </c>
      <c r="L1394" s="8" t="str">
        <f>IF(Table1346[[#This Row],[Home Team Score]]&gt;Table1346[[#This Row],[Away Team Score]],"Win",IF(Table1346[[#This Row],[Home Team Score]]=Table1346[[#This Row],[Away Team Score]],"Tie","Lose"))</f>
        <v>Tie</v>
      </c>
      <c r="M1394" t="s">
        <v>274</v>
      </c>
      <c r="N1394">
        <v>22</v>
      </c>
      <c r="O1394" s="3">
        <v>6.9444444444444447E-4</v>
      </c>
      <c r="P1394" t="s">
        <v>31</v>
      </c>
      <c r="Q1394" t="s">
        <v>256</v>
      </c>
      <c r="R1394" t="e">
        <f>IF([1]!Table13[[#This Row],[Goal_assist]]="",1,0)</f>
        <v>#REF!</v>
      </c>
    </row>
    <row r="1395" spans="1:18" x14ac:dyDescent="0.35">
      <c r="A1395" t="s">
        <v>14</v>
      </c>
      <c r="B1395" t="s">
        <v>409</v>
      </c>
      <c r="C1395" t="s">
        <v>35</v>
      </c>
      <c r="D1395">
        <v>10</v>
      </c>
      <c r="E1395" s="2">
        <v>44843</v>
      </c>
      <c r="F1395" t="s">
        <v>24</v>
      </c>
      <c r="G1395" t="s">
        <v>36</v>
      </c>
      <c r="H1395" t="s">
        <v>56</v>
      </c>
      <c r="I1395" s="3">
        <v>4.3055555555555555E-2</v>
      </c>
      <c r="J1395" s="8" t="s">
        <v>444</v>
      </c>
      <c r="K1395" s="8" t="s">
        <v>445</v>
      </c>
      <c r="L1395" s="8" t="str">
        <f>IF(Table1346[[#This Row],[Home Team Score]]&gt;Table1346[[#This Row],[Away Team Score]],"Win",IF(Table1346[[#This Row],[Home Team Score]]=Table1346[[#This Row],[Away Team Score]],"Tie","Lose"))</f>
        <v>Lose</v>
      </c>
      <c r="M1395" t="str">
        <f>M1394</f>
        <v>AM</v>
      </c>
      <c r="N1395">
        <v>44</v>
      </c>
      <c r="O1395" s="3">
        <v>4.3055555555555555E-2</v>
      </c>
      <c r="P1395" t="s">
        <v>162</v>
      </c>
      <c r="Q1395" t="s">
        <v>304</v>
      </c>
      <c r="R1395" t="e">
        <f>IF([1]!Table13[[#This Row],[Goal_assist]]="",1,0)</f>
        <v>#REF!</v>
      </c>
    </row>
    <row r="1396" spans="1:18" x14ac:dyDescent="0.35">
      <c r="A1396" t="s">
        <v>64</v>
      </c>
      <c r="B1396" t="s">
        <v>409</v>
      </c>
      <c r="C1396" t="s">
        <v>390</v>
      </c>
      <c r="D1396">
        <v>12</v>
      </c>
      <c r="E1396" s="2">
        <v>44855</v>
      </c>
      <c r="F1396" t="s">
        <v>24</v>
      </c>
      <c r="G1396" t="s">
        <v>252</v>
      </c>
      <c r="H1396" t="s">
        <v>421</v>
      </c>
      <c r="I1396" s="3">
        <v>2.0833333333333333E-3</v>
      </c>
      <c r="J1396" s="8" t="s">
        <v>443</v>
      </c>
      <c r="K1396" s="8" t="s">
        <v>442</v>
      </c>
      <c r="L1396" s="8" t="str">
        <f>IF(Table1346[[#This Row],[Home Team Score]]&gt;Table1346[[#This Row],[Away Team Score]],"Win",IF(Table1346[[#This Row],[Home Team Score]]=Table1346[[#This Row],[Away Team Score]],"Tie","Lose"))</f>
        <v>Lose</v>
      </c>
      <c r="M1396" t="s">
        <v>68</v>
      </c>
      <c r="N1396">
        <v>78</v>
      </c>
      <c r="O1396" s="3">
        <v>1.3888888888888889E-3</v>
      </c>
      <c r="P1396" t="s">
        <v>31</v>
      </c>
      <c r="Q1396" t="s">
        <v>386</v>
      </c>
      <c r="R1396" t="e">
        <f>IF([1]!Table13[[#This Row],[Goal_assist]]="",1,0)</f>
        <v>#REF!</v>
      </c>
    </row>
    <row r="1397" spans="1:18" x14ac:dyDescent="0.35">
      <c r="A1397" t="s">
        <v>64</v>
      </c>
      <c r="B1397" t="s">
        <v>409</v>
      </c>
      <c r="C1397" t="s">
        <v>75</v>
      </c>
      <c r="D1397" t="s">
        <v>76</v>
      </c>
      <c r="E1397" s="2">
        <v>44859</v>
      </c>
      <c r="F1397" t="s">
        <v>16</v>
      </c>
      <c r="G1397" t="s">
        <v>252</v>
      </c>
      <c r="H1397" t="s">
        <v>416</v>
      </c>
      <c r="I1397" s="3">
        <v>0.29305555555555557</v>
      </c>
      <c r="J1397" s="8" t="s">
        <v>449</v>
      </c>
      <c r="K1397" s="8" t="s">
        <v>445</v>
      </c>
      <c r="L1397" s="8" t="str">
        <f>IF(Table1346[[#This Row],[Home Team Score]]&gt;Table1346[[#This Row],[Away Team Score]],"Win",IF(Table1346[[#This Row],[Home Team Score]]=Table1346[[#This Row],[Away Team Score]],"Tie","Lose"))</f>
        <v>Win</v>
      </c>
      <c r="M1397" t="s">
        <v>230</v>
      </c>
      <c r="N1397">
        <v>44</v>
      </c>
      <c r="O1397" s="3">
        <v>0.1673611111111111</v>
      </c>
      <c r="P1397" t="s">
        <v>31</v>
      </c>
      <c r="Q1397" t="s">
        <v>386</v>
      </c>
      <c r="R1397" t="e">
        <f>IF([1]!Table13[[#This Row],[Goal_assist]]="",1,0)</f>
        <v>#REF!</v>
      </c>
    </row>
    <row r="1398" spans="1:18" x14ac:dyDescent="0.35">
      <c r="A1398" t="s">
        <v>64</v>
      </c>
      <c r="B1398" t="s">
        <v>409</v>
      </c>
      <c r="C1398" t="s">
        <v>75</v>
      </c>
      <c r="D1398" t="s">
        <v>76</v>
      </c>
      <c r="E1398" s="2">
        <v>44859</v>
      </c>
      <c r="F1398" t="s">
        <v>16</v>
      </c>
      <c r="G1398" t="s">
        <v>252</v>
      </c>
      <c r="H1398" t="s">
        <v>416</v>
      </c>
      <c r="I1398" s="3">
        <v>0.29305555555555557</v>
      </c>
      <c r="J1398" s="8" t="s">
        <v>449</v>
      </c>
      <c r="K1398" s="8" t="s">
        <v>445</v>
      </c>
      <c r="L1398" s="8" t="str">
        <f>IF(Table1346[[#This Row],[Home Team Score]]&gt;Table1346[[#This Row],[Away Team Score]],"Win",IF(Table1346[[#This Row],[Home Team Score]]=Table1346[[#This Row],[Away Team Score]],"Tie","Lose"))</f>
        <v>Win</v>
      </c>
      <c r="M1398" t="s">
        <v>230</v>
      </c>
      <c r="N1398">
        <v>19</v>
      </c>
      <c r="O1398" s="3">
        <v>4.1666666666666664E-2</v>
      </c>
      <c r="P1398" t="s">
        <v>31</v>
      </c>
      <c r="Q1398" t="s">
        <v>386</v>
      </c>
      <c r="R1398" t="e">
        <f>IF([1]!Table13[[#This Row],[Goal_assist]]="",1,0)</f>
        <v>#REF!</v>
      </c>
    </row>
    <row r="1399" spans="1:18" x14ac:dyDescent="0.35">
      <c r="A1399" t="s">
        <v>14</v>
      </c>
      <c r="B1399" t="s">
        <v>409</v>
      </c>
      <c r="C1399" t="s">
        <v>417</v>
      </c>
      <c r="D1399" t="s">
        <v>76</v>
      </c>
      <c r="E1399" s="2">
        <v>44861</v>
      </c>
      <c r="F1399" t="s">
        <v>16</v>
      </c>
      <c r="G1399" t="s">
        <v>36</v>
      </c>
      <c r="H1399" t="s">
        <v>418</v>
      </c>
      <c r="I1399" s="3">
        <v>0.125</v>
      </c>
      <c r="J1399" s="8" t="s">
        <v>442</v>
      </c>
      <c r="K1399" s="8" t="s">
        <v>443</v>
      </c>
      <c r="L1399" s="8" t="str">
        <f>IF(Table1346[[#This Row],[Home Team Score]]&gt;Table1346[[#This Row],[Away Team Score]],"Win",IF(Table1346[[#This Row],[Home Team Score]]=Table1346[[#This Row],[Away Team Score]],"Tie","Lose"))</f>
        <v>Win</v>
      </c>
      <c r="M1399" t="s">
        <v>68</v>
      </c>
      <c r="N1399">
        <v>81</v>
      </c>
      <c r="O1399" s="3">
        <v>0.125</v>
      </c>
      <c r="P1399" t="s">
        <v>31</v>
      </c>
      <c r="R1399" t="e">
        <f>IF([1]!Table13[[#This Row],[Goal_assist]]="",1,0)</f>
        <v>#REF!</v>
      </c>
    </row>
    <row r="1400" spans="1:18" x14ac:dyDescent="0.35">
      <c r="A1400" t="s">
        <v>64</v>
      </c>
      <c r="B1400" t="s">
        <v>409</v>
      </c>
      <c r="C1400" t="s">
        <v>390</v>
      </c>
      <c r="D1400">
        <v>13</v>
      </c>
      <c r="E1400" s="2">
        <v>44863</v>
      </c>
      <c r="F1400" t="s">
        <v>16</v>
      </c>
      <c r="G1400" t="s">
        <v>252</v>
      </c>
      <c r="H1400" t="s">
        <v>422</v>
      </c>
      <c r="I1400" s="3">
        <v>0.16875000000000001</v>
      </c>
      <c r="J1400" s="8" t="s">
        <v>446</v>
      </c>
      <c r="K1400" s="8" t="s">
        <v>442</v>
      </c>
      <c r="L1400" s="8" t="str">
        <f>IF(Table1346[[#This Row],[Home Team Score]]&gt;Table1346[[#This Row],[Away Team Score]],"Win",IF(Table1346[[#This Row],[Home Team Score]]=Table1346[[#This Row],[Away Team Score]],"Tie","Lose"))</f>
        <v>Win</v>
      </c>
      <c r="M1400" t="s">
        <v>38</v>
      </c>
      <c r="N1400">
        <v>55</v>
      </c>
      <c r="O1400" s="3">
        <v>8.4722222222222227E-2</v>
      </c>
      <c r="P1400" t="s">
        <v>31</v>
      </c>
      <c r="Q1400" t="s">
        <v>202</v>
      </c>
      <c r="R1400" t="e">
        <f>IF([1]!Table13[[#This Row],[Goal_assist]]="",1,0)</f>
        <v>#REF!</v>
      </c>
    </row>
    <row r="1401" spans="1:18" x14ac:dyDescent="0.35">
      <c r="A1401" t="s">
        <v>64</v>
      </c>
      <c r="B1401" t="s">
        <v>409</v>
      </c>
      <c r="C1401" t="s">
        <v>390</v>
      </c>
      <c r="D1401">
        <v>21</v>
      </c>
      <c r="E1401" s="2">
        <v>44958</v>
      </c>
      <c r="F1401" t="s">
        <v>24</v>
      </c>
      <c r="G1401" t="s">
        <v>252</v>
      </c>
      <c r="H1401" t="s">
        <v>423</v>
      </c>
      <c r="I1401" s="3">
        <v>4.3749999999999997E-2</v>
      </c>
      <c r="J1401" s="8" t="s">
        <v>444</v>
      </c>
      <c r="K1401" s="8" t="s">
        <v>442</v>
      </c>
      <c r="L1401" s="8" t="str">
        <f>IF(Table1346[[#This Row],[Home Team Score]]&gt;Table1346[[#This Row],[Away Team Score]],"Win",IF(Table1346[[#This Row],[Home Team Score]]=Table1346[[#This Row],[Away Team Score]],"Tie","Lose"))</f>
        <v>Lose</v>
      </c>
      <c r="M1401" t="s">
        <v>230</v>
      </c>
      <c r="N1401">
        <v>72</v>
      </c>
      <c r="O1401" s="3">
        <v>1.3888888888888889E-3</v>
      </c>
      <c r="P1401" t="s">
        <v>31</v>
      </c>
      <c r="Q1401" t="s">
        <v>424</v>
      </c>
      <c r="R1401" t="e">
        <f>IF([1]!Table13[[#This Row],[Goal_assist]]="",1,0)</f>
        <v>#REF!</v>
      </c>
    </row>
    <row r="1402" spans="1:18" x14ac:dyDescent="0.35">
      <c r="A1402" t="s">
        <v>14</v>
      </c>
      <c r="B1402" t="s">
        <v>409</v>
      </c>
      <c r="C1402" t="s">
        <v>425</v>
      </c>
      <c r="D1402">
        <v>15</v>
      </c>
      <c r="E1402" s="2">
        <v>44960</v>
      </c>
      <c r="F1402" t="s">
        <v>24</v>
      </c>
      <c r="G1402" t="s">
        <v>426</v>
      </c>
      <c r="H1402" t="s">
        <v>427</v>
      </c>
      <c r="I1402" s="3">
        <v>8.4722222222222227E-2</v>
      </c>
      <c r="J1402" s="8" t="s">
        <v>445</v>
      </c>
      <c r="K1402" s="8" t="s">
        <v>445</v>
      </c>
      <c r="L1402" s="8" t="str">
        <f>IF(Table1346[[#This Row],[Home Team Score]]&gt;Table1346[[#This Row],[Away Team Score]],"Win",IF(Table1346[[#This Row],[Home Team Score]]=Table1346[[#This Row],[Away Team Score]],"Tie","Lose"))</f>
        <v>Tie</v>
      </c>
      <c r="M1402" t="s">
        <v>68</v>
      </c>
      <c r="N1402" t="s">
        <v>136</v>
      </c>
      <c r="O1402" s="3">
        <v>8.4722222222222227E-2</v>
      </c>
      <c r="P1402" t="s">
        <v>83</v>
      </c>
      <c r="R1402" t="e">
        <f>IF([1]!Table13[[#This Row],[Goal_assist]]="",1,0)</f>
        <v>#REF!</v>
      </c>
    </row>
    <row r="1403" spans="1:18" x14ac:dyDescent="0.35">
      <c r="A1403" t="s">
        <v>64</v>
      </c>
      <c r="B1403" t="s">
        <v>409</v>
      </c>
      <c r="C1403" t="s">
        <v>390</v>
      </c>
      <c r="D1403">
        <v>22</v>
      </c>
      <c r="E1403" s="2">
        <v>44961</v>
      </c>
      <c r="F1403" t="s">
        <v>16</v>
      </c>
      <c r="G1403" t="s">
        <v>252</v>
      </c>
      <c r="H1403" t="s">
        <v>428</v>
      </c>
      <c r="I1403" s="3">
        <v>8.4027777777777785E-2</v>
      </c>
      <c r="J1403" s="8" t="s">
        <v>445</v>
      </c>
      <c r="K1403" s="8" t="s">
        <v>444</v>
      </c>
      <c r="L1403" s="8" t="str">
        <f>IF(Table1346[[#This Row],[Home Team Score]]&gt;Table1346[[#This Row],[Away Team Score]],"Win",IF(Table1346[[#This Row],[Home Team Score]]=Table1346[[#This Row],[Away Team Score]],"Tie","Lose"))</f>
        <v>Win</v>
      </c>
      <c r="M1403" t="s">
        <v>230</v>
      </c>
      <c r="N1403">
        <v>58</v>
      </c>
      <c r="O1403" s="3">
        <v>8.4027777777777785E-2</v>
      </c>
      <c r="P1403" t="s">
        <v>31</v>
      </c>
      <c r="Q1403" t="s">
        <v>429</v>
      </c>
      <c r="R1403" t="e">
        <f>IF([1]!Table13[[#This Row],[Goal_assist]]="",1,0)</f>
        <v>#REF!</v>
      </c>
    </row>
    <row r="1404" spans="1:18" x14ac:dyDescent="0.35">
      <c r="A1404" t="s">
        <v>14</v>
      </c>
      <c r="B1404" t="s">
        <v>409</v>
      </c>
      <c r="C1404" t="s">
        <v>425</v>
      </c>
      <c r="D1404">
        <v>16</v>
      </c>
      <c r="E1404" s="2">
        <v>44966</v>
      </c>
      <c r="F1404" t="s">
        <v>24</v>
      </c>
      <c r="G1404" t="s">
        <v>426</v>
      </c>
      <c r="H1404" t="s">
        <v>430</v>
      </c>
      <c r="I1404" s="3">
        <v>2.7777777777777779E-3</v>
      </c>
      <c r="J1404" s="8" t="s">
        <v>443</v>
      </c>
      <c r="K1404" s="8" t="s">
        <v>446</v>
      </c>
      <c r="L1404" s="8" t="str">
        <f>IF(Table1346[[#This Row],[Home Team Score]]&gt;Table1346[[#This Row],[Away Team Score]],"Win",IF(Table1346[[#This Row],[Home Team Score]]=Table1346[[#This Row],[Away Team Score]],"Tie","Lose"))</f>
        <v>Lose</v>
      </c>
      <c r="M1404" t="s">
        <v>68</v>
      </c>
      <c r="N1404">
        <v>61</v>
      </c>
      <c r="O1404" s="3">
        <v>2.7777777777777779E-3</v>
      </c>
      <c r="P1404" t="s">
        <v>26</v>
      </c>
      <c r="R1404" t="e">
        <f>IF([1]!Table13[[#This Row],[Goal_assist]]="",1,0)</f>
        <v>#REF!</v>
      </c>
    </row>
    <row r="1405" spans="1:18" x14ac:dyDescent="0.35">
      <c r="A1405" t="s">
        <v>14</v>
      </c>
      <c r="B1405" t="s">
        <v>409</v>
      </c>
      <c r="C1405" t="s">
        <v>425</v>
      </c>
      <c r="D1405">
        <v>16</v>
      </c>
      <c r="E1405" s="2">
        <v>44966</v>
      </c>
      <c r="F1405" t="s">
        <v>24</v>
      </c>
      <c r="G1405" t="s">
        <v>426</v>
      </c>
      <c r="H1405" t="s">
        <v>430</v>
      </c>
      <c r="I1405" s="3">
        <v>2.7777777777777779E-3</v>
      </c>
      <c r="J1405" s="8" t="s">
        <v>443</v>
      </c>
      <c r="K1405" s="8" t="s">
        <v>446</v>
      </c>
      <c r="L1405" s="8" t="str">
        <f>IF(Table1346[[#This Row],[Home Team Score]]&gt;Table1346[[#This Row],[Away Team Score]],"Win",IF(Table1346[[#This Row],[Home Team Score]]=Table1346[[#This Row],[Away Team Score]],"Tie","Lose"))</f>
        <v>Lose</v>
      </c>
      <c r="M1405" t="s">
        <v>68</v>
      </c>
      <c r="N1405">
        <v>53</v>
      </c>
      <c r="O1405" s="3">
        <v>2.0833333333333333E-3</v>
      </c>
      <c r="P1405" t="s">
        <v>83</v>
      </c>
      <c r="R1405" t="e">
        <f>IF([1]!Table13[[#This Row],[Goal_assist]]="",1,0)</f>
        <v>#REF!</v>
      </c>
    </row>
    <row r="1406" spans="1:18" x14ac:dyDescent="0.35">
      <c r="A1406" t="s">
        <v>14</v>
      </c>
      <c r="B1406" t="s">
        <v>409</v>
      </c>
      <c r="C1406" t="s">
        <v>425</v>
      </c>
      <c r="D1406">
        <v>16</v>
      </c>
      <c r="E1406" s="2">
        <v>44966</v>
      </c>
      <c r="F1406" t="s">
        <v>24</v>
      </c>
      <c r="G1406" t="s">
        <v>426</v>
      </c>
      <c r="H1406" t="s">
        <v>430</v>
      </c>
      <c r="I1406" s="3">
        <v>2.7777777777777779E-3</v>
      </c>
      <c r="J1406" s="8" t="s">
        <v>443</v>
      </c>
      <c r="K1406" s="8" t="s">
        <v>446</v>
      </c>
      <c r="L1406" s="8" t="str">
        <f>IF(Table1346[[#This Row],[Home Team Score]]&gt;Table1346[[#This Row],[Away Team Score]],"Win",IF(Table1346[[#This Row],[Home Team Score]]=Table1346[[#This Row],[Away Team Score]],"Tie","Lose"))</f>
        <v>Lose</v>
      </c>
      <c r="M1406" t="s">
        <v>68</v>
      </c>
      <c r="N1406">
        <v>21</v>
      </c>
      <c r="O1406" s="3">
        <v>6.9444444444444447E-4</v>
      </c>
      <c r="P1406" t="s">
        <v>31</v>
      </c>
      <c r="Q1406" t="s">
        <v>431</v>
      </c>
      <c r="R1406" t="e">
        <f>IF([1]!Table13[[#This Row],[Goal_assist]]="",1,0)</f>
        <v>#REF!</v>
      </c>
    </row>
    <row r="1407" spans="1:18" x14ac:dyDescent="0.35">
      <c r="A1407" t="s">
        <v>14</v>
      </c>
      <c r="B1407" t="s">
        <v>409</v>
      </c>
      <c r="C1407" t="s">
        <v>425</v>
      </c>
      <c r="D1407">
        <v>16</v>
      </c>
      <c r="E1407" s="2">
        <v>44966</v>
      </c>
      <c r="F1407" t="s">
        <v>24</v>
      </c>
      <c r="G1407" t="s">
        <v>426</v>
      </c>
      <c r="H1407" t="s">
        <v>430</v>
      </c>
      <c r="I1407" s="3">
        <v>2.7777777777777779E-3</v>
      </c>
      <c r="J1407" s="8" t="s">
        <v>443</v>
      </c>
      <c r="K1407" s="8" t="s">
        <v>446</v>
      </c>
      <c r="L1407" s="8" t="str">
        <f>IF(Table1346[[#This Row],[Home Team Score]]&gt;Table1346[[#This Row],[Away Team Score]],"Win",IF(Table1346[[#This Row],[Home Team Score]]=Table1346[[#This Row],[Away Team Score]],"Tie","Lose"))</f>
        <v>Lose</v>
      </c>
      <c r="M1407" t="s">
        <v>68</v>
      </c>
      <c r="N1407">
        <v>40</v>
      </c>
      <c r="O1407" s="3">
        <v>1.3888888888888889E-3</v>
      </c>
      <c r="P1407" t="s">
        <v>26</v>
      </c>
      <c r="Q1407" t="s">
        <v>432</v>
      </c>
      <c r="R1407" t="e">
        <f>IF([1]!Table13[[#This Row],[Goal_assist]]="",1,0)</f>
        <v>#REF!</v>
      </c>
    </row>
    <row r="1408" spans="1:18" x14ac:dyDescent="0.35">
      <c r="A1408" t="s">
        <v>64</v>
      </c>
      <c r="B1408" t="s">
        <v>409</v>
      </c>
      <c r="C1408" t="s">
        <v>390</v>
      </c>
      <c r="D1408">
        <v>24</v>
      </c>
      <c r="E1408" s="2">
        <v>44976</v>
      </c>
      <c r="F1408" t="s">
        <v>16</v>
      </c>
      <c r="G1408" t="s">
        <v>252</v>
      </c>
      <c r="H1408" t="s">
        <v>396</v>
      </c>
      <c r="I1408" s="3">
        <v>0.16875000000000001</v>
      </c>
      <c r="J1408" s="8" t="s">
        <v>446</v>
      </c>
      <c r="K1408" s="8" t="s">
        <v>442</v>
      </c>
      <c r="L1408" s="8" t="str">
        <f>IF(Table1346[[#This Row],[Home Team Score]]&gt;Table1346[[#This Row],[Away Team Score]],"Win",IF(Table1346[[#This Row],[Home Team Score]]=Table1346[[#This Row],[Away Team Score]],"Tie","Lose"))</f>
        <v>Win</v>
      </c>
      <c r="M1408" t="s">
        <v>68</v>
      </c>
      <c r="N1408" t="s">
        <v>21</v>
      </c>
      <c r="O1408" s="3">
        <v>0.16875000000000001</v>
      </c>
      <c r="P1408" t="s">
        <v>39</v>
      </c>
      <c r="Q1408" t="s">
        <v>433</v>
      </c>
      <c r="R1408" t="e">
        <f>IF([1]!Table13[[#This Row],[Goal_assist]]="",1,0)</f>
        <v>#REF!</v>
      </c>
    </row>
    <row r="1409" spans="1:18" x14ac:dyDescent="0.35">
      <c r="A1409" t="s">
        <v>14</v>
      </c>
      <c r="B1409" t="s">
        <v>409</v>
      </c>
      <c r="C1409" t="s">
        <v>425</v>
      </c>
      <c r="D1409">
        <v>18</v>
      </c>
      <c r="E1409" s="2">
        <v>44982</v>
      </c>
      <c r="F1409" t="s">
        <v>24</v>
      </c>
      <c r="G1409" t="s">
        <v>426</v>
      </c>
      <c r="H1409" t="s">
        <v>434</v>
      </c>
      <c r="I1409" s="3">
        <v>2.0833333333333333E-3</v>
      </c>
      <c r="J1409" s="8" t="s">
        <v>443</v>
      </c>
      <c r="K1409" s="8" t="s">
        <v>442</v>
      </c>
      <c r="L1409" s="8" t="str">
        <f>IF(Table1346[[#This Row],[Home Team Score]]&gt;Table1346[[#This Row],[Away Team Score]],"Win",IF(Table1346[[#This Row],[Home Team Score]]=Table1346[[#This Row],[Away Team Score]],"Tie","Lose"))</f>
        <v>Lose</v>
      </c>
      <c r="M1409" t="s">
        <v>68</v>
      </c>
      <c r="N1409">
        <v>18</v>
      </c>
      <c r="O1409" s="3">
        <v>6.9444444444444447E-4</v>
      </c>
      <c r="P1409" t="s">
        <v>83</v>
      </c>
      <c r="Q1409" t="s">
        <v>433</v>
      </c>
      <c r="R1409" t="e">
        <f>IF([1]!Table13[[#This Row],[Goal_assist]]="",1,0)</f>
        <v>#REF!</v>
      </c>
    </row>
    <row r="1410" spans="1:18" x14ac:dyDescent="0.35">
      <c r="A1410" t="s">
        <v>14</v>
      </c>
      <c r="B1410" t="s">
        <v>409</v>
      </c>
      <c r="C1410" t="s">
        <v>425</v>
      </c>
      <c r="D1410">
        <v>18</v>
      </c>
      <c r="E1410" s="2">
        <v>44982</v>
      </c>
      <c r="F1410" t="s">
        <v>24</v>
      </c>
      <c r="G1410" t="s">
        <v>426</v>
      </c>
      <c r="H1410" t="s">
        <v>434</v>
      </c>
      <c r="I1410" s="3">
        <v>2.0833333333333333E-3</v>
      </c>
      <c r="J1410" s="8" t="s">
        <v>443</v>
      </c>
      <c r="K1410" s="8" t="s">
        <v>442</v>
      </c>
      <c r="L1410" s="8" t="str">
        <f>IF(Table1346[[#This Row],[Home Team Score]]&gt;Table1346[[#This Row],[Away Team Score]],"Win",IF(Table1346[[#This Row],[Home Team Score]]=Table1346[[#This Row],[Away Team Score]],"Tie","Lose"))</f>
        <v>Lose</v>
      </c>
      <c r="M1410" t="s">
        <v>68</v>
      </c>
      <c r="N1410">
        <v>44</v>
      </c>
      <c r="O1410" s="3">
        <v>2.0833333333333333E-3</v>
      </c>
      <c r="P1410" t="s">
        <v>162</v>
      </c>
      <c r="Q1410" t="s">
        <v>435</v>
      </c>
      <c r="R1410" t="e">
        <f>IF([1]!Table13[[#This Row],[Goal_assist]]="",1,0)</f>
        <v>#REF!</v>
      </c>
    </row>
    <row r="1411" spans="1:18" x14ac:dyDescent="0.35">
      <c r="A1411" t="s">
        <v>14</v>
      </c>
      <c r="B1411" t="s">
        <v>409</v>
      </c>
      <c r="C1411" t="s">
        <v>425</v>
      </c>
      <c r="D1411">
        <v>18</v>
      </c>
      <c r="E1411" s="2">
        <v>44982</v>
      </c>
      <c r="F1411" t="s">
        <v>24</v>
      </c>
      <c r="G1411" t="s">
        <v>426</v>
      </c>
      <c r="H1411" t="s">
        <v>434</v>
      </c>
      <c r="I1411" s="3">
        <v>2.0833333333333333E-3</v>
      </c>
      <c r="J1411" s="8" t="s">
        <v>443</v>
      </c>
      <c r="K1411" s="8" t="s">
        <v>442</v>
      </c>
      <c r="L1411" s="8" t="str">
        <f>IF(Table1346[[#This Row],[Home Team Score]]&gt;Table1346[[#This Row],[Away Team Score]],"Win",IF(Table1346[[#This Row],[Home Team Score]]=Table1346[[#This Row],[Away Team Score]],"Tie","Lose"))</f>
        <v>Lose</v>
      </c>
      <c r="M1411" t="s">
        <v>68</v>
      </c>
      <c r="N1411">
        <v>23</v>
      </c>
      <c r="O1411" s="3">
        <v>1.3888888888888889E-3</v>
      </c>
      <c r="P1411" t="s">
        <v>31</v>
      </c>
      <c r="Q1411" t="s">
        <v>436</v>
      </c>
      <c r="R1411" t="e">
        <f>IF([1]!Table13[[#This Row],[Goal_assist]]="",1,0)</f>
        <v>#REF!</v>
      </c>
    </row>
    <row r="1412" spans="1:18" x14ac:dyDescent="0.35">
      <c r="A1412" t="s">
        <v>64</v>
      </c>
      <c r="B1412" t="s">
        <v>409</v>
      </c>
      <c r="C1412" t="s">
        <v>390</v>
      </c>
      <c r="D1412">
        <v>25</v>
      </c>
      <c r="E1412" s="2">
        <v>44983</v>
      </c>
      <c r="F1412" t="s">
        <v>24</v>
      </c>
      <c r="G1412" t="s">
        <v>252</v>
      </c>
      <c r="H1412" t="s">
        <v>181</v>
      </c>
      <c r="I1412" s="3">
        <v>2.0833333333333333E-3</v>
      </c>
      <c r="J1412" s="8" t="s">
        <v>443</v>
      </c>
      <c r="K1412" s="8" t="s">
        <v>442</v>
      </c>
      <c r="L1412" s="8" t="str">
        <f>IF(Table1346[[#This Row],[Home Team Score]]&gt;Table1346[[#This Row],[Away Team Score]],"Win",IF(Table1346[[#This Row],[Home Team Score]]=Table1346[[#This Row],[Away Team Score]],"Tie","Lose"))</f>
        <v>Lose</v>
      </c>
      <c r="M1412" t="s">
        <v>68</v>
      </c>
      <c r="N1412">
        <v>29</v>
      </c>
      <c r="O1412" s="3">
        <v>1.3888888888888889E-3</v>
      </c>
      <c r="P1412" t="s">
        <v>26</v>
      </c>
      <c r="Q1412" t="s">
        <v>408</v>
      </c>
      <c r="R1412" t="e">
        <f>IF([1]!Table13[[#This Row],[Goal_assist]]="",1,0)</f>
        <v>#REF!</v>
      </c>
    </row>
    <row r="1413" spans="1:18" x14ac:dyDescent="0.35">
      <c r="A1413" t="s">
        <v>64</v>
      </c>
      <c r="B1413" t="s">
        <v>409</v>
      </c>
      <c r="C1413" t="s">
        <v>390</v>
      </c>
      <c r="D1413">
        <v>26</v>
      </c>
      <c r="E1413" s="2">
        <v>44989</v>
      </c>
      <c r="F1413" t="s">
        <v>16</v>
      </c>
      <c r="G1413" t="s">
        <v>252</v>
      </c>
      <c r="H1413" t="s">
        <v>391</v>
      </c>
      <c r="I1413" s="3">
        <v>0.16805555555555557</v>
      </c>
      <c r="J1413" s="8" t="s">
        <v>446</v>
      </c>
      <c r="K1413" s="8" t="s">
        <v>445</v>
      </c>
      <c r="L1413" s="8" t="str">
        <f>IF(Table1346[[#This Row],[Home Team Score]]&gt;Table1346[[#This Row],[Away Team Score]],"Win",IF(Table1346[[#This Row],[Home Team Score]]=Table1346[[#This Row],[Away Team Score]],"Tie","Lose"))</f>
        <v>Win</v>
      </c>
      <c r="M1413" t="s">
        <v>68</v>
      </c>
      <c r="N1413">
        <v>12</v>
      </c>
      <c r="O1413" s="3">
        <v>4.1666666666666664E-2</v>
      </c>
      <c r="P1413" t="s">
        <v>31</v>
      </c>
      <c r="R1413" t="e">
        <f>IF([1]!Table13[[#This Row],[Goal_assist]]="",1,0)</f>
        <v>#REF!</v>
      </c>
    </row>
    <row r="1414" spans="1:18" x14ac:dyDescent="0.35">
      <c r="A1414" t="s">
        <v>14</v>
      </c>
      <c r="B1414" t="s">
        <v>409</v>
      </c>
      <c r="C1414" t="s">
        <v>425</v>
      </c>
      <c r="D1414">
        <v>21</v>
      </c>
      <c r="E1414" s="2">
        <v>45003</v>
      </c>
      <c r="F1414" t="s">
        <v>16</v>
      </c>
      <c r="G1414" t="s">
        <v>426</v>
      </c>
      <c r="H1414" t="s">
        <v>437</v>
      </c>
      <c r="I1414" s="3">
        <v>8.4027777777777785E-2</v>
      </c>
      <c r="J1414" s="8" t="s">
        <v>445</v>
      </c>
      <c r="K1414" s="8" t="s">
        <v>444</v>
      </c>
      <c r="L1414" s="8" t="str">
        <f>IF(Table1346[[#This Row],[Home Team Score]]&gt;Table1346[[#This Row],[Away Team Score]],"Win",IF(Table1346[[#This Row],[Home Team Score]]=Table1346[[#This Row],[Away Team Score]],"Tie","Lose"))</f>
        <v>Win</v>
      </c>
      <c r="M1414" t="s">
        <v>68</v>
      </c>
      <c r="N1414">
        <v>78</v>
      </c>
      <c r="O1414" s="3">
        <v>4.2361111111111113E-2</v>
      </c>
      <c r="P1414" t="s">
        <v>39</v>
      </c>
      <c r="R1414" t="e">
        <f>IF([1]!Table13[[#This Row],[Goal_assist]]="",1,0)</f>
        <v>#REF!</v>
      </c>
    </row>
  </sheetData>
  <pageMargins left="0.7" right="0.7" top="0.75" bottom="0.75" header="0.3" footer="0.3"/>
  <tableParts count="2">
    <tablePart r:id="rId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4D5C8-AEDC-42B2-B880-19950F502334}">
  <sheetPr codeName="Sheet6"/>
  <dimension ref="A3:D21"/>
  <sheetViews>
    <sheetView zoomScale="86" zoomScaleNormal="55" workbookViewId="0">
      <selection activeCell="A21" sqref="A19:XFD21"/>
    </sheetView>
  </sheetViews>
  <sheetFormatPr defaultRowHeight="18" x14ac:dyDescent="0.35"/>
  <cols>
    <col min="1" max="1" width="15.5" bestFit="1" customWidth="1"/>
    <col min="2" max="2" width="14.1640625" bestFit="1" customWidth="1"/>
    <col min="3" max="3" width="18.4140625" bestFit="1" customWidth="1"/>
    <col min="4" max="4" width="18" bestFit="1" customWidth="1"/>
  </cols>
  <sheetData>
    <row r="3" spans="1:3" x14ac:dyDescent="0.35">
      <c r="A3" s="10" t="s">
        <v>0</v>
      </c>
      <c r="B3" t="s">
        <v>482</v>
      </c>
      <c r="C3" t="s">
        <v>483</v>
      </c>
    </row>
    <row r="4" spans="1:3" x14ac:dyDescent="0.35">
      <c r="A4" s="11" t="s">
        <v>14</v>
      </c>
      <c r="B4">
        <v>246</v>
      </c>
      <c r="C4">
        <v>464</v>
      </c>
    </row>
    <row r="5" spans="1:3" x14ac:dyDescent="0.35">
      <c r="A5" s="11" t="s">
        <v>64</v>
      </c>
      <c r="B5">
        <v>214</v>
      </c>
      <c r="C5">
        <v>489</v>
      </c>
    </row>
    <row r="6" spans="1:3" x14ac:dyDescent="0.35">
      <c r="A6" s="11" t="s">
        <v>454</v>
      </c>
      <c r="B6">
        <v>460</v>
      </c>
      <c r="C6">
        <v>953</v>
      </c>
    </row>
    <row r="19" spans="4:4" ht="23.4" hidden="1" x14ac:dyDescent="0.45">
      <c r="D19" s="13" t="s">
        <v>484</v>
      </c>
    </row>
    <row r="20" spans="4:4" ht="21" hidden="1" x14ac:dyDescent="0.4">
      <c r="D20" s="14" t="s">
        <v>485</v>
      </c>
    </row>
    <row r="21" spans="4:4" ht="21" hidden="1" x14ac:dyDescent="0.4">
      <c r="D21" s="14" t="s">
        <v>486</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E7553-3932-49EC-9111-E182183C9400}">
  <sheetPr codeName="Sheet7"/>
  <dimension ref="A3:I26"/>
  <sheetViews>
    <sheetView topLeftCell="F8" zoomScale="93" workbookViewId="0">
      <selection activeCell="F26" sqref="A24:XFD26"/>
    </sheetView>
  </sheetViews>
  <sheetFormatPr defaultRowHeight="18" x14ac:dyDescent="0.35"/>
  <cols>
    <col min="1" max="1" width="14.4140625" bestFit="1" customWidth="1"/>
    <col min="2" max="2" width="13.9140625" bestFit="1" customWidth="1"/>
    <col min="3" max="3" width="11" bestFit="1" customWidth="1"/>
    <col min="4" max="4" width="10.08203125" bestFit="1" customWidth="1"/>
    <col min="5" max="5" width="16.1640625" bestFit="1" customWidth="1"/>
    <col min="6" max="6" width="16.58203125" bestFit="1" customWidth="1"/>
    <col min="7" max="7" width="10.4140625" bestFit="1" customWidth="1"/>
    <col min="8" max="8" width="9.83203125" bestFit="1" customWidth="1"/>
    <col min="9" max="9" width="10" bestFit="1" customWidth="1"/>
  </cols>
  <sheetData>
    <row r="3" spans="1:9" x14ac:dyDescent="0.35">
      <c r="A3" s="10" t="s">
        <v>455</v>
      </c>
      <c r="B3" s="10" t="s">
        <v>456</v>
      </c>
    </row>
    <row r="4" spans="1:9" x14ac:dyDescent="0.35">
      <c r="A4" s="10" t="s">
        <v>453</v>
      </c>
      <c r="B4" t="s">
        <v>426</v>
      </c>
      <c r="C4" t="s">
        <v>66</v>
      </c>
      <c r="D4" t="s">
        <v>260</v>
      </c>
      <c r="E4" t="s">
        <v>36</v>
      </c>
      <c r="F4" t="s">
        <v>252</v>
      </c>
      <c r="G4" t="s">
        <v>112</v>
      </c>
      <c r="H4" t="s">
        <v>17</v>
      </c>
      <c r="I4" t="s">
        <v>454</v>
      </c>
    </row>
    <row r="5" spans="1:9" x14ac:dyDescent="0.35">
      <c r="A5" s="11" t="s">
        <v>14</v>
      </c>
      <c r="B5">
        <v>9</v>
      </c>
      <c r="D5">
        <v>101</v>
      </c>
      <c r="E5">
        <v>145</v>
      </c>
      <c r="G5">
        <v>450</v>
      </c>
      <c r="H5">
        <v>5</v>
      </c>
      <c r="I5">
        <v>710</v>
      </c>
    </row>
    <row r="6" spans="1:9" x14ac:dyDescent="0.35">
      <c r="A6" s="11" t="s">
        <v>64</v>
      </c>
      <c r="C6">
        <v>672</v>
      </c>
      <c r="F6">
        <v>31</v>
      </c>
      <c r="I6">
        <v>703</v>
      </c>
    </row>
    <row r="7" spans="1:9" x14ac:dyDescent="0.35">
      <c r="A7" s="11" t="s">
        <v>454</v>
      </c>
      <c r="B7">
        <v>9</v>
      </c>
      <c r="C7">
        <v>672</v>
      </c>
      <c r="D7">
        <v>101</v>
      </c>
      <c r="E7">
        <v>145</v>
      </c>
      <c r="F7">
        <v>31</v>
      </c>
      <c r="G7">
        <v>450</v>
      </c>
      <c r="H7">
        <v>5</v>
      </c>
      <c r="I7">
        <v>1413</v>
      </c>
    </row>
    <row r="24" spans="6:6" ht="23.4" hidden="1" x14ac:dyDescent="0.45">
      <c r="F24" s="13" t="s">
        <v>484</v>
      </c>
    </row>
    <row r="25" spans="6:6" ht="21" hidden="1" x14ac:dyDescent="0.4">
      <c r="F25" s="14" t="s">
        <v>487</v>
      </c>
    </row>
    <row r="26" spans="6:6" ht="21" hidden="1" x14ac:dyDescent="0.4">
      <c r="F26" s="14" t="s">
        <v>488</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A7CCF2-409D-492B-B8EA-B90D6B2A4F7A}">
  <sheetPr codeName="Sheet8"/>
  <dimension ref="A3:E23"/>
  <sheetViews>
    <sheetView topLeftCell="A7" workbookViewId="0">
      <selection activeCell="A23" sqref="A22:XFD23"/>
    </sheetView>
  </sheetViews>
  <sheetFormatPr defaultRowHeight="18" x14ac:dyDescent="0.35"/>
  <cols>
    <col min="1" max="1" width="14.4140625" bestFit="1" customWidth="1"/>
    <col min="2" max="2" width="13.9140625" bestFit="1" customWidth="1"/>
    <col min="3" max="3" width="3.75" bestFit="1" customWidth="1"/>
    <col min="4" max="4" width="4" bestFit="1" customWidth="1"/>
    <col min="5" max="5" width="10" bestFit="1" customWidth="1"/>
  </cols>
  <sheetData>
    <row r="3" spans="1:5" x14ac:dyDescent="0.35">
      <c r="A3" s="10" t="s">
        <v>455</v>
      </c>
      <c r="B3" s="10" t="s">
        <v>456</v>
      </c>
    </row>
    <row r="4" spans="1:5" x14ac:dyDescent="0.35">
      <c r="A4" s="10" t="s">
        <v>453</v>
      </c>
      <c r="B4" t="s">
        <v>457</v>
      </c>
      <c r="C4" t="s">
        <v>458</v>
      </c>
      <c r="D4" t="s">
        <v>459</v>
      </c>
      <c r="E4" t="s">
        <v>454</v>
      </c>
    </row>
    <row r="5" spans="1:5" x14ac:dyDescent="0.35">
      <c r="A5" s="11" t="s">
        <v>14</v>
      </c>
      <c r="B5">
        <v>264</v>
      </c>
      <c r="C5">
        <v>51</v>
      </c>
      <c r="D5">
        <v>395</v>
      </c>
      <c r="E5">
        <v>710</v>
      </c>
    </row>
    <row r="6" spans="1:5" x14ac:dyDescent="0.35">
      <c r="A6" s="11" t="s">
        <v>64</v>
      </c>
      <c r="B6">
        <v>254</v>
      </c>
      <c r="C6">
        <v>55</v>
      </c>
      <c r="D6">
        <v>394</v>
      </c>
      <c r="E6">
        <v>703</v>
      </c>
    </row>
    <row r="7" spans="1:5" x14ac:dyDescent="0.35">
      <c r="A7" s="11" t="s">
        <v>454</v>
      </c>
      <c r="B7">
        <v>518</v>
      </c>
      <c r="C7">
        <v>106</v>
      </c>
      <c r="D7">
        <v>789</v>
      </c>
      <c r="E7">
        <v>1413</v>
      </c>
    </row>
    <row r="22" spans="2:2" ht="23.4" hidden="1" x14ac:dyDescent="0.45">
      <c r="B22" s="13" t="s">
        <v>484</v>
      </c>
    </row>
    <row r="23" spans="2:2" hidden="1" x14ac:dyDescent="0.35">
      <c r="B23" t="s">
        <v>489</v>
      </c>
    </row>
  </sheetData>
  <pageMargins left="0.7" right="0.7" top="0.75" bottom="0.75" header="0.3" footer="0.3"/>
  <pageSetup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3C5C7-59BD-4933-842A-932597712057}">
  <sheetPr codeName="Sheet9"/>
  <dimension ref="A3:I31"/>
  <sheetViews>
    <sheetView workbookViewId="0"/>
  </sheetViews>
  <sheetFormatPr defaultRowHeight="18" x14ac:dyDescent="0.35"/>
  <cols>
    <col min="1" max="1" width="16.5" bestFit="1" customWidth="1"/>
    <col min="2" max="2" width="13.9140625" bestFit="1" customWidth="1"/>
    <col min="3" max="3" width="11" bestFit="1" customWidth="1"/>
    <col min="4" max="4" width="10.08203125" bestFit="1" customWidth="1"/>
    <col min="5" max="5" width="16.1640625" bestFit="1" customWidth="1"/>
    <col min="6" max="6" width="16.58203125" bestFit="1" customWidth="1"/>
    <col min="7" max="7" width="10.4140625" bestFit="1" customWidth="1"/>
    <col min="8" max="8" width="9.83203125" bestFit="1" customWidth="1"/>
    <col min="9" max="9" width="10" bestFit="1" customWidth="1"/>
  </cols>
  <sheetData>
    <row r="3" spans="1:9" x14ac:dyDescent="0.35">
      <c r="A3" s="10" t="s">
        <v>455</v>
      </c>
      <c r="B3" s="10" t="s">
        <v>456</v>
      </c>
    </row>
    <row r="4" spans="1:9" x14ac:dyDescent="0.35">
      <c r="A4" s="10" t="s">
        <v>453</v>
      </c>
      <c r="B4" t="s">
        <v>426</v>
      </c>
      <c r="C4" t="s">
        <v>66</v>
      </c>
      <c r="D4" t="s">
        <v>260</v>
      </c>
      <c r="E4" t="s">
        <v>36</v>
      </c>
      <c r="F4" t="s">
        <v>252</v>
      </c>
      <c r="G4" t="s">
        <v>112</v>
      </c>
      <c r="H4" t="s">
        <v>17</v>
      </c>
      <c r="I4" t="s">
        <v>454</v>
      </c>
    </row>
    <row r="5" spans="1:9" x14ac:dyDescent="0.35">
      <c r="A5" s="11" t="s">
        <v>14</v>
      </c>
      <c r="B5">
        <v>9</v>
      </c>
      <c r="D5">
        <v>101</v>
      </c>
      <c r="E5">
        <v>145</v>
      </c>
      <c r="G5">
        <v>450</v>
      </c>
      <c r="H5">
        <v>5</v>
      </c>
      <c r="I5">
        <v>710</v>
      </c>
    </row>
    <row r="6" spans="1:9" x14ac:dyDescent="0.35">
      <c r="A6" s="12" t="s">
        <v>457</v>
      </c>
      <c r="B6">
        <v>7</v>
      </c>
      <c r="D6">
        <v>33</v>
      </c>
      <c r="E6">
        <v>44</v>
      </c>
      <c r="G6">
        <v>179</v>
      </c>
      <c r="H6">
        <v>1</v>
      </c>
      <c r="I6">
        <v>264</v>
      </c>
    </row>
    <row r="7" spans="1:9" x14ac:dyDescent="0.35">
      <c r="A7" s="12" t="s">
        <v>458</v>
      </c>
      <c r="B7">
        <v>1</v>
      </c>
      <c r="D7">
        <v>16</v>
      </c>
      <c r="E7">
        <v>7</v>
      </c>
      <c r="G7">
        <v>27</v>
      </c>
      <c r="I7">
        <v>51</v>
      </c>
    </row>
    <row r="8" spans="1:9" x14ac:dyDescent="0.35">
      <c r="A8" s="12" t="s">
        <v>459</v>
      </c>
      <c r="B8">
        <v>1</v>
      </c>
      <c r="D8">
        <v>52</v>
      </c>
      <c r="E8">
        <v>94</v>
      </c>
      <c r="G8">
        <v>244</v>
      </c>
      <c r="H8">
        <v>4</v>
      </c>
      <c r="I8">
        <v>395</v>
      </c>
    </row>
    <row r="9" spans="1:9" x14ac:dyDescent="0.35">
      <c r="A9" s="11" t="s">
        <v>64</v>
      </c>
      <c r="C9">
        <v>672</v>
      </c>
      <c r="F9">
        <v>31</v>
      </c>
      <c r="I9">
        <v>703</v>
      </c>
    </row>
    <row r="10" spans="1:9" x14ac:dyDescent="0.35">
      <c r="A10" s="12" t="s">
        <v>457</v>
      </c>
      <c r="C10">
        <v>241</v>
      </c>
      <c r="F10">
        <v>13</v>
      </c>
      <c r="I10">
        <v>254</v>
      </c>
    </row>
    <row r="11" spans="1:9" x14ac:dyDescent="0.35">
      <c r="A11" s="12" t="s">
        <v>458</v>
      </c>
      <c r="C11">
        <v>53</v>
      </c>
      <c r="F11">
        <v>2</v>
      </c>
      <c r="I11">
        <v>55</v>
      </c>
    </row>
    <row r="12" spans="1:9" x14ac:dyDescent="0.35">
      <c r="A12" s="12" t="s">
        <v>459</v>
      </c>
      <c r="C12">
        <v>378</v>
      </c>
      <c r="F12">
        <v>16</v>
      </c>
      <c r="I12">
        <v>394</v>
      </c>
    </row>
    <row r="13" spans="1:9" x14ac:dyDescent="0.35">
      <c r="A13" s="11" t="s">
        <v>454</v>
      </c>
      <c r="B13">
        <v>9</v>
      </c>
      <c r="C13">
        <v>672</v>
      </c>
      <c r="D13">
        <v>101</v>
      </c>
      <c r="E13">
        <v>145</v>
      </c>
      <c r="F13">
        <v>31</v>
      </c>
      <c r="G13">
        <v>450</v>
      </c>
      <c r="H13">
        <v>5</v>
      </c>
      <c r="I13">
        <v>1413</v>
      </c>
    </row>
    <row r="28" spans="3:3" ht="23.4" hidden="1" x14ac:dyDescent="0.45">
      <c r="C28" s="13" t="s">
        <v>484</v>
      </c>
    </row>
    <row r="29" spans="3:3" ht="21" hidden="1" x14ac:dyDescent="0.4">
      <c r="C29" s="14" t="s">
        <v>490</v>
      </c>
    </row>
    <row r="30" spans="3:3" ht="21" hidden="1" x14ac:dyDescent="0.4">
      <c r="C30" s="14" t="s">
        <v>491</v>
      </c>
    </row>
    <row r="31" spans="3:3" ht="21" hidden="1" x14ac:dyDescent="0.4">
      <c r="C31" s="14" t="s">
        <v>492</v>
      </c>
    </row>
  </sheetData>
  <pageMargins left="0.7" right="0.7" top="0.75" bottom="0.75" header="0.3" footer="0.3"/>
  <pageSetup orientation="portrait" r:id="rId2"/>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0A47B5-9F05-4C23-A8E3-D60CE9982C9B}">
  <sheetPr codeName="Sheet10"/>
  <dimension ref="A3:P27"/>
  <sheetViews>
    <sheetView zoomScale="76" workbookViewId="0">
      <selection activeCell="P1" sqref="P1:P1048576"/>
    </sheetView>
  </sheetViews>
  <sheetFormatPr defaultRowHeight="18" x14ac:dyDescent="0.35"/>
  <cols>
    <col min="1" max="1" width="12.9140625" bestFit="1" customWidth="1"/>
    <col min="2" max="2" width="14.75" bestFit="1" customWidth="1"/>
    <col min="3" max="3" width="10.6640625" bestFit="1" customWidth="1"/>
    <col min="4" max="4" width="10" bestFit="1" customWidth="1"/>
    <col min="16" max="16" width="8.6640625" hidden="1" customWidth="1"/>
  </cols>
  <sheetData>
    <row r="3" spans="1:16" x14ac:dyDescent="0.35">
      <c r="A3" s="10" t="s">
        <v>455</v>
      </c>
      <c r="B3" s="10" t="s">
        <v>456</v>
      </c>
    </row>
    <row r="4" spans="1:16" x14ac:dyDescent="0.35">
      <c r="A4" s="10" t="s">
        <v>453</v>
      </c>
      <c r="B4" t="s">
        <v>14</v>
      </c>
      <c r="C4" t="s">
        <v>64</v>
      </c>
      <c r="D4" t="s">
        <v>454</v>
      </c>
    </row>
    <row r="5" spans="1:16" x14ac:dyDescent="0.35">
      <c r="A5" s="11" t="s">
        <v>460</v>
      </c>
      <c r="B5">
        <v>5</v>
      </c>
      <c r="D5">
        <v>5</v>
      </c>
    </row>
    <row r="6" spans="1:16" x14ac:dyDescent="0.35">
      <c r="A6" s="11" t="s">
        <v>461</v>
      </c>
      <c r="B6">
        <v>1</v>
      </c>
      <c r="D6">
        <v>1</v>
      </c>
    </row>
    <row r="7" spans="1:16" x14ac:dyDescent="0.35">
      <c r="A7" s="11" t="s">
        <v>462</v>
      </c>
      <c r="B7">
        <v>6</v>
      </c>
      <c r="D7">
        <v>6</v>
      </c>
    </row>
    <row r="8" spans="1:16" x14ac:dyDescent="0.35">
      <c r="A8" s="11" t="s">
        <v>463</v>
      </c>
      <c r="B8">
        <v>13</v>
      </c>
      <c r="C8">
        <v>3</v>
      </c>
      <c r="D8">
        <v>16</v>
      </c>
    </row>
    <row r="9" spans="1:16" ht="23.4" x14ac:dyDescent="0.45">
      <c r="A9" s="11" t="s">
        <v>464</v>
      </c>
      <c r="B9">
        <v>19</v>
      </c>
      <c r="C9">
        <v>10</v>
      </c>
      <c r="D9">
        <v>29</v>
      </c>
      <c r="P9" s="13" t="s">
        <v>484</v>
      </c>
    </row>
    <row r="10" spans="1:16" ht="21" x14ac:dyDescent="0.4">
      <c r="A10" s="11" t="s">
        <v>465</v>
      </c>
      <c r="B10">
        <v>29</v>
      </c>
      <c r="C10">
        <v>25</v>
      </c>
      <c r="D10">
        <v>54</v>
      </c>
      <c r="P10" s="14" t="s">
        <v>493</v>
      </c>
    </row>
    <row r="11" spans="1:16" ht="21" x14ac:dyDescent="0.4">
      <c r="A11" s="11" t="s">
        <v>466</v>
      </c>
      <c r="B11">
        <v>34</v>
      </c>
      <c r="C11">
        <v>20</v>
      </c>
      <c r="D11">
        <v>54</v>
      </c>
      <c r="P11" s="14" t="s">
        <v>494</v>
      </c>
    </row>
    <row r="12" spans="1:16" x14ac:dyDescent="0.35">
      <c r="A12" s="11" t="s">
        <v>467</v>
      </c>
      <c r="B12">
        <v>29</v>
      </c>
      <c r="C12">
        <v>38</v>
      </c>
      <c r="D12">
        <v>67</v>
      </c>
    </row>
    <row r="13" spans="1:16" x14ac:dyDescent="0.35">
      <c r="A13" s="11" t="s">
        <v>468</v>
      </c>
      <c r="B13">
        <v>45</v>
      </c>
      <c r="C13">
        <v>58</v>
      </c>
      <c r="D13">
        <v>103</v>
      </c>
    </row>
    <row r="14" spans="1:16" x14ac:dyDescent="0.35">
      <c r="A14" s="11" t="s">
        <v>469</v>
      </c>
      <c r="B14">
        <v>53</v>
      </c>
      <c r="C14">
        <v>55</v>
      </c>
      <c r="D14">
        <v>108</v>
      </c>
    </row>
    <row r="15" spans="1:16" x14ac:dyDescent="0.35">
      <c r="A15" s="11" t="s">
        <v>470</v>
      </c>
      <c r="B15">
        <v>58</v>
      </c>
      <c r="C15">
        <v>79</v>
      </c>
      <c r="D15">
        <v>137</v>
      </c>
    </row>
    <row r="16" spans="1:16" x14ac:dyDescent="0.35">
      <c r="A16" s="11" t="s">
        <v>471</v>
      </c>
      <c r="B16">
        <v>59</v>
      </c>
      <c r="C16">
        <v>39</v>
      </c>
      <c r="D16">
        <v>98</v>
      </c>
    </row>
    <row r="17" spans="1:4" x14ac:dyDescent="0.35">
      <c r="A17" s="11" t="s">
        <v>472</v>
      </c>
      <c r="B17">
        <v>56</v>
      </c>
      <c r="C17">
        <v>50</v>
      </c>
      <c r="D17">
        <v>106</v>
      </c>
    </row>
    <row r="18" spans="1:4" x14ac:dyDescent="0.35">
      <c r="A18" s="11" t="s">
        <v>473</v>
      </c>
      <c r="B18">
        <v>54</v>
      </c>
      <c r="C18">
        <v>48</v>
      </c>
      <c r="D18">
        <v>102</v>
      </c>
    </row>
    <row r="19" spans="1:4" x14ac:dyDescent="0.35">
      <c r="A19" s="11" t="s">
        <v>474</v>
      </c>
      <c r="B19">
        <v>42</v>
      </c>
      <c r="C19">
        <v>51</v>
      </c>
      <c r="D19">
        <v>93</v>
      </c>
    </row>
    <row r="20" spans="1:4" x14ac:dyDescent="0.35">
      <c r="A20" s="11" t="s">
        <v>475</v>
      </c>
      <c r="B20">
        <v>42</v>
      </c>
      <c r="C20">
        <v>50</v>
      </c>
      <c r="D20">
        <v>92</v>
      </c>
    </row>
    <row r="21" spans="1:4" x14ac:dyDescent="0.35">
      <c r="A21" s="11" t="s">
        <v>476</v>
      </c>
      <c r="B21">
        <v>43</v>
      </c>
      <c r="C21">
        <v>47</v>
      </c>
      <c r="D21">
        <v>90</v>
      </c>
    </row>
    <row r="22" spans="1:4" x14ac:dyDescent="0.35">
      <c r="A22" s="11" t="s">
        <v>477</v>
      </c>
      <c r="B22">
        <v>25</v>
      </c>
      <c r="C22">
        <v>45</v>
      </c>
      <c r="D22">
        <v>70</v>
      </c>
    </row>
    <row r="23" spans="1:4" x14ac:dyDescent="0.35">
      <c r="A23" s="11" t="s">
        <v>478</v>
      </c>
      <c r="B23">
        <v>41</v>
      </c>
      <c r="C23">
        <v>26</v>
      </c>
      <c r="D23">
        <v>67</v>
      </c>
    </row>
    <row r="24" spans="1:4" x14ac:dyDescent="0.35">
      <c r="A24" s="11" t="s">
        <v>479</v>
      </c>
      <c r="B24">
        <v>34</v>
      </c>
      <c r="C24">
        <v>34</v>
      </c>
      <c r="D24">
        <v>68</v>
      </c>
    </row>
    <row r="25" spans="1:4" x14ac:dyDescent="0.35">
      <c r="A25" s="11" t="s">
        <v>480</v>
      </c>
      <c r="B25">
        <v>13</v>
      </c>
      <c r="C25">
        <v>20</v>
      </c>
      <c r="D25">
        <v>33</v>
      </c>
    </row>
    <row r="26" spans="1:4" x14ac:dyDescent="0.35">
      <c r="A26" s="11" t="s">
        <v>481</v>
      </c>
      <c r="B26">
        <v>9</v>
      </c>
      <c r="C26">
        <v>5</v>
      </c>
      <c r="D26">
        <v>14</v>
      </c>
    </row>
    <row r="27" spans="1:4" x14ac:dyDescent="0.35">
      <c r="A27" s="11" t="s">
        <v>454</v>
      </c>
      <c r="B27">
        <v>710</v>
      </c>
      <c r="C27">
        <v>703</v>
      </c>
      <c r="D27">
        <v>1413</v>
      </c>
    </row>
  </sheetData>
  <pageMargins left="0.7" right="0.7" top="0.75" bottom="0.75" header="0.3" footer="0.3"/>
  <pageSetup orientation="portrait" r:id="rId2"/>
  <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9C1274-8407-4320-B1CA-FB65094CB0B1}">
  <sheetPr codeName="Sheet11"/>
  <dimension ref="A3:G24"/>
  <sheetViews>
    <sheetView zoomScale="53" workbookViewId="0">
      <selection activeCell="F20" sqref="A20:XFD24"/>
    </sheetView>
  </sheetViews>
  <sheetFormatPr defaultRowHeight="18" x14ac:dyDescent="0.35"/>
  <cols>
    <col min="1" max="1" width="18.25" bestFit="1" customWidth="1"/>
    <col min="2" max="2" width="14.75" bestFit="1" customWidth="1"/>
    <col min="3" max="3" width="10.6640625" bestFit="1" customWidth="1"/>
    <col min="4" max="4" width="10" bestFit="1" customWidth="1"/>
  </cols>
  <sheetData>
    <row r="3" spans="1:4" x14ac:dyDescent="0.35">
      <c r="A3" s="10" t="s">
        <v>455</v>
      </c>
      <c r="B3" s="10" t="s">
        <v>456</v>
      </c>
    </row>
    <row r="4" spans="1:4" x14ac:dyDescent="0.35">
      <c r="A4" s="10" t="s">
        <v>453</v>
      </c>
      <c r="B4" t="s">
        <v>14</v>
      </c>
      <c r="C4" t="s">
        <v>64</v>
      </c>
      <c r="D4" t="s">
        <v>454</v>
      </c>
    </row>
    <row r="5" spans="1:4" x14ac:dyDescent="0.35">
      <c r="A5" s="11" t="s">
        <v>193</v>
      </c>
      <c r="C5">
        <v>1</v>
      </c>
      <c r="D5">
        <v>1</v>
      </c>
    </row>
    <row r="6" spans="1:4" x14ac:dyDescent="0.35">
      <c r="A6" s="11" t="s">
        <v>162</v>
      </c>
      <c r="B6">
        <v>6</v>
      </c>
      <c r="C6">
        <v>1</v>
      </c>
      <c r="D6">
        <v>7</v>
      </c>
    </row>
    <row r="7" spans="1:4" x14ac:dyDescent="0.35">
      <c r="A7" s="11" t="s">
        <v>129</v>
      </c>
      <c r="B7">
        <v>2</v>
      </c>
      <c r="C7">
        <v>2</v>
      </c>
      <c r="D7">
        <v>4</v>
      </c>
    </row>
    <row r="8" spans="1:4" x14ac:dyDescent="0.35">
      <c r="A8" s="11" t="s">
        <v>39</v>
      </c>
      <c r="B8">
        <v>53</v>
      </c>
      <c r="C8">
        <v>52</v>
      </c>
      <c r="D8">
        <v>105</v>
      </c>
    </row>
    <row r="9" spans="1:4" x14ac:dyDescent="0.35">
      <c r="A9" s="11" t="s">
        <v>22</v>
      </c>
      <c r="B9">
        <v>112</v>
      </c>
      <c r="C9">
        <v>24</v>
      </c>
      <c r="D9">
        <v>136</v>
      </c>
    </row>
    <row r="10" spans="1:4" x14ac:dyDescent="0.35">
      <c r="A10" s="11" t="s">
        <v>31</v>
      </c>
      <c r="B10">
        <v>118</v>
      </c>
      <c r="C10">
        <v>436</v>
      </c>
      <c r="D10">
        <v>554</v>
      </c>
    </row>
    <row r="11" spans="1:4" x14ac:dyDescent="0.35">
      <c r="A11" s="11" t="s">
        <v>170</v>
      </c>
      <c r="B11">
        <v>9</v>
      </c>
      <c r="C11">
        <v>1</v>
      </c>
      <c r="D11">
        <v>10</v>
      </c>
    </row>
    <row r="12" spans="1:4" x14ac:dyDescent="0.35">
      <c r="A12" s="11" t="s">
        <v>83</v>
      </c>
      <c r="B12">
        <v>133</v>
      </c>
      <c r="C12">
        <v>84</v>
      </c>
      <c r="D12">
        <v>217</v>
      </c>
    </row>
    <row r="13" spans="1:4" x14ac:dyDescent="0.35">
      <c r="A13" s="11" t="s">
        <v>107</v>
      </c>
      <c r="B13">
        <v>6</v>
      </c>
      <c r="C13">
        <v>3</v>
      </c>
      <c r="D13">
        <v>9</v>
      </c>
    </row>
    <row r="14" spans="1:4" x14ac:dyDescent="0.35">
      <c r="A14" s="11" t="s">
        <v>26</v>
      </c>
      <c r="B14">
        <v>255</v>
      </c>
      <c r="C14">
        <v>86</v>
      </c>
      <c r="D14">
        <v>341</v>
      </c>
    </row>
    <row r="15" spans="1:4" x14ac:dyDescent="0.35">
      <c r="A15" s="11" t="s">
        <v>20</v>
      </c>
      <c r="B15">
        <v>2</v>
      </c>
      <c r="C15">
        <v>4</v>
      </c>
      <c r="D15">
        <v>6</v>
      </c>
    </row>
    <row r="16" spans="1:4" x14ac:dyDescent="0.35">
      <c r="A16" s="11" t="s">
        <v>55</v>
      </c>
      <c r="B16">
        <v>14</v>
      </c>
      <c r="C16">
        <v>9</v>
      </c>
      <c r="D16">
        <v>23</v>
      </c>
    </row>
    <row r="17" spans="1:7" x14ac:dyDescent="0.35">
      <c r="A17" s="11" t="s">
        <v>454</v>
      </c>
      <c r="B17">
        <v>710</v>
      </c>
      <c r="C17">
        <v>703</v>
      </c>
      <c r="D17">
        <v>1413</v>
      </c>
    </row>
    <row r="20" spans="1:7" ht="23.4" hidden="1" x14ac:dyDescent="0.45">
      <c r="G20" s="13" t="s">
        <v>484</v>
      </c>
    </row>
    <row r="21" spans="1:7" ht="21" hidden="1" x14ac:dyDescent="0.4">
      <c r="G21" s="14" t="s">
        <v>499</v>
      </c>
    </row>
    <row r="22" spans="1:7" ht="21" hidden="1" x14ac:dyDescent="0.4">
      <c r="G22" s="14" t="s">
        <v>501</v>
      </c>
    </row>
    <row r="23" spans="1:7" ht="21" hidden="1" x14ac:dyDescent="0.4">
      <c r="G23" s="14" t="s">
        <v>500</v>
      </c>
    </row>
    <row r="24" spans="1:7" ht="21" hidden="1" x14ac:dyDescent="0.4">
      <c r="G24" s="14" t="s">
        <v>502</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983CF8-4D90-4C51-BA07-036636C2E8DB}">
  <sheetPr codeName="Sheet12"/>
  <dimension ref="A3:G23"/>
  <sheetViews>
    <sheetView workbookViewId="0">
      <selection activeCell="E17" sqref="E17"/>
    </sheetView>
  </sheetViews>
  <sheetFormatPr defaultRowHeight="18" x14ac:dyDescent="0.35"/>
  <cols>
    <col min="1" max="1" width="18.25" bestFit="1" customWidth="1"/>
    <col min="2" max="2" width="14.75" bestFit="1" customWidth="1"/>
    <col min="3" max="3" width="10.6640625" bestFit="1" customWidth="1"/>
    <col min="4" max="4" width="10" bestFit="1" customWidth="1"/>
  </cols>
  <sheetData>
    <row r="3" spans="1:4" x14ac:dyDescent="0.35">
      <c r="A3" s="10" t="s">
        <v>455</v>
      </c>
      <c r="B3" s="10" t="s">
        <v>456</v>
      </c>
    </row>
    <row r="4" spans="1:4" x14ac:dyDescent="0.35">
      <c r="A4" s="10" t="s">
        <v>453</v>
      </c>
      <c r="B4" t="s">
        <v>14</v>
      </c>
      <c r="C4" t="s">
        <v>64</v>
      </c>
      <c r="D4" t="s">
        <v>454</v>
      </c>
    </row>
    <row r="5" spans="1:4" x14ac:dyDescent="0.35">
      <c r="A5" s="11" t="s">
        <v>193</v>
      </c>
      <c r="C5">
        <v>1</v>
      </c>
      <c r="D5">
        <v>1</v>
      </c>
    </row>
    <row r="6" spans="1:4" x14ac:dyDescent="0.35">
      <c r="A6" s="11" t="s">
        <v>162</v>
      </c>
      <c r="B6">
        <v>6</v>
      </c>
      <c r="C6">
        <v>1</v>
      </c>
      <c r="D6">
        <v>7</v>
      </c>
    </row>
    <row r="7" spans="1:4" x14ac:dyDescent="0.35">
      <c r="A7" s="11" t="s">
        <v>129</v>
      </c>
      <c r="B7">
        <v>2</v>
      </c>
      <c r="C7">
        <v>2</v>
      </c>
      <c r="D7">
        <v>4</v>
      </c>
    </row>
    <row r="8" spans="1:4" x14ac:dyDescent="0.35">
      <c r="A8" s="11" t="s">
        <v>39</v>
      </c>
      <c r="B8">
        <v>53</v>
      </c>
      <c r="C8">
        <v>52</v>
      </c>
      <c r="D8">
        <v>105</v>
      </c>
    </row>
    <row r="9" spans="1:4" x14ac:dyDescent="0.35">
      <c r="A9" s="11" t="s">
        <v>22</v>
      </c>
      <c r="B9">
        <v>112</v>
      </c>
      <c r="C9">
        <v>24</v>
      </c>
      <c r="D9">
        <v>136</v>
      </c>
    </row>
    <row r="10" spans="1:4" x14ac:dyDescent="0.35">
      <c r="A10" s="11" t="s">
        <v>31</v>
      </c>
      <c r="B10">
        <v>118</v>
      </c>
      <c r="C10">
        <v>436</v>
      </c>
      <c r="D10">
        <v>554</v>
      </c>
    </row>
    <row r="11" spans="1:4" x14ac:dyDescent="0.35">
      <c r="A11" s="11" t="s">
        <v>170</v>
      </c>
      <c r="B11">
        <v>9</v>
      </c>
      <c r="C11">
        <v>1</v>
      </c>
      <c r="D11">
        <v>10</v>
      </c>
    </row>
    <row r="12" spans="1:4" x14ac:dyDescent="0.35">
      <c r="A12" s="11" t="s">
        <v>83</v>
      </c>
      <c r="B12">
        <v>133</v>
      </c>
      <c r="C12">
        <v>84</v>
      </c>
      <c r="D12">
        <v>217</v>
      </c>
    </row>
    <row r="13" spans="1:4" x14ac:dyDescent="0.35">
      <c r="A13" s="11" t="s">
        <v>107</v>
      </c>
      <c r="B13">
        <v>6</v>
      </c>
      <c r="C13">
        <v>3</v>
      </c>
      <c r="D13">
        <v>9</v>
      </c>
    </row>
    <row r="14" spans="1:4" x14ac:dyDescent="0.35">
      <c r="A14" s="11" t="s">
        <v>26</v>
      </c>
      <c r="B14">
        <v>255</v>
      </c>
      <c r="C14">
        <v>86</v>
      </c>
      <c r="D14">
        <v>341</v>
      </c>
    </row>
    <row r="15" spans="1:4" x14ac:dyDescent="0.35">
      <c r="A15" s="11" t="s">
        <v>20</v>
      </c>
      <c r="B15">
        <v>2</v>
      </c>
      <c r="C15">
        <v>4</v>
      </c>
      <c r="D15">
        <v>6</v>
      </c>
    </row>
    <row r="16" spans="1:4" x14ac:dyDescent="0.35">
      <c r="A16" s="11" t="s">
        <v>55</v>
      </c>
      <c r="B16">
        <v>14</v>
      </c>
      <c r="C16">
        <v>9</v>
      </c>
      <c r="D16">
        <v>23</v>
      </c>
    </row>
    <row r="17" spans="1:7" x14ac:dyDescent="0.35">
      <c r="A17" s="11" t="s">
        <v>454</v>
      </c>
      <c r="B17">
        <v>710</v>
      </c>
      <c r="C17">
        <v>703</v>
      </c>
      <c r="D17">
        <v>1413</v>
      </c>
    </row>
    <row r="21" spans="1:7" ht="23.4" x14ac:dyDescent="0.45">
      <c r="G21" s="13" t="s">
        <v>484</v>
      </c>
    </row>
    <row r="22" spans="1:7" ht="21" x14ac:dyDescent="0.4">
      <c r="G22" s="14" t="s">
        <v>495</v>
      </c>
    </row>
    <row r="23" spans="1:7" ht="21" x14ac:dyDescent="0.4">
      <c r="G23" s="14" t="s">
        <v>496</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462B3-16B5-4CD8-8F28-16A0427FD2CF}">
  <sheetPr codeName="Sheet13"/>
  <dimension ref="A3:D17"/>
  <sheetViews>
    <sheetView workbookViewId="0">
      <selection activeCell="A3" sqref="A3:C16"/>
    </sheetView>
  </sheetViews>
  <sheetFormatPr defaultRowHeight="18" x14ac:dyDescent="0.35"/>
  <cols>
    <col min="1" max="1" width="18.25" bestFit="1" customWidth="1"/>
    <col min="2" max="2" width="14.75" bestFit="1" customWidth="1"/>
    <col min="3" max="3" width="10.6640625" bestFit="1" customWidth="1"/>
    <col min="4" max="4" width="10" bestFit="1" customWidth="1"/>
  </cols>
  <sheetData>
    <row r="3" spans="1:4" x14ac:dyDescent="0.35">
      <c r="A3" s="10" t="s">
        <v>455</v>
      </c>
      <c r="B3" s="10" t="s">
        <v>456</v>
      </c>
    </row>
    <row r="4" spans="1:4" x14ac:dyDescent="0.35">
      <c r="A4" s="10" t="s">
        <v>453</v>
      </c>
      <c r="B4" t="s">
        <v>14</v>
      </c>
      <c r="C4" t="s">
        <v>64</v>
      </c>
      <c r="D4" t="s">
        <v>454</v>
      </c>
    </row>
    <row r="5" spans="1:4" x14ac:dyDescent="0.35">
      <c r="A5" s="11" t="s">
        <v>193</v>
      </c>
      <c r="C5">
        <v>1</v>
      </c>
      <c r="D5">
        <v>1</v>
      </c>
    </row>
    <row r="6" spans="1:4" x14ac:dyDescent="0.35">
      <c r="A6" s="11" t="s">
        <v>162</v>
      </c>
      <c r="B6">
        <v>6</v>
      </c>
      <c r="C6">
        <v>1</v>
      </c>
      <c r="D6">
        <v>7</v>
      </c>
    </row>
    <row r="7" spans="1:4" x14ac:dyDescent="0.35">
      <c r="A7" s="11" t="s">
        <v>129</v>
      </c>
      <c r="B7">
        <v>2</v>
      </c>
      <c r="C7">
        <v>2</v>
      </c>
      <c r="D7">
        <v>4</v>
      </c>
    </row>
    <row r="8" spans="1:4" x14ac:dyDescent="0.35">
      <c r="A8" s="11" t="s">
        <v>39</v>
      </c>
      <c r="B8">
        <v>53</v>
      </c>
      <c r="C8">
        <v>52</v>
      </c>
      <c r="D8">
        <v>105</v>
      </c>
    </row>
    <row r="9" spans="1:4" x14ac:dyDescent="0.35">
      <c r="A9" s="11" t="s">
        <v>22</v>
      </c>
      <c r="B9">
        <v>112</v>
      </c>
      <c r="C9">
        <v>24</v>
      </c>
      <c r="D9">
        <v>136</v>
      </c>
    </row>
    <row r="10" spans="1:4" x14ac:dyDescent="0.35">
      <c r="A10" s="11" t="s">
        <v>31</v>
      </c>
      <c r="B10">
        <v>118</v>
      </c>
      <c r="C10">
        <v>436</v>
      </c>
      <c r="D10">
        <v>554</v>
      </c>
    </row>
    <row r="11" spans="1:4" x14ac:dyDescent="0.35">
      <c r="A11" s="11" t="s">
        <v>170</v>
      </c>
      <c r="B11">
        <v>9</v>
      </c>
      <c r="C11">
        <v>1</v>
      </c>
      <c r="D11">
        <v>10</v>
      </c>
    </row>
    <row r="12" spans="1:4" x14ac:dyDescent="0.35">
      <c r="A12" s="11" t="s">
        <v>83</v>
      </c>
      <c r="B12">
        <v>133</v>
      </c>
      <c r="C12">
        <v>84</v>
      </c>
      <c r="D12">
        <v>217</v>
      </c>
    </row>
    <row r="13" spans="1:4" x14ac:dyDescent="0.35">
      <c r="A13" s="11" t="s">
        <v>107</v>
      </c>
      <c r="B13">
        <v>6</v>
      </c>
      <c r="C13">
        <v>3</v>
      </c>
      <c r="D13">
        <v>9</v>
      </c>
    </row>
    <row r="14" spans="1:4" x14ac:dyDescent="0.35">
      <c r="A14" s="11" t="s">
        <v>26</v>
      </c>
      <c r="B14">
        <v>255</v>
      </c>
      <c r="C14">
        <v>86</v>
      </c>
      <c r="D14">
        <v>341</v>
      </c>
    </row>
    <row r="15" spans="1:4" x14ac:dyDescent="0.35">
      <c r="A15" s="11" t="s">
        <v>20</v>
      </c>
      <c r="B15">
        <v>2</v>
      </c>
      <c r="C15">
        <v>4</v>
      </c>
      <c r="D15">
        <v>6</v>
      </c>
    </row>
    <row r="16" spans="1:4" x14ac:dyDescent="0.35">
      <c r="A16" s="11" t="s">
        <v>55</v>
      </c>
      <c r="B16">
        <v>14</v>
      </c>
      <c r="C16">
        <v>9</v>
      </c>
      <c r="D16">
        <v>23</v>
      </c>
    </row>
    <row r="17" spans="1:4" x14ac:dyDescent="0.35">
      <c r="A17" s="11" t="s">
        <v>454</v>
      </c>
      <c r="B17">
        <v>710</v>
      </c>
      <c r="C17">
        <v>703</v>
      </c>
      <c r="D17">
        <v>1413</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09F54-9262-482A-A3FB-93622C42FEBC}">
  <sheetPr codeName="Sheet14"/>
  <dimension ref="A3:AC113"/>
  <sheetViews>
    <sheetView topLeftCell="Q1" zoomScale="72" workbookViewId="0">
      <selection activeCell="AC1" sqref="AC1:AC1048576"/>
    </sheetView>
  </sheetViews>
  <sheetFormatPr defaultRowHeight="18" x14ac:dyDescent="0.35"/>
  <cols>
    <col min="1" max="1" width="13.5" bestFit="1" customWidth="1"/>
    <col min="2" max="2" width="15.9140625" bestFit="1" customWidth="1"/>
    <col min="3" max="3" width="11" bestFit="1" customWidth="1"/>
    <col min="4" max="4" width="10.5" bestFit="1" customWidth="1"/>
    <col min="29" max="29" width="8.6640625" hidden="1" customWidth="1"/>
  </cols>
  <sheetData>
    <row r="3" spans="1:29" x14ac:dyDescent="0.35">
      <c r="A3" s="10" t="s">
        <v>455</v>
      </c>
      <c r="B3" s="10" t="s">
        <v>456</v>
      </c>
    </row>
    <row r="4" spans="1:29" x14ac:dyDescent="0.35">
      <c r="A4" s="10" t="s">
        <v>453</v>
      </c>
      <c r="B4" t="s">
        <v>14</v>
      </c>
      <c r="C4" t="s">
        <v>64</v>
      </c>
      <c r="D4" t="s">
        <v>454</v>
      </c>
    </row>
    <row r="5" spans="1:29" x14ac:dyDescent="0.35">
      <c r="A5" s="11">
        <v>1</v>
      </c>
      <c r="B5">
        <v>1</v>
      </c>
      <c r="D5">
        <v>1</v>
      </c>
    </row>
    <row r="6" spans="1:29" x14ac:dyDescent="0.35">
      <c r="A6" s="11">
        <v>2</v>
      </c>
      <c r="B6">
        <v>6</v>
      </c>
      <c r="D6">
        <v>6</v>
      </c>
    </row>
    <row r="7" spans="1:29" x14ac:dyDescent="0.35">
      <c r="A7" s="11">
        <v>3</v>
      </c>
      <c r="B7">
        <v>8</v>
      </c>
      <c r="C7">
        <v>4</v>
      </c>
      <c r="D7">
        <v>12</v>
      </c>
    </row>
    <row r="8" spans="1:29" x14ac:dyDescent="0.35">
      <c r="A8" s="11">
        <v>4</v>
      </c>
      <c r="B8">
        <v>4</v>
      </c>
      <c r="C8">
        <v>4</v>
      </c>
      <c r="D8">
        <v>8</v>
      </c>
    </row>
    <row r="9" spans="1:29" x14ac:dyDescent="0.35">
      <c r="A9" s="11">
        <v>5</v>
      </c>
      <c r="B9">
        <v>3</v>
      </c>
      <c r="C9">
        <v>8</v>
      </c>
      <c r="D9">
        <v>11</v>
      </c>
    </row>
    <row r="10" spans="1:29" ht="31.2" x14ac:dyDescent="0.6">
      <c r="A10" s="11">
        <v>6</v>
      </c>
      <c r="B10">
        <v>7</v>
      </c>
      <c r="C10">
        <v>2</v>
      </c>
      <c r="D10">
        <v>9</v>
      </c>
      <c r="AC10" s="15" t="s">
        <v>484</v>
      </c>
    </row>
    <row r="11" spans="1:29" ht="25.8" x14ac:dyDescent="0.5">
      <c r="A11" s="11">
        <v>7</v>
      </c>
      <c r="B11">
        <v>2</v>
      </c>
      <c r="C11">
        <v>3</v>
      </c>
      <c r="D11">
        <v>5</v>
      </c>
      <c r="AC11" s="16" t="s">
        <v>497</v>
      </c>
    </row>
    <row r="12" spans="1:29" ht="25.8" x14ac:dyDescent="0.5">
      <c r="A12" s="11">
        <v>8</v>
      </c>
      <c r="B12">
        <v>5</v>
      </c>
      <c r="C12">
        <v>5</v>
      </c>
      <c r="D12">
        <v>10</v>
      </c>
      <c r="AC12" s="16" t="s">
        <v>498</v>
      </c>
    </row>
    <row r="13" spans="1:29" x14ac:dyDescent="0.35">
      <c r="A13" s="11">
        <v>9</v>
      </c>
      <c r="B13">
        <v>5</v>
      </c>
      <c r="C13">
        <v>4</v>
      </c>
      <c r="D13">
        <v>9</v>
      </c>
    </row>
    <row r="14" spans="1:29" x14ac:dyDescent="0.35">
      <c r="A14" s="11">
        <v>10</v>
      </c>
      <c r="B14">
        <v>10</v>
      </c>
      <c r="C14">
        <v>3</v>
      </c>
      <c r="D14">
        <v>13</v>
      </c>
    </row>
    <row r="15" spans="1:29" x14ac:dyDescent="0.35">
      <c r="A15" s="11">
        <v>11</v>
      </c>
      <c r="B15">
        <v>6</v>
      </c>
      <c r="C15">
        <v>8</v>
      </c>
      <c r="D15">
        <v>14</v>
      </c>
    </row>
    <row r="16" spans="1:29" x14ac:dyDescent="0.35">
      <c r="A16" s="11">
        <v>12</v>
      </c>
      <c r="B16">
        <v>9</v>
      </c>
      <c r="C16">
        <v>7</v>
      </c>
      <c r="D16">
        <v>16</v>
      </c>
    </row>
    <row r="17" spans="1:4" x14ac:dyDescent="0.35">
      <c r="A17" s="11">
        <v>13</v>
      </c>
      <c r="B17">
        <v>10</v>
      </c>
      <c r="C17">
        <v>8</v>
      </c>
      <c r="D17">
        <v>18</v>
      </c>
    </row>
    <row r="18" spans="1:4" x14ac:dyDescent="0.35">
      <c r="A18" s="11">
        <v>14</v>
      </c>
      <c r="B18">
        <v>9</v>
      </c>
      <c r="C18">
        <v>2</v>
      </c>
      <c r="D18">
        <v>11</v>
      </c>
    </row>
    <row r="19" spans="1:4" x14ac:dyDescent="0.35">
      <c r="A19" s="11">
        <v>15</v>
      </c>
      <c r="B19">
        <v>4</v>
      </c>
      <c r="C19">
        <v>9</v>
      </c>
      <c r="D19">
        <v>13</v>
      </c>
    </row>
    <row r="20" spans="1:4" x14ac:dyDescent="0.35">
      <c r="A20" s="11">
        <v>16</v>
      </c>
      <c r="B20">
        <v>4</v>
      </c>
      <c r="C20">
        <v>10</v>
      </c>
      <c r="D20">
        <v>14</v>
      </c>
    </row>
    <row r="21" spans="1:4" x14ac:dyDescent="0.35">
      <c r="A21" s="11">
        <v>17</v>
      </c>
      <c r="B21">
        <v>5</v>
      </c>
      <c r="C21">
        <v>6</v>
      </c>
      <c r="D21">
        <v>11</v>
      </c>
    </row>
    <row r="22" spans="1:4" x14ac:dyDescent="0.35">
      <c r="A22" s="11">
        <v>18</v>
      </c>
      <c r="B22">
        <v>7</v>
      </c>
      <c r="C22">
        <v>9</v>
      </c>
      <c r="D22">
        <v>16</v>
      </c>
    </row>
    <row r="23" spans="1:4" x14ac:dyDescent="0.35">
      <c r="A23" s="11">
        <v>19</v>
      </c>
      <c r="B23">
        <v>6</v>
      </c>
      <c r="C23">
        <v>5</v>
      </c>
      <c r="D23">
        <v>11</v>
      </c>
    </row>
    <row r="24" spans="1:4" x14ac:dyDescent="0.35">
      <c r="A24" s="11">
        <v>20</v>
      </c>
      <c r="B24">
        <v>6</v>
      </c>
      <c r="C24">
        <v>8</v>
      </c>
      <c r="D24">
        <v>14</v>
      </c>
    </row>
    <row r="25" spans="1:4" x14ac:dyDescent="0.35">
      <c r="A25" s="11">
        <v>21</v>
      </c>
      <c r="B25">
        <v>5</v>
      </c>
      <c r="C25">
        <v>9</v>
      </c>
      <c r="D25">
        <v>14</v>
      </c>
    </row>
    <row r="26" spans="1:4" x14ac:dyDescent="0.35">
      <c r="A26" s="11">
        <v>22</v>
      </c>
      <c r="B26">
        <v>8</v>
      </c>
      <c r="C26">
        <v>7</v>
      </c>
      <c r="D26">
        <v>15</v>
      </c>
    </row>
    <row r="27" spans="1:4" x14ac:dyDescent="0.35">
      <c r="A27" s="11">
        <v>23</v>
      </c>
      <c r="B27">
        <v>15</v>
      </c>
      <c r="C27">
        <v>10</v>
      </c>
      <c r="D27">
        <v>25</v>
      </c>
    </row>
    <row r="28" spans="1:4" x14ac:dyDescent="0.35">
      <c r="A28" s="11">
        <v>24</v>
      </c>
      <c r="B28">
        <v>7</v>
      </c>
      <c r="C28">
        <v>6</v>
      </c>
      <c r="D28">
        <v>13</v>
      </c>
    </row>
    <row r="29" spans="1:4" x14ac:dyDescent="0.35">
      <c r="A29" s="11">
        <v>25</v>
      </c>
      <c r="B29">
        <v>11</v>
      </c>
      <c r="C29">
        <v>10</v>
      </c>
      <c r="D29">
        <v>21</v>
      </c>
    </row>
    <row r="30" spans="1:4" x14ac:dyDescent="0.35">
      <c r="A30" s="11">
        <v>26</v>
      </c>
      <c r="B30">
        <v>12</v>
      </c>
      <c r="C30">
        <v>8</v>
      </c>
      <c r="D30">
        <v>20</v>
      </c>
    </row>
    <row r="31" spans="1:4" x14ac:dyDescent="0.35">
      <c r="A31" s="11">
        <v>27</v>
      </c>
      <c r="B31">
        <v>7</v>
      </c>
      <c r="C31">
        <v>7</v>
      </c>
      <c r="D31">
        <v>14</v>
      </c>
    </row>
    <row r="32" spans="1:4" x14ac:dyDescent="0.35">
      <c r="A32" s="11">
        <v>28</v>
      </c>
      <c r="B32">
        <v>6</v>
      </c>
      <c r="C32">
        <v>9</v>
      </c>
      <c r="D32">
        <v>15</v>
      </c>
    </row>
    <row r="33" spans="1:4" x14ac:dyDescent="0.35">
      <c r="A33" s="11">
        <v>29</v>
      </c>
      <c r="B33">
        <v>5</v>
      </c>
      <c r="C33">
        <v>4</v>
      </c>
      <c r="D33">
        <v>9</v>
      </c>
    </row>
    <row r="34" spans="1:4" x14ac:dyDescent="0.35">
      <c r="A34" s="11">
        <v>30</v>
      </c>
      <c r="B34">
        <v>8</v>
      </c>
      <c r="C34">
        <v>8</v>
      </c>
      <c r="D34">
        <v>16</v>
      </c>
    </row>
    <row r="35" spans="1:4" x14ac:dyDescent="0.35">
      <c r="A35" s="11">
        <v>31</v>
      </c>
      <c r="B35">
        <v>5</v>
      </c>
      <c r="C35">
        <v>10</v>
      </c>
      <c r="D35">
        <v>15</v>
      </c>
    </row>
    <row r="36" spans="1:4" x14ac:dyDescent="0.35">
      <c r="A36" s="11">
        <v>32</v>
      </c>
      <c r="B36">
        <v>8</v>
      </c>
      <c r="C36">
        <v>5</v>
      </c>
      <c r="D36">
        <v>13</v>
      </c>
    </row>
    <row r="37" spans="1:4" x14ac:dyDescent="0.35">
      <c r="A37" s="11">
        <v>33</v>
      </c>
      <c r="B37">
        <v>3</v>
      </c>
      <c r="C37">
        <v>9</v>
      </c>
      <c r="D37">
        <v>12</v>
      </c>
    </row>
    <row r="38" spans="1:4" x14ac:dyDescent="0.35">
      <c r="A38" s="11">
        <v>34</v>
      </c>
      <c r="B38">
        <v>9</v>
      </c>
      <c r="C38">
        <v>5</v>
      </c>
      <c r="D38">
        <v>14</v>
      </c>
    </row>
    <row r="39" spans="1:4" x14ac:dyDescent="0.35">
      <c r="A39" s="11">
        <v>35</v>
      </c>
      <c r="B39">
        <v>10</v>
      </c>
      <c r="C39">
        <v>5</v>
      </c>
      <c r="D39">
        <v>15</v>
      </c>
    </row>
    <row r="40" spans="1:4" x14ac:dyDescent="0.35">
      <c r="A40" s="11">
        <v>36</v>
      </c>
      <c r="B40">
        <v>5</v>
      </c>
      <c r="C40">
        <v>8</v>
      </c>
      <c r="D40">
        <v>13</v>
      </c>
    </row>
    <row r="41" spans="1:4" x14ac:dyDescent="0.35">
      <c r="A41" s="11">
        <v>37</v>
      </c>
      <c r="B41">
        <v>5</v>
      </c>
      <c r="C41">
        <v>8</v>
      </c>
      <c r="D41">
        <v>13</v>
      </c>
    </row>
    <row r="42" spans="1:4" x14ac:dyDescent="0.35">
      <c r="A42" s="11">
        <v>38</v>
      </c>
      <c r="B42">
        <v>10</v>
      </c>
      <c r="C42">
        <v>11</v>
      </c>
      <c r="D42">
        <v>21</v>
      </c>
    </row>
    <row r="43" spans="1:4" x14ac:dyDescent="0.35">
      <c r="A43" s="11">
        <v>39</v>
      </c>
      <c r="B43">
        <v>8</v>
      </c>
      <c r="C43">
        <v>8</v>
      </c>
      <c r="D43">
        <v>16</v>
      </c>
    </row>
    <row r="44" spans="1:4" x14ac:dyDescent="0.35">
      <c r="A44" s="11">
        <v>40</v>
      </c>
      <c r="B44">
        <v>4</v>
      </c>
      <c r="C44">
        <v>5</v>
      </c>
      <c r="D44">
        <v>9</v>
      </c>
    </row>
    <row r="45" spans="1:4" x14ac:dyDescent="0.35">
      <c r="A45" s="11">
        <v>41</v>
      </c>
      <c r="B45">
        <v>6</v>
      </c>
      <c r="C45">
        <v>7</v>
      </c>
      <c r="D45">
        <v>13</v>
      </c>
    </row>
    <row r="46" spans="1:4" x14ac:dyDescent="0.35">
      <c r="A46" s="11">
        <v>42</v>
      </c>
      <c r="B46">
        <v>4</v>
      </c>
      <c r="C46">
        <v>11</v>
      </c>
      <c r="D46">
        <v>15</v>
      </c>
    </row>
    <row r="47" spans="1:4" x14ac:dyDescent="0.35">
      <c r="A47" s="11">
        <v>43</v>
      </c>
      <c r="B47">
        <v>8</v>
      </c>
      <c r="C47">
        <v>10</v>
      </c>
      <c r="D47">
        <v>18</v>
      </c>
    </row>
    <row r="48" spans="1:4" x14ac:dyDescent="0.35">
      <c r="A48" s="11">
        <v>44</v>
      </c>
      <c r="B48">
        <v>9</v>
      </c>
      <c r="C48">
        <v>7</v>
      </c>
      <c r="D48">
        <v>16</v>
      </c>
    </row>
    <row r="49" spans="1:4" x14ac:dyDescent="0.35">
      <c r="A49" s="11">
        <v>45</v>
      </c>
      <c r="B49">
        <v>15</v>
      </c>
      <c r="C49">
        <v>12</v>
      </c>
      <c r="D49">
        <v>27</v>
      </c>
    </row>
    <row r="50" spans="1:4" x14ac:dyDescent="0.35">
      <c r="A50" s="11">
        <v>46</v>
      </c>
      <c r="B50">
        <v>2</v>
      </c>
      <c r="C50">
        <v>2</v>
      </c>
      <c r="D50">
        <v>4</v>
      </c>
    </row>
    <row r="51" spans="1:4" x14ac:dyDescent="0.35">
      <c r="A51" s="11">
        <v>47</v>
      </c>
      <c r="B51">
        <v>5</v>
      </c>
      <c r="C51">
        <v>3</v>
      </c>
      <c r="D51">
        <v>8</v>
      </c>
    </row>
    <row r="52" spans="1:4" x14ac:dyDescent="0.35">
      <c r="A52" s="11">
        <v>48</v>
      </c>
      <c r="B52">
        <v>6</v>
      </c>
      <c r="C52">
        <v>3</v>
      </c>
      <c r="D52">
        <v>9</v>
      </c>
    </row>
    <row r="53" spans="1:4" x14ac:dyDescent="0.35">
      <c r="A53" s="11">
        <v>49</v>
      </c>
      <c r="B53">
        <v>11</v>
      </c>
      <c r="C53">
        <v>5</v>
      </c>
      <c r="D53">
        <v>16</v>
      </c>
    </row>
    <row r="54" spans="1:4" x14ac:dyDescent="0.35">
      <c r="A54" s="11">
        <v>50</v>
      </c>
      <c r="B54">
        <v>9</v>
      </c>
      <c r="C54">
        <v>8</v>
      </c>
      <c r="D54">
        <v>17</v>
      </c>
    </row>
    <row r="55" spans="1:4" x14ac:dyDescent="0.35">
      <c r="A55" s="11">
        <v>51</v>
      </c>
      <c r="B55">
        <v>8</v>
      </c>
      <c r="C55">
        <v>10</v>
      </c>
      <c r="D55">
        <v>18</v>
      </c>
    </row>
    <row r="56" spans="1:4" x14ac:dyDescent="0.35">
      <c r="A56" s="11">
        <v>52</v>
      </c>
      <c r="B56">
        <v>8</v>
      </c>
      <c r="C56">
        <v>4</v>
      </c>
      <c r="D56">
        <v>12</v>
      </c>
    </row>
    <row r="57" spans="1:4" x14ac:dyDescent="0.35">
      <c r="A57" s="11">
        <v>53</v>
      </c>
      <c r="B57">
        <v>8</v>
      </c>
      <c r="C57">
        <v>4</v>
      </c>
      <c r="D57">
        <v>12</v>
      </c>
    </row>
    <row r="58" spans="1:4" x14ac:dyDescent="0.35">
      <c r="A58" s="11">
        <v>54</v>
      </c>
      <c r="B58">
        <v>7</v>
      </c>
      <c r="C58">
        <v>5</v>
      </c>
      <c r="D58">
        <v>12</v>
      </c>
    </row>
    <row r="59" spans="1:4" x14ac:dyDescent="0.35">
      <c r="A59" s="11">
        <v>55</v>
      </c>
      <c r="B59">
        <v>8</v>
      </c>
      <c r="C59">
        <v>14</v>
      </c>
      <c r="D59">
        <v>22</v>
      </c>
    </row>
    <row r="60" spans="1:4" x14ac:dyDescent="0.35">
      <c r="A60" s="11">
        <v>56</v>
      </c>
      <c r="B60">
        <v>4</v>
      </c>
      <c r="C60">
        <v>8</v>
      </c>
      <c r="D60">
        <v>12</v>
      </c>
    </row>
    <row r="61" spans="1:4" x14ac:dyDescent="0.35">
      <c r="A61" s="11">
        <v>57</v>
      </c>
      <c r="B61">
        <v>9</v>
      </c>
      <c r="C61">
        <v>5</v>
      </c>
      <c r="D61">
        <v>14</v>
      </c>
    </row>
    <row r="62" spans="1:4" x14ac:dyDescent="0.35">
      <c r="A62" s="11">
        <v>58</v>
      </c>
      <c r="B62">
        <v>9</v>
      </c>
      <c r="C62">
        <v>11</v>
      </c>
      <c r="D62">
        <v>20</v>
      </c>
    </row>
    <row r="63" spans="1:4" x14ac:dyDescent="0.35">
      <c r="A63" s="11">
        <v>59</v>
      </c>
      <c r="B63">
        <v>10</v>
      </c>
      <c r="C63">
        <v>10</v>
      </c>
      <c r="D63">
        <v>20</v>
      </c>
    </row>
    <row r="64" spans="1:4" x14ac:dyDescent="0.35">
      <c r="A64" s="11">
        <v>60</v>
      </c>
      <c r="B64">
        <v>6</v>
      </c>
      <c r="C64">
        <v>9</v>
      </c>
      <c r="D64">
        <v>15</v>
      </c>
    </row>
    <row r="65" spans="1:4" x14ac:dyDescent="0.35">
      <c r="A65" s="11">
        <v>61</v>
      </c>
      <c r="B65">
        <v>9</v>
      </c>
      <c r="C65">
        <v>9</v>
      </c>
      <c r="D65">
        <v>18</v>
      </c>
    </row>
    <row r="66" spans="1:4" x14ac:dyDescent="0.35">
      <c r="A66" s="11">
        <v>62</v>
      </c>
      <c r="B66">
        <v>10</v>
      </c>
      <c r="C66">
        <v>6</v>
      </c>
      <c r="D66">
        <v>16</v>
      </c>
    </row>
    <row r="67" spans="1:4" x14ac:dyDescent="0.35">
      <c r="A67" s="11">
        <v>63</v>
      </c>
      <c r="B67">
        <v>4</v>
      </c>
      <c r="C67">
        <v>11</v>
      </c>
      <c r="D67">
        <v>15</v>
      </c>
    </row>
    <row r="68" spans="1:4" x14ac:dyDescent="0.35">
      <c r="A68" s="11">
        <v>64</v>
      </c>
      <c r="B68">
        <v>11</v>
      </c>
      <c r="C68">
        <v>9</v>
      </c>
      <c r="D68">
        <v>20</v>
      </c>
    </row>
    <row r="69" spans="1:4" x14ac:dyDescent="0.35">
      <c r="A69" s="11">
        <v>65</v>
      </c>
      <c r="B69">
        <v>10</v>
      </c>
      <c r="C69">
        <v>8</v>
      </c>
      <c r="D69">
        <v>18</v>
      </c>
    </row>
    <row r="70" spans="1:4" x14ac:dyDescent="0.35">
      <c r="A70" s="11">
        <v>66</v>
      </c>
      <c r="B70">
        <v>3</v>
      </c>
      <c r="C70">
        <v>4</v>
      </c>
      <c r="D70">
        <v>7</v>
      </c>
    </row>
    <row r="71" spans="1:4" x14ac:dyDescent="0.35">
      <c r="A71" s="11">
        <v>67</v>
      </c>
      <c r="B71">
        <v>8</v>
      </c>
      <c r="C71">
        <v>8</v>
      </c>
      <c r="D71">
        <v>16</v>
      </c>
    </row>
    <row r="72" spans="1:4" x14ac:dyDescent="0.35">
      <c r="A72" s="11">
        <v>68</v>
      </c>
      <c r="B72">
        <v>10</v>
      </c>
      <c r="C72">
        <v>7</v>
      </c>
      <c r="D72">
        <v>17</v>
      </c>
    </row>
    <row r="73" spans="1:4" x14ac:dyDescent="0.35">
      <c r="A73" s="11">
        <v>69</v>
      </c>
      <c r="B73">
        <v>9</v>
      </c>
      <c r="C73">
        <v>9</v>
      </c>
      <c r="D73">
        <v>18</v>
      </c>
    </row>
    <row r="74" spans="1:4" x14ac:dyDescent="0.35">
      <c r="A74" s="11">
        <v>70</v>
      </c>
      <c r="B74">
        <v>14</v>
      </c>
      <c r="C74">
        <v>5</v>
      </c>
      <c r="D74">
        <v>19</v>
      </c>
    </row>
    <row r="75" spans="1:4" x14ac:dyDescent="0.35">
      <c r="A75" s="11">
        <v>71</v>
      </c>
      <c r="B75">
        <v>6</v>
      </c>
      <c r="C75">
        <v>5</v>
      </c>
      <c r="D75">
        <v>11</v>
      </c>
    </row>
    <row r="76" spans="1:4" x14ac:dyDescent="0.35">
      <c r="A76" s="11">
        <v>72</v>
      </c>
      <c r="B76">
        <v>2</v>
      </c>
      <c r="C76">
        <v>8</v>
      </c>
      <c r="D76">
        <v>10</v>
      </c>
    </row>
    <row r="77" spans="1:4" x14ac:dyDescent="0.35">
      <c r="A77" s="11">
        <v>73</v>
      </c>
      <c r="B77">
        <v>7</v>
      </c>
      <c r="C77">
        <v>10</v>
      </c>
      <c r="D77">
        <v>17</v>
      </c>
    </row>
    <row r="78" spans="1:4" x14ac:dyDescent="0.35">
      <c r="A78" s="11">
        <v>74</v>
      </c>
      <c r="B78">
        <v>6</v>
      </c>
      <c r="C78">
        <v>10</v>
      </c>
      <c r="D78">
        <v>16</v>
      </c>
    </row>
    <row r="79" spans="1:4" x14ac:dyDescent="0.35">
      <c r="A79" s="11">
        <v>75</v>
      </c>
      <c r="B79">
        <v>4</v>
      </c>
      <c r="C79">
        <v>12</v>
      </c>
      <c r="D79">
        <v>16</v>
      </c>
    </row>
    <row r="80" spans="1:4" x14ac:dyDescent="0.35">
      <c r="A80" s="11">
        <v>76</v>
      </c>
      <c r="B80">
        <v>14</v>
      </c>
      <c r="C80">
        <v>8</v>
      </c>
      <c r="D80">
        <v>22</v>
      </c>
    </row>
    <row r="81" spans="1:4" x14ac:dyDescent="0.35">
      <c r="A81" s="11">
        <v>77</v>
      </c>
      <c r="B81">
        <v>5</v>
      </c>
      <c r="C81">
        <v>9</v>
      </c>
      <c r="D81">
        <v>14</v>
      </c>
    </row>
    <row r="82" spans="1:4" x14ac:dyDescent="0.35">
      <c r="A82" s="11">
        <v>78</v>
      </c>
      <c r="B82">
        <v>11</v>
      </c>
      <c r="C82">
        <v>13</v>
      </c>
      <c r="D82">
        <v>24</v>
      </c>
    </row>
    <row r="83" spans="1:4" x14ac:dyDescent="0.35">
      <c r="A83" s="11">
        <v>79</v>
      </c>
      <c r="B83">
        <v>8</v>
      </c>
      <c r="C83">
        <v>7</v>
      </c>
      <c r="D83">
        <v>15</v>
      </c>
    </row>
    <row r="84" spans="1:4" x14ac:dyDescent="0.35">
      <c r="A84" s="11">
        <v>80</v>
      </c>
      <c r="B84">
        <v>8</v>
      </c>
      <c r="C84">
        <v>12</v>
      </c>
      <c r="D84">
        <v>20</v>
      </c>
    </row>
    <row r="85" spans="1:4" x14ac:dyDescent="0.35">
      <c r="A85" s="11">
        <v>81</v>
      </c>
      <c r="B85">
        <v>12</v>
      </c>
      <c r="C85">
        <v>5</v>
      </c>
      <c r="D85">
        <v>17</v>
      </c>
    </row>
    <row r="86" spans="1:4" x14ac:dyDescent="0.35">
      <c r="A86" s="11">
        <v>82</v>
      </c>
      <c r="B86">
        <v>12</v>
      </c>
      <c r="C86">
        <v>11</v>
      </c>
      <c r="D86">
        <v>23</v>
      </c>
    </row>
    <row r="87" spans="1:4" x14ac:dyDescent="0.35">
      <c r="A87" s="11">
        <v>83</v>
      </c>
      <c r="B87">
        <v>5</v>
      </c>
      <c r="C87">
        <v>7</v>
      </c>
      <c r="D87">
        <v>12</v>
      </c>
    </row>
    <row r="88" spans="1:4" x14ac:dyDescent="0.35">
      <c r="A88" s="11">
        <v>84</v>
      </c>
      <c r="B88">
        <v>8</v>
      </c>
      <c r="C88">
        <v>6</v>
      </c>
      <c r="D88">
        <v>14</v>
      </c>
    </row>
    <row r="89" spans="1:4" x14ac:dyDescent="0.35">
      <c r="A89" s="11">
        <v>85</v>
      </c>
      <c r="B89">
        <v>3</v>
      </c>
      <c r="C89">
        <v>10</v>
      </c>
      <c r="D89">
        <v>13</v>
      </c>
    </row>
    <row r="90" spans="1:4" x14ac:dyDescent="0.35">
      <c r="A90" s="11">
        <v>86</v>
      </c>
      <c r="B90">
        <v>7</v>
      </c>
      <c r="C90">
        <v>13</v>
      </c>
      <c r="D90">
        <v>20</v>
      </c>
    </row>
    <row r="91" spans="1:4" x14ac:dyDescent="0.35">
      <c r="A91" s="11">
        <v>87</v>
      </c>
      <c r="B91">
        <v>8</v>
      </c>
      <c r="C91">
        <v>13</v>
      </c>
      <c r="D91">
        <v>21</v>
      </c>
    </row>
    <row r="92" spans="1:4" x14ac:dyDescent="0.35">
      <c r="A92" s="11">
        <v>88</v>
      </c>
      <c r="B92">
        <v>9</v>
      </c>
      <c r="C92">
        <v>8</v>
      </c>
      <c r="D92">
        <v>17</v>
      </c>
    </row>
    <row r="93" spans="1:4" x14ac:dyDescent="0.35">
      <c r="A93" s="11">
        <v>89</v>
      </c>
      <c r="B93">
        <v>15</v>
      </c>
      <c r="C93">
        <v>9</v>
      </c>
      <c r="D93">
        <v>24</v>
      </c>
    </row>
    <row r="94" spans="1:4" x14ac:dyDescent="0.35">
      <c r="A94" s="11">
        <v>90</v>
      </c>
      <c r="B94">
        <v>17</v>
      </c>
      <c r="C94">
        <v>12</v>
      </c>
      <c r="D94">
        <v>29</v>
      </c>
    </row>
    <row r="95" spans="1:4" x14ac:dyDescent="0.35">
      <c r="A95" s="11">
        <v>97</v>
      </c>
      <c r="B95">
        <v>1</v>
      </c>
      <c r="D95">
        <v>1</v>
      </c>
    </row>
    <row r="96" spans="1:4" x14ac:dyDescent="0.35">
      <c r="A96" s="11">
        <v>103</v>
      </c>
      <c r="B96">
        <v>1</v>
      </c>
      <c r="D96">
        <v>1</v>
      </c>
    </row>
    <row r="97" spans="1:4" x14ac:dyDescent="0.35">
      <c r="A97" s="11">
        <v>104</v>
      </c>
      <c r="B97">
        <v>1</v>
      </c>
      <c r="D97">
        <v>1</v>
      </c>
    </row>
    <row r="98" spans="1:4" x14ac:dyDescent="0.35">
      <c r="A98" s="11">
        <v>105</v>
      </c>
      <c r="B98">
        <v>1</v>
      </c>
      <c r="D98">
        <v>1</v>
      </c>
    </row>
    <row r="99" spans="1:4" x14ac:dyDescent="0.35">
      <c r="A99" s="11">
        <v>109</v>
      </c>
      <c r="B99">
        <v>1</v>
      </c>
      <c r="D99">
        <v>1</v>
      </c>
    </row>
    <row r="100" spans="1:4" x14ac:dyDescent="0.35">
      <c r="A100" s="11">
        <v>110</v>
      </c>
      <c r="C100">
        <v>1</v>
      </c>
      <c r="D100">
        <v>1</v>
      </c>
    </row>
    <row r="101" spans="1:4" x14ac:dyDescent="0.35">
      <c r="A101" s="11">
        <v>120</v>
      </c>
      <c r="B101">
        <v>1</v>
      </c>
      <c r="D101">
        <v>1</v>
      </c>
    </row>
    <row r="102" spans="1:4" x14ac:dyDescent="0.35">
      <c r="A102" s="11" t="s">
        <v>58</v>
      </c>
      <c r="B102">
        <v>5</v>
      </c>
      <c r="C102">
        <v>3</v>
      </c>
      <c r="D102">
        <v>8</v>
      </c>
    </row>
    <row r="103" spans="1:4" x14ac:dyDescent="0.35">
      <c r="A103" s="11" t="s">
        <v>228</v>
      </c>
      <c r="B103">
        <v>1</v>
      </c>
      <c r="C103">
        <v>2</v>
      </c>
      <c r="D103">
        <v>3</v>
      </c>
    </row>
    <row r="104" spans="1:4" x14ac:dyDescent="0.35">
      <c r="A104" s="11" t="s">
        <v>374</v>
      </c>
      <c r="C104">
        <v>1</v>
      </c>
      <c r="D104">
        <v>1</v>
      </c>
    </row>
    <row r="105" spans="1:4" x14ac:dyDescent="0.35">
      <c r="A105" s="11" t="s">
        <v>367</v>
      </c>
      <c r="B105">
        <v>1</v>
      </c>
      <c r="D105">
        <v>1</v>
      </c>
    </row>
    <row r="106" spans="1:4" x14ac:dyDescent="0.35">
      <c r="A106" s="11" t="s">
        <v>69</v>
      </c>
      <c r="B106">
        <v>7</v>
      </c>
      <c r="C106">
        <v>10</v>
      </c>
      <c r="D106">
        <v>17</v>
      </c>
    </row>
    <row r="107" spans="1:4" x14ac:dyDescent="0.35">
      <c r="A107" s="11" t="s">
        <v>141</v>
      </c>
      <c r="B107">
        <v>5</v>
      </c>
      <c r="C107">
        <v>10</v>
      </c>
      <c r="D107">
        <v>15</v>
      </c>
    </row>
    <row r="108" spans="1:4" x14ac:dyDescent="0.35">
      <c r="A108" s="11" t="s">
        <v>136</v>
      </c>
      <c r="B108">
        <v>3</v>
      </c>
      <c r="C108">
        <v>3</v>
      </c>
      <c r="D108">
        <v>6</v>
      </c>
    </row>
    <row r="109" spans="1:4" x14ac:dyDescent="0.35">
      <c r="A109" s="11" t="s">
        <v>239</v>
      </c>
      <c r="B109">
        <v>2</v>
      </c>
      <c r="C109">
        <v>3</v>
      </c>
      <c r="D109">
        <v>5</v>
      </c>
    </row>
    <row r="110" spans="1:4" x14ac:dyDescent="0.35">
      <c r="A110" s="11" t="s">
        <v>21</v>
      </c>
      <c r="B110">
        <v>2</v>
      </c>
      <c r="C110">
        <v>1</v>
      </c>
      <c r="D110">
        <v>3</v>
      </c>
    </row>
    <row r="111" spans="1:4" x14ac:dyDescent="0.35">
      <c r="A111" s="11" t="s">
        <v>259</v>
      </c>
      <c r="B111">
        <v>2</v>
      </c>
      <c r="D111">
        <v>2</v>
      </c>
    </row>
    <row r="112" spans="1:4" x14ac:dyDescent="0.35">
      <c r="A112" s="11" t="s">
        <v>318</v>
      </c>
      <c r="B112">
        <v>1</v>
      </c>
      <c r="D112">
        <v>1</v>
      </c>
    </row>
    <row r="113" spans="1:4" x14ac:dyDescent="0.35">
      <c r="A113" s="11" t="s">
        <v>454</v>
      </c>
      <c r="B113">
        <v>710</v>
      </c>
      <c r="C113">
        <v>703</v>
      </c>
      <c r="D113">
        <v>1413</v>
      </c>
    </row>
  </sheetData>
  <pageMargins left="0.7" right="0.7" top="0.75" bottom="0.75" header="0.3" footer="0.3"/>
  <pageSetup orientation="portrait" r:id="rId2"/>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58F14-9A6F-4E63-A170-0F2A0C1BC79C}">
  <sheetPr codeName="Sheet15"/>
  <dimension ref="A3:Q178"/>
  <sheetViews>
    <sheetView topLeftCell="D1" zoomScale="76" workbookViewId="0">
      <selection activeCell="Q1" sqref="Q1:Q1048576"/>
    </sheetView>
  </sheetViews>
  <sheetFormatPr defaultRowHeight="18" x14ac:dyDescent="0.35"/>
  <cols>
    <col min="1" max="1" width="29.9140625" bestFit="1" customWidth="1"/>
    <col min="2" max="2" width="15.1640625" bestFit="1" customWidth="1"/>
    <col min="3" max="3" width="10.75" bestFit="1" customWidth="1"/>
    <col min="4" max="4" width="10.33203125" bestFit="1" customWidth="1"/>
    <col min="17" max="17" width="8.6640625" hidden="1" customWidth="1"/>
  </cols>
  <sheetData>
    <row r="3" spans="1:17" x14ac:dyDescent="0.35">
      <c r="A3" s="10" t="s">
        <v>455</v>
      </c>
      <c r="B3" s="10" t="s">
        <v>456</v>
      </c>
    </row>
    <row r="4" spans="1:17" x14ac:dyDescent="0.35">
      <c r="A4" s="10" t="s">
        <v>453</v>
      </c>
      <c r="B4" t="s">
        <v>14</v>
      </c>
      <c r="C4" t="s">
        <v>64</v>
      </c>
      <c r="D4" t="s">
        <v>454</v>
      </c>
    </row>
    <row r="5" spans="1:17" x14ac:dyDescent="0.35">
      <c r="A5" s="11" t="s">
        <v>105</v>
      </c>
      <c r="B5">
        <v>27</v>
      </c>
      <c r="C5">
        <v>38</v>
      </c>
      <c r="D5">
        <v>65</v>
      </c>
    </row>
    <row r="6" spans="1:17" x14ac:dyDescent="0.35">
      <c r="A6" s="11" t="s">
        <v>119</v>
      </c>
      <c r="B6">
        <v>25</v>
      </c>
      <c r="C6">
        <v>32</v>
      </c>
      <c r="D6">
        <v>57</v>
      </c>
    </row>
    <row r="7" spans="1:17" x14ac:dyDescent="0.35">
      <c r="A7" s="11" t="s">
        <v>117</v>
      </c>
      <c r="B7">
        <v>23</v>
      </c>
      <c r="C7">
        <v>21</v>
      </c>
      <c r="D7">
        <v>44</v>
      </c>
    </row>
    <row r="8" spans="1:17" ht="23.4" x14ac:dyDescent="0.45">
      <c r="A8" s="11" t="s">
        <v>98</v>
      </c>
      <c r="B8">
        <v>20</v>
      </c>
      <c r="C8">
        <v>14</v>
      </c>
      <c r="D8">
        <v>34</v>
      </c>
      <c r="Q8" s="13" t="s">
        <v>484</v>
      </c>
    </row>
    <row r="9" spans="1:17" ht="21" x14ac:dyDescent="0.4">
      <c r="A9" s="11" t="s">
        <v>66</v>
      </c>
      <c r="B9">
        <v>20</v>
      </c>
      <c r="D9">
        <v>20</v>
      </c>
      <c r="Q9" s="14" t="s">
        <v>503</v>
      </c>
    </row>
    <row r="10" spans="1:17" ht="21" x14ac:dyDescent="0.4">
      <c r="A10" s="11" t="s">
        <v>157</v>
      </c>
      <c r="B10">
        <v>17</v>
      </c>
      <c r="C10">
        <v>13</v>
      </c>
      <c r="D10">
        <v>30</v>
      </c>
      <c r="Q10" s="14" t="s">
        <v>504</v>
      </c>
    </row>
    <row r="11" spans="1:17" ht="21" x14ac:dyDescent="0.4">
      <c r="A11" s="11" t="s">
        <v>86</v>
      </c>
      <c r="B11">
        <v>17</v>
      </c>
      <c r="C11">
        <v>29</v>
      </c>
      <c r="D11">
        <v>46</v>
      </c>
      <c r="Q11" s="14" t="s">
        <v>505</v>
      </c>
    </row>
    <row r="12" spans="1:17" x14ac:dyDescent="0.35">
      <c r="A12" s="11" t="s">
        <v>121</v>
      </c>
      <c r="B12">
        <v>15</v>
      </c>
      <c r="C12">
        <v>25</v>
      </c>
      <c r="D12">
        <v>40</v>
      </c>
    </row>
    <row r="13" spans="1:17" x14ac:dyDescent="0.35">
      <c r="A13" s="11" t="s">
        <v>217</v>
      </c>
      <c r="B13">
        <v>15</v>
      </c>
      <c r="C13">
        <v>18</v>
      </c>
      <c r="D13">
        <v>33</v>
      </c>
    </row>
    <row r="14" spans="1:17" x14ac:dyDescent="0.35">
      <c r="A14" s="11" t="s">
        <v>148</v>
      </c>
      <c r="B14">
        <v>15</v>
      </c>
      <c r="C14">
        <v>31</v>
      </c>
      <c r="D14">
        <v>46</v>
      </c>
    </row>
    <row r="15" spans="1:17" x14ac:dyDescent="0.35">
      <c r="A15" s="11" t="s">
        <v>180</v>
      </c>
      <c r="B15">
        <v>15</v>
      </c>
      <c r="C15">
        <v>16</v>
      </c>
      <c r="D15">
        <v>31</v>
      </c>
    </row>
    <row r="16" spans="1:17" x14ac:dyDescent="0.35">
      <c r="A16" s="11" t="s">
        <v>127</v>
      </c>
      <c r="B16">
        <v>14</v>
      </c>
      <c r="C16">
        <v>24</v>
      </c>
      <c r="D16">
        <v>38</v>
      </c>
    </row>
    <row r="17" spans="1:4" x14ac:dyDescent="0.35">
      <c r="A17" s="11" t="s">
        <v>42</v>
      </c>
      <c r="B17">
        <v>14</v>
      </c>
      <c r="C17">
        <v>2</v>
      </c>
      <c r="D17">
        <v>16</v>
      </c>
    </row>
    <row r="18" spans="1:4" x14ac:dyDescent="0.35">
      <c r="A18" s="11" t="s">
        <v>175</v>
      </c>
      <c r="B18">
        <v>13</v>
      </c>
      <c r="D18">
        <v>13</v>
      </c>
    </row>
    <row r="19" spans="1:4" x14ac:dyDescent="0.35">
      <c r="A19" s="11" t="s">
        <v>100</v>
      </c>
      <c r="B19">
        <v>12</v>
      </c>
      <c r="C19">
        <v>25</v>
      </c>
      <c r="D19">
        <v>37</v>
      </c>
    </row>
    <row r="20" spans="1:4" x14ac:dyDescent="0.35">
      <c r="A20" s="11" t="s">
        <v>225</v>
      </c>
      <c r="B20">
        <v>12</v>
      </c>
      <c r="C20">
        <v>18</v>
      </c>
      <c r="D20">
        <v>30</v>
      </c>
    </row>
    <row r="21" spans="1:4" x14ac:dyDescent="0.35">
      <c r="A21" s="11" t="s">
        <v>233</v>
      </c>
      <c r="B21">
        <v>12</v>
      </c>
      <c r="C21">
        <v>15</v>
      </c>
      <c r="D21">
        <v>27</v>
      </c>
    </row>
    <row r="22" spans="1:4" x14ac:dyDescent="0.35">
      <c r="A22" s="11" t="s">
        <v>116</v>
      </c>
      <c r="B22">
        <v>10</v>
      </c>
      <c r="C22">
        <v>2</v>
      </c>
      <c r="D22">
        <v>12</v>
      </c>
    </row>
    <row r="23" spans="1:4" x14ac:dyDescent="0.35">
      <c r="A23" s="11" t="s">
        <v>260</v>
      </c>
      <c r="B23">
        <v>10</v>
      </c>
      <c r="C23">
        <v>3</v>
      </c>
      <c r="D23">
        <v>13</v>
      </c>
    </row>
    <row r="24" spans="1:4" x14ac:dyDescent="0.35">
      <c r="A24" s="11" t="s">
        <v>214</v>
      </c>
      <c r="B24">
        <v>9</v>
      </c>
      <c r="C24">
        <v>6</v>
      </c>
      <c r="D24">
        <v>15</v>
      </c>
    </row>
    <row r="25" spans="1:4" x14ac:dyDescent="0.35">
      <c r="A25" s="11" t="s">
        <v>54</v>
      </c>
      <c r="B25">
        <v>9</v>
      </c>
      <c r="C25">
        <v>9</v>
      </c>
      <c r="D25">
        <v>18</v>
      </c>
    </row>
    <row r="26" spans="1:4" x14ac:dyDescent="0.35">
      <c r="A26" s="11" t="s">
        <v>168</v>
      </c>
      <c r="B26">
        <v>9</v>
      </c>
      <c r="C26">
        <v>4</v>
      </c>
      <c r="D26">
        <v>13</v>
      </c>
    </row>
    <row r="27" spans="1:4" x14ac:dyDescent="0.35">
      <c r="A27" s="11" t="s">
        <v>45</v>
      </c>
      <c r="B27">
        <v>9</v>
      </c>
      <c r="D27">
        <v>9</v>
      </c>
    </row>
    <row r="28" spans="1:4" x14ac:dyDescent="0.35">
      <c r="A28" s="11" t="s">
        <v>361</v>
      </c>
      <c r="B28">
        <v>8</v>
      </c>
      <c r="D28">
        <v>8</v>
      </c>
    </row>
    <row r="29" spans="1:4" x14ac:dyDescent="0.35">
      <c r="A29" s="11" t="s">
        <v>63</v>
      </c>
      <c r="B29">
        <v>8</v>
      </c>
      <c r="D29">
        <v>8</v>
      </c>
    </row>
    <row r="30" spans="1:4" x14ac:dyDescent="0.35">
      <c r="A30" s="11" t="s">
        <v>327</v>
      </c>
      <c r="B30">
        <v>7</v>
      </c>
      <c r="D30">
        <v>7</v>
      </c>
    </row>
    <row r="31" spans="1:4" x14ac:dyDescent="0.35">
      <c r="A31" s="11" t="s">
        <v>60</v>
      </c>
      <c r="B31">
        <v>7</v>
      </c>
      <c r="D31">
        <v>7</v>
      </c>
    </row>
    <row r="32" spans="1:4" x14ac:dyDescent="0.35">
      <c r="A32" s="11" t="s">
        <v>96</v>
      </c>
      <c r="B32">
        <v>7</v>
      </c>
      <c r="D32">
        <v>7</v>
      </c>
    </row>
    <row r="33" spans="1:4" x14ac:dyDescent="0.35">
      <c r="A33" s="11" t="s">
        <v>93</v>
      </c>
      <c r="B33">
        <v>7</v>
      </c>
      <c r="C33">
        <v>14</v>
      </c>
      <c r="D33">
        <v>21</v>
      </c>
    </row>
    <row r="34" spans="1:4" x14ac:dyDescent="0.35">
      <c r="A34" s="11" t="s">
        <v>270</v>
      </c>
      <c r="B34">
        <v>7</v>
      </c>
      <c r="C34">
        <v>20</v>
      </c>
      <c r="D34">
        <v>27</v>
      </c>
    </row>
    <row r="35" spans="1:4" x14ac:dyDescent="0.35">
      <c r="A35" s="11" t="s">
        <v>258</v>
      </c>
      <c r="B35">
        <v>7</v>
      </c>
      <c r="C35">
        <v>7</v>
      </c>
      <c r="D35">
        <v>14</v>
      </c>
    </row>
    <row r="36" spans="1:4" x14ac:dyDescent="0.35">
      <c r="A36" s="11" t="s">
        <v>187</v>
      </c>
      <c r="B36">
        <v>7</v>
      </c>
      <c r="D36">
        <v>7</v>
      </c>
    </row>
    <row r="37" spans="1:4" x14ac:dyDescent="0.35">
      <c r="A37" s="11" t="s">
        <v>264</v>
      </c>
      <c r="B37">
        <v>7</v>
      </c>
      <c r="D37">
        <v>7</v>
      </c>
    </row>
    <row r="38" spans="1:4" x14ac:dyDescent="0.35">
      <c r="A38" s="11" t="s">
        <v>89</v>
      </c>
      <c r="B38">
        <v>7</v>
      </c>
      <c r="C38">
        <v>16</v>
      </c>
      <c r="D38">
        <v>23</v>
      </c>
    </row>
    <row r="39" spans="1:4" x14ac:dyDescent="0.35">
      <c r="A39" s="11" t="s">
        <v>246</v>
      </c>
      <c r="B39">
        <v>7</v>
      </c>
      <c r="C39">
        <v>1</v>
      </c>
      <c r="D39">
        <v>8</v>
      </c>
    </row>
    <row r="40" spans="1:4" x14ac:dyDescent="0.35">
      <c r="A40" s="11" t="s">
        <v>151</v>
      </c>
      <c r="B40">
        <v>6</v>
      </c>
      <c r="C40">
        <v>6</v>
      </c>
      <c r="D40">
        <v>12</v>
      </c>
    </row>
    <row r="41" spans="1:4" x14ac:dyDescent="0.35">
      <c r="A41" s="11" t="s">
        <v>84</v>
      </c>
      <c r="B41">
        <v>6</v>
      </c>
      <c r="D41">
        <v>6</v>
      </c>
    </row>
    <row r="42" spans="1:4" x14ac:dyDescent="0.35">
      <c r="A42" s="11" t="s">
        <v>337</v>
      </c>
      <c r="B42">
        <v>6</v>
      </c>
      <c r="D42">
        <v>6</v>
      </c>
    </row>
    <row r="43" spans="1:4" x14ac:dyDescent="0.35">
      <c r="A43" s="11" t="s">
        <v>241</v>
      </c>
      <c r="B43">
        <v>6</v>
      </c>
      <c r="C43">
        <v>3</v>
      </c>
      <c r="D43">
        <v>9</v>
      </c>
    </row>
    <row r="44" spans="1:4" x14ac:dyDescent="0.35">
      <c r="A44" s="11" t="s">
        <v>118</v>
      </c>
      <c r="B44">
        <v>6</v>
      </c>
      <c r="C44">
        <v>8</v>
      </c>
      <c r="D44">
        <v>14</v>
      </c>
    </row>
    <row r="45" spans="1:4" x14ac:dyDescent="0.35">
      <c r="A45" s="11" t="s">
        <v>95</v>
      </c>
      <c r="B45">
        <v>6</v>
      </c>
      <c r="C45">
        <v>26</v>
      </c>
      <c r="D45">
        <v>32</v>
      </c>
    </row>
    <row r="46" spans="1:4" x14ac:dyDescent="0.35">
      <c r="A46" s="11" t="s">
        <v>322</v>
      </c>
      <c r="B46">
        <v>6</v>
      </c>
      <c r="D46">
        <v>6</v>
      </c>
    </row>
    <row r="47" spans="1:4" x14ac:dyDescent="0.35">
      <c r="A47" s="11" t="s">
        <v>140</v>
      </c>
      <c r="B47">
        <v>6</v>
      </c>
      <c r="D47">
        <v>6</v>
      </c>
    </row>
    <row r="48" spans="1:4" x14ac:dyDescent="0.35">
      <c r="A48" s="11" t="s">
        <v>253</v>
      </c>
      <c r="B48">
        <v>6</v>
      </c>
      <c r="D48">
        <v>6</v>
      </c>
    </row>
    <row r="49" spans="1:4" x14ac:dyDescent="0.35">
      <c r="A49" s="11" t="s">
        <v>125</v>
      </c>
      <c r="B49">
        <v>6</v>
      </c>
      <c r="C49">
        <v>6</v>
      </c>
      <c r="D49">
        <v>12</v>
      </c>
    </row>
    <row r="50" spans="1:4" x14ac:dyDescent="0.35">
      <c r="A50" s="11" t="s">
        <v>344</v>
      </c>
      <c r="B50">
        <v>6</v>
      </c>
      <c r="D50">
        <v>6</v>
      </c>
    </row>
    <row r="51" spans="1:4" x14ac:dyDescent="0.35">
      <c r="A51" s="11" t="s">
        <v>37</v>
      </c>
      <c r="B51">
        <v>6</v>
      </c>
      <c r="D51">
        <v>6</v>
      </c>
    </row>
    <row r="52" spans="1:4" x14ac:dyDescent="0.35">
      <c r="A52" s="11" t="s">
        <v>56</v>
      </c>
      <c r="B52">
        <v>6</v>
      </c>
      <c r="D52">
        <v>6</v>
      </c>
    </row>
    <row r="53" spans="1:4" x14ac:dyDescent="0.35">
      <c r="A53" s="11" t="s">
        <v>78</v>
      </c>
      <c r="B53">
        <v>6</v>
      </c>
      <c r="C53">
        <v>12</v>
      </c>
      <c r="D53">
        <v>18</v>
      </c>
    </row>
    <row r="54" spans="1:4" x14ac:dyDescent="0.35">
      <c r="A54" s="11" t="s">
        <v>283</v>
      </c>
      <c r="B54">
        <v>6</v>
      </c>
      <c r="D54">
        <v>6</v>
      </c>
    </row>
    <row r="55" spans="1:4" x14ac:dyDescent="0.35">
      <c r="A55" s="11" t="s">
        <v>74</v>
      </c>
      <c r="B55">
        <v>5</v>
      </c>
      <c r="D55">
        <v>5</v>
      </c>
    </row>
    <row r="56" spans="1:4" x14ac:dyDescent="0.35">
      <c r="A56" s="11" t="s">
        <v>88</v>
      </c>
      <c r="B56">
        <v>5</v>
      </c>
      <c r="C56">
        <v>13</v>
      </c>
      <c r="D56">
        <v>18</v>
      </c>
    </row>
    <row r="57" spans="1:4" x14ac:dyDescent="0.35">
      <c r="A57" s="11" t="s">
        <v>339</v>
      </c>
      <c r="B57">
        <v>5</v>
      </c>
      <c r="D57">
        <v>5</v>
      </c>
    </row>
    <row r="58" spans="1:4" x14ac:dyDescent="0.35">
      <c r="A58" s="11" t="s">
        <v>152</v>
      </c>
      <c r="B58">
        <v>5</v>
      </c>
      <c r="C58">
        <v>3</v>
      </c>
      <c r="D58">
        <v>8</v>
      </c>
    </row>
    <row r="59" spans="1:4" x14ac:dyDescent="0.35">
      <c r="A59" s="11" t="s">
        <v>329</v>
      </c>
      <c r="B59">
        <v>5</v>
      </c>
      <c r="D59">
        <v>5</v>
      </c>
    </row>
    <row r="60" spans="1:4" x14ac:dyDescent="0.35">
      <c r="A60" s="11" t="s">
        <v>41</v>
      </c>
      <c r="B60">
        <v>5</v>
      </c>
      <c r="C60">
        <v>7</v>
      </c>
      <c r="D60">
        <v>12</v>
      </c>
    </row>
    <row r="61" spans="1:4" x14ac:dyDescent="0.35">
      <c r="A61" s="11" t="s">
        <v>343</v>
      </c>
      <c r="B61">
        <v>5</v>
      </c>
      <c r="D61">
        <v>5</v>
      </c>
    </row>
    <row r="62" spans="1:4" x14ac:dyDescent="0.35">
      <c r="A62" s="11" t="s">
        <v>101</v>
      </c>
      <c r="B62">
        <v>4</v>
      </c>
      <c r="D62">
        <v>4</v>
      </c>
    </row>
    <row r="63" spans="1:4" x14ac:dyDescent="0.35">
      <c r="A63" s="11" t="s">
        <v>430</v>
      </c>
      <c r="B63">
        <v>4</v>
      </c>
      <c r="D63">
        <v>4</v>
      </c>
    </row>
    <row r="64" spans="1:4" x14ac:dyDescent="0.35">
      <c r="A64" s="11" t="s">
        <v>348</v>
      </c>
      <c r="B64">
        <v>4</v>
      </c>
      <c r="D64">
        <v>4</v>
      </c>
    </row>
    <row r="65" spans="1:4" x14ac:dyDescent="0.35">
      <c r="A65" s="11" t="s">
        <v>181</v>
      </c>
      <c r="B65">
        <v>4</v>
      </c>
      <c r="C65">
        <v>1</v>
      </c>
      <c r="D65">
        <v>5</v>
      </c>
    </row>
    <row r="66" spans="1:4" x14ac:dyDescent="0.35">
      <c r="A66" s="11" t="s">
        <v>138</v>
      </c>
      <c r="B66">
        <v>4</v>
      </c>
      <c r="D66">
        <v>4</v>
      </c>
    </row>
    <row r="67" spans="1:4" x14ac:dyDescent="0.35">
      <c r="A67" s="11" t="s">
        <v>130</v>
      </c>
      <c r="B67">
        <v>4</v>
      </c>
      <c r="C67">
        <v>3</v>
      </c>
      <c r="D67">
        <v>7</v>
      </c>
    </row>
    <row r="68" spans="1:4" x14ac:dyDescent="0.35">
      <c r="A68" s="11" t="s">
        <v>394</v>
      </c>
      <c r="B68">
        <v>4</v>
      </c>
      <c r="D68">
        <v>4</v>
      </c>
    </row>
    <row r="69" spans="1:4" x14ac:dyDescent="0.35">
      <c r="A69" s="11" t="s">
        <v>82</v>
      </c>
      <c r="B69">
        <v>4</v>
      </c>
      <c r="D69">
        <v>4</v>
      </c>
    </row>
    <row r="70" spans="1:4" x14ac:dyDescent="0.35">
      <c r="A70" s="11" t="s">
        <v>352</v>
      </c>
      <c r="B70">
        <v>4</v>
      </c>
      <c r="C70">
        <v>1</v>
      </c>
      <c r="D70">
        <v>5</v>
      </c>
    </row>
    <row r="71" spans="1:4" x14ac:dyDescent="0.35">
      <c r="A71" s="11" t="s">
        <v>178</v>
      </c>
      <c r="B71">
        <v>4</v>
      </c>
      <c r="D71">
        <v>4</v>
      </c>
    </row>
    <row r="72" spans="1:4" x14ac:dyDescent="0.35">
      <c r="A72" s="11" t="s">
        <v>336</v>
      </c>
      <c r="B72">
        <v>4</v>
      </c>
      <c r="D72">
        <v>4</v>
      </c>
    </row>
    <row r="73" spans="1:4" x14ac:dyDescent="0.35">
      <c r="A73" s="11" t="s">
        <v>315</v>
      </c>
      <c r="B73">
        <v>4</v>
      </c>
      <c r="C73">
        <v>4</v>
      </c>
      <c r="D73">
        <v>8</v>
      </c>
    </row>
    <row r="74" spans="1:4" x14ac:dyDescent="0.35">
      <c r="A74" s="11" t="s">
        <v>290</v>
      </c>
      <c r="B74">
        <v>3</v>
      </c>
      <c r="D74">
        <v>3</v>
      </c>
    </row>
    <row r="75" spans="1:4" x14ac:dyDescent="0.35">
      <c r="A75" s="11" t="s">
        <v>371</v>
      </c>
      <c r="B75">
        <v>3</v>
      </c>
      <c r="D75">
        <v>3</v>
      </c>
    </row>
    <row r="76" spans="1:4" x14ac:dyDescent="0.35">
      <c r="A76" s="11" t="s">
        <v>434</v>
      </c>
      <c r="B76">
        <v>3</v>
      </c>
      <c r="D76">
        <v>3</v>
      </c>
    </row>
    <row r="77" spans="1:4" x14ac:dyDescent="0.35">
      <c r="A77" s="11" t="s">
        <v>335</v>
      </c>
      <c r="B77">
        <v>3</v>
      </c>
      <c r="D77">
        <v>3</v>
      </c>
    </row>
    <row r="78" spans="1:4" x14ac:dyDescent="0.35">
      <c r="A78" s="11" t="s">
        <v>134</v>
      </c>
      <c r="B78">
        <v>3</v>
      </c>
      <c r="D78">
        <v>3</v>
      </c>
    </row>
    <row r="79" spans="1:4" x14ac:dyDescent="0.35">
      <c r="A79" s="11" t="s">
        <v>354</v>
      </c>
      <c r="B79">
        <v>3</v>
      </c>
      <c r="D79">
        <v>3</v>
      </c>
    </row>
    <row r="80" spans="1:4" x14ac:dyDescent="0.35">
      <c r="A80" s="11" t="s">
        <v>238</v>
      </c>
      <c r="B80">
        <v>3</v>
      </c>
      <c r="D80">
        <v>3</v>
      </c>
    </row>
    <row r="81" spans="1:4" x14ac:dyDescent="0.35">
      <c r="A81" s="11" t="s">
        <v>299</v>
      </c>
      <c r="B81">
        <v>3</v>
      </c>
      <c r="D81">
        <v>3</v>
      </c>
    </row>
    <row r="82" spans="1:4" x14ac:dyDescent="0.35">
      <c r="A82" s="11" t="s">
        <v>333</v>
      </c>
      <c r="B82">
        <v>3</v>
      </c>
      <c r="D82">
        <v>3</v>
      </c>
    </row>
    <row r="83" spans="1:4" x14ac:dyDescent="0.35">
      <c r="A83" s="11" t="s">
        <v>145</v>
      </c>
      <c r="B83">
        <v>3</v>
      </c>
      <c r="C83">
        <v>2</v>
      </c>
      <c r="D83">
        <v>5</v>
      </c>
    </row>
    <row r="84" spans="1:4" x14ac:dyDescent="0.35">
      <c r="A84" s="11" t="s">
        <v>17</v>
      </c>
      <c r="B84">
        <v>3</v>
      </c>
      <c r="C84">
        <v>1</v>
      </c>
      <c r="D84">
        <v>4</v>
      </c>
    </row>
    <row r="85" spans="1:4" x14ac:dyDescent="0.35">
      <c r="A85" s="11" t="s">
        <v>36</v>
      </c>
      <c r="B85">
        <v>3</v>
      </c>
      <c r="C85">
        <v>4</v>
      </c>
      <c r="D85">
        <v>7</v>
      </c>
    </row>
    <row r="86" spans="1:4" x14ac:dyDescent="0.35">
      <c r="A86" s="11" t="s">
        <v>284</v>
      </c>
      <c r="B86">
        <v>3</v>
      </c>
      <c r="C86">
        <v>4</v>
      </c>
      <c r="D86">
        <v>7</v>
      </c>
    </row>
    <row r="87" spans="1:4" x14ac:dyDescent="0.35">
      <c r="A87" s="11" t="s">
        <v>206</v>
      </c>
      <c r="B87">
        <v>3</v>
      </c>
      <c r="C87">
        <v>3</v>
      </c>
      <c r="D87">
        <v>6</v>
      </c>
    </row>
    <row r="88" spans="1:4" x14ac:dyDescent="0.35">
      <c r="A88" s="11" t="s">
        <v>197</v>
      </c>
      <c r="B88">
        <v>3</v>
      </c>
      <c r="C88">
        <v>8</v>
      </c>
      <c r="D88">
        <v>11</v>
      </c>
    </row>
    <row r="89" spans="1:4" x14ac:dyDescent="0.35">
      <c r="A89" s="11" t="s">
        <v>252</v>
      </c>
      <c r="B89">
        <v>3</v>
      </c>
      <c r="C89">
        <v>6</v>
      </c>
      <c r="D89">
        <v>9</v>
      </c>
    </row>
    <row r="90" spans="1:4" x14ac:dyDescent="0.35">
      <c r="A90" s="11" t="s">
        <v>330</v>
      </c>
      <c r="B90">
        <v>2</v>
      </c>
      <c r="D90">
        <v>2</v>
      </c>
    </row>
    <row r="91" spans="1:4" x14ac:dyDescent="0.35">
      <c r="A91" s="11" t="s">
        <v>49</v>
      </c>
      <c r="B91">
        <v>2</v>
      </c>
      <c r="D91">
        <v>2</v>
      </c>
    </row>
    <row r="92" spans="1:4" x14ac:dyDescent="0.35">
      <c r="A92" s="11" t="s">
        <v>111</v>
      </c>
      <c r="B92">
        <v>2</v>
      </c>
      <c r="D92">
        <v>2</v>
      </c>
    </row>
    <row r="93" spans="1:4" x14ac:dyDescent="0.35">
      <c r="A93" s="11" t="s">
        <v>158</v>
      </c>
      <c r="B93">
        <v>2</v>
      </c>
      <c r="D93">
        <v>2</v>
      </c>
    </row>
    <row r="94" spans="1:4" x14ac:dyDescent="0.35">
      <c r="A94" s="11" t="s">
        <v>160</v>
      </c>
      <c r="B94">
        <v>2</v>
      </c>
      <c r="D94">
        <v>2</v>
      </c>
    </row>
    <row r="95" spans="1:4" x14ac:dyDescent="0.35">
      <c r="A95" s="11" t="s">
        <v>418</v>
      </c>
      <c r="B95">
        <v>2</v>
      </c>
      <c r="D95">
        <v>2</v>
      </c>
    </row>
    <row r="96" spans="1:4" x14ac:dyDescent="0.35">
      <c r="A96" s="11" t="s">
        <v>325</v>
      </c>
      <c r="B96">
        <v>2</v>
      </c>
      <c r="D96">
        <v>2</v>
      </c>
    </row>
    <row r="97" spans="1:4" x14ac:dyDescent="0.35">
      <c r="A97" s="11" t="s">
        <v>269</v>
      </c>
      <c r="B97">
        <v>2</v>
      </c>
      <c r="D97">
        <v>2</v>
      </c>
    </row>
    <row r="98" spans="1:4" x14ac:dyDescent="0.35">
      <c r="A98" s="11" t="s">
        <v>209</v>
      </c>
      <c r="B98">
        <v>2</v>
      </c>
      <c r="C98">
        <v>2</v>
      </c>
      <c r="D98">
        <v>4</v>
      </c>
    </row>
    <row r="99" spans="1:4" x14ac:dyDescent="0.35">
      <c r="A99" s="11" t="s">
        <v>177</v>
      </c>
      <c r="B99">
        <v>2</v>
      </c>
      <c r="D99">
        <v>2</v>
      </c>
    </row>
    <row r="100" spans="1:4" x14ac:dyDescent="0.35">
      <c r="A100" s="11" t="s">
        <v>236</v>
      </c>
      <c r="B100">
        <v>2</v>
      </c>
      <c r="C100">
        <v>7</v>
      </c>
      <c r="D100">
        <v>9</v>
      </c>
    </row>
    <row r="101" spans="1:4" x14ac:dyDescent="0.35">
      <c r="A101" s="11" t="s">
        <v>18</v>
      </c>
      <c r="B101">
        <v>2</v>
      </c>
      <c r="D101">
        <v>2</v>
      </c>
    </row>
    <row r="102" spans="1:4" x14ac:dyDescent="0.35">
      <c r="A102" s="11" t="s">
        <v>43</v>
      </c>
      <c r="B102">
        <v>2</v>
      </c>
      <c r="D102">
        <v>2</v>
      </c>
    </row>
    <row r="103" spans="1:4" x14ac:dyDescent="0.35">
      <c r="A103" s="11" t="s">
        <v>377</v>
      </c>
      <c r="B103">
        <v>2</v>
      </c>
      <c r="D103">
        <v>2</v>
      </c>
    </row>
    <row r="104" spans="1:4" x14ac:dyDescent="0.35">
      <c r="A104" s="11" t="s">
        <v>356</v>
      </c>
      <c r="B104">
        <v>2</v>
      </c>
      <c r="D104">
        <v>2</v>
      </c>
    </row>
    <row r="105" spans="1:4" x14ac:dyDescent="0.35">
      <c r="A105" s="11" t="s">
        <v>149</v>
      </c>
      <c r="B105">
        <v>2</v>
      </c>
      <c r="C105">
        <v>3</v>
      </c>
      <c r="D105">
        <v>5</v>
      </c>
    </row>
    <row r="106" spans="1:4" x14ac:dyDescent="0.35">
      <c r="A106" s="11" t="s">
        <v>154</v>
      </c>
      <c r="B106">
        <v>2</v>
      </c>
      <c r="C106">
        <v>2</v>
      </c>
      <c r="D106">
        <v>4</v>
      </c>
    </row>
    <row r="107" spans="1:4" x14ac:dyDescent="0.35">
      <c r="A107" s="11" t="s">
        <v>427</v>
      </c>
      <c r="B107">
        <v>1</v>
      </c>
      <c r="D107">
        <v>1</v>
      </c>
    </row>
    <row r="108" spans="1:4" x14ac:dyDescent="0.35">
      <c r="A108" s="11" t="s">
        <v>97</v>
      </c>
      <c r="B108">
        <v>1</v>
      </c>
      <c r="D108">
        <v>1</v>
      </c>
    </row>
    <row r="109" spans="1:4" x14ac:dyDescent="0.35">
      <c r="A109" s="11" t="s">
        <v>365</v>
      </c>
      <c r="B109">
        <v>1</v>
      </c>
      <c r="D109">
        <v>1</v>
      </c>
    </row>
    <row r="110" spans="1:4" x14ac:dyDescent="0.35">
      <c r="A110" s="11" t="s">
        <v>211</v>
      </c>
      <c r="B110">
        <v>1</v>
      </c>
      <c r="D110">
        <v>1</v>
      </c>
    </row>
    <row r="111" spans="1:4" x14ac:dyDescent="0.35">
      <c r="A111" s="11" t="s">
        <v>370</v>
      </c>
      <c r="B111">
        <v>1</v>
      </c>
      <c r="C111">
        <v>1</v>
      </c>
      <c r="D111">
        <v>2</v>
      </c>
    </row>
    <row r="112" spans="1:4" x14ac:dyDescent="0.35">
      <c r="A112" s="11" t="s">
        <v>216</v>
      </c>
      <c r="B112">
        <v>1</v>
      </c>
      <c r="D112">
        <v>1</v>
      </c>
    </row>
    <row r="113" spans="1:4" x14ac:dyDescent="0.35">
      <c r="A113" s="11" t="s">
        <v>167</v>
      </c>
      <c r="B113">
        <v>1</v>
      </c>
      <c r="D113">
        <v>1</v>
      </c>
    </row>
    <row r="114" spans="1:4" x14ac:dyDescent="0.35">
      <c r="A114" s="11" t="s">
        <v>30</v>
      </c>
      <c r="B114">
        <v>1</v>
      </c>
      <c r="D114">
        <v>1</v>
      </c>
    </row>
    <row r="115" spans="1:4" x14ac:dyDescent="0.35">
      <c r="A115" s="11" t="s">
        <v>51</v>
      </c>
      <c r="B115">
        <v>1</v>
      </c>
      <c r="D115">
        <v>1</v>
      </c>
    </row>
    <row r="116" spans="1:4" x14ac:dyDescent="0.35">
      <c r="A116" s="11" t="s">
        <v>47</v>
      </c>
      <c r="B116">
        <v>1</v>
      </c>
      <c r="D116">
        <v>1</v>
      </c>
    </row>
    <row r="117" spans="1:4" x14ac:dyDescent="0.35">
      <c r="A117" s="11" t="s">
        <v>313</v>
      </c>
      <c r="B117">
        <v>1</v>
      </c>
      <c r="D117">
        <v>1</v>
      </c>
    </row>
    <row r="118" spans="1:4" x14ac:dyDescent="0.35">
      <c r="A118" s="11" t="s">
        <v>406</v>
      </c>
      <c r="B118">
        <v>1</v>
      </c>
      <c r="D118">
        <v>1</v>
      </c>
    </row>
    <row r="119" spans="1:4" x14ac:dyDescent="0.35">
      <c r="A119" s="11" t="s">
        <v>139</v>
      </c>
      <c r="B119">
        <v>1</v>
      </c>
      <c r="D119">
        <v>1</v>
      </c>
    </row>
    <row r="120" spans="1:4" x14ac:dyDescent="0.35">
      <c r="A120" s="11" t="s">
        <v>73</v>
      </c>
      <c r="B120">
        <v>1</v>
      </c>
      <c r="D120">
        <v>1</v>
      </c>
    </row>
    <row r="121" spans="1:4" x14ac:dyDescent="0.35">
      <c r="A121" s="11" t="s">
        <v>314</v>
      </c>
      <c r="B121">
        <v>1</v>
      </c>
      <c r="D121">
        <v>1</v>
      </c>
    </row>
    <row r="122" spans="1:4" x14ac:dyDescent="0.35">
      <c r="A122" s="11" t="s">
        <v>395</v>
      </c>
      <c r="B122">
        <v>1</v>
      </c>
      <c r="D122">
        <v>1</v>
      </c>
    </row>
    <row r="123" spans="1:4" x14ac:dyDescent="0.35">
      <c r="A123" s="11" t="s">
        <v>384</v>
      </c>
      <c r="B123">
        <v>1</v>
      </c>
      <c r="D123">
        <v>1</v>
      </c>
    </row>
    <row r="124" spans="1:4" x14ac:dyDescent="0.35">
      <c r="A124" s="11" t="s">
        <v>397</v>
      </c>
      <c r="B124">
        <v>1</v>
      </c>
      <c r="D124">
        <v>1</v>
      </c>
    </row>
    <row r="125" spans="1:4" x14ac:dyDescent="0.35">
      <c r="A125" s="11" t="s">
        <v>25</v>
      </c>
      <c r="B125">
        <v>1</v>
      </c>
      <c r="D125">
        <v>1</v>
      </c>
    </row>
    <row r="126" spans="1:4" x14ac:dyDescent="0.35">
      <c r="A126" s="11" t="s">
        <v>437</v>
      </c>
      <c r="B126">
        <v>1</v>
      </c>
      <c r="D126">
        <v>1</v>
      </c>
    </row>
    <row r="127" spans="1:4" x14ac:dyDescent="0.35">
      <c r="A127" s="11" t="s">
        <v>169</v>
      </c>
      <c r="B127">
        <v>1</v>
      </c>
      <c r="C127">
        <v>1</v>
      </c>
      <c r="D127">
        <v>2</v>
      </c>
    </row>
    <row r="128" spans="1:4" x14ac:dyDescent="0.35">
      <c r="A128" s="11" t="s">
        <v>34</v>
      </c>
      <c r="B128">
        <v>1</v>
      </c>
      <c r="D128">
        <v>1</v>
      </c>
    </row>
    <row r="129" spans="1:4" x14ac:dyDescent="0.35">
      <c r="A129" s="11" t="s">
        <v>248</v>
      </c>
      <c r="B129">
        <v>1</v>
      </c>
      <c r="C129">
        <v>6</v>
      </c>
      <c r="D129">
        <v>7</v>
      </c>
    </row>
    <row r="130" spans="1:4" x14ac:dyDescent="0.35">
      <c r="A130" s="11" t="s">
        <v>195</v>
      </c>
      <c r="B130">
        <v>1</v>
      </c>
      <c r="C130">
        <v>5</v>
      </c>
      <c r="D130">
        <v>6</v>
      </c>
    </row>
    <row r="131" spans="1:4" x14ac:dyDescent="0.35">
      <c r="A131" s="11" t="s">
        <v>164</v>
      </c>
      <c r="B131">
        <v>1</v>
      </c>
      <c r="D131">
        <v>1</v>
      </c>
    </row>
    <row r="132" spans="1:4" x14ac:dyDescent="0.35">
      <c r="A132" s="11" t="s">
        <v>231</v>
      </c>
      <c r="B132">
        <v>1</v>
      </c>
      <c r="D132">
        <v>1</v>
      </c>
    </row>
    <row r="133" spans="1:4" x14ac:dyDescent="0.35">
      <c r="A133" s="11" t="s">
        <v>298</v>
      </c>
      <c r="B133">
        <v>1</v>
      </c>
      <c r="D133">
        <v>1</v>
      </c>
    </row>
    <row r="134" spans="1:4" x14ac:dyDescent="0.35">
      <c r="A134" s="11" t="s">
        <v>416</v>
      </c>
      <c r="C134">
        <v>3</v>
      </c>
      <c r="D134">
        <v>3</v>
      </c>
    </row>
    <row r="135" spans="1:4" x14ac:dyDescent="0.35">
      <c r="A135" s="11" t="s">
        <v>226</v>
      </c>
      <c r="C135">
        <v>2</v>
      </c>
      <c r="D135">
        <v>2</v>
      </c>
    </row>
    <row r="136" spans="1:4" x14ac:dyDescent="0.35">
      <c r="A136" s="11" t="s">
        <v>428</v>
      </c>
      <c r="C136">
        <v>1</v>
      </c>
      <c r="D136">
        <v>1</v>
      </c>
    </row>
    <row r="137" spans="1:4" x14ac:dyDescent="0.35">
      <c r="A137" s="11" t="s">
        <v>112</v>
      </c>
      <c r="C137">
        <v>26</v>
      </c>
      <c r="D137">
        <v>26</v>
      </c>
    </row>
    <row r="138" spans="1:4" x14ac:dyDescent="0.35">
      <c r="A138" s="11" t="s">
        <v>396</v>
      </c>
      <c r="C138">
        <v>3</v>
      </c>
      <c r="D138">
        <v>3</v>
      </c>
    </row>
    <row r="139" spans="1:4" x14ac:dyDescent="0.35">
      <c r="A139" s="11" t="s">
        <v>421</v>
      </c>
      <c r="C139">
        <v>1</v>
      </c>
      <c r="D139">
        <v>1</v>
      </c>
    </row>
    <row r="140" spans="1:4" x14ac:dyDescent="0.35">
      <c r="A140" s="11" t="s">
        <v>376</v>
      </c>
      <c r="C140">
        <v>1</v>
      </c>
      <c r="D140">
        <v>1</v>
      </c>
    </row>
    <row r="141" spans="1:4" x14ac:dyDescent="0.35">
      <c r="A141" s="11" t="s">
        <v>191</v>
      </c>
      <c r="C141">
        <v>1</v>
      </c>
      <c r="D141">
        <v>1</v>
      </c>
    </row>
    <row r="142" spans="1:4" x14ac:dyDescent="0.35">
      <c r="A142" s="11" t="s">
        <v>115</v>
      </c>
      <c r="C142">
        <v>20</v>
      </c>
      <c r="D142">
        <v>20</v>
      </c>
    </row>
    <row r="143" spans="1:4" x14ac:dyDescent="0.35">
      <c r="A143" s="11" t="s">
        <v>67</v>
      </c>
      <c r="C143">
        <v>1</v>
      </c>
      <c r="D143">
        <v>1</v>
      </c>
    </row>
    <row r="144" spans="1:4" x14ac:dyDescent="0.35">
      <c r="A144" s="11" t="s">
        <v>103</v>
      </c>
      <c r="C144">
        <v>1</v>
      </c>
      <c r="D144">
        <v>1</v>
      </c>
    </row>
    <row r="145" spans="1:4" x14ac:dyDescent="0.35">
      <c r="A145" s="11" t="s">
        <v>297</v>
      </c>
      <c r="C145">
        <v>1</v>
      </c>
      <c r="D145">
        <v>1</v>
      </c>
    </row>
    <row r="146" spans="1:4" x14ac:dyDescent="0.35">
      <c r="A146" s="11" t="s">
        <v>131</v>
      </c>
      <c r="C146">
        <v>13</v>
      </c>
      <c r="D146">
        <v>13</v>
      </c>
    </row>
    <row r="147" spans="1:4" x14ac:dyDescent="0.35">
      <c r="A147" s="11" t="s">
        <v>113</v>
      </c>
      <c r="C147">
        <v>3</v>
      </c>
      <c r="D147">
        <v>3</v>
      </c>
    </row>
    <row r="148" spans="1:4" x14ac:dyDescent="0.35">
      <c r="A148" s="11" t="s">
        <v>190</v>
      </c>
      <c r="C148">
        <v>1</v>
      </c>
      <c r="D148">
        <v>1</v>
      </c>
    </row>
    <row r="149" spans="1:4" x14ac:dyDescent="0.35">
      <c r="A149" s="11" t="s">
        <v>232</v>
      </c>
      <c r="C149">
        <v>2</v>
      </c>
      <c r="D149">
        <v>2</v>
      </c>
    </row>
    <row r="150" spans="1:4" x14ac:dyDescent="0.35">
      <c r="A150" s="11" t="s">
        <v>388</v>
      </c>
      <c r="C150">
        <v>2</v>
      </c>
      <c r="D150">
        <v>2</v>
      </c>
    </row>
    <row r="151" spans="1:4" x14ac:dyDescent="0.35">
      <c r="A151" s="11" t="s">
        <v>185</v>
      </c>
      <c r="C151">
        <v>1</v>
      </c>
      <c r="D151">
        <v>1</v>
      </c>
    </row>
    <row r="152" spans="1:4" x14ac:dyDescent="0.35">
      <c r="A152" s="11" t="s">
        <v>212</v>
      </c>
      <c r="C152">
        <v>1</v>
      </c>
      <c r="D152">
        <v>1</v>
      </c>
    </row>
    <row r="153" spans="1:4" x14ac:dyDescent="0.35">
      <c r="A153" s="11" t="s">
        <v>320</v>
      </c>
      <c r="C153">
        <v>4</v>
      </c>
      <c r="D153">
        <v>4</v>
      </c>
    </row>
    <row r="154" spans="1:4" x14ac:dyDescent="0.35">
      <c r="A154" s="11" t="s">
        <v>402</v>
      </c>
      <c r="C154">
        <v>1</v>
      </c>
      <c r="D154">
        <v>1</v>
      </c>
    </row>
    <row r="155" spans="1:4" x14ac:dyDescent="0.35">
      <c r="A155" s="11" t="s">
        <v>227</v>
      </c>
      <c r="C155">
        <v>3</v>
      </c>
      <c r="D155">
        <v>3</v>
      </c>
    </row>
    <row r="156" spans="1:4" x14ac:dyDescent="0.35">
      <c r="A156" s="11" t="s">
        <v>77</v>
      </c>
      <c r="C156">
        <v>4</v>
      </c>
      <c r="D156">
        <v>4</v>
      </c>
    </row>
    <row r="157" spans="1:4" x14ac:dyDescent="0.35">
      <c r="A157" s="11" t="s">
        <v>407</v>
      </c>
      <c r="C157">
        <v>2</v>
      </c>
      <c r="D157">
        <v>2</v>
      </c>
    </row>
    <row r="158" spans="1:4" x14ac:dyDescent="0.35">
      <c r="A158" s="11" t="s">
        <v>159</v>
      </c>
      <c r="C158">
        <v>1</v>
      </c>
      <c r="D158">
        <v>1</v>
      </c>
    </row>
    <row r="159" spans="1:4" x14ac:dyDescent="0.35">
      <c r="A159" s="11" t="s">
        <v>423</v>
      </c>
      <c r="C159">
        <v>1</v>
      </c>
      <c r="D159">
        <v>1</v>
      </c>
    </row>
    <row r="160" spans="1:4" x14ac:dyDescent="0.35">
      <c r="A160" s="11" t="s">
        <v>144</v>
      </c>
      <c r="C160">
        <v>8</v>
      </c>
      <c r="D160">
        <v>8</v>
      </c>
    </row>
    <row r="161" spans="1:4" x14ac:dyDescent="0.35">
      <c r="A161" s="11" t="s">
        <v>357</v>
      </c>
      <c r="C161">
        <v>1</v>
      </c>
      <c r="D161">
        <v>1</v>
      </c>
    </row>
    <row r="162" spans="1:4" x14ac:dyDescent="0.35">
      <c r="A162" s="11" t="s">
        <v>391</v>
      </c>
      <c r="C162">
        <v>4</v>
      </c>
      <c r="D162">
        <v>4</v>
      </c>
    </row>
    <row r="163" spans="1:4" x14ac:dyDescent="0.35">
      <c r="A163" s="11" t="s">
        <v>420</v>
      </c>
      <c r="C163">
        <v>1</v>
      </c>
      <c r="D163">
        <v>1</v>
      </c>
    </row>
    <row r="164" spans="1:4" x14ac:dyDescent="0.35">
      <c r="A164" s="11" t="s">
        <v>422</v>
      </c>
      <c r="C164">
        <v>1</v>
      </c>
      <c r="D164">
        <v>1</v>
      </c>
    </row>
    <row r="165" spans="1:4" x14ac:dyDescent="0.35">
      <c r="A165" s="11" t="s">
        <v>286</v>
      </c>
      <c r="C165">
        <v>1</v>
      </c>
      <c r="D165">
        <v>1</v>
      </c>
    </row>
    <row r="166" spans="1:4" x14ac:dyDescent="0.35">
      <c r="A166" s="11" t="s">
        <v>133</v>
      </c>
      <c r="C166">
        <v>1</v>
      </c>
      <c r="D166">
        <v>1</v>
      </c>
    </row>
    <row r="167" spans="1:4" x14ac:dyDescent="0.35">
      <c r="A167" s="11" t="s">
        <v>294</v>
      </c>
      <c r="C167">
        <v>11</v>
      </c>
      <c r="D167">
        <v>11</v>
      </c>
    </row>
    <row r="168" spans="1:4" x14ac:dyDescent="0.35">
      <c r="A168" s="11" t="s">
        <v>128</v>
      </c>
      <c r="C168">
        <v>3</v>
      </c>
      <c r="D168">
        <v>3</v>
      </c>
    </row>
    <row r="169" spans="1:4" x14ac:dyDescent="0.35">
      <c r="A169" s="11" t="s">
        <v>245</v>
      </c>
      <c r="C169">
        <v>4</v>
      </c>
      <c r="D169">
        <v>4</v>
      </c>
    </row>
    <row r="170" spans="1:4" x14ac:dyDescent="0.35">
      <c r="A170" s="11" t="s">
        <v>405</v>
      </c>
      <c r="C170">
        <v>1</v>
      </c>
      <c r="D170">
        <v>1</v>
      </c>
    </row>
    <row r="171" spans="1:4" x14ac:dyDescent="0.35">
      <c r="A171" s="11" t="s">
        <v>165</v>
      </c>
      <c r="C171">
        <v>2</v>
      </c>
      <c r="D171">
        <v>2</v>
      </c>
    </row>
    <row r="172" spans="1:4" x14ac:dyDescent="0.35">
      <c r="A172" s="11" t="s">
        <v>412</v>
      </c>
      <c r="C172">
        <v>4</v>
      </c>
      <c r="D172">
        <v>4</v>
      </c>
    </row>
    <row r="173" spans="1:4" x14ac:dyDescent="0.35">
      <c r="A173" s="11" t="s">
        <v>419</v>
      </c>
      <c r="C173">
        <v>1</v>
      </c>
      <c r="D173">
        <v>1</v>
      </c>
    </row>
    <row r="174" spans="1:4" x14ac:dyDescent="0.35">
      <c r="A174" s="11" t="s">
        <v>393</v>
      </c>
      <c r="C174">
        <v>2</v>
      </c>
      <c r="D174">
        <v>2</v>
      </c>
    </row>
    <row r="175" spans="1:4" x14ac:dyDescent="0.35">
      <c r="A175" s="11" t="s">
        <v>310</v>
      </c>
      <c r="C175">
        <v>1</v>
      </c>
      <c r="D175">
        <v>1</v>
      </c>
    </row>
    <row r="176" spans="1:4" x14ac:dyDescent="0.35">
      <c r="A176" s="11" t="s">
        <v>324</v>
      </c>
      <c r="C176">
        <v>4</v>
      </c>
      <c r="D176">
        <v>4</v>
      </c>
    </row>
    <row r="177" spans="1:4" x14ac:dyDescent="0.35">
      <c r="A177" s="11" t="s">
        <v>123</v>
      </c>
      <c r="C177">
        <v>2</v>
      </c>
      <c r="D177">
        <v>2</v>
      </c>
    </row>
    <row r="178" spans="1:4" x14ac:dyDescent="0.35">
      <c r="A178" s="11" t="s">
        <v>454</v>
      </c>
      <c r="B178">
        <v>710</v>
      </c>
      <c r="C178">
        <v>703</v>
      </c>
      <c r="D178">
        <v>1413</v>
      </c>
    </row>
  </sheetData>
  <pageMargins left="0.7" right="0.7" top="0.75" bottom="0.75" header="0.3" footer="0.3"/>
  <pageSetup orientation="portrait" r:id="rId2"/>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658E04-4450-4039-893F-6A8D7756D46F}">
  <sheetPr codeName="Sheet16"/>
  <dimension ref="A3:D178"/>
  <sheetViews>
    <sheetView workbookViewId="0">
      <selection activeCell="F7" sqref="F7"/>
    </sheetView>
  </sheetViews>
  <sheetFormatPr defaultRowHeight="18" x14ac:dyDescent="0.35"/>
  <cols>
    <col min="1" max="1" width="29.6640625" bestFit="1" customWidth="1"/>
    <col min="2" max="2" width="14.75" bestFit="1" customWidth="1"/>
    <col min="3" max="3" width="10.6640625" bestFit="1" customWidth="1"/>
    <col min="4" max="4" width="10" bestFit="1" customWidth="1"/>
  </cols>
  <sheetData>
    <row r="3" spans="1:4" x14ac:dyDescent="0.35">
      <c r="A3" s="10" t="s">
        <v>455</v>
      </c>
      <c r="B3" s="10" t="s">
        <v>456</v>
      </c>
    </row>
    <row r="4" spans="1:4" x14ac:dyDescent="0.35">
      <c r="A4" s="10" t="s">
        <v>453</v>
      </c>
      <c r="B4" t="s">
        <v>14</v>
      </c>
      <c r="C4" t="s">
        <v>64</v>
      </c>
      <c r="D4" t="s">
        <v>454</v>
      </c>
    </row>
    <row r="5" spans="1:4" x14ac:dyDescent="0.35">
      <c r="A5" s="11" t="s">
        <v>437</v>
      </c>
      <c r="B5">
        <v>1</v>
      </c>
      <c r="D5">
        <v>1</v>
      </c>
    </row>
    <row r="6" spans="1:4" x14ac:dyDescent="0.35">
      <c r="A6" s="11" t="s">
        <v>421</v>
      </c>
      <c r="C6">
        <v>1</v>
      </c>
      <c r="D6">
        <v>1</v>
      </c>
    </row>
    <row r="7" spans="1:4" x14ac:dyDescent="0.35">
      <c r="A7" s="11" t="s">
        <v>118</v>
      </c>
      <c r="B7">
        <v>6</v>
      </c>
      <c r="C7">
        <v>8</v>
      </c>
      <c r="D7">
        <v>14</v>
      </c>
    </row>
    <row r="8" spans="1:4" x14ac:dyDescent="0.35">
      <c r="A8" s="11" t="s">
        <v>335</v>
      </c>
      <c r="B8">
        <v>3</v>
      </c>
      <c r="D8">
        <v>3</v>
      </c>
    </row>
    <row r="9" spans="1:4" x14ac:dyDescent="0.35">
      <c r="A9" s="11" t="s">
        <v>216</v>
      </c>
      <c r="B9">
        <v>1</v>
      </c>
      <c r="D9">
        <v>1</v>
      </c>
    </row>
    <row r="10" spans="1:4" x14ac:dyDescent="0.35">
      <c r="A10" s="11" t="s">
        <v>214</v>
      </c>
      <c r="B10">
        <v>9</v>
      </c>
      <c r="C10">
        <v>6</v>
      </c>
      <c r="D10">
        <v>15</v>
      </c>
    </row>
    <row r="11" spans="1:4" x14ac:dyDescent="0.35">
      <c r="A11" s="11" t="s">
        <v>67</v>
      </c>
      <c r="C11">
        <v>1</v>
      </c>
      <c r="D11">
        <v>1</v>
      </c>
    </row>
    <row r="12" spans="1:4" x14ac:dyDescent="0.35">
      <c r="A12" s="11" t="s">
        <v>427</v>
      </c>
      <c r="B12">
        <v>1</v>
      </c>
      <c r="D12">
        <v>1</v>
      </c>
    </row>
    <row r="13" spans="1:4" x14ac:dyDescent="0.35">
      <c r="A13" s="11" t="s">
        <v>313</v>
      </c>
      <c r="B13">
        <v>1</v>
      </c>
      <c r="D13">
        <v>1</v>
      </c>
    </row>
    <row r="14" spans="1:4" x14ac:dyDescent="0.35">
      <c r="A14" s="11" t="s">
        <v>430</v>
      </c>
      <c r="B14">
        <v>4</v>
      </c>
      <c r="D14">
        <v>4</v>
      </c>
    </row>
    <row r="15" spans="1:4" x14ac:dyDescent="0.35">
      <c r="A15" s="11" t="s">
        <v>241</v>
      </c>
      <c r="B15">
        <v>6</v>
      </c>
      <c r="C15">
        <v>3</v>
      </c>
      <c r="D15">
        <v>9</v>
      </c>
    </row>
    <row r="16" spans="1:4" x14ac:dyDescent="0.35">
      <c r="A16" s="11" t="s">
        <v>54</v>
      </c>
      <c r="B16">
        <v>9</v>
      </c>
      <c r="C16">
        <v>9</v>
      </c>
      <c r="D16">
        <v>18</v>
      </c>
    </row>
    <row r="17" spans="1:4" x14ac:dyDescent="0.35">
      <c r="A17" s="11" t="s">
        <v>116</v>
      </c>
      <c r="B17">
        <v>10</v>
      </c>
      <c r="C17">
        <v>2</v>
      </c>
      <c r="D17">
        <v>12</v>
      </c>
    </row>
    <row r="18" spans="1:4" x14ac:dyDescent="0.35">
      <c r="A18" s="11" t="s">
        <v>45</v>
      </c>
      <c r="B18">
        <v>9</v>
      </c>
      <c r="D18">
        <v>9</v>
      </c>
    </row>
    <row r="19" spans="1:4" x14ac:dyDescent="0.35">
      <c r="A19" s="11" t="s">
        <v>337</v>
      </c>
      <c r="B19">
        <v>6</v>
      </c>
      <c r="D19">
        <v>6</v>
      </c>
    </row>
    <row r="20" spans="1:4" x14ac:dyDescent="0.35">
      <c r="A20" s="11" t="s">
        <v>86</v>
      </c>
      <c r="B20">
        <v>17</v>
      </c>
      <c r="C20">
        <v>29</v>
      </c>
      <c r="D20">
        <v>46</v>
      </c>
    </row>
    <row r="21" spans="1:4" x14ac:dyDescent="0.35">
      <c r="A21" s="11" t="s">
        <v>119</v>
      </c>
      <c r="B21">
        <v>25</v>
      </c>
      <c r="C21">
        <v>32</v>
      </c>
      <c r="D21">
        <v>57</v>
      </c>
    </row>
    <row r="22" spans="1:4" x14ac:dyDescent="0.35">
      <c r="A22" s="11" t="s">
        <v>226</v>
      </c>
      <c r="C22">
        <v>2</v>
      </c>
      <c r="D22">
        <v>2</v>
      </c>
    </row>
    <row r="23" spans="1:4" x14ac:dyDescent="0.35">
      <c r="A23" s="11" t="s">
        <v>236</v>
      </c>
      <c r="B23">
        <v>2</v>
      </c>
      <c r="C23">
        <v>7</v>
      </c>
      <c r="D23">
        <v>9</v>
      </c>
    </row>
    <row r="24" spans="1:4" x14ac:dyDescent="0.35">
      <c r="A24" s="11" t="s">
        <v>168</v>
      </c>
      <c r="B24">
        <v>9</v>
      </c>
      <c r="C24">
        <v>4</v>
      </c>
      <c r="D24">
        <v>13</v>
      </c>
    </row>
    <row r="25" spans="1:4" x14ac:dyDescent="0.35">
      <c r="A25" s="11" t="s">
        <v>159</v>
      </c>
      <c r="C25">
        <v>1</v>
      </c>
      <c r="D25">
        <v>1</v>
      </c>
    </row>
    <row r="26" spans="1:4" x14ac:dyDescent="0.35">
      <c r="A26" s="11" t="s">
        <v>43</v>
      </c>
      <c r="B26">
        <v>2</v>
      </c>
      <c r="D26">
        <v>2</v>
      </c>
    </row>
    <row r="27" spans="1:4" x14ac:dyDescent="0.35">
      <c r="A27" s="11" t="s">
        <v>134</v>
      </c>
      <c r="B27">
        <v>3</v>
      </c>
      <c r="D27">
        <v>3</v>
      </c>
    </row>
    <row r="28" spans="1:4" x14ac:dyDescent="0.35">
      <c r="A28" s="11" t="s">
        <v>25</v>
      </c>
      <c r="B28">
        <v>1</v>
      </c>
      <c r="D28">
        <v>1</v>
      </c>
    </row>
    <row r="29" spans="1:4" x14ac:dyDescent="0.35">
      <c r="A29" s="11" t="s">
        <v>356</v>
      </c>
      <c r="B29">
        <v>2</v>
      </c>
      <c r="D29">
        <v>2</v>
      </c>
    </row>
    <row r="30" spans="1:4" x14ac:dyDescent="0.35">
      <c r="A30" s="11" t="s">
        <v>84</v>
      </c>
      <c r="B30">
        <v>6</v>
      </c>
      <c r="D30">
        <v>6</v>
      </c>
    </row>
    <row r="31" spans="1:4" x14ac:dyDescent="0.35">
      <c r="A31" s="11" t="s">
        <v>246</v>
      </c>
      <c r="B31">
        <v>7</v>
      </c>
      <c r="C31">
        <v>1</v>
      </c>
      <c r="D31">
        <v>8</v>
      </c>
    </row>
    <row r="32" spans="1:4" x14ac:dyDescent="0.35">
      <c r="A32" s="11" t="s">
        <v>297</v>
      </c>
      <c r="C32">
        <v>1</v>
      </c>
      <c r="D32">
        <v>1</v>
      </c>
    </row>
    <row r="33" spans="1:4" x14ac:dyDescent="0.35">
      <c r="A33" s="11" t="s">
        <v>406</v>
      </c>
      <c r="B33">
        <v>1</v>
      </c>
      <c r="D33">
        <v>1</v>
      </c>
    </row>
    <row r="34" spans="1:4" x14ac:dyDescent="0.35">
      <c r="A34" s="11" t="s">
        <v>397</v>
      </c>
      <c r="B34">
        <v>1</v>
      </c>
      <c r="D34">
        <v>1</v>
      </c>
    </row>
    <row r="35" spans="1:4" x14ac:dyDescent="0.35">
      <c r="A35" s="11" t="s">
        <v>384</v>
      </c>
      <c r="B35">
        <v>1</v>
      </c>
      <c r="D35">
        <v>1</v>
      </c>
    </row>
    <row r="36" spans="1:4" x14ac:dyDescent="0.35">
      <c r="A36" s="11" t="s">
        <v>395</v>
      </c>
      <c r="B36">
        <v>1</v>
      </c>
      <c r="D36">
        <v>1</v>
      </c>
    </row>
    <row r="37" spans="1:4" x14ac:dyDescent="0.35">
      <c r="A37" s="11" t="s">
        <v>100</v>
      </c>
      <c r="B37">
        <v>12</v>
      </c>
      <c r="C37">
        <v>25</v>
      </c>
      <c r="D37">
        <v>37</v>
      </c>
    </row>
    <row r="38" spans="1:4" x14ac:dyDescent="0.35">
      <c r="A38" s="11" t="s">
        <v>286</v>
      </c>
      <c r="C38">
        <v>1</v>
      </c>
      <c r="D38">
        <v>1</v>
      </c>
    </row>
    <row r="39" spans="1:4" x14ac:dyDescent="0.35">
      <c r="A39" s="11" t="s">
        <v>376</v>
      </c>
      <c r="C39">
        <v>1</v>
      </c>
      <c r="D39">
        <v>1</v>
      </c>
    </row>
    <row r="40" spans="1:4" x14ac:dyDescent="0.35">
      <c r="A40" s="11" t="s">
        <v>248</v>
      </c>
      <c r="B40">
        <v>1</v>
      </c>
      <c r="C40">
        <v>6</v>
      </c>
      <c r="D40">
        <v>7</v>
      </c>
    </row>
    <row r="41" spans="1:4" x14ac:dyDescent="0.35">
      <c r="A41" s="11" t="s">
        <v>361</v>
      </c>
      <c r="B41">
        <v>8</v>
      </c>
      <c r="D41">
        <v>8</v>
      </c>
    </row>
    <row r="42" spans="1:4" x14ac:dyDescent="0.35">
      <c r="A42" s="11" t="s">
        <v>30</v>
      </c>
      <c r="B42">
        <v>1</v>
      </c>
      <c r="D42">
        <v>1</v>
      </c>
    </row>
    <row r="43" spans="1:4" x14ac:dyDescent="0.35">
      <c r="A43" s="11" t="s">
        <v>294</v>
      </c>
      <c r="C43">
        <v>11</v>
      </c>
      <c r="D43">
        <v>11</v>
      </c>
    </row>
    <row r="44" spans="1:4" x14ac:dyDescent="0.35">
      <c r="A44" s="11" t="s">
        <v>165</v>
      </c>
      <c r="C44">
        <v>2</v>
      </c>
      <c r="D44">
        <v>2</v>
      </c>
    </row>
    <row r="45" spans="1:4" x14ac:dyDescent="0.35">
      <c r="A45" s="11" t="s">
        <v>195</v>
      </c>
      <c r="B45">
        <v>1</v>
      </c>
      <c r="C45">
        <v>5</v>
      </c>
      <c r="D45">
        <v>6</v>
      </c>
    </row>
    <row r="46" spans="1:4" x14ac:dyDescent="0.35">
      <c r="A46" s="11" t="s">
        <v>98</v>
      </c>
      <c r="B46">
        <v>20</v>
      </c>
      <c r="C46">
        <v>14</v>
      </c>
      <c r="D46">
        <v>34</v>
      </c>
    </row>
    <row r="47" spans="1:4" x14ac:dyDescent="0.35">
      <c r="A47" s="11" t="s">
        <v>144</v>
      </c>
      <c r="C47">
        <v>8</v>
      </c>
      <c r="D47">
        <v>8</v>
      </c>
    </row>
    <row r="48" spans="1:4" x14ac:dyDescent="0.35">
      <c r="A48" s="11" t="s">
        <v>298</v>
      </c>
      <c r="B48">
        <v>1</v>
      </c>
      <c r="D48">
        <v>1</v>
      </c>
    </row>
    <row r="49" spans="1:4" x14ac:dyDescent="0.35">
      <c r="A49" s="11" t="s">
        <v>190</v>
      </c>
      <c r="C49">
        <v>1</v>
      </c>
      <c r="D49">
        <v>1</v>
      </c>
    </row>
    <row r="50" spans="1:4" x14ac:dyDescent="0.35">
      <c r="A50" s="11" t="s">
        <v>97</v>
      </c>
      <c r="B50">
        <v>1</v>
      </c>
      <c r="D50">
        <v>1</v>
      </c>
    </row>
    <row r="51" spans="1:4" x14ac:dyDescent="0.35">
      <c r="A51" s="11" t="s">
        <v>149</v>
      </c>
      <c r="B51">
        <v>2</v>
      </c>
      <c r="C51">
        <v>3</v>
      </c>
      <c r="D51">
        <v>5</v>
      </c>
    </row>
    <row r="52" spans="1:4" x14ac:dyDescent="0.35">
      <c r="A52" s="11" t="s">
        <v>412</v>
      </c>
      <c r="C52">
        <v>4</v>
      </c>
      <c r="D52">
        <v>4</v>
      </c>
    </row>
    <row r="53" spans="1:4" x14ac:dyDescent="0.35">
      <c r="A53" s="11" t="s">
        <v>212</v>
      </c>
      <c r="C53">
        <v>1</v>
      </c>
      <c r="D53">
        <v>1</v>
      </c>
    </row>
    <row r="54" spans="1:4" x14ac:dyDescent="0.35">
      <c r="A54" s="11" t="s">
        <v>393</v>
      </c>
      <c r="C54">
        <v>2</v>
      </c>
      <c r="D54">
        <v>2</v>
      </c>
    </row>
    <row r="55" spans="1:4" x14ac:dyDescent="0.35">
      <c r="A55" s="11" t="s">
        <v>191</v>
      </c>
      <c r="C55">
        <v>1</v>
      </c>
      <c r="D55">
        <v>1</v>
      </c>
    </row>
    <row r="56" spans="1:4" x14ac:dyDescent="0.35">
      <c r="A56" s="11" t="s">
        <v>238</v>
      </c>
      <c r="B56">
        <v>3</v>
      </c>
      <c r="D56">
        <v>3</v>
      </c>
    </row>
    <row r="57" spans="1:4" x14ac:dyDescent="0.35">
      <c r="A57" s="11" t="s">
        <v>185</v>
      </c>
      <c r="C57">
        <v>1</v>
      </c>
      <c r="D57">
        <v>1</v>
      </c>
    </row>
    <row r="58" spans="1:4" x14ac:dyDescent="0.35">
      <c r="A58" s="11" t="s">
        <v>434</v>
      </c>
      <c r="B58">
        <v>3</v>
      </c>
      <c r="D58">
        <v>3</v>
      </c>
    </row>
    <row r="59" spans="1:4" x14ac:dyDescent="0.35">
      <c r="A59" s="11" t="s">
        <v>73</v>
      </c>
      <c r="B59">
        <v>1</v>
      </c>
      <c r="D59">
        <v>1</v>
      </c>
    </row>
    <row r="60" spans="1:4" x14ac:dyDescent="0.35">
      <c r="A60" s="11" t="s">
        <v>88</v>
      </c>
      <c r="B60">
        <v>5</v>
      </c>
      <c r="C60">
        <v>13</v>
      </c>
      <c r="D60">
        <v>18</v>
      </c>
    </row>
    <row r="61" spans="1:4" x14ac:dyDescent="0.35">
      <c r="A61" s="11" t="s">
        <v>115</v>
      </c>
      <c r="C61">
        <v>20</v>
      </c>
      <c r="D61">
        <v>20</v>
      </c>
    </row>
    <row r="62" spans="1:4" x14ac:dyDescent="0.35">
      <c r="A62" s="11" t="s">
        <v>175</v>
      </c>
      <c r="B62">
        <v>13</v>
      </c>
      <c r="D62">
        <v>13</v>
      </c>
    </row>
    <row r="63" spans="1:4" x14ac:dyDescent="0.35">
      <c r="A63" s="11" t="s">
        <v>138</v>
      </c>
      <c r="B63">
        <v>4</v>
      </c>
      <c r="D63">
        <v>4</v>
      </c>
    </row>
    <row r="64" spans="1:4" x14ac:dyDescent="0.35">
      <c r="A64" s="11" t="s">
        <v>130</v>
      </c>
      <c r="B64">
        <v>4</v>
      </c>
      <c r="C64">
        <v>3</v>
      </c>
      <c r="D64">
        <v>7</v>
      </c>
    </row>
    <row r="65" spans="1:4" x14ac:dyDescent="0.35">
      <c r="A65" s="11" t="s">
        <v>258</v>
      </c>
      <c r="B65">
        <v>7</v>
      </c>
      <c r="C65">
        <v>7</v>
      </c>
      <c r="D65">
        <v>14</v>
      </c>
    </row>
    <row r="66" spans="1:4" x14ac:dyDescent="0.35">
      <c r="A66" s="11" t="s">
        <v>330</v>
      </c>
      <c r="B66">
        <v>2</v>
      </c>
      <c r="D66">
        <v>2</v>
      </c>
    </row>
    <row r="67" spans="1:4" x14ac:dyDescent="0.35">
      <c r="A67" s="11" t="s">
        <v>422</v>
      </c>
      <c r="C67">
        <v>1</v>
      </c>
      <c r="D67">
        <v>1</v>
      </c>
    </row>
    <row r="68" spans="1:4" x14ac:dyDescent="0.35">
      <c r="A68" s="11" t="s">
        <v>56</v>
      </c>
      <c r="B68">
        <v>6</v>
      </c>
      <c r="D68">
        <v>6</v>
      </c>
    </row>
    <row r="69" spans="1:4" x14ac:dyDescent="0.35">
      <c r="A69" s="11" t="s">
        <v>51</v>
      </c>
      <c r="B69">
        <v>1</v>
      </c>
      <c r="D69">
        <v>1</v>
      </c>
    </row>
    <row r="70" spans="1:4" x14ac:dyDescent="0.35">
      <c r="A70" s="11" t="s">
        <v>66</v>
      </c>
      <c r="B70">
        <v>20</v>
      </c>
      <c r="D70">
        <v>20</v>
      </c>
    </row>
    <row r="71" spans="1:4" x14ac:dyDescent="0.35">
      <c r="A71" s="11" t="s">
        <v>154</v>
      </c>
      <c r="B71">
        <v>2</v>
      </c>
      <c r="C71">
        <v>2</v>
      </c>
      <c r="D71">
        <v>4</v>
      </c>
    </row>
    <row r="72" spans="1:4" x14ac:dyDescent="0.35">
      <c r="A72" s="11" t="s">
        <v>206</v>
      </c>
      <c r="B72">
        <v>3</v>
      </c>
      <c r="C72">
        <v>3</v>
      </c>
      <c r="D72">
        <v>6</v>
      </c>
    </row>
    <row r="73" spans="1:4" x14ac:dyDescent="0.35">
      <c r="A73" s="11" t="s">
        <v>377</v>
      </c>
      <c r="B73">
        <v>2</v>
      </c>
      <c r="D73">
        <v>2</v>
      </c>
    </row>
    <row r="74" spans="1:4" x14ac:dyDescent="0.35">
      <c r="A74" s="11" t="s">
        <v>167</v>
      </c>
      <c r="B74">
        <v>1</v>
      </c>
      <c r="D74">
        <v>1</v>
      </c>
    </row>
    <row r="75" spans="1:4" x14ac:dyDescent="0.35">
      <c r="A75" s="11" t="s">
        <v>402</v>
      </c>
      <c r="C75">
        <v>1</v>
      </c>
      <c r="D75">
        <v>1</v>
      </c>
    </row>
    <row r="76" spans="1:4" x14ac:dyDescent="0.35">
      <c r="A76" s="11" t="s">
        <v>391</v>
      </c>
      <c r="C76">
        <v>4</v>
      </c>
      <c r="D76">
        <v>4</v>
      </c>
    </row>
    <row r="77" spans="1:4" x14ac:dyDescent="0.35">
      <c r="A77" s="11" t="s">
        <v>34</v>
      </c>
      <c r="B77">
        <v>1</v>
      </c>
      <c r="D77">
        <v>1</v>
      </c>
    </row>
    <row r="78" spans="1:4" x14ac:dyDescent="0.35">
      <c r="A78" s="11" t="s">
        <v>169</v>
      </c>
      <c r="B78">
        <v>1</v>
      </c>
      <c r="C78">
        <v>1</v>
      </c>
      <c r="D78">
        <v>2</v>
      </c>
    </row>
    <row r="79" spans="1:4" x14ac:dyDescent="0.35">
      <c r="A79" s="11" t="s">
        <v>264</v>
      </c>
      <c r="B79">
        <v>7</v>
      </c>
      <c r="D79">
        <v>7</v>
      </c>
    </row>
    <row r="80" spans="1:4" x14ac:dyDescent="0.35">
      <c r="A80" s="11" t="s">
        <v>418</v>
      </c>
      <c r="B80">
        <v>2</v>
      </c>
      <c r="D80">
        <v>2</v>
      </c>
    </row>
    <row r="81" spans="1:4" x14ac:dyDescent="0.35">
      <c r="A81" s="11" t="s">
        <v>428</v>
      </c>
      <c r="C81">
        <v>1</v>
      </c>
      <c r="D81">
        <v>1</v>
      </c>
    </row>
    <row r="82" spans="1:4" x14ac:dyDescent="0.35">
      <c r="A82" s="11" t="s">
        <v>227</v>
      </c>
      <c r="C82">
        <v>3</v>
      </c>
      <c r="D82">
        <v>3</v>
      </c>
    </row>
    <row r="83" spans="1:4" x14ac:dyDescent="0.35">
      <c r="A83" s="11" t="s">
        <v>177</v>
      </c>
      <c r="B83">
        <v>2</v>
      </c>
      <c r="D83">
        <v>2</v>
      </c>
    </row>
    <row r="84" spans="1:4" x14ac:dyDescent="0.35">
      <c r="A84" s="11" t="s">
        <v>370</v>
      </c>
      <c r="B84">
        <v>1</v>
      </c>
      <c r="C84">
        <v>1</v>
      </c>
      <c r="D84">
        <v>2</v>
      </c>
    </row>
    <row r="85" spans="1:4" x14ac:dyDescent="0.35">
      <c r="A85" s="11" t="s">
        <v>325</v>
      </c>
      <c r="B85">
        <v>2</v>
      </c>
      <c r="D85">
        <v>2</v>
      </c>
    </row>
    <row r="86" spans="1:4" x14ac:dyDescent="0.35">
      <c r="A86" s="11" t="s">
        <v>60</v>
      </c>
      <c r="B86">
        <v>7</v>
      </c>
      <c r="D86">
        <v>7</v>
      </c>
    </row>
    <row r="87" spans="1:4" x14ac:dyDescent="0.35">
      <c r="A87" s="11" t="s">
        <v>253</v>
      </c>
      <c r="B87">
        <v>6</v>
      </c>
      <c r="D87">
        <v>6</v>
      </c>
    </row>
    <row r="88" spans="1:4" x14ac:dyDescent="0.35">
      <c r="A88" s="11" t="s">
        <v>164</v>
      </c>
      <c r="B88">
        <v>1</v>
      </c>
      <c r="D88">
        <v>1</v>
      </c>
    </row>
    <row r="89" spans="1:4" x14ac:dyDescent="0.35">
      <c r="A89" s="11" t="s">
        <v>329</v>
      </c>
      <c r="B89">
        <v>5</v>
      </c>
      <c r="D89">
        <v>5</v>
      </c>
    </row>
    <row r="90" spans="1:4" x14ac:dyDescent="0.35">
      <c r="A90" s="11" t="s">
        <v>117</v>
      </c>
      <c r="B90">
        <v>23</v>
      </c>
      <c r="C90">
        <v>21</v>
      </c>
      <c r="D90">
        <v>44</v>
      </c>
    </row>
    <row r="91" spans="1:4" x14ac:dyDescent="0.35">
      <c r="A91" s="11" t="s">
        <v>123</v>
      </c>
      <c r="C91">
        <v>2</v>
      </c>
      <c r="D91">
        <v>2</v>
      </c>
    </row>
    <row r="92" spans="1:4" x14ac:dyDescent="0.35">
      <c r="A92" s="11" t="s">
        <v>315</v>
      </c>
      <c r="B92">
        <v>4</v>
      </c>
      <c r="C92">
        <v>4</v>
      </c>
      <c r="D92">
        <v>8</v>
      </c>
    </row>
    <row r="93" spans="1:4" x14ac:dyDescent="0.35">
      <c r="A93" s="11" t="s">
        <v>314</v>
      </c>
      <c r="B93">
        <v>1</v>
      </c>
      <c r="D93">
        <v>1</v>
      </c>
    </row>
    <row r="94" spans="1:4" x14ac:dyDescent="0.35">
      <c r="A94" s="11" t="s">
        <v>233</v>
      </c>
      <c r="B94">
        <v>12</v>
      </c>
      <c r="C94">
        <v>15</v>
      </c>
      <c r="D94">
        <v>27</v>
      </c>
    </row>
    <row r="95" spans="1:4" x14ac:dyDescent="0.35">
      <c r="A95" s="11" t="s">
        <v>354</v>
      </c>
      <c r="B95">
        <v>3</v>
      </c>
      <c r="D95">
        <v>3</v>
      </c>
    </row>
    <row r="96" spans="1:4" x14ac:dyDescent="0.35">
      <c r="A96" s="11" t="s">
        <v>209</v>
      </c>
      <c r="B96">
        <v>2</v>
      </c>
      <c r="C96">
        <v>2</v>
      </c>
      <c r="D96">
        <v>4</v>
      </c>
    </row>
    <row r="97" spans="1:4" x14ac:dyDescent="0.35">
      <c r="A97" s="11" t="s">
        <v>158</v>
      </c>
      <c r="B97">
        <v>2</v>
      </c>
      <c r="D97">
        <v>2</v>
      </c>
    </row>
    <row r="98" spans="1:4" x14ac:dyDescent="0.35">
      <c r="A98" s="11" t="s">
        <v>348</v>
      </c>
      <c r="B98">
        <v>4</v>
      </c>
      <c r="D98">
        <v>4</v>
      </c>
    </row>
    <row r="99" spans="1:4" x14ac:dyDescent="0.35">
      <c r="A99" s="11" t="s">
        <v>260</v>
      </c>
      <c r="B99">
        <v>10</v>
      </c>
      <c r="C99">
        <v>3</v>
      </c>
      <c r="D99">
        <v>13</v>
      </c>
    </row>
    <row r="100" spans="1:4" x14ac:dyDescent="0.35">
      <c r="A100" s="11" t="s">
        <v>299</v>
      </c>
      <c r="B100">
        <v>3</v>
      </c>
      <c r="D100">
        <v>3</v>
      </c>
    </row>
    <row r="101" spans="1:4" x14ac:dyDescent="0.35">
      <c r="A101" s="11" t="s">
        <v>127</v>
      </c>
      <c r="B101">
        <v>14</v>
      </c>
      <c r="C101">
        <v>24</v>
      </c>
      <c r="D101">
        <v>38</v>
      </c>
    </row>
    <row r="102" spans="1:4" x14ac:dyDescent="0.35">
      <c r="A102" s="11" t="s">
        <v>145</v>
      </c>
      <c r="B102">
        <v>3</v>
      </c>
      <c r="C102">
        <v>2</v>
      </c>
      <c r="D102">
        <v>5</v>
      </c>
    </row>
    <row r="103" spans="1:4" x14ac:dyDescent="0.35">
      <c r="A103" s="11" t="s">
        <v>396</v>
      </c>
      <c r="C103">
        <v>3</v>
      </c>
      <c r="D103">
        <v>3</v>
      </c>
    </row>
    <row r="104" spans="1:4" x14ac:dyDescent="0.35">
      <c r="A104" s="11" t="s">
        <v>269</v>
      </c>
      <c r="B104">
        <v>2</v>
      </c>
      <c r="D104">
        <v>2</v>
      </c>
    </row>
    <row r="105" spans="1:4" x14ac:dyDescent="0.35">
      <c r="A105" s="11" t="s">
        <v>416</v>
      </c>
      <c r="C105">
        <v>3</v>
      </c>
      <c r="D105">
        <v>3</v>
      </c>
    </row>
    <row r="106" spans="1:4" x14ac:dyDescent="0.35">
      <c r="A106" s="11" t="s">
        <v>157</v>
      </c>
      <c r="B106">
        <v>17</v>
      </c>
      <c r="C106">
        <v>13</v>
      </c>
      <c r="D106">
        <v>30</v>
      </c>
    </row>
    <row r="107" spans="1:4" x14ac:dyDescent="0.35">
      <c r="A107" s="11" t="s">
        <v>283</v>
      </c>
      <c r="B107">
        <v>6</v>
      </c>
      <c r="D107">
        <v>6</v>
      </c>
    </row>
    <row r="108" spans="1:4" x14ac:dyDescent="0.35">
      <c r="A108" s="11" t="s">
        <v>41</v>
      </c>
      <c r="B108">
        <v>5</v>
      </c>
      <c r="C108">
        <v>7</v>
      </c>
      <c r="D108">
        <v>12</v>
      </c>
    </row>
    <row r="109" spans="1:4" x14ac:dyDescent="0.35">
      <c r="A109" s="11" t="s">
        <v>36</v>
      </c>
      <c r="B109">
        <v>3</v>
      </c>
      <c r="C109">
        <v>4</v>
      </c>
      <c r="D109">
        <v>7</v>
      </c>
    </row>
    <row r="110" spans="1:4" x14ac:dyDescent="0.35">
      <c r="A110" s="11" t="s">
        <v>74</v>
      </c>
      <c r="B110">
        <v>5</v>
      </c>
      <c r="D110">
        <v>5</v>
      </c>
    </row>
    <row r="111" spans="1:4" x14ac:dyDescent="0.35">
      <c r="A111" s="11" t="s">
        <v>47</v>
      </c>
      <c r="B111">
        <v>1</v>
      </c>
      <c r="D111">
        <v>1</v>
      </c>
    </row>
    <row r="112" spans="1:4" x14ac:dyDescent="0.35">
      <c r="A112" s="11" t="s">
        <v>407</v>
      </c>
      <c r="C112">
        <v>2</v>
      </c>
      <c r="D112">
        <v>2</v>
      </c>
    </row>
    <row r="113" spans="1:4" x14ac:dyDescent="0.35">
      <c r="A113" s="11" t="s">
        <v>423</v>
      </c>
      <c r="C113">
        <v>1</v>
      </c>
      <c r="D113">
        <v>1</v>
      </c>
    </row>
    <row r="114" spans="1:4" x14ac:dyDescent="0.35">
      <c r="A114" s="11" t="s">
        <v>18</v>
      </c>
      <c r="B114">
        <v>2</v>
      </c>
      <c r="D114">
        <v>2</v>
      </c>
    </row>
    <row r="115" spans="1:4" x14ac:dyDescent="0.35">
      <c r="A115" s="11" t="s">
        <v>63</v>
      </c>
      <c r="B115">
        <v>8</v>
      </c>
      <c r="D115">
        <v>8</v>
      </c>
    </row>
    <row r="116" spans="1:4" x14ac:dyDescent="0.35">
      <c r="A116" s="11" t="s">
        <v>394</v>
      </c>
      <c r="B116">
        <v>4</v>
      </c>
      <c r="D116">
        <v>4</v>
      </c>
    </row>
    <row r="117" spans="1:4" x14ac:dyDescent="0.35">
      <c r="A117" s="11" t="s">
        <v>419</v>
      </c>
      <c r="C117">
        <v>1</v>
      </c>
      <c r="D117">
        <v>1</v>
      </c>
    </row>
    <row r="118" spans="1:4" x14ac:dyDescent="0.35">
      <c r="A118" s="11" t="s">
        <v>310</v>
      </c>
      <c r="C118">
        <v>1</v>
      </c>
      <c r="D118">
        <v>1</v>
      </c>
    </row>
    <row r="119" spans="1:4" x14ac:dyDescent="0.35">
      <c r="A119" s="11" t="s">
        <v>125</v>
      </c>
      <c r="B119">
        <v>6</v>
      </c>
      <c r="C119">
        <v>6</v>
      </c>
      <c r="D119">
        <v>12</v>
      </c>
    </row>
    <row r="120" spans="1:4" x14ac:dyDescent="0.35">
      <c r="A120" s="11" t="s">
        <v>181</v>
      </c>
      <c r="B120">
        <v>4</v>
      </c>
      <c r="C120">
        <v>1</v>
      </c>
      <c r="D120">
        <v>5</v>
      </c>
    </row>
    <row r="121" spans="1:4" x14ac:dyDescent="0.35">
      <c r="A121" s="11" t="s">
        <v>77</v>
      </c>
      <c r="C121">
        <v>4</v>
      </c>
      <c r="D121">
        <v>4</v>
      </c>
    </row>
    <row r="122" spans="1:4" x14ac:dyDescent="0.35">
      <c r="A122" s="11" t="s">
        <v>252</v>
      </c>
      <c r="B122">
        <v>3</v>
      </c>
      <c r="C122">
        <v>6</v>
      </c>
      <c r="D122">
        <v>9</v>
      </c>
    </row>
    <row r="123" spans="1:4" x14ac:dyDescent="0.35">
      <c r="A123" s="11" t="s">
        <v>344</v>
      </c>
      <c r="B123">
        <v>6</v>
      </c>
      <c r="D123">
        <v>6</v>
      </c>
    </row>
    <row r="124" spans="1:4" x14ac:dyDescent="0.35">
      <c r="A124" s="11" t="s">
        <v>37</v>
      </c>
      <c r="B124">
        <v>6</v>
      </c>
      <c r="D124">
        <v>6</v>
      </c>
    </row>
    <row r="125" spans="1:4" x14ac:dyDescent="0.35">
      <c r="A125" s="11" t="s">
        <v>324</v>
      </c>
      <c r="C125">
        <v>4</v>
      </c>
      <c r="D125">
        <v>4</v>
      </c>
    </row>
    <row r="126" spans="1:4" x14ac:dyDescent="0.35">
      <c r="A126" s="11" t="s">
        <v>78</v>
      </c>
      <c r="B126">
        <v>6</v>
      </c>
      <c r="C126">
        <v>12</v>
      </c>
      <c r="D126">
        <v>18</v>
      </c>
    </row>
    <row r="127" spans="1:4" x14ac:dyDescent="0.35">
      <c r="A127" s="11" t="s">
        <v>133</v>
      </c>
      <c r="C127">
        <v>1</v>
      </c>
      <c r="D127">
        <v>1</v>
      </c>
    </row>
    <row r="128" spans="1:4" x14ac:dyDescent="0.35">
      <c r="A128" s="11" t="s">
        <v>225</v>
      </c>
      <c r="B128">
        <v>12</v>
      </c>
      <c r="C128">
        <v>18</v>
      </c>
      <c r="D128">
        <v>30</v>
      </c>
    </row>
    <row r="129" spans="1:4" x14ac:dyDescent="0.35">
      <c r="A129" s="11" t="s">
        <v>388</v>
      </c>
      <c r="C129">
        <v>2</v>
      </c>
      <c r="D129">
        <v>2</v>
      </c>
    </row>
    <row r="130" spans="1:4" x14ac:dyDescent="0.35">
      <c r="A130" s="11" t="s">
        <v>405</v>
      </c>
      <c r="C130">
        <v>1</v>
      </c>
      <c r="D130">
        <v>1</v>
      </c>
    </row>
    <row r="131" spans="1:4" x14ac:dyDescent="0.35">
      <c r="A131" s="11" t="s">
        <v>121</v>
      </c>
      <c r="B131">
        <v>15</v>
      </c>
      <c r="C131">
        <v>25</v>
      </c>
      <c r="D131">
        <v>40</v>
      </c>
    </row>
    <row r="132" spans="1:4" x14ac:dyDescent="0.35">
      <c r="A132" s="11" t="s">
        <v>89</v>
      </c>
      <c r="B132">
        <v>7</v>
      </c>
      <c r="C132">
        <v>16</v>
      </c>
      <c r="D132">
        <v>23</v>
      </c>
    </row>
    <row r="133" spans="1:4" x14ac:dyDescent="0.35">
      <c r="A133" s="11" t="s">
        <v>101</v>
      </c>
      <c r="B133">
        <v>4</v>
      </c>
      <c r="D133">
        <v>4</v>
      </c>
    </row>
    <row r="134" spans="1:4" x14ac:dyDescent="0.35">
      <c r="A134" s="11" t="s">
        <v>95</v>
      </c>
      <c r="B134">
        <v>6</v>
      </c>
      <c r="C134">
        <v>26</v>
      </c>
      <c r="D134">
        <v>32</v>
      </c>
    </row>
    <row r="135" spans="1:4" x14ac:dyDescent="0.35">
      <c r="A135" s="11" t="s">
        <v>112</v>
      </c>
      <c r="C135">
        <v>26</v>
      </c>
      <c r="D135">
        <v>26</v>
      </c>
    </row>
    <row r="136" spans="1:4" x14ac:dyDescent="0.35">
      <c r="A136" s="11" t="s">
        <v>211</v>
      </c>
      <c r="B136">
        <v>1</v>
      </c>
      <c r="D136">
        <v>1</v>
      </c>
    </row>
    <row r="137" spans="1:4" x14ac:dyDescent="0.35">
      <c r="A137" s="11" t="s">
        <v>217</v>
      </c>
      <c r="B137">
        <v>15</v>
      </c>
      <c r="C137">
        <v>18</v>
      </c>
      <c r="D137">
        <v>33</v>
      </c>
    </row>
    <row r="138" spans="1:4" x14ac:dyDescent="0.35">
      <c r="A138" s="11" t="s">
        <v>197</v>
      </c>
      <c r="B138">
        <v>3</v>
      </c>
      <c r="C138">
        <v>8</v>
      </c>
      <c r="D138">
        <v>11</v>
      </c>
    </row>
    <row r="139" spans="1:4" x14ac:dyDescent="0.35">
      <c r="A139" s="11" t="s">
        <v>93</v>
      </c>
      <c r="B139">
        <v>7</v>
      </c>
      <c r="C139">
        <v>14</v>
      </c>
      <c r="D139">
        <v>21</v>
      </c>
    </row>
    <row r="140" spans="1:4" x14ac:dyDescent="0.35">
      <c r="A140" s="11" t="s">
        <v>113</v>
      </c>
      <c r="C140">
        <v>3</v>
      </c>
      <c r="D140">
        <v>3</v>
      </c>
    </row>
    <row r="141" spans="1:4" x14ac:dyDescent="0.35">
      <c r="A141" s="11" t="s">
        <v>232</v>
      </c>
      <c r="C141">
        <v>2</v>
      </c>
      <c r="D141">
        <v>2</v>
      </c>
    </row>
    <row r="142" spans="1:4" x14ac:dyDescent="0.35">
      <c r="A142" s="11" t="s">
        <v>270</v>
      </c>
      <c r="B142">
        <v>7</v>
      </c>
      <c r="C142">
        <v>20</v>
      </c>
      <c r="D142">
        <v>27</v>
      </c>
    </row>
    <row r="143" spans="1:4" x14ac:dyDescent="0.35">
      <c r="A143" s="11" t="s">
        <v>320</v>
      </c>
      <c r="C143">
        <v>4</v>
      </c>
      <c r="D143">
        <v>4</v>
      </c>
    </row>
    <row r="144" spans="1:4" x14ac:dyDescent="0.35">
      <c r="A144" s="11" t="s">
        <v>231</v>
      </c>
      <c r="B144">
        <v>1</v>
      </c>
      <c r="D144">
        <v>1</v>
      </c>
    </row>
    <row r="145" spans="1:4" x14ac:dyDescent="0.35">
      <c r="A145" s="11" t="s">
        <v>105</v>
      </c>
      <c r="B145">
        <v>27</v>
      </c>
      <c r="C145">
        <v>38</v>
      </c>
      <c r="D145">
        <v>65</v>
      </c>
    </row>
    <row r="146" spans="1:4" x14ac:dyDescent="0.35">
      <c r="A146" s="11" t="s">
        <v>152</v>
      </c>
      <c r="B146">
        <v>5</v>
      </c>
      <c r="C146">
        <v>3</v>
      </c>
      <c r="D146">
        <v>8</v>
      </c>
    </row>
    <row r="147" spans="1:4" x14ac:dyDescent="0.35">
      <c r="A147" s="11" t="s">
        <v>357</v>
      </c>
      <c r="C147">
        <v>1</v>
      </c>
      <c r="D147">
        <v>1</v>
      </c>
    </row>
    <row r="148" spans="1:4" x14ac:dyDescent="0.35">
      <c r="A148" s="11" t="s">
        <v>420</v>
      </c>
      <c r="C148">
        <v>1</v>
      </c>
      <c r="D148">
        <v>1</v>
      </c>
    </row>
    <row r="149" spans="1:4" x14ac:dyDescent="0.35">
      <c r="A149" s="11" t="s">
        <v>49</v>
      </c>
      <c r="B149">
        <v>2</v>
      </c>
      <c r="D149">
        <v>2</v>
      </c>
    </row>
    <row r="150" spans="1:4" x14ac:dyDescent="0.35">
      <c r="A150" s="11" t="s">
        <v>333</v>
      </c>
      <c r="B150">
        <v>3</v>
      </c>
      <c r="D150">
        <v>3</v>
      </c>
    </row>
    <row r="151" spans="1:4" x14ac:dyDescent="0.35">
      <c r="A151" s="11" t="s">
        <v>245</v>
      </c>
      <c r="C151">
        <v>4</v>
      </c>
      <c r="D151">
        <v>4</v>
      </c>
    </row>
    <row r="152" spans="1:4" x14ac:dyDescent="0.35">
      <c r="A152" s="11" t="s">
        <v>371</v>
      </c>
      <c r="B152">
        <v>3</v>
      </c>
      <c r="D152">
        <v>3</v>
      </c>
    </row>
    <row r="153" spans="1:4" x14ac:dyDescent="0.35">
      <c r="A153" s="11" t="s">
        <v>17</v>
      </c>
      <c r="B153">
        <v>3</v>
      </c>
      <c r="C153">
        <v>1</v>
      </c>
      <c r="D153">
        <v>4</v>
      </c>
    </row>
    <row r="154" spans="1:4" x14ac:dyDescent="0.35">
      <c r="A154" s="11" t="s">
        <v>151</v>
      </c>
      <c r="B154">
        <v>6</v>
      </c>
      <c r="C154">
        <v>6</v>
      </c>
      <c r="D154">
        <v>12</v>
      </c>
    </row>
    <row r="155" spans="1:4" x14ac:dyDescent="0.35">
      <c r="A155" s="11" t="s">
        <v>343</v>
      </c>
      <c r="B155">
        <v>5</v>
      </c>
      <c r="D155">
        <v>5</v>
      </c>
    </row>
    <row r="156" spans="1:4" x14ac:dyDescent="0.35">
      <c r="A156" s="11" t="s">
        <v>352</v>
      </c>
      <c r="B156">
        <v>4</v>
      </c>
      <c r="C156">
        <v>1</v>
      </c>
      <c r="D156">
        <v>5</v>
      </c>
    </row>
    <row r="157" spans="1:4" x14ac:dyDescent="0.35">
      <c r="A157" s="11" t="s">
        <v>160</v>
      </c>
      <c r="B157">
        <v>2</v>
      </c>
      <c r="D157">
        <v>2</v>
      </c>
    </row>
    <row r="158" spans="1:4" x14ac:dyDescent="0.35">
      <c r="A158" s="11" t="s">
        <v>139</v>
      </c>
      <c r="B158">
        <v>1</v>
      </c>
      <c r="D158">
        <v>1</v>
      </c>
    </row>
    <row r="159" spans="1:4" x14ac:dyDescent="0.35">
      <c r="A159" s="11" t="s">
        <v>103</v>
      </c>
      <c r="C159">
        <v>1</v>
      </c>
      <c r="D159">
        <v>1</v>
      </c>
    </row>
    <row r="160" spans="1:4" x14ac:dyDescent="0.35">
      <c r="A160" s="11" t="s">
        <v>336</v>
      </c>
      <c r="B160">
        <v>4</v>
      </c>
      <c r="D160">
        <v>4</v>
      </c>
    </row>
    <row r="161" spans="1:4" x14ac:dyDescent="0.35">
      <c r="A161" s="11" t="s">
        <v>42</v>
      </c>
      <c r="B161">
        <v>14</v>
      </c>
      <c r="C161">
        <v>2</v>
      </c>
      <c r="D161">
        <v>16</v>
      </c>
    </row>
    <row r="162" spans="1:4" x14ac:dyDescent="0.35">
      <c r="A162" s="11" t="s">
        <v>339</v>
      </c>
      <c r="B162">
        <v>5</v>
      </c>
      <c r="D162">
        <v>5</v>
      </c>
    </row>
    <row r="163" spans="1:4" x14ac:dyDescent="0.35">
      <c r="A163" s="11" t="s">
        <v>131</v>
      </c>
      <c r="C163">
        <v>13</v>
      </c>
      <c r="D163">
        <v>13</v>
      </c>
    </row>
    <row r="164" spans="1:4" x14ac:dyDescent="0.35">
      <c r="A164" s="11" t="s">
        <v>187</v>
      </c>
      <c r="B164">
        <v>7</v>
      </c>
      <c r="D164">
        <v>7</v>
      </c>
    </row>
    <row r="165" spans="1:4" x14ac:dyDescent="0.35">
      <c r="A165" s="11" t="s">
        <v>284</v>
      </c>
      <c r="B165">
        <v>3</v>
      </c>
      <c r="C165">
        <v>4</v>
      </c>
      <c r="D165">
        <v>7</v>
      </c>
    </row>
    <row r="166" spans="1:4" x14ac:dyDescent="0.35">
      <c r="A166" s="11" t="s">
        <v>327</v>
      </c>
      <c r="B166">
        <v>7</v>
      </c>
      <c r="D166">
        <v>7</v>
      </c>
    </row>
    <row r="167" spans="1:4" x14ac:dyDescent="0.35">
      <c r="A167" s="11" t="s">
        <v>365</v>
      </c>
      <c r="B167">
        <v>1</v>
      </c>
      <c r="D167">
        <v>1</v>
      </c>
    </row>
    <row r="168" spans="1:4" x14ac:dyDescent="0.35">
      <c r="A168" s="11" t="s">
        <v>322</v>
      </c>
      <c r="B168">
        <v>6</v>
      </c>
      <c r="D168">
        <v>6</v>
      </c>
    </row>
    <row r="169" spans="1:4" x14ac:dyDescent="0.35">
      <c r="A169" s="11" t="s">
        <v>148</v>
      </c>
      <c r="B169">
        <v>15</v>
      </c>
      <c r="C169">
        <v>31</v>
      </c>
      <c r="D169">
        <v>46</v>
      </c>
    </row>
    <row r="170" spans="1:4" x14ac:dyDescent="0.35">
      <c r="A170" s="11" t="s">
        <v>128</v>
      </c>
      <c r="C170">
        <v>3</v>
      </c>
      <c r="D170">
        <v>3</v>
      </c>
    </row>
    <row r="171" spans="1:4" x14ac:dyDescent="0.35">
      <c r="A171" s="11" t="s">
        <v>290</v>
      </c>
      <c r="B171">
        <v>3</v>
      </c>
      <c r="D171">
        <v>3</v>
      </c>
    </row>
    <row r="172" spans="1:4" x14ac:dyDescent="0.35">
      <c r="A172" s="11" t="s">
        <v>180</v>
      </c>
      <c r="B172">
        <v>15</v>
      </c>
      <c r="C172">
        <v>16</v>
      </c>
      <c r="D172">
        <v>31</v>
      </c>
    </row>
    <row r="173" spans="1:4" x14ac:dyDescent="0.35">
      <c r="A173" s="11" t="s">
        <v>111</v>
      </c>
      <c r="B173">
        <v>2</v>
      </c>
      <c r="D173">
        <v>2</v>
      </c>
    </row>
    <row r="174" spans="1:4" x14ac:dyDescent="0.35">
      <c r="A174" s="11" t="s">
        <v>82</v>
      </c>
      <c r="B174">
        <v>4</v>
      </c>
      <c r="D174">
        <v>4</v>
      </c>
    </row>
    <row r="175" spans="1:4" x14ac:dyDescent="0.35">
      <c r="A175" s="11" t="s">
        <v>140</v>
      </c>
      <c r="B175">
        <v>6</v>
      </c>
      <c r="D175">
        <v>6</v>
      </c>
    </row>
    <row r="176" spans="1:4" x14ac:dyDescent="0.35">
      <c r="A176" s="11" t="s">
        <v>96</v>
      </c>
      <c r="B176">
        <v>7</v>
      </c>
      <c r="D176">
        <v>7</v>
      </c>
    </row>
    <row r="177" spans="1:4" x14ac:dyDescent="0.35">
      <c r="A177" s="11" t="s">
        <v>178</v>
      </c>
      <c r="B177">
        <v>4</v>
      </c>
      <c r="D177">
        <v>4</v>
      </c>
    </row>
    <row r="178" spans="1:4" x14ac:dyDescent="0.35">
      <c r="A178" s="11" t="s">
        <v>454</v>
      </c>
      <c r="B178">
        <v>710</v>
      </c>
      <c r="C178">
        <v>703</v>
      </c>
      <c r="D178">
        <v>1413</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EC79B-D652-4757-B8A1-261B9181ECB1}">
  <sheetPr codeName="Sheet17"/>
  <dimension ref="A3:D178"/>
  <sheetViews>
    <sheetView topLeftCell="D1" workbookViewId="0">
      <selection activeCell="D6" sqref="D6"/>
    </sheetView>
  </sheetViews>
  <sheetFormatPr defaultRowHeight="18" x14ac:dyDescent="0.35"/>
  <cols>
    <col min="1" max="1" width="29.6640625" bestFit="1" customWidth="1"/>
    <col min="2" max="2" width="14.75" bestFit="1" customWidth="1"/>
    <col min="3" max="3" width="10.6640625" bestFit="1" customWidth="1"/>
    <col min="4" max="4" width="10" bestFit="1" customWidth="1"/>
  </cols>
  <sheetData>
    <row r="3" spans="1:4" x14ac:dyDescent="0.35">
      <c r="A3" s="10" t="s">
        <v>455</v>
      </c>
      <c r="B3" s="10" t="s">
        <v>456</v>
      </c>
    </row>
    <row r="4" spans="1:4" x14ac:dyDescent="0.35">
      <c r="A4" s="10" t="s">
        <v>453</v>
      </c>
      <c r="B4" t="s">
        <v>14</v>
      </c>
      <c r="C4" t="s">
        <v>64</v>
      </c>
      <c r="D4" t="s">
        <v>454</v>
      </c>
    </row>
    <row r="5" spans="1:4" x14ac:dyDescent="0.35">
      <c r="A5" s="11" t="s">
        <v>437</v>
      </c>
      <c r="B5">
        <v>1</v>
      </c>
      <c r="D5">
        <v>1</v>
      </c>
    </row>
    <row r="6" spans="1:4" x14ac:dyDescent="0.35">
      <c r="A6" s="11" t="s">
        <v>421</v>
      </c>
      <c r="C6">
        <v>1</v>
      </c>
      <c r="D6">
        <v>1</v>
      </c>
    </row>
    <row r="7" spans="1:4" x14ac:dyDescent="0.35">
      <c r="A7" s="11" t="s">
        <v>118</v>
      </c>
      <c r="B7">
        <v>6</v>
      </c>
      <c r="C7">
        <v>8</v>
      </c>
      <c r="D7">
        <v>14</v>
      </c>
    </row>
    <row r="8" spans="1:4" x14ac:dyDescent="0.35">
      <c r="A8" s="11" t="s">
        <v>335</v>
      </c>
      <c r="B8">
        <v>3</v>
      </c>
      <c r="D8">
        <v>3</v>
      </c>
    </row>
    <row r="9" spans="1:4" x14ac:dyDescent="0.35">
      <c r="A9" s="11" t="s">
        <v>216</v>
      </c>
      <c r="B9">
        <v>1</v>
      </c>
      <c r="D9">
        <v>1</v>
      </c>
    </row>
    <row r="10" spans="1:4" x14ac:dyDescent="0.35">
      <c r="A10" s="11" t="s">
        <v>214</v>
      </c>
      <c r="B10">
        <v>9</v>
      </c>
      <c r="C10">
        <v>6</v>
      </c>
      <c r="D10">
        <v>15</v>
      </c>
    </row>
    <row r="11" spans="1:4" x14ac:dyDescent="0.35">
      <c r="A11" s="11" t="s">
        <v>67</v>
      </c>
      <c r="C11">
        <v>1</v>
      </c>
      <c r="D11">
        <v>1</v>
      </c>
    </row>
    <row r="12" spans="1:4" x14ac:dyDescent="0.35">
      <c r="A12" s="11" t="s">
        <v>427</v>
      </c>
      <c r="B12">
        <v>1</v>
      </c>
      <c r="D12">
        <v>1</v>
      </c>
    </row>
    <row r="13" spans="1:4" x14ac:dyDescent="0.35">
      <c r="A13" s="11" t="s">
        <v>313</v>
      </c>
      <c r="B13">
        <v>1</v>
      </c>
      <c r="D13">
        <v>1</v>
      </c>
    </row>
    <row r="14" spans="1:4" x14ac:dyDescent="0.35">
      <c r="A14" s="11" t="s">
        <v>430</v>
      </c>
      <c r="B14">
        <v>4</v>
      </c>
      <c r="D14">
        <v>4</v>
      </c>
    </row>
    <row r="15" spans="1:4" x14ac:dyDescent="0.35">
      <c r="A15" s="11" t="s">
        <v>241</v>
      </c>
      <c r="B15">
        <v>6</v>
      </c>
      <c r="C15">
        <v>3</v>
      </c>
      <c r="D15">
        <v>9</v>
      </c>
    </row>
    <row r="16" spans="1:4" x14ac:dyDescent="0.35">
      <c r="A16" s="11" t="s">
        <v>54</v>
      </c>
      <c r="B16">
        <v>9</v>
      </c>
      <c r="C16">
        <v>9</v>
      </c>
      <c r="D16">
        <v>18</v>
      </c>
    </row>
    <row r="17" spans="1:4" x14ac:dyDescent="0.35">
      <c r="A17" s="11" t="s">
        <v>116</v>
      </c>
      <c r="B17">
        <v>10</v>
      </c>
      <c r="C17">
        <v>2</v>
      </c>
      <c r="D17">
        <v>12</v>
      </c>
    </row>
    <row r="18" spans="1:4" x14ac:dyDescent="0.35">
      <c r="A18" s="11" t="s">
        <v>45</v>
      </c>
      <c r="B18">
        <v>9</v>
      </c>
      <c r="D18">
        <v>9</v>
      </c>
    </row>
    <row r="19" spans="1:4" x14ac:dyDescent="0.35">
      <c r="A19" s="11" t="s">
        <v>337</v>
      </c>
      <c r="B19">
        <v>6</v>
      </c>
      <c r="D19">
        <v>6</v>
      </c>
    </row>
    <row r="20" spans="1:4" x14ac:dyDescent="0.35">
      <c r="A20" s="11" t="s">
        <v>86</v>
      </c>
      <c r="B20">
        <v>17</v>
      </c>
      <c r="C20">
        <v>29</v>
      </c>
      <c r="D20">
        <v>46</v>
      </c>
    </row>
    <row r="21" spans="1:4" x14ac:dyDescent="0.35">
      <c r="A21" s="11" t="s">
        <v>119</v>
      </c>
      <c r="B21">
        <v>25</v>
      </c>
      <c r="C21">
        <v>32</v>
      </c>
      <c r="D21">
        <v>57</v>
      </c>
    </row>
    <row r="22" spans="1:4" x14ac:dyDescent="0.35">
      <c r="A22" s="11" t="s">
        <v>226</v>
      </c>
      <c r="C22">
        <v>2</v>
      </c>
      <c r="D22">
        <v>2</v>
      </c>
    </row>
    <row r="23" spans="1:4" x14ac:dyDescent="0.35">
      <c r="A23" s="11" t="s">
        <v>236</v>
      </c>
      <c r="B23">
        <v>2</v>
      </c>
      <c r="C23">
        <v>7</v>
      </c>
      <c r="D23">
        <v>9</v>
      </c>
    </row>
    <row r="24" spans="1:4" x14ac:dyDescent="0.35">
      <c r="A24" s="11" t="s">
        <v>168</v>
      </c>
      <c r="B24">
        <v>9</v>
      </c>
      <c r="C24">
        <v>4</v>
      </c>
      <c r="D24">
        <v>13</v>
      </c>
    </row>
    <row r="25" spans="1:4" x14ac:dyDescent="0.35">
      <c r="A25" s="11" t="s">
        <v>159</v>
      </c>
      <c r="C25">
        <v>1</v>
      </c>
      <c r="D25">
        <v>1</v>
      </c>
    </row>
    <row r="26" spans="1:4" x14ac:dyDescent="0.35">
      <c r="A26" s="11" t="s">
        <v>43</v>
      </c>
      <c r="B26">
        <v>2</v>
      </c>
      <c r="D26">
        <v>2</v>
      </c>
    </row>
    <row r="27" spans="1:4" x14ac:dyDescent="0.35">
      <c r="A27" s="11" t="s">
        <v>134</v>
      </c>
      <c r="B27">
        <v>3</v>
      </c>
      <c r="D27">
        <v>3</v>
      </c>
    </row>
    <row r="28" spans="1:4" x14ac:dyDescent="0.35">
      <c r="A28" s="11" t="s">
        <v>25</v>
      </c>
      <c r="B28">
        <v>1</v>
      </c>
      <c r="D28">
        <v>1</v>
      </c>
    </row>
    <row r="29" spans="1:4" x14ac:dyDescent="0.35">
      <c r="A29" s="11" t="s">
        <v>356</v>
      </c>
      <c r="B29">
        <v>2</v>
      </c>
      <c r="D29">
        <v>2</v>
      </c>
    </row>
    <row r="30" spans="1:4" x14ac:dyDescent="0.35">
      <c r="A30" s="11" t="s">
        <v>84</v>
      </c>
      <c r="B30">
        <v>6</v>
      </c>
      <c r="D30">
        <v>6</v>
      </c>
    </row>
    <row r="31" spans="1:4" x14ac:dyDescent="0.35">
      <c r="A31" s="11" t="s">
        <v>246</v>
      </c>
      <c r="B31">
        <v>7</v>
      </c>
      <c r="C31">
        <v>1</v>
      </c>
      <c r="D31">
        <v>8</v>
      </c>
    </row>
    <row r="32" spans="1:4" x14ac:dyDescent="0.35">
      <c r="A32" s="11" t="s">
        <v>297</v>
      </c>
      <c r="C32">
        <v>1</v>
      </c>
      <c r="D32">
        <v>1</v>
      </c>
    </row>
    <row r="33" spans="1:4" x14ac:dyDescent="0.35">
      <c r="A33" s="11" t="s">
        <v>406</v>
      </c>
      <c r="B33">
        <v>1</v>
      </c>
      <c r="D33">
        <v>1</v>
      </c>
    </row>
    <row r="34" spans="1:4" x14ac:dyDescent="0.35">
      <c r="A34" s="11" t="s">
        <v>397</v>
      </c>
      <c r="B34">
        <v>1</v>
      </c>
      <c r="D34">
        <v>1</v>
      </c>
    </row>
    <row r="35" spans="1:4" x14ac:dyDescent="0.35">
      <c r="A35" s="11" t="s">
        <v>384</v>
      </c>
      <c r="B35">
        <v>1</v>
      </c>
      <c r="D35">
        <v>1</v>
      </c>
    </row>
    <row r="36" spans="1:4" x14ac:dyDescent="0.35">
      <c r="A36" s="11" t="s">
        <v>395</v>
      </c>
      <c r="B36">
        <v>1</v>
      </c>
      <c r="D36">
        <v>1</v>
      </c>
    </row>
    <row r="37" spans="1:4" x14ac:dyDescent="0.35">
      <c r="A37" s="11" t="s">
        <v>100</v>
      </c>
      <c r="B37">
        <v>12</v>
      </c>
      <c r="C37">
        <v>25</v>
      </c>
      <c r="D37">
        <v>37</v>
      </c>
    </row>
    <row r="38" spans="1:4" x14ac:dyDescent="0.35">
      <c r="A38" s="11" t="s">
        <v>286</v>
      </c>
      <c r="C38">
        <v>1</v>
      </c>
      <c r="D38">
        <v>1</v>
      </c>
    </row>
    <row r="39" spans="1:4" x14ac:dyDescent="0.35">
      <c r="A39" s="11" t="s">
        <v>376</v>
      </c>
      <c r="C39">
        <v>1</v>
      </c>
      <c r="D39">
        <v>1</v>
      </c>
    </row>
    <row r="40" spans="1:4" x14ac:dyDescent="0.35">
      <c r="A40" s="11" t="s">
        <v>248</v>
      </c>
      <c r="B40">
        <v>1</v>
      </c>
      <c r="C40">
        <v>6</v>
      </c>
      <c r="D40">
        <v>7</v>
      </c>
    </row>
    <row r="41" spans="1:4" x14ac:dyDescent="0.35">
      <c r="A41" s="11" t="s">
        <v>361</v>
      </c>
      <c r="B41">
        <v>8</v>
      </c>
      <c r="D41">
        <v>8</v>
      </c>
    </row>
    <row r="42" spans="1:4" x14ac:dyDescent="0.35">
      <c r="A42" s="11" t="s">
        <v>30</v>
      </c>
      <c r="B42">
        <v>1</v>
      </c>
      <c r="D42">
        <v>1</v>
      </c>
    </row>
    <row r="43" spans="1:4" x14ac:dyDescent="0.35">
      <c r="A43" s="11" t="s">
        <v>294</v>
      </c>
      <c r="C43">
        <v>11</v>
      </c>
      <c r="D43">
        <v>11</v>
      </c>
    </row>
    <row r="44" spans="1:4" x14ac:dyDescent="0.35">
      <c r="A44" s="11" t="s">
        <v>165</v>
      </c>
      <c r="C44">
        <v>2</v>
      </c>
      <c r="D44">
        <v>2</v>
      </c>
    </row>
    <row r="45" spans="1:4" x14ac:dyDescent="0.35">
      <c r="A45" s="11" t="s">
        <v>195</v>
      </c>
      <c r="B45">
        <v>1</v>
      </c>
      <c r="C45">
        <v>5</v>
      </c>
      <c r="D45">
        <v>6</v>
      </c>
    </row>
    <row r="46" spans="1:4" x14ac:dyDescent="0.35">
      <c r="A46" s="11" t="s">
        <v>98</v>
      </c>
      <c r="B46">
        <v>20</v>
      </c>
      <c r="C46">
        <v>14</v>
      </c>
      <c r="D46">
        <v>34</v>
      </c>
    </row>
    <row r="47" spans="1:4" x14ac:dyDescent="0.35">
      <c r="A47" s="11" t="s">
        <v>144</v>
      </c>
      <c r="C47">
        <v>8</v>
      </c>
      <c r="D47">
        <v>8</v>
      </c>
    </row>
    <row r="48" spans="1:4" x14ac:dyDescent="0.35">
      <c r="A48" s="11" t="s">
        <v>298</v>
      </c>
      <c r="B48">
        <v>1</v>
      </c>
      <c r="D48">
        <v>1</v>
      </c>
    </row>
    <row r="49" spans="1:4" x14ac:dyDescent="0.35">
      <c r="A49" s="11" t="s">
        <v>190</v>
      </c>
      <c r="C49">
        <v>1</v>
      </c>
      <c r="D49">
        <v>1</v>
      </c>
    </row>
    <row r="50" spans="1:4" x14ac:dyDescent="0.35">
      <c r="A50" s="11" t="s">
        <v>97</v>
      </c>
      <c r="B50">
        <v>1</v>
      </c>
      <c r="D50">
        <v>1</v>
      </c>
    </row>
    <row r="51" spans="1:4" x14ac:dyDescent="0.35">
      <c r="A51" s="11" t="s">
        <v>149</v>
      </c>
      <c r="B51">
        <v>2</v>
      </c>
      <c r="C51">
        <v>3</v>
      </c>
      <c r="D51">
        <v>5</v>
      </c>
    </row>
    <row r="52" spans="1:4" x14ac:dyDescent="0.35">
      <c r="A52" s="11" t="s">
        <v>412</v>
      </c>
      <c r="C52">
        <v>4</v>
      </c>
      <c r="D52">
        <v>4</v>
      </c>
    </row>
    <row r="53" spans="1:4" x14ac:dyDescent="0.35">
      <c r="A53" s="11" t="s">
        <v>212</v>
      </c>
      <c r="C53">
        <v>1</v>
      </c>
      <c r="D53">
        <v>1</v>
      </c>
    </row>
    <row r="54" spans="1:4" x14ac:dyDescent="0.35">
      <c r="A54" s="11" t="s">
        <v>393</v>
      </c>
      <c r="C54">
        <v>2</v>
      </c>
      <c r="D54">
        <v>2</v>
      </c>
    </row>
    <row r="55" spans="1:4" x14ac:dyDescent="0.35">
      <c r="A55" s="11" t="s">
        <v>191</v>
      </c>
      <c r="C55">
        <v>1</v>
      </c>
      <c r="D55">
        <v>1</v>
      </c>
    </row>
    <row r="56" spans="1:4" x14ac:dyDescent="0.35">
      <c r="A56" s="11" t="s">
        <v>238</v>
      </c>
      <c r="B56">
        <v>3</v>
      </c>
      <c r="D56">
        <v>3</v>
      </c>
    </row>
    <row r="57" spans="1:4" x14ac:dyDescent="0.35">
      <c r="A57" s="11" t="s">
        <v>185</v>
      </c>
      <c r="C57">
        <v>1</v>
      </c>
      <c r="D57">
        <v>1</v>
      </c>
    </row>
    <row r="58" spans="1:4" x14ac:dyDescent="0.35">
      <c r="A58" s="11" t="s">
        <v>434</v>
      </c>
      <c r="B58">
        <v>3</v>
      </c>
      <c r="D58">
        <v>3</v>
      </c>
    </row>
    <row r="59" spans="1:4" x14ac:dyDescent="0.35">
      <c r="A59" s="11" t="s">
        <v>73</v>
      </c>
      <c r="B59">
        <v>1</v>
      </c>
      <c r="D59">
        <v>1</v>
      </c>
    </row>
    <row r="60" spans="1:4" x14ac:dyDescent="0.35">
      <c r="A60" s="11" t="s">
        <v>88</v>
      </c>
      <c r="B60">
        <v>5</v>
      </c>
      <c r="C60">
        <v>13</v>
      </c>
      <c r="D60">
        <v>18</v>
      </c>
    </row>
    <row r="61" spans="1:4" x14ac:dyDescent="0.35">
      <c r="A61" s="11" t="s">
        <v>115</v>
      </c>
      <c r="C61">
        <v>20</v>
      </c>
      <c r="D61">
        <v>20</v>
      </c>
    </row>
    <row r="62" spans="1:4" x14ac:dyDescent="0.35">
      <c r="A62" s="11" t="s">
        <v>175</v>
      </c>
      <c r="B62">
        <v>13</v>
      </c>
      <c r="D62">
        <v>13</v>
      </c>
    </row>
    <row r="63" spans="1:4" x14ac:dyDescent="0.35">
      <c r="A63" s="11" t="s">
        <v>138</v>
      </c>
      <c r="B63">
        <v>4</v>
      </c>
      <c r="D63">
        <v>4</v>
      </c>
    </row>
    <row r="64" spans="1:4" x14ac:dyDescent="0.35">
      <c r="A64" s="11" t="s">
        <v>130</v>
      </c>
      <c r="B64">
        <v>4</v>
      </c>
      <c r="C64">
        <v>3</v>
      </c>
      <c r="D64">
        <v>7</v>
      </c>
    </row>
    <row r="65" spans="1:4" x14ac:dyDescent="0.35">
      <c r="A65" s="11" t="s">
        <v>258</v>
      </c>
      <c r="B65">
        <v>7</v>
      </c>
      <c r="C65">
        <v>7</v>
      </c>
      <c r="D65">
        <v>14</v>
      </c>
    </row>
    <row r="66" spans="1:4" x14ac:dyDescent="0.35">
      <c r="A66" s="11" t="s">
        <v>330</v>
      </c>
      <c r="B66">
        <v>2</v>
      </c>
      <c r="D66">
        <v>2</v>
      </c>
    </row>
    <row r="67" spans="1:4" x14ac:dyDescent="0.35">
      <c r="A67" s="11" t="s">
        <v>422</v>
      </c>
      <c r="C67">
        <v>1</v>
      </c>
      <c r="D67">
        <v>1</v>
      </c>
    </row>
    <row r="68" spans="1:4" x14ac:dyDescent="0.35">
      <c r="A68" s="11" t="s">
        <v>56</v>
      </c>
      <c r="B68">
        <v>6</v>
      </c>
      <c r="D68">
        <v>6</v>
      </c>
    </row>
    <row r="69" spans="1:4" x14ac:dyDescent="0.35">
      <c r="A69" s="11" t="s">
        <v>51</v>
      </c>
      <c r="B69">
        <v>1</v>
      </c>
      <c r="D69">
        <v>1</v>
      </c>
    </row>
    <row r="70" spans="1:4" x14ac:dyDescent="0.35">
      <c r="A70" s="11" t="s">
        <v>66</v>
      </c>
      <c r="B70">
        <v>20</v>
      </c>
      <c r="D70">
        <v>20</v>
      </c>
    </row>
    <row r="71" spans="1:4" x14ac:dyDescent="0.35">
      <c r="A71" s="11" t="s">
        <v>154</v>
      </c>
      <c r="B71">
        <v>2</v>
      </c>
      <c r="C71">
        <v>2</v>
      </c>
      <c r="D71">
        <v>4</v>
      </c>
    </row>
    <row r="72" spans="1:4" x14ac:dyDescent="0.35">
      <c r="A72" s="11" t="s">
        <v>206</v>
      </c>
      <c r="B72">
        <v>3</v>
      </c>
      <c r="C72">
        <v>3</v>
      </c>
      <c r="D72">
        <v>6</v>
      </c>
    </row>
    <row r="73" spans="1:4" x14ac:dyDescent="0.35">
      <c r="A73" s="11" t="s">
        <v>377</v>
      </c>
      <c r="B73">
        <v>2</v>
      </c>
      <c r="D73">
        <v>2</v>
      </c>
    </row>
    <row r="74" spans="1:4" x14ac:dyDescent="0.35">
      <c r="A74" s="11" t="s">
        <v>167</v>
      </c>
      <c r="B74">
        <v>1</v>
      </c>
      <c r="D74">
        <v>1</v>
      </c>
    </row>
    <row r="75" spans="1:4" x14ac:dyDescent="0.35">
      <c r="A75" s="11" t="s">
        <v>402</v>
      </c>
      <c r="C75">
        <v>1</v>
      </c>
      <c r="D75">
        <v>1</v>
      </c>
    </row>
    <row r="76" spans="1:4" x14ac:dyDescent="0.35">
      <c r="A76" s="11" t="s">
        <v>391</v>
      </c>
      <c r="C76">
        <v>4</v>
      </c>
      <c r="D76">
        <v>4</v>
      </c>
    </row>
    <row r="77" spans="1:4" x14ac:dyDescent="0.35">
      <c r="A77" s="11" t="s">
        <v>34</v>
      </c>
      <c r="B77">
        <v>1</v>
      </c>
      <c r="D77">
        <v>1</v>
      </c>
    </row>
    <row r="78" spans="1:4" x14ac:dyDescent="0.35">
      <c r="A78" s="11" t="s">
        <v>169</v>
      </c>
      <c r="B78">
        <v>1</v>
      </c>
      <c r="C78">
        <v>1</v>
      </c>
      <c r="D78">
        <v>2</v>
      </c>
    </row>
    <row r="79" spans="1:4" x14ac:dyDescent="0.35">
      <c r="A79" s="11" t="s">
        <v>264</v>
      </c>
      <c r="B79">
        <v>7</v>
      </c>
      <c r="D79">
        <v>7</v>
      </c>
    </row>
    <row r="80" spans="1:4" x14ac:dyDescent="0.35">
      <c r="A80" s="11" t="s">
        <v>418</v>
      </c>
      <c r="B80">
        <v>2</v>
      </c>
      <c r="D80">
        <v>2</v>
      </c>
    </row>
    <row r="81" spans="1:4" x14ac:dyDescent="0.35">
      <c r="A81" s="11" t="s">
        <v>428</v>
      </c>
      <c r="C81">
        <v>1</v>
      </c>
      <c r="D81">
        <v>1</v>
      </c>
    </row>
    <row r="82" spans="1:4" x14ac:dyDescent="0.35">
      <c r="A82" s="11" t="s">
        <v>227</v>
      </c>
      <c r="C82">
        <v>3</v>
      </c>
      <c r="D82">
        <v>3</v>
      </c>
    </row>
    <row r="83" spans="1:4" x14ac:dyDescent="0.35">
      <c r="A83" s="11" t="s">
        <v>177</v>
      </c>
      <c r="B83">
        <v>2</v>
      </c>
      <c r="D83">
        <v>2</v>
      </c>
    </row>
    <row r="84" spans="1:4" x14ac:dyDescent="0.35">
      <c r="A84" s="11" t="s">
        <v>370</v>
      </c>
      <c r="B84">
        <v>1</v>
      </c>
      <c r="C84">
        <v>1</v>
      </c>
      <c r="D84">
        <v>2</v>
      </c>
    </row>
    <row r="85" spans="1:4" x14ac:dyDescent="0.35">
      <c r="A85" s="11" t="s">
        <v>325</v>
      </c>
      <c r="B85">
        <v>2</v>
      </c>
      <c r="D85">
        <v>2</v>
      </c>
    </row>
    <row r="86" spans="1:4" x14ac:dyDescent="0.35">
      <c r="A86" s="11" t="s">
        <v>60</v>
      </c>
      <c r="B86">
        <v>7</v>
      </c>
      <c r="D86">
        <v>7</v>
      </c>
    </row>
    <row r="87" spans="1:4" x14ac:dyDescent="0.35">
      <c r="A87" s="11" t="s">
        <v>253</v>
      </c>
      <c r="B87">
        <v>6</v>
      </c>
      <c r="D87">
        <v>6</v>
      </c>
    </row>
    <row r="88" spans="1:4" x14ac:dyDescent="0.35">
      <c r="A88" s="11" t="s">
        <v>164</v>
      </c>
      <c r="B88">
        <v>1</v>
      </c>
      <c r="D88">
        <v>1</v>
      </c>
    </row>
    <row r="89" spans="1:4" x14ac:dyDescent="0.35">
      <c r="A89" s="11" t="s">
        <v>329</v>
      </c>
      <c r="B89">
        <v>5</v>
      </c>
      <c r="D89">
        <v>5</v>
      </c>
    </row>
    <row r="90" spans="1:4" x14ac:dyDescent="0.35">
      <c r="A90" s="11" t="s">
        <v>117</v>
      </c>
      <c r="B90">
        <v>23</v>
      </c>
      <c r="C90">
        <v>21</v>
      </c>
      <c r="D90">
        <v>44</v>
      </c>
    </row>
    <row r="91" spans="1:4" x14ac:dyDescent="0.35">
      <c r="A91" s="11" t="s">
        <v>123</v>
      </c>
      <c r="C91">
        <v>2</v>
      </c>
      <c r="D91">
        <v>2</v>
      </c>
    </row>
    <row r="92" spans="1:4" x14ac:dyDescent="0.35">
      <c r="A92" s="11" t="s">
        <v>315</v>
      </c>
      <c r="B92">
        <v>4</v>
      </c>
      <c r="C92">
        <v>4</v>
      </c>
      <c r="D92">
        <v>8</v>
      </c>
    </row>
    <row r="93" spans="1:4" x14ac:dyDescent="0.35">
      <c r="A93" s="11" t="s">
        <v>314</v>
      </c>
      <c r="B93">
        <v>1</v>
      </c>
      <c r="D93">
        <v>1</v>
      </c>
    </row>
    <row r="94" spans="1:4" x14ac:dyDescent="0.35">
      <c r="A94" s="11" t="s">
        <v>233</v>
      </c>
      <c r="B94">
        <v>12</v>
      </c>
      <c r="C94">
        <v>15</v>
      </c>
      <c r="D94">
        <v>27</v>
      </c>
    </row>
    <row r="95" spans="1:4" x14ac:dyDescent="0.35">
      <c r="A95" s="11" t="s">
        <v>354</v>
      </c>
      <c r="B95">
        <v>3</v>
      </c>
      <c r="D95">
        <v>3</v>
      </c>
    </row>
    <row r="96" spans="1:4" x14ac:dyDescent="0.35">
      <c r="A96" s="11" t="s">
        <v>209</v>
      </c>
      <c r="B96">
        <v>2</v>
      </c>
      <c r="C96">
        <v>2</v>
      </c>
      <c r="D96">
        <v>4</v>
      </c>
    </row>
    <row r="97" spans="1:4" x14ac:dyDescent="0.35">
      <c r="A97" s="11" t="s">
        <v>158</v>
      </c>
      <c r="B97">
        <v>2</v>
      </c>
      <c r="D97">
        <v>2</v>
      </c>
    </row>
    <row r="98" spans="1:4" x14ac:dyDescent="0.35">
      <c r="A98" s="11" t="s">
        <v>348</v>
      </c>
      <c r="B98">
        <v>4</v>
      </c>
      <c r="D98">
        <v>4</v>
      </c>
    </row>
    <row r="99" spans="1:4" x14ac:dyDescent="0.35">
      <c r="A99" s="11" t="s">
        <v>260</v>
      </c>
      <c r="B99">
        <v>10</v>
      </c>
      <c r="C99">
        <v>3</v>
      </c>
      <c r="D99">
        <v>13</v>
      </c>
    </row>
    <row r="100" spans="1:4" x14ac:dyDescent="0.35">
      <c r="A100" s="11" t="s">
        <v>299</v>
      </c>
      <c r="B100">
        <v>3</v>
      </c>
      <c r="D100">
        <v>3</v>
      </c>
    </row>
    <row r="101" spans="1:4" x14ac:dyDescent="0.35">
      <c r="A101" s="11" t="s">
        <v>127</v>
      </c>
      <c r="B101">
        <v>14</v>
      </c>
      <c r="C101">
        <v>24</v>
      </c>
      <c r="D101">
        <v>38</v>
      </c>
    </row>
    <row r="102" spans="1:4" x14ac:dyDescent="0.35">
      <c r="A102" s="11" t="s">
        <v>145</v>
      </c>
      <c r="B102">
        <v>3</v>
      </c>
      <c r="C102">
        <v>2</v>
      </c>
      <c r="D102">
        <v>5</v>
      </c>
    </row>
    <row r="103" spans="1:4" x14ac:dyDescent="0.35">
      <c r="A103" s="11" t="s">
        <v>396</v>
      </c>
      <c r="C103">
        <v>3</v>
      </c>
      <c r="D103">
        <v>3</v>
      </c>
    </row>
    <row r="104" spans="1:4" x14ac:dyDescent="0.35">
      <c r="A104" s="11" t="s">
        <v>269</v>
      </c>
      <c r="B104">
        <v>2</v>
      </c>
      <c r="D104">
        <v>2</v>
      </c>
    </row>
    <row r="105" spans="1:4" x14ac:dyDescent="0.35">
      <c r="A105" s="11" t="s">
        <v>416</v>
      </c>
      <c r="C105">
        <v>3</v>
      </c>
      <c r="D105">
        <v>3</v>
      </c>
    </row>
    <row r="106" spans="1:4" x14ac:dyDescent="0.35">
      <c r="A106" s="11" t="s">
        <v>157</v>
      </c>
      <c r="B106">
        <v>17</v>
      </c>
      <c r="C106">
        <v>13</v>
      </c>
      <c r="D106">
        <v>30</v>
      </c>
    </row>
    <row r="107" spans="1:4" x14ac:dyDescent="0.35">
      <c r="A107" s="11" t="s">
        <v>283</v>
      </c>
      <c r="B107">
        <v>6</v>
      </c>
      <c r="D107">
        <v>6</v>
      </c>
    </row>
    <row r="108" spans="1:4" x14ac:dyDescent="0.35">
      <c r="A108" s="11" t="s">
        <v>41</v>
      </c>
      <c r="B108">
        <v>5</v>
      </c>
      <c r="C108">
        <v>7</v>
      </c>
      <c r="D108">
        <v>12</v>
      </c>
    </row>
    <row r="109" spans="1:4" x14ac:dyDescent="0.35">
      <c r="A109" s="11" t="s">
        <v>36</v>
      </c>
      <c r="B109">
        <v>3</v>
      </c>
      <c r="C109">
        <v>4</v>
      </c>
      <c r="D109">
        <v>7</v>
      </c>
    </row>
    <row r="110" spans="1:4" x14ac:dyDescent="0.35">
      <c r="A110" s="11" t="s">
        <v>74</v>
      </c>
      <c r="B110">
        <v>5</v>
      </c>
      <c r="D110">
        <v>5</v>
      </c>
    </row>
    <row r="111" spans="1:4" x14ac:dyDescent="0.35">
      <c r="A111" s="11" t="s">
        <v>47</v>
      </c>
      <c r="B111">
        <v>1</v>
      </c>
      <c r="D111">
        <v>1</v>
      </c>
    </row>
    <row r="112" spans="1:4" x14ac:dyDescent="0.35">
      <c r="A112" s="11" t="s">
        <v>407</v>
      </c>
      <c r="C112">
        <v>2</v>
      </c>
      <c r="D112">
        <v>2</v>
      </c>
    </row>
    <row r="113" spans="1:4" x14ac:dyDescent="0.35">
      <c r="A113" s="11" t="s">
        <v>423</v>
      </c>
      <c r="C113">
        <v>1</v>
      </c>
      <c r="D113">
        <v>1</v>
      </c>
    </row>
    <row r="114" spans="1:4" x14ac:dyDescent="0.35">
      <c r="A114" s="11" t="s">
        <v>18</v>
      </c>
      <c r="B114">
        <v>2</v>
      </c>
      <c r="D114">
        <v>2</v>
      </c>
    </row>
    <row r="115" spans="1:4" x14ac:dyDescent="0.35">
      <c r="A115" s="11" t="s">
        <v>63</v>
      </c>
      <c r="B115">
        <v>8</v>
      </c>
      <c r="D115">
        <v>8</v>
      </c>
    </row>
    <row r="116" spans="1:4" x14ac:dyDescent="0.35">
      <c r="A116" s="11" t="s">
        <v>394</v>
      </c>
      <c r="B116">
        <v>4</v>
      </c>
      <c r="D116">
        <v>4</v>
      </c>
    </row>
    <row r="117" spans="1:4" x14ac:dyDescent="0.35">
      <c r="A117" s="11" t="s">
        <v>419</v>
      </c>
      <c r="C117">
        <v>1</v>
      </c>
      <c r="D117">
        <v>1</v>
      </c>
    </row>
    <row r="118" spans="1:4" x14ac:dyDescent="0.35">
      <c r="A118" s="11" t="s">
        <v>310</v>
      </c>
      <c r="C118">
        <v>1</v>
      </c>
      <c r="D118">
        <v>1</v>
      </c>
    </row>
    <row r="119" spans="1:4" x14ac:dyDescent="0.35">
      <c r="A119" s="11" t="s">
        <v>125</v>
      </c>
      <c r="B119">
        <v>6</v>
      </c>
      <c r="C119">
        <v>6</v>
      </c>
      <c r="D119">
        <v>12</v>
      </c>
    </row>
    <row r="120" spans="1:4" x14ac:dyDescent="0.35">
      <c r="A120" s="11" t="s">
        <v>181</v>
      </c>
      <c r="B120">
        <v>4</v>
      </c>
      <c r="C120">
        <v>1</v>
      </c>
      <c r="D120">
        <v>5</v>
      </c>
    </row>
    <row r="121" spans="1:4" x14ac:dyDescent="0.35">
      <c r="A121" s="11" t="s">
        <v>77</v>
      </c>
      <c r="C121">
        <v>4</v>
      </c>
      <c r="D121">
        <v>4</v>
      </c>
    </row>
    <row r="122" spans="1:4" x14ac:dyDescent="0.35">
      <c r="A122" s="11" t="s">
        <v>252</v>
      </c>
      <c r="B122">
        <v>3</v>
      </c>
      <c r="C122">
        <v>6</v>
      </c>
      <c r="D122">
        <v>9</v>
      </c>
    </row>
    <row r="123" spans="1:4" x14ac:dyDescent="0.35">
      <c r="A123" s="11" t="s">
        <v>344</v>
      </c>
      <c r="B123">
        <v>6</v>
      </c>
      <c r="D123">
        <v>6</v>
      </c>
    </row>
    <row r="124" spans="1:4" x14ac:dyDescent="0.35">
      <c r="A124" s="11" t="s">
        <v>37</v>
      </c>
      <c r="B124">
        <v>6</v>
      </c>
      <c r="D124">
        <v>6</v>
      </c>
    </row>
    <row r="125" spans="1:4" x14ac:dyDescent="0.35">
      <c r="A125" s="11" t="s">
        <v>324</v>
      </c>
      <c r="C125">
        <v>4</v>
      </c>
      <c r="D125">
        <v>4</v>
      </c>
    </row>
    <row r="126" spans="1:4" x14ac:dyDescent="0.35">
      <c r="A126" s="11" t="s">
        <v>78</v>
      </c>
      <c r="B126">
        <v>6</v>
      </c>
      <c r="C126">
        <v>12</v>
      </c>
      <c r="D126">
        <v>18</v>
      </c>
    </row>
    <row r="127" spans="1:4" x14ac:dyDescent="0.35">
      <c r="A127" s="11" t="s">
        <v>133</v>
      </c>
      <c r="C127">
        <v>1</v>
      </c>
      <c r="D127">
        <v>1</v>
      </c>
    </row>
    <row r="128" spans="1:4" x14ac:dyDescent="0.35">
      <c r="A128" s="11" t="s">
        <v>225</v>
      </c>
      <c r="B128">
        <v>12</v>
      </c>
      <c r="C128">
        <v>18</v>
      </c>
      <c r="D128">
        <v>30</v>
      </c>
    </row>
    <row r="129" spans="1:4" x14ac:dyDescent="0.35">
      <c r="A129" s="11" t="s">
        <v>388</v>
      </c>
      <c r="C129">
        <v>2</v>
      </c>
      <c r="D129">
        <v>2</v>
      </c>
    </row>
    <row r="130" spans="1:4" x14ac:dyDescent="0.35">
      <c r="A130" s="11" t="s">
        <v>405</v>
      </c>
      <c r="C130">
        <v>1</v>
      </c>
      <c r="D130">
        <v>1</v>
      </c>
    </row>
    <row r="131" spans="1:4" x14ac:dyDescent="0.35">
      <c r="A131" s="11" t="s">
        <v>121</v>
      </c>
      <c r="B131">
        <v>15</v>
      </c>
      <c r="C131">
        <v>25</v>
      </c>
      <c r="D131">
        <v>40</v>
      </c>
    </row>
    <row r="132" spans="1:4" x14ac:dyDescent="0.35">
      <c r="A132" s="11" t="s">
        <v>89</v>
      </c>
      <c r="B132">
        <v>7</v>
      </c>
      <c r="C132">
        <v>16</v>
      </c>
      <c r="D132">
        <v>23</v>
      </c>
    </row>
    <row r="133" spans="1:4" x14ac:dyDescent="0.35">
      <c r="A133" s="11" t="s">
        <v>101</v>
      </c>
      <c r="B133">
        <v>4</v>
      </c>
      <c r="D133">
        <v>4</v>
      </c>
    </row>
    <row r="134" spans="1:4" x14ac:dyDescent="0.35">
      <c r="A134" s="11" t="s">
        <v>95</v>
      </c>
      <c r="B134">
        <v>6</v>
      </c>
      <c r="C134">
        <v>26</v>
      </c>
      <c r="D134">
        <v>32</v>
      </c>
    </row>
    <row r="135" spans="1:4" x14ac:dyDescent="0.35">
      <c r="A135" s="11" t="s">
        <v>112</v>
      </c>
      <c r="C135">
        <v>26</v>
      </c>
      <c r="D135">
        <v>26</v>
      </c>
    </row>
    <row r="136" spans="1:4" x14ac:dyDescent="0.35">
      <c r="A136" s="11" t="s">
        <v>211</v>
      </c>
      <c r="B136">
        <v>1</v>
      </c>
      <c r="D136">
        <v>1</v>
      </c>
    </row>
    <row r="137" spans="1:4" x14ac:dyDescent="0.35">
      <c r="A137" s="11" t="s">
        <v>217</v>
      </c>
      <c r="B137">
        <v>15</v>
      </c>
      <c r="C137">
        <v>18</v>
      </c>
      <c r="D137">
        <v>33</v>
      </c>
    </row>
    <row r="138" spans="1:4" x14ac:dyDescent="0.35">
      <c r="A138" s="11" t="s">
        <v>197</v>
      </c>
      <c r="B138">
        <v>3</v>
      </c>
      <c r="C138">
        <v>8</v>
      </c>
      <c r="D138">
        <v>11</v>
      </c>
    </row>
    <row r="139" spans="1:4" x14ac:dyDescent="0.35">
      <c r="A139" s="11" t="s">
        <v>93</v>
      </c>
      <c r="B139">
        <v>7</v>
      </c>
      <c r="C139">
        <v>14</v>
      </c>
      <c r="D139">
        <v>21</v>
      </c>
    </row>
    <row r="140" spans="1:4" x14ac:dyDescent="0.35">
      <c r="A140" s="11" t="s">
        <v>113</v>
      </c>
      <c r="C140">
        <v>3</v>
      </c>
      <c r="D140">
        <v>3</v>
      </c>
    </row>
    <row r="141" spans="1:4" x14ac:dyDescent="0.35">
      <c r="A141" s="11" t="s">
        <v>232</v>
      </c>
      <c r="C141">
        <v>2</v>
      </c>
      <c r="D141">
        <v>2</v>
      </c>
    </row>
    <row r="142" spans="1:4" x14ac:dyDescent="0.35">
      <c r="A142" s="11" t="s">
        <v>270</v>
      </c>
      <c r="B142">
        <v>7</v>
      </c>
      <c r="C142">
        <v>20</v>
      </c>
      <c r="D142">
        <v>27</v>
      </c>
    </row>
    <row r="143" spans="1:4" x14ac:dyDescent="0.35">
      <c r="A143" s="11" t="s">
        <v>320</v>
      </c>
      <c r="C143">
        <v>4</v>
      </c>
      <c r="D143">
        <v>4</v>
      </c>
    </row>
    <row r="144" spans="1:4" x14ac:dyDescent="0.35">
      <c r="A144" s="11" t="s">
        <v>231</v>
      </c>
      <c r="B144">
        <v>1</v>
      </c>
      <c r="D144">
        <v>1</v>
      </c>
    </row>
    <row r="145" spans="1:4" x14ac:dyDescent="0.35">
      <c r="A145" s="11" t="s">
        <v>105</v>
      </c>
      <c r="B145">
        <v>27</v>
      </c>
      <c r="C145">
        <v>38</v>
      </c>
      <c r="D145">
        <v>65</v>
      </c>
    </row>
    <row r="146" spans="1:4" x14ac:dyDescent="0.35">
      <c r="A146" s="11" t="s">
        <v>152</v>
      </c>
      <c r="B146">
        <v>5</v>
      </c>
      <c r="C146">
        <v>3</v>
      </c>
      <c r="D146">
        <v>8</v>
      </c>
    </row>
    <row r="147" spans="1:4" x14ac:dyDescent="0.35">
      <c r="A147" s="11" t="s">
        <v>357</v>
      </c>
      <c r="C147">
        <v>1</v>
      </c>
      <c r="D147">
        <v>1</v>
      </c>
    </row>
    <row r="148" spans="1:4" x14ac:dyDescent="0.35">
      <c r="A148" s="11" t="s">
        <v>420</v>
      </c>
      <c r="C148">
        <v>1</v>
      </c>
      <c r="D148">
        <v>1</v>
      </c>
    </row>
    <row r="149" spans="1:4" x14ac:dyDescent="0.35">
      <c r="A149" s="11" t="s">
        <v>49</v>
      </c>
      <c r="B149">
        <v>2</v>
      </c>
      <c r="D149">
        <v>2</v>
      </c>
    </row>
    <row r="150" spans="1:4" x14ac:dyDescent="0.35">
      <c r="A150" s="11" t="s">
        <v>333</v>
      </c>
      <c r="B150">
        <v>3</v>
      </c>
      <c r="D150">
        <v>3</v>
      </c>
    </row>
    <row r="151" spans="1:4" x14ac:dyDescent="0.35">
      <c r="A151" s="11" t="s">
        <v>245</v>
      </c>
      <c r="C151">
        <v>4</v>
      </c>
      <c r="D151">
        <v>4</v>
      </c>
    </row>
    <row r="152" spans="1:4" x14ac:dyDescent="0.35">
      <c r="A152" s="11" t="s">
        <v>371</v>
      </c>
      <c r="B152">
        <v>3</v>
      </c>
      <c r="D152">
        <v>3</v>
      </c>
    </row>
    <row r="153" spans="1:4" x14ac:dyDescent="0.35">
      <c r="A153" s="11" t="s">
        <v>17</v>
      </c>
      <c r="B153">
        <v>3</v>
      </c>
      <c r="C153">
        <v>1</v>
      </c>
      <c r="D153">
        <v>4</v>
      </c>
    </row>
    <row r="154" spans="1:4" x14ac:dyDescent="0.35">
      <c r="A154" s="11" t="s">
        <v>151</v>
      </c>
      <c r="B154">
        <v>6</v>
      </c>
      <c r="C154">
        <v>6</v>
      </c>
      <c r="D154">
        <v>12</v>
      </c>
    </row>
    <row r="155" spans="1:4" x14ac:dyDescent="0.35">
      <c r="A155" s="11" t="s">
        <v>343</v>
      </c>
      <c r="B155">
        <v>5</v>
      </c>
      <c r="D155">
        <v>5</v>
      </c>
    </row>
    <row r="156" spans="1:4" x14ac:dyDescent="0.35">
      <c r="A156" s="11" t="s">
        <v>352</v>
      </c>
      <c r="B156">
        <v>4</v>
      </c>
      <c r="C156">
        <v>1</v>
      </c>
      <c r="D156">
        <v>5</v>
      </c>
    </row>
    <row r="157" spans="1:4" x14ac:dyDescent="0.35">
      <c r="A157" s="11" t="s">
        <v>160</v>
      </c>
      <c r="B157">
        <v>2</v>
      </c>
      <c r="D157">
        <v>2</v>
      </c>
    </row>
    <row r="158" spans="1:4" x14ac:dyDescent="0.35">
      <c r="A158" s="11" t="s">
        <v>139</v>
      </c>
      <c r="B158">
        <v>1</v>
      </c>
      <c r="D158">
        <v>1</v>
      </c>
    </row>
    <row r="159" spans="1:4" x14ac:dyDescent="0.35">
      <c r="A159" s="11" t="s">
        <v>103</v>
      </c>
      <c r="C159">
        <v>1</v>
      </c>
      <c r="D159">
        <v>1</v>
      </c>
    </row>
    <row r="160" spans="1:4" x14ac:dyDescent="0.35">
      <c r="A160" s="11" t="s">
        <v>336</v>
      </c>
      <c r="B160">
        <v>4</v>
      </c>
      <c r="D160">
        <v>4</v>
      </c>
    </row>
    <row r="161" spans="1:4" x14ac:dyDescent="0.35">
      <c r="A161" s="11" t="s">
        <v>42</v>
      </c>
      <c r="B161">
        <v>14</v>
      </c>
      <c r="C161">
        <v>2</v>
      </c>
      <c r="D161">
        <v>16</v>
      </c>
    </row>
    <row r="162" spans="1:4" x14ac:dyDescent="0.35">
      <c r="A162" s="11" t="s">
        <v>339</v>
      </c>
      <c r="B162">
        <v>5</v>
      </c>
      <c r="D162">
        <v>5</v>
      </c>
    </row>
    <row r="163" spans="1:4" x14ac:dyDescent="0.35">
      <c r="A163" s="11" t="s">
        <v>131</v>
      </c>
      <c r="C163">
        <v>13</v>
      </c>
      <c r="D163">
        <v>13</v>
      </c>
    </row>
    <row r="164" spans="1:4" x14ac:dyDescent="0.35">
      <c r="A164" s="11" t="s">
        <v>187</v>
      </c>
      <c r="B164">
        <v>7</v>
      </c>
      <c r="D164">
        <v>7</v>
      </c>
    </row>
    <row r="165" spans="1:4" x14ac:dyDescent="0.35">
      <c r="A165" s="11" t="s">
        <v>284</v>
      </c>
      <c r="B165">
        <v>3</v>
      </c>
      <c r="C165">
        <v>4</v>
      </c>
      <c r="D165">
        <v>7</v>
      </c>
    </row>
    <row r="166" spans="1:4" x14ac:dyDescent="0.35">
      <c r="A166" s="11" t="s">
        <v>327</v>
      </c>
      <c r="B166">
        <v>7</v>
      </c>
      <c r="D166">
        <v>7</v>
      </c>
    </row>
    <row r="167" spans="1:4" x14ac:dyDescent="0.35">
      <c r="A167" s="11" t="s">
        <v>365</v>
      </c>
      <c r="B167">
        <v>1</v>
      </c>
      <c r="D167">
        <v>1</v>
      </c>
    </row>
    <row r="168" spans="1:4" x14ac:dyDescent="0.35">
      <c r="A168" s="11" t="s">
        <v>322</v>
      </c>
      <c r="B168">
        <v>6</v>
      </c>
      <c r="D168">
        <v>6</v>
      </c>
    </row>
    <row r="169" spans="1:4" x14ac:dyDescent="0.35">
      <c r="A169" s="11" t="s">
        <v>148</v>
      </c>
      <c r="B169">
        <v>15</v>
      </c>
      <c r="C169">
        <v>31</v>
      </c>
      <c r="D169">
        <v>46</v>
      </c>
    </row>
    <row r="170" spans="1:4" x14ac:dyDescent="0.35">
      <c r="A170" s="11" t="s">
        <v>128</v>
      </c>
      <c r="C170">
        <v>3</v>
      </c>
      <c r="D170">
        <v>3</v>
      </c>
    </row>
    <row r="171" spans="1:4" x14ac:dyDescent="0.35">
      <c r="A171" s="11" t="s">
        <v>290</v>
      </c>
      <c r="B171">
        <v>3</v>
      </c>
      <c r="D171">
        <v>3</v>
      </c>
    </row>
    <row r="172" spans="1:4" x14ac:dyDescent="0.35">
      <c r="A172" s="11" t="s">
        <v>180</v>
      </c>
      <c r="B172">
        <v>15</v>
      </c>
      <c r="C172">
        <v>16</v>
      </c>
      <c r="D172">
        <v>31</v>
      </c>
    </row>
    <row r="173" spans="1:4" x14ac:dyDescent="0.35">
      <c r="A173" s="11" t="s">
        <v>111</v>
      </c>
      <c r="B173">
        <v>2</v>
      </c>
      <c r="D173">
        <v>2</v>
      </c>
    </row>
    <row r="174" spans="1:4" x14ac:dyDescent="0.35">
      <c r="A174" s="11" t="s">
        <v>82</v>
      </c>
      <c r="B174">
        <v>4</v>
      </c>
      <c r="D174">
        <v>4</v>
      </c>
    </row>
    <row r="175" spans="1:4" x14ac:dyDescent="0.35">
      <c r="A175" s="11" t="s">
        <v>140</v>
      </c>
      <c r="B175">
        <v>6</v>
      </c>
      <c r="D175">
        <v>6</v>
      </c>
    </row>
    <row r="176" spans="1:4" x14ac:dyDescent="0.35">
      <c r="A176" s="11" t="s">
        <v>96</v>
      </c>
      <c r="B176">
        <v>7</v>
      </c>
      <c r="D176">
        <v>7</v>
      </c>
    </row>
    <row r="177" spans="1:4" x14ac:dyDescent="0.35">
      <c r="A177" s="11" t="s">
        <v>178</v>
      </c>
      <c r="B177">
        <v>4</v>
      </c>
      <c r="D177">
        <v>4</v>
      </c>
    </row>
    <row r="178" spans="1:4" x14ac:dyDescent="0.35">
      <c r="A178" s="11" t="s">
        <v>454</v>
      </c>
      <c r="B178">
        <v>710</v>
      </c>
      <c r="C178">
        <v>703</v>
      </c>
      <c r="D178">
        <v>1413</v>
      </c>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B0608E-2920-4F2E-AB72-2938BC6D5C4F}">
  <sheetPr codeName="Sheet18"/>
  <dimension ref="A3:N20"/>
  <sheetViews>
    <sheetView workbookViewId="0">
      <selection activeCell="A18" sqref="A18:XFD20"/>
    </sheetView>
  </sheetViews>
  <sheetFormatPr defaultRowHeight="18" x14ac:dyDescent="0.35"/>
  <cols>
    <col min="1" max="1" width="14.4140625" bestFit="1" customWidth="1"/>
    <col min="2" max="2" width="13.9140625" bestFit="1" customWidth="1"/>
    <col min="3" max="3" width="4" bestFit="1" customWidth="1"/>
    <col min="4" max="4" width="3.75" bestFit="1" customWidth="1"/>
    <col min="5" max="5" width="3.08203125" bestFit="1" customWidth="1"/>
    <col min="6" max="8" width="3.75" bestFit="1" customWidth="1"/>
    <col min="9" max="9" width="4" bestFit="1" customWidth="1"/>
    <col min="10" max="10" width="2.75" bestFit="1" customWidth="1"/>
    <col min="11" max="11" width="3" bestFit="1" customWidth="1"/>
    <col min="12" max="12" width="10" bestFit="1" customWidth="1"/>
  </cols>
  <sheetData>
    <row r="3" spans="1:12" x14ac:dyDescent="0.35">
      <c r="A3" s="10" t="s">
        <v>455</v>
      </c>
      <c r="B3" s="10" t="s">
        <v>456</v>
      </c>
    </row>
    <row r="4" spans="1:12" x14ac:dyDescent="0.35">
      <c r="A4" s="10" t="s">
        <v>453</v>
      </c>
      <c r="B4" t="s">
        <v>274</v>
      </c>
      <c r="C4" t="s">
        <v>282</v>
      </c>
      <c r="D4" t="s">
        <v>68</v>
      </c>
      <c r="E4" t="s">
        <v>251</v>
      </c>
      <c r="F4" t="s">
        <v>19</v>
      </c>
      <c r="G4" t="s">
        <v>249</v>
      </c>
      <c r="H4" t="s">
        <v>38</v>
      </c>
      <c r="I4" t="s">
        <v>275</v>
      </c>
      <c r="J4" t="s">
        <v>230</v>
      </c>
      <c r="K4" t="s">
        <v>311</v>
      </c>
      <c r="L4" t="s">
        <v>454</v>
      </c>
    </row>
    <row r="5" spans="1:12" x14ac:dyDescent="0.35">
      <c r="A5" s="11" t="s">
        <v>14</v>
      </c>
      <c r="B5">
        <v>1</v>
      </c>
      <c r="D5">
        <v>217</v>
      </c>
      <c r="E5">
        <v>3</v>
      </c>
      <c r="F5">
        <v>359</v>
      </c>
      <c r="G5">
        <v>5</v>
      </c>
      <c r="H5">
        <v>125</v>
      </c>
      <c r="L5">
        <v>710</v>
      </c>
    </row>
    <row r="6" spans="1:12" x14ac:dyDescent="0.35">
      <c r="A6" s="11" t="s">
        <v>64</v>
      </c>
      <c r="B6">
        <v>8</v>
      </c>
      <c r="C6">
        <v>7</v>
      </c>
      <c r="D6">
        <v>276</v>
      </c>
      <c r="E6">
        <v>40</v>
      </c>
      <c r="F6">
        <v>1</v>
      </c>
      <c r="H6">
        <v>221</v>
      </c>
      <c r="I6">
        <v>95</v>
      </c>
      <c r="J6">
        <v>23</v>
      </c>
      <c r="K6">
        <v>32</v>
      </c>
      <c r="L6">
        <v>703</v>
      </c>
    </row>
    <row r="7" spans="1:12" x14ac:dyDescent="0.35">
      <c r="A7" s="11" t="s">
        <v>454</v>
      </c>
      <c r="B7">
        <v>9</v>
      </c>
      <c r="C7">
        <v>7</v>
      </c>
      <c r="D7">
        <v>493</v>
      </c>
      <c r="E7">
        <v>43</v>
      </c>
      <c r="F7">
        <v>360</v>
      </c>
      <c r="G7">
        <v>5</v>
      </c>
      <c r="H7">
        <v>346</v>
      </c>
      <c r="I7">
        <v>95</v>
      </c>
      <c r="J7">
        <v>23</v>
      </c>
      <c r="K7">
        <v>32</v>
      </c>
      <c r="L7">
        <v>1413</v>
      </c>
    </row>
    <row r="18" spans="14:14" ht="23.4" hidden="1" x14ac:dyDescent="0.45">
      <c r="N18" s="13" t="s">
        <v>484</v>
      </c>
    </row>
    <row r="19" spans="14:14" ht="21" hidden="1" x14ac:dyDescent="0.4">
      <c r="N19" s="14" t="s">
        <v>507</v>
      </c>
    </row>
    <row r="20" spans="14:14" ht="21" hidden="1" x14ac:dyDescent="0.4">
      <c r="N20" s="14" t="s">
        <v>506</v>
      </c>
    </row>
  </sheetData>
  <pageMargins left="0.7" right="0.7" top="0.75" bottom="0.75" header="0.3" footer="0.3"/>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04AEB-2669-449C-A7BF-DDDAF10C029C}">
  <sheetPr codeName="Sheet19"/>
  <dimension ref="A3:F35"/>
  <sheetViews>
    <sheetView zoomScale="52" workbookViewId="0">
      <selection activeCell="A32" sqref="A32:XFD35"/>
    </sheetView>
  </sheetViews>
  <sheetFormatPr defaultRowHeight="18" x14ac:dyDescent="0.35"/>
  <cols>
    <col min="1" max="1" width="28.33203125" bestFit="1" customWidth="1"/>
    <col min="2" max="2" width="14.75" bestFit="1" customWidth="1"/>
    <col min="3" max="3" width="10.6640625" bestFit="1" customWidth="1"/>
    <col min="4" max="4" width="10" bestFit="1" customWidth="1"/>
  </cols>
  <sheetData>
    <row r="3" spans="1:4" x14ac:dyDescent="0.35">
      <c r="A3" s="10" t="s">
        <v>455</v>
      </c>
      <c r="B3" s="10" t="s">
        <v>456</v>
      </c>
    </row>
    <row r="4" spans="1:4" x14ac:dyDescent="0.35">
      <c r="A4" s="10" t="s">
        <v>453</v>
      </c>
      <c r="B4" t="s">
        <v>14</v>
      </c>
      <c r="C4" t="s">
        <v>64</v>
      </c>
      <c r="D4" t="s">
        <v>454</v>
      </c>
    </row>
    <row r="5" spans="1:4" x14ac:dyDescent="0.35">
      <c r="A5" s="11" t="s">
        <v>415</v>
      </c>
      <c r="C5">
        <v>1</v>
      </c>
      <c r="D5">
        <v>1</v>
      </c>
    </row>
    <row r="6" spans="1:4" x14ac:dyDescent="0.35">
      <c r="A6" s="11" t="s">
        <v>91</v>
      </c>
      <c r="B6">
        <v>22</v>
      </c>
      <c r="C6">
        <v>56</v>
      </c>
      <c r="D6">
        <v>78</v>
      </c>
    </row>
    <row r="7" spans="1:4" x14ac:dyDescent="0.35">
      <c r="A7" s="11" t="s">
        <v>80</v>
      </c>
      <c r="B7">
        <v>4</v>
      </c>
      <c r="D7">
        <v>4</v>
      </c>
    </row>
    <row r="8" spans="1:4" x14ac:dyDescent="0.35">
      <c r="A8" s="11" t="s">
        <v>417</v>
      </c>
      <c r="B8">
        <v>2</v>
      </c>
      <c r="D8">
        <v>2</v>
      </c>
    </row>
    <row r="9" spans="1:4" x14ac:dyDescent="0.35">
      <c r="A9" s="11" t="s">
        <v>40</v>
      </c>
      <c r="B9">
        <v>13</v>
      </c>
      <c r="D9">
        <v>13</v>
      </c>
    </row>
    <row r="10" spans="1:4" x14ac:dyDescent="0.35">
      <c r="A10" s="11" t="s">
        <v>163</v>
      </c>
      <c r="B10">
        <v>7</v>
      </c>
      <c r="C10">
        <v>5</v>
      </c>
      <c r="D10">
        <v>12</v>
      </c>
    </row>
    <row r="11" spans="1:4" x14ac:dyDescent="0.35">
      <c r="A11" s="11" t="s">
        <v>362</v>
      </c>
      <c r="B11">
        <v>4</v>
      </c>
      <c r="D11">
        <v>4</v>
      </c>
    </row>
    <row r="12" spans="1:4" x14ac:dyDescent="0.35">
      <c r="A12" s="11" t="s">
        <v>65</v>
      </c>
      <c r="B12">
        <v>311</v>
      </c>
      <c r="C12">
        <v>474</v>
      </c>
      <c r="D12">
        <v>785</v>
      </c>
    </row>
    <row r="13" spans="1:4" x14ac:dyDescent="0.35">
      <c r="A13" s="11" t="s">
        <v>15</v>
      </c>
      <c r="B13">
        <v>3</v>
      </c>
      <c r="D13">
        <v>3</v>
      </c>
    </row>
    <row r="14" spans="1:4" x14ac:dyDescent="0.35">
      <c r="A14" s="11" t="s">
        <v>390</v>
      </c>
      <c r="C14">
        <v>20</v>
      </c>
      <c r="D14">
        <v>20</v>
      </c>
    </row>
    <row r="15" spans="1:4" x14ac:dyDescent="0.35">
      <c r="A15" s="11" t="s">
        <v>35</v>
      </c>
      <c r="B15">
        <v>103</v>
      </c>
      <c r="D15">
        <v>103</v>
      </c>
    </row>
    <row r="16" spans="1:4" x14ac:dyDescent="0.35">
      <c r="A16" s="11" t="s">
        <v>425</v>
      </c>
      <c r="B16">
        <v>9</v>
      </c>
      <c r="D16">
        <v>9</v>
      </c>
    </row>
    <row r="17" spans="1:6" x14ac:dyDescent="0.35">
      <c r="A17" s="11" t="s">
        <v>321</v>
      </c>
      <c r="B17">
        <v>81</v>
      </c>
      <c r="D17">
        <v>81</v>
      </c>
    </row>
    <row r="18" spans="1:6" x14ac:dyDescent="0.35">
      <c r="A18" s="11" t="s">
        <v>172</v>
      </c>
      <c r="B18">
        <v>4</v>
      </c>
      <c r="C18">
        <v>14</v>
      </c>
      <c r="D18">
        <v>18</v>
      </c>
    </row>
    <row r="19" spans="1:6" x14ac:dyDescent="0.35">
      <c r="A19" s="11" t="s">
        <v>341</v>
      </c>
      <c r="B19">
        <v>2</v>
      </c>
      <c r="D19">
        <v>2</v>
      </c>
    </row>
    <row r="20" spans="1:6" x14ac:dyDescent="0.35">
      <c r="A20" s="11" t="s">
        <v>28</v>
      </c>
      <c r="B20">
        <v>2</v>
      </c>
      <c r="D20">
        <v>2</v>
      </c>
    </row>
    <row r="21" spans="1:6" x14ac:dyDescent="0.35">
      <c r="A21" s="11" t="s">
        <v>411</v>
      </c>
      <c r="C21">
        <v>1</v>
      </c>
      <c r="D21">
        <v>1</v>
      </c>
    </row>
    <row r="22" spans="1:6" x14ac:dyDescent="0.35">
      <c r="A22" s="11" t="s">
        <v>410</v>
      </c>
      <c r="C22">
        <v>1</v>
      </c>
      <c r="D22">
        <v>1</v>
      </c>
    </row>
    <row r="23" spans="1:6" x14ac:dyDescent="0.35">
      <c r="A23" s="11" t="s">
        <v>75</v>
      </c>
      <c r="B23">
        <v>140</v>
      </c>
      <c r="C23">
        <v>128</v>
      </c>
      <c r="D23">
        <v>268</v>
      </c>
    </row>
    <row r="24" spans="1:6" x14ac:dyDescent="0.35">
      <c r="A24" s="11" t="s">
        <v>71</v>
      </c>
      <c r="B24">
        <v>1</v>
      </c>
      <c r="D24">
        <v>1</v>
      </c>
    </row>
    <row r="25" spans="1:6" x14ac:dyDescent="0.35">
      <c r="A25" s="11" t="s">
        <v>223</v>
      </c>
      <c r="B25">
        <v>2</v>
      </c>
      <c r="C25">
        <v>3</v>
      </c>
      <c r="D25">
        <v>5</v>
      </c>
    </row>
    <row r="26" spans="1:6" x14ac:dyDescent="0.35">
      <c r="A26" s="11" t="s">
        <v>454</v>
      </c>
      <c r="B26">
        <v>710</v>
      </c>
      <c r="C26">
        <v>703</v>
      </c>
      <c r="D26">
        <v>1413</v>
      </c>
    </row>
    <row r="32" spans="1:6" ht="23.4" hidden="1" x14ac:dyDescent="0.45">
      <c r="F32" s="13" t="s">
        <v>484</v>
      </c>
    </row>
    <row r="33" spans="6:6" ht="21" hidden="1" x14ac:dyDescent="0.4">
      <c r="F33" s="14" t="s">
        <v>508</v>
      </c>
    </row>
    <row r="34" spans="6:6" ht="21" hidden="1" x14ac:dyDescent="0.4">
      <c r="F34" s="14" t="s">
        <v>510</v>
      </c>
    </row>
    <row r="35" spans="6:6" ht="21" hidden="1" x14ac:dyDescent="0.4">
      <c r="F35" s="14" t="s">
        <v>509</v>
      </c>
    </row>
  </sheetData>
  <pageMargins left="0.7" right="0.7" top="0.75" bottom="0.75" header="0.3" footer="0.3"/>
  <pageSetup orientation="portrait" r:id="rId2"/>
  <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B8A36-380D-4C94-A257-153D90103CC1}">
  <sheetPr codeName="Sheet20"/>
  <dimension ref="A3:U57"/>
  <sheetViews>
    <sheetView topLeftCell="C1" zoomScale="71" workbookViewId="0">
      <selection activeCell="U1" sqref="U1:U1048576"/>
    </sheetView>
  </sheetViews>
  <sheetFormatPr defaultRowHeight="18" x14ac:dyDescent="0.35"/>
  <cols>
    <col min="1" max="1" width="12.9140625" bestFit="1" customWidth="1"/>
    <col min="2" max="2" width="14.75" bestFit="1" customWidth="1"/>
    <col min="3" max="3" width="10.6640625" bestFit="1" customWidth="1"/>
    <col min="4" max="4" width="10" bestFit="1" customWidth="1"/>
    <col min="21" max="21" width="8.6640625" hidden="1" customWidth="1"/>
  </cols>
  <sheetData>
    <row r="3" spans="1:21" x14ac:dyDescent="0.35">
      <c r="A3" s="10" t="s">
        <v>455</v>
      </c>
      <c r="B3" s="10" t="s">
        <v>456</v>
      </c>
    </row>
    <row r="4" spans="1:21" x14ac:dyDescent="0.35">
      <c r="A4" s="10" t="s">
        <v>453</v>
      </c>
      <c r="B4" t="s">
        <v>14</v>
      </c>
      <c r="C4" t="s">
        <v>64</v>
      </c>
      <c r="D4" t="s">
        <v>454</v>
      </c>
    </row>
    <row r="5" spans="1:21" x14ac:dyDescent="0.35">
      <c r="A5" s="11">
        <v>1</v>
      </c>
      <c r="B5">
        <v>6</v>
      </c>
      <c r="C5">
        <v>21</v>
      </c>
      <c r="D5">
        <v>27</v>
      </c>
    </row>
    <row r="6" spans="1:21" x14ac:dyDescent="0.35">
      <c r="A6" s="11">
        <v>2</v>
      </c>
      <c r="B6">
        <v>7</v>
      </c>
      <c r="C6">
        <v>11</v>
      </c>
      <c r="D6">
        <v>18</v>
      </c>
    </row>
    <row r="7" spans="1:21" x14ac:dyDescent="0.35">
      <c r="A7" s="11">
        <v>3</v>
      </c>
      <c r="B7">
        <v>14</v>
      </c>
      <c r="C7">
        <v>16</v>
      </c>
      <c r="D7">
        <v>30</v>
      </c>
    </row>
    <row r="8" spans="1:21" x14ac:dyDescent="0.35">
      <c r="A8" s="11">
        <v>4</v>
      </c>
      <c r="B8">
        <v>11</v>
      </c>
      <c r="C8">
        <v>15</v>
      </c>
      <c r="D8">
        <v>26</v>
      </c>
    </row>
    <row r="9" spans="1:21" x14ac:dyDescent="0.35">
      <c r="A9" s="11">
        <v>5</v>
      </c>
      <c r="B9">
        <v>9</v>
      </c>
      <c r="C9">
        <v>8</v>
      </c>
      <c r="D9">
        <v>17</v>
      </c>
    </row>
    <row r="10" spans="1:21" ht="23.4" x14ac:dyDescent="0.45">
      <c r="A10" s="11">
        <v>6</v>
      </c>
      <c r="B10">
        <v>18</v>
      </c>
      <c r="C10">
        <v>10</v>
      </c>
      <c r="D10">
        <v>28</v>
      </c>
      <c r="U10" s="13" t="s">
        <v>484</v>
      </c>
    </row>
    <row r="11" spans="1:21" ht="21" x14ac:dyDescent="0.4">
      <c r="A11" s="11">
        <v>7</v>
      </c>
      <c r="B11">
        <v>8</v>
      </c>
      <c r="C11">
        <v>7</v>
      </c>
      <c r="D11">
        <v>15</v>
      </c>
      <c r="U11" s="14" t="s">
        <v>511</v>
      </c>
    </row>
    <row r="12" spans="1:21" ht="21" x14ac:dyDescent="0.4">
      <c r="A12" s="11">
        <v>8</v>
      </c>
      <c r="B12">
        <v>18</v>
      </c>
      <c r="C12">
        <v>13</v>
      </c>
      <c r="D12">
        <v>31</v>
      </c>
      <c r="U12" s="14" t="s">
        <v>512</v>
      </c>
    </row>
    <row r="13" spans="1:21" ht="21" x14ac:dyDescent="0.4">
      <c r="A13" s="11">
        <v>9</v>
      </c>
      <c r="B13">
        <v>13</v>
      </c>
      <c r="C13">
        <v>13</v>
      </c>
      <c r="D13">
        <v>26</v>
      </c>
      <c r="U13" s="14" t="s">
        <v>513</v>
      </c>
    </row>
    <row r="14" spans="1:21" x14ac:dyDescent="0.35">
      <c r="A14" s="11">
        <v>10</v>
      </c>
      <c r="B14">
        <v>13</v>
      </c>
      <c r="C14">
        <v>3</v>
      </c>
      <c r="D14">
        <v>16</v>
      </c>
    </row>
    <row r="15" spans="1:21" x14ac:dyDescent="0.35">
      <c r="A15" s="11">
        <v>11</v>
      </c>
      <c r="B15">
        <v>12</v>
      </c>
      <c r="C15">
        <v>12</v>
      </c>
      <c r="D15">
        <v>24</v>
      </c>
    </row>
    <row r="16" spans="1:21" x14ac:dyDescent="0.35">
      <c r="A16" s="11">
        <v>12</v>
      </c>
      <c r="B16">
        <v>15</v>
      </c>
      <c r="C16">
        <v>13</v>
      </c>
      <c r="D16">
        <v>28</v>
      </c>
    </row>
    <row r="17" spans="1:4" x14ac:dyDescent="0.35">
      <c r="A17" s="11">
        <v>13</v>
      </c>
      <c r="B17">
        <v>16</v>
      </c>
      <c r="C17">
        <v>16</v>
      </c>
      <c r="D17">
        <v>32</v>
      </c>
    </row>
    <row r="18" spans="1:4" x14ac:dyDescent="0.35">
      <c r="A18" s="11">
        <v>14</v>
      </c>
      <c r="B18">
        <v>14</v>
      </c>
      <c r="C18">
        <v>10</v>
      </c>
      <c r="D18">
        <v>24</v>
      </c>
    </row>
    <row r="19" spans="1:4" x14ac:dyDescent="0.35">
      <c r="A19" s="11">
        <v>15</v>
      </c>
      <c r="B19">
        <v>14</v>
      </c>
      <c r="C19">
        <v>14</v>
      </c>
      <c r="D19">
        <v>28</v>
      </c>
    </row>
    <row r="20" spans="1:4" x14ac:dyDescent="0.35">
      <c r="A20" s="11">
        <v>16</v>
      </c>
      <c r="B20">
        <v>14</v>
      </c>
      <c r="C20">
        <v>13</v>
      </c>
      <c r="D20">
        <v>27</v>
      </c>
    </row>
    <row r="21" spans="1:4" x14ac:dyDescent="0.35">
      <c r="A21" s="11">
        <v>17</v>
      </c>
      <c r="B21">
        <v>13</v>
      </c>
      <c r="C21">
        <v>9</v>
      </c>
      <c r="D21">
        <v>22</v>
      </c>
    </row>
    <row r="22" spans="1:4" x14ac:dyDescent="0.35">
      <c r="A22" s="11">
        <v>18</v>
      </c>
      <c r="B22">
        <v>19</v>
      </c>
      <c r="C22">
        <v>12</v>
      </c>
      <c r="D22">
        <v>31</v>
      </c>
    </row>
    <row r="23" spans="1:4" x14ac:dyDescent="0.35">
      <c r="A23" s="11">
        <v>19</v>
      </c>
      <c r="B23">
        <v>10</v>
      </c>
      <c r="C23">
        <v>15</v>
      </c>
      <c r="D23">
        <v>25</v>
      </c>
    </row>
    <row r="24" spans="1:4" x14ac:dyDescent="0.35">
      <c r="A24" s="11">
        <v>20</v>
      </c>
      <c r="B24">
        <v>17</v>
      </c>
      <c r="C24">
        <v>15</v>
      </c>
      <c r="D24">
        <v>32</v>
      </c>
    </row>
    <row r="25" spans="1:4" x14ac:dyDescent="0.35">
      <c r="A25" s="11">
        <v>21</v>
      </c>
      <c r="B25">
        <v>15</v>
      </c>
      <c r="C25">
        <v>18</v>
      </c>
      <c r="D25">
        <v>33</v>
      </c>
    </row>
    <row r="26" spans="1:4" x14ac:dyDescent="0.35">
      <c r="A26" s="11">
        <v>22</v>
      </c>
      <c r="B26">
        <v>15</v>
      </c>
      <c r="C26">
        <v>13</v>
      </c>
      <c r="D26">
        <v>28</v>
      </c>
    </row>
    <row r="27" spans="1:4" x14ac:dyDescent="0.35">
      <c r="A27" s="11">
        <v>23</v>
      </c>
      <c r="B27">
        <v>18</v>
      </c>
      <c r="C27">
        <v>11</v>
      </c>
      <c r="D27">
        <v>29</v>
      </c>
    </row>
    <row r="28" spans="1:4" x14ac:dyDescent="0.35">
      <c r="A28" s="11">
        <v>24</v>
      </c>
      <c r="B28">
        <v>13</v>
      </c>
      <c r="C28">
        <v>16</v>
      </c>
      <c r="D28">
        <v>29</v>
      </c>
    </row>
    <row r="29" spans="1:4" x14ac:dyDescent="0.35">
      <c r="A29" s="11">
        <v>25</v>
      </c>
      <c r="B29">
        <v>15</v>
      </c>
      <c r="C29">
        <v>21</v>
      </c>
      <c r="D29">
        <v>36</v>
      </c>
    </row>
    <row r="30" spans="1:4" x14ac:dyDescent="0.35">
      <c r="A30" s="11">
        <v>26</v>
      </c>
      <c r="B30">
        <v>10</v>
      </c>
      <c r="C30">
        <v>18</v>
      </c>
      <c r="D30">
        <v>28</v>
      </c>
    </row>
    <row r="31" spans="1:4" x14ac:dyDescent="0.35">
      <c r="A31" s="11">
        <v>27</v>
      </c>
      <c r="B31">
        <v>15</v>
      </c>
      <c r="C31">
        <v>17</v>
      </c>
      <c r="D31">
        <v>32</v>
      </c>
    </row>
    <row r="32" spans="1:4" x14ac:dyDescent="0.35">
      <c r="A32" s="11">
        <v>28</v>
      </c>
      <c r="B32">
        <v>14</v>
      </c>
      <c r="C32">
        <v>18</v>
      </c>
      <c r="D32">
        <v>32</v>
      </c>
    </row>
    <row r="33" spans="1:4" x14ac:dyDescent="0.35">
      <c r="A33" s="11">
        <v>29</v>
      </c>
      <c r="B33">
        <v>20</v>
      </c>
      <c r="C33">
        <v>12</v>
      </c>
      <c r="D33">
        <v>32</v>
      </c>
    </row>
    <row r="34" spans="1:4" x14ac:dyDescent="0.35">
      <c r="A34" s="11">
        <v>30</v>
      </c>
      <c r="B34">
        <v>11</v>
      </c>
      <c r="C34">
        <v>9</v>
      </c>
      <c r="D34">
        <v>20</v>
      </c>
    </row>
    <row r="35" spans="1:4" x14ac:dyDescent="0.35">
      <c r="A35" s="11">
        <v>31</v>
      </c>
      <c r="B35">
        <v>13</v>
      </c>
      <c r="C35">
        <v>13</v>
      </c>
      <c r="D35">
        <v>26</v>
      </c>
    </row>
    <row r="36" spans="1:4" x14ac:dyDescent="0.35">
      <c r="A36" s="11">
        <v>32</v>
      </c>
      <c r="B36">
        <v>8</v>
      </c>
      <c r="C36">
        <v>8</v>
      </c>
      <c r="D36">
        <v>16</v>
      </c>
    </row>
    <row r="37" spans="1:4" x14ac:dyDescent="0.35">
      <c r="A37" s="11">
        <v>33</v>
      </c>
      <c r="B37">
        <v>10</v>
      </c>
      <c r="C37">
        <v>10</v>
      </c>
      <c r="D37">
        <v>20</v>
      </c>
    </row>
    <row r="38" spans="1:4" x14ac:dyDescent="0.35">
      <c r="A38" s="11">
        <v>34</v>
      </c>
      <c r="B38">
        <v>12</v>
      </c>
      <c r="C38">
        <v>17</v>
      </c>
      <c r="D38">
        <v>29</v>
      </c>
    </row>
    <row r="39" spans="1:4" x14ac:dyDescent="0.35">
      <c r="A39" s="11">
        <v>35</v>
      </c>
      <c r="B39">
        <v>15</v>
      </c>
      <c r="C39">
        <v>13</v>
      </c>
      <c r="D39">
        <v>28</v>
      </c>
    </row>
    <row r="40" spans="1:4" x14ac:dyDescent="0.35">
      <c r="A40" s="11">
        <v>36</v>
      </c>
      <c r="B40">
        <v>13</v>
      </c>
      <c r="C40">
        <v>9</v>
      </c>
      <c r="D40">
        <v>22</v>
      </c>
    </row>
    <row r="41" spans="1:4" x14ac:dyDescent="0.35">
      <c r="A41" s="11">
        <v>37</v>
      </c>
      <c r="B41">
        <v>16</v>
      </c>
      <c r="C41">
        <v>13</v>
      </c>
      <c r="D41">
        <v>29</v>
      </c>
    </row>
    <row r="42" spans="1:4" x14ac:dyDescent="0.35">
      <c r="A42" s="11">
        <v>38</v>
      </c>
      <c r="B42">
        <v>13</v>
      </c>
      <c r="C42">
        <v>12</v>
      </c>
      <c r="D42">
        <v>25</v>
      </c>
    </row>
    <row r="43" spans="1:4" x14ac:dyDescent="0.35">
      <c r="A43" s="11" t="s">
        <v>72</v>
      </c>
      <c r="B43">
        <v>1</v>
      </c>
      <c r="D43">
        <v>1</v>
      </c>
    </row>
    <row r="44" spans="1:4" x14ac:dyDescent="0.35">
      <c r="A44" s="11" t="s">
        <v>210</v>
      </c>
      <c r="B44">
        <v>2</v>
      </c>
      <c r="C44">
        <v>1</v>
      </c>
      <c r="D44">
        <v>3</v>
      </c>
    </row>
    <row r="45" spans="1:4" x14ac:dyDescent="0.35">
      <c r="A45" s="11" t="s">
        <v>184</v>
      </c>
      <c r="C45">
        <v>1</v>
      </c>
      <c r="D45">
        <v>1</v>
      </c>
    </row>
    <row r="46" spans="1:4" x14ac:dyDescent="0.35">
      <c r="A46" s="11" t="s">
        <v>114</v>
      </c>
      <c r="B46">
        <v>1</v>
      </c>
      <c r="D46">
        <v>1</v>
      </c>
    </row>
    <row r="47" spans="1:4" x14ac:dyDescent="0.35">
      <c r="A47" s="11" t="s">
        <v>33</v>
      </c>
      <c r="B47">
        <v>4</v>
      </c>
      <c r="C47">
        <v>1</v>
      </c>
      <c r="D47">
        <v>5</v>
      </c>
    </row>
    <row r="48" spans="1:4" x14ac:dyDescent="0.35">
      <c r="A48" s="11" t="s">
        <v>46</v>
      </c>
      <c r="B48">
        <v>20</v>
      </c>
      <c r="C48">
        <v>33</v>
      </c>
      <c r="D48">
        <v>53</v>
      </c>
    </row>
    <row r="49" spans="1:4" x14ac:dyDescent="0.35">
      <c r="A49" s="11" t="s">
        <v>29</v>
      </c>
      <c r="B49">
        <v>3</v>
      </c>
      <c r="D49">
        <v>3</v>
      </c>
    </row>
    <row r="50" spans="1:4" x14ac:dyDescent="0.35">
      <c r="A50" s="11" t="s">
        <v>76</v>
      </c>
      <c r="B50">
        <v>75</v>
      </c>
      <c r="C50">
        <v>80</v>
      </c>
      <c r="D50">
        <v>155</v>
      </c>
    </row>
    <row r="51" spans="1:4" x14ac:dyDescent="0.35">
      <c r="A51" s="11" t="s">
        <v>143</v>
      </c>
      <c r="B51">
        <v>34</v>
      </c>
      <c r="C51">
        <v>45</v>
      </c>
      <c r="D51">
        <v>79</v>
      </c>
    </row>
    <row r="52" spans="1:4" x14ac:dyDescent="0.35">
      <c r="A52" s="11" t="s">
        <v>92</v>
      </c>
      <c r="B52">
        <v>31</v>
      </c>
      <c r="C52">
        <v>23</v>
      </c>
      <c r="D52">
        <v>54</v>
      </c>
    </row>
    <row r="53" spans="1:4" x14ac:dyDescent="0.35">
      <c r="A53" s="11" t="s">
        <v>81</v>
      </c>
      <c r="B53">
        <v>1</v>
      </c>
      <c r="C53">
        <v>6</v>
      </c>
      <c r="D53">
        <v>7</v>
      </c>
    </row>
    <row r="54" spans="1:4" x14ac:dyDescent="0.35">
      <c r="A54" s="11" t="s">
        <v>62</v>
      </c>
      <c r="B54">
        <v>26</v>
      </c>
      <c r="C54">
        <v>19</v>
      </c>
      <c r="D54">
        <v>45</v>
      </c>
    </row>
    <row r="55" spans="1:4" x14ac:dyDescent="0.35">
      <c r="A55" s="11" t="s">
        <v>57</v>
      </c>
      <c r="B55">
        <v>2</v>
      </c>
      <c r="D55">
        <v>2</v>
      </c>
    </row>
    <row r="56" spans="1:4" x14ac:dyDescent="0.35">
      <c r="A56" s="11" t="s">
        <v>50</v>
      </c>
      <c r="B56">
        <v>3</v>
      </c>
      <c r="D56">
        <v>3</v>
      </c>
    </row>
    <row r="57" spans="1:4" x14ac:dyDescent="0.35">
      <c r="A57" s="11" t="s">
        <v>454</v>
      </c>
      <c r="B57">
        <v>710</v>
      </c>
      <c r="C57">
        <v>703</v>
      </c>
      <c r="D57">
        <v>1413</v>
      </c>
    </row>
  </sheetData>
  <pageMargins left="0.7" right="0.7" top="0.75" bottom="0.75" header="0.3" footer="0.3"/>
  <pageSetup orientation="portrait" r:id="rId2"/>
  <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1643A-1B2E-4BAF-9C24-C3F2DFAA6410}">
  <sheetPr codeName="Sheet21">
    <pageSetUpPr fitToPage="1"/>
  </sheetPr>
  <dimension ref="B4:AO83"/>
  <sheetViews>
    <sheetView zoomScale="30" zoomScaleNormal="100" workbookViewId="0">
      <selection activeCell="AN25" sqref="AN25"/>
    </sheetView>
  </sheetViews>
  <sheetFormatPr defaultRowHeight="18" x14ac:dyDescent="0.35"/>
  <cols>
    <col min="1" max="16384" width="8.6640625" style="17"/>
  </cols>
  <sheetData>
    <row r="4" spans="2:41" x14ac:dyDescent="0.35">
      <c r="B4" s="18"/>
      <c r="C4" s="18"/>
      <c r="D4" s="18"/>
      <c r="E4" s="18"/>
      <c r="F4" s="18"/>
      <c r="G4" s="18"/>
      <c r="H4" s="18"/>
      <c r="I4" s="18"/>
      <c r="J4" s="18"/>
      <c r="K4" s="18"/>
      <c r="L4" s="18"/>
      <c r="M4" s="18"/>
      <c r="N4" s="18"/>
      <c r="O4" s="18"/>
      <c r="P4" s="18"/>
      <c r="Q4" s="18"/>
      <c r="R4" s="18"/>
      <c r="S4" s="18"/>
      <c r="T4" s="18"/>
      <c r="U4" s="18"/>
      <c r="V4" s="18"/>
      <c r="W4" s="18"/>
      <c r="X4" s="18"/>
      <c r="Y4" s="18"/>
      <c r="Z4" s="18"/>
      <c r="AA4" s="18"/>
      <c r="AB4" s="18"/>
      <c r="AC4" s="18"/>
      <c r="AD4" s="18"/>
      <c r="AE4" s="18"/>
      <c r="AF4" s="18"/>
      <c r="AG4" s="18"/>
      <c r="AH4" s="18"/>
      <c r="AI4" s="18"/>
      <c r="AJ4" s="18"/>
      <c r="AK4" s="18"/>
      <c r="AL4" s="18"/>
      <c r="AM4" s="18"/>
      <c r="AN4" s="18"/>
      <c r="AO4" s="18"/>
    </row>
    <row r="5" spans="2:41" x14ac:dyDescent="0.35">
      <c r="B5" s="18"/>
      <c r="C5" s="18"/>
      <c r="D5" s="18"/>
      <c r="E5" s="18"/>
      <c r="F5" s="18"/>
      <c r="G5" s="18"/>
      <c r="H5" s="18"/>
      <c r="I5" s="18"/>
      <c r="J5" s="18"/>
      <c r="K5" s="18"/>
      <c r="L5" s="18"/>
      <c r="M5" s="18"/>
      <c r="N5" s="18"/>
      <c r="O5" s="18"/>
      <c r="P5" s="18"/>
      <c r="Q5" s="18"/>
      <c r="R5" s="18"/>
      <c r="S5" s="18"/>
      <c r="T5" s="18"/>
      <c r="U5" s="18"/>
      <c r="V5" s="18"/>
      <c r="W5" s="18"/>
      <c r="X5" s="18"/>
      <c r="Y5" s="18"/>
      <c r="Z5" s="18"/>
      <c r="AA5" s="18"/>
      <c r="AB5" s="18"/>
      <c r="AC5" s="18"/>
      <c r="AD5" s="18"/>
      <c r="AE5" s="18"/>
      <c r="AF5" s="18"/>
      <c r="AG5" s="18"/>
      <c r="AH5" s="18"/>
      <c r="AI5" s="18"/>
      <c r="AJ5" s="18"/>
      <c r="AK5" s="18"/>
      <c r="AL5" s="18"/>
      <c r="AM5" s="18"/>
      <c r="AN5" s="18"/>
      <c r="AO5" s="18"/>
    </row>
    <row r="6" spans="2:41" x14ac:dyDescent="0.35">
      <c r="B6" s="18"/>
      <c r="C6" s="18"/>
      <c r="D6" s="18"/>
      <c r="E6" s="18"/>
      <c r="F6" s="18"/>
      <c r="G6" s="18"/>
      <c r="H6" s="18"/>
      <c r="I6" s="18"/>
      <c r="J6" s="18"/>
      <c r="K6" s="18"/>
      <c r="L6" s="18"/>
      <c r="M6" s="18"/>
      <c r="N6" s="18"/>
      <c r="O6" s="18"/>
      <c r="P6" s="18"/>
      <c r="Q6" s="18"/>
      <c r="R6" s="18"/>
      <c r="S6" s="18"/>
      <c r="T6" s="18"/>
      <c r="U6" s="18"/>
      <c r="V6" s="18"/>
      <c r="W6" s="18"/>
      <c r="X6" s="18"/>
      <c r="Y6" s="18"/>
      <c r="Z6" s="18"/>
      <c r="AA6" s="18"/>
      <c r="AB6" s="18"/>
      <c r="AC6" s="18"/>
      <c r="AD6" s="18"/>
      <c r="AE6" s="18"/>
      <c r="AF6" s="18"/>
      <c r="AG6" s="18"/>
      <c r="AH6" s="18"/>
      <c r="AI6" s="18"/>
      <c r="AJ6" s="18"/>
      <c r="AK6" s="18"/>
      <c r="AL6" s="18"/>
      <c r="AM6" s="18"/>
      <c r="AN6" s="18"/>
      <c r="AO6" s="18"/>
    </row>
    <row r="7" spans="2:41" x14ac:dyDescent="0.35">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c r="AH7" s="18"/>
      <c r="AI7" s="18"/>
      <c r="AJ7" s="18"/>
      <c r="AK7" s="18"/>
      <c r="AL7" s="18"/>
      <c r="AM7" s="18"/>
      <c r="AN7" s="18"/>
      <c r="AO7" s="18"/>
    </row>
    <row r="8" spans="2:41" x14ac:dyDescent="0.35">
      <c r="B8" s="18"/>
      <c r="C8" s="18"/>
      <c r="D8" s="18"/>
      <c r="E8" s="18"/>
      <c r="F8" s="18"/>
      <c r="G8" s="18"/>
      <c r="H8" s="18"/>
      <c r="I8" s="18"/>
      <c r="J8" s="18"/>
      <c r="K8" s="18"/>
      <c r="L8" s="18"/>
      <c r="M8" s="18"/>
      <c r="N8" s="18"/>
      <c r="O8" s="18"/>
      <c r="P8" s="18"/>
      <c r="Q8" s="18"/>
      <c r="R8" s="18"/>
      <c r="S8" s="18"/>
      <c r="T8" s="18"/>
      <c r="U8" s="18"/>
      <c r="V8" s="18"/>
      <c r="W8" s="18"/>
      <c r="X8" s="18"/>
      <c r="Y8" s="18"/>
      <c r="Z8" s="18"/>
      <c r="AA8" s="18"/>
      <c r="AB8" s="18"/>
      <c r="AC8" s="18"/>
      <c r="AD8" s="18"/>
      <c r="AE8" s="18"/>
      <c r="AF8" s="18"/>
      <c r="AG8" s="18"/>
      <c r="AH8" s="18"/>
      <c r="AI8" s="18"/>
      <c r="AJ8" s="18"/>
      <c r="AK8" s="18"/>
      <c r="AL8" s="18"/>
      <c r="AM8" s="18"/>
      <c r="AN8" s="18"/>
      <c r="AO8" s="18"/>
    </row>
    <row r="11" spans="2:41" x14ac:dyDescent="0.35">
      <c r="AJ11" s="18"/>
      <c r="AK11" s="18"/>
      <c r="AL11" s="18"/>
      <c r="AM11" s="18"/>
    </row>
    <row r="12" spans="2:41" x14ac:dyDescent="0.35">
      <c r="D12" s="18"/>
      <c r="E12" s="18"/>
      <c r="F12" s="18"/>
      <c r="G12" s="18"/>
      <c r="H12" s="18"/>
      <c r="I12" s="18"/>
      <c r="J12" s="18"/>
      <c r="K12" s="18"/>
      <c r="L12" s="18"/>
      <c r="M12" s="18"/>
      <c r="N12" s="18"/>
      <c r="O12" s="18"/>
      <c r="P12" s="18"/>
      <c r="Q12" s="18"/>
      <c r="R12" s="18"/>
      <c r="S12" s="18"/>
      <c r="T12" s="18"/>
      <c r="U12" s="18"/>
      <c r="V12" s="18"/>
      <c r="W12" s="18"/>
      <c r="X12" s="18"/>
      <c r="Y12" s="18"/>
      <c r="Z12" s="18"/>
      <c r="AA12" s="18"/>
      <c r="AB12" s="18"/>
      <c r="AC12" s="18"/>
      <c r="AD12" s="18"/>
      <c r="AE12" s="18"/>
      <c r="AF12" s="18"/>
      <c r="AG12" s="18"/>
      <c r="AH12" s="18"/>
      <c r="AI12" s="18"/>
      <c r="AJ12" s="18"/>
      <c r="AK12" s="18"/>
      <c r="AL12" s="18"/>
      <c r="AM12" s="18"/>
    </row>
    <row r="13" spans="2:41" x14ac:dyDescent="0.35">
      <c r="D13" s="18"/>
      <c r="E13" s="18"/>
      <c r="F13" s="18"/>
      <c r="G13" s="18"/>
      <c r="H13" s="18"/>
      <c r="I13" s="18"/>
      <c r="J13" s="18"/>
      <c r="K13" s="18"/>
      <c r="L13" s="18"/>
      <c r="M13" s="18"/>
      <c r="N13" s="18"/>
      <c r="O13" s="18"/>
      <c r="P13" s="18"/>
      <c r="Q13" s="18"/>
      <c r="R13" s="18"/>
      <c r="S13" s="18"/>
      <c r="T13" s="18"/>
      <c r="U13" s="18"/>
      <c r="V13" s="18"/>
      <c r="W13" s="18"/>
      <c r="X13" s="18"/>
      <c r="Y13" s="18"/>
      <c r="Z13" s="18"/>
      <c r="AA13" s="18"/>
      <c r="AB13" s="18"/>
      <c r="AC13" s="18"/>
      <c r="AD13" s="18"/>
      <c r="AE13" s="18"/>
      <c r="AF13" s="18"/>
      <c r="AG13" s="18"/>
      <c r="AH13" s="18"/>
      <c r="AI13" s="18"/>
      <c r="AJ13" s="18"/>
      <c r="AK13" s="18"/>
      <c r="AL13" s="18"/>
      <c r="AM13" s="18"/>
    </row>
    <row r="14" spans="2:41" x14ac:dyDescent="0.35">
      <c r="D14" s="18"/>
      <c r="E14" s="18"/>
      <c r="F14" s="18"/>
      <c r="G14" s="18"/>
      <c r="H14" s="18"/>
      <c r="I14" s="18"/>
      <c r="J14" s="18"/>
      <c r="K14" s="18"/>
      <c r="L14" s="18"/>
      <c r="M14" s="18"/>
      <c r="N14" s="18"/>
      <c r="O14" s="18"/>
      <c r="P14" s="18"/>
      <c r="Q14" s="18"/>
      <c r="R14" s="18"/>
      <c r="S14" s="18"/>
      <c r="T14" s="18"/>
      <c r="U14" s="18"/>
      <c r="V14" s="18"/>
      <c r="W14" s="18"/>
      <c r="X14" s="18"/>
      <c r="Y14" s="18"/>
      <c r="Z14" s="18"/>
      <c r="AA14" s="18"/>
      <c r="AB14" s="18"/>
      <c r="AC14" s="18"/>
      <c r="AD14" s="18"/>
      <c r="AE14" s="18"/>
      <c r="AF14" s="18"/>
      <c r="AG14" s="18"/>
      <c r="AH14" s="18"/>
      <c r="AI14" s="18"/>
      <c r="AJ14" s="18"/>
      <c r="AK14" s="18"/>
      <c r="AL14" s="18"/>
      <c r="AM14" s="18"/>
    </row>
    <row r="15" spans="2:41" x14ac:dyDescent="0.35">
      <c r="D15" s="18"/>
      <c r="E15" s="18"/>
      <c r="F15" s="18"/>
      <c r="G15" s="18"/>
      <c r="H15" s="18"/>
      <c r="I15" s="18"/>
      <c r="J15" s="18"/>
      <c r="K15" s="18"/>
      <c r="L15" s="18"/>
      <c r="M15" s="18"/>
      <c r="N15" s="18"/>
      <c r="O15" s="18"/>
      <c r="P15" s="18"/>
      <c r="Q15" s="18"/>
      <c r="R15" s="18"/>
      <c r="S15" s="18"/>
      <c r="T15" s="18"/>
      <c r="U15" s="18"/>
      <c r="V15" s="18"/>
      <c r="W15" s="18"/>
      <c r="X15" s="18"/>
      <c r="Y15" s="18"/>
      <c r="Z15" s="18"/>
      <c r="AA15" s="18"/>
      <c r="AB15" s="18"/>
      <c r="AC15" s="18"/>
      <c r="AD15" s="18"/>
      <c r="AE15" s="18"/>
      <c r="AF15" s="18"/>
      <c r="AG15" s="18"/>
      <c r="AH15" s="18"/>
      <c r="AI15" s="18"/>
      <c r="AJ15" s="18"/>
      <c r="AK15" s="18"/>
      <c r="AL15" s="18"/>
      <c r="AM15" s="18"/>
    </row>
    <row r="16" spans="2:41" x14ac:dyDescent="0.35">
      <c r="D16" s="18"/>
      <c r="E16" s="18"/>
      <c r="F16" s="18"/>
      <c r="G16" s="18"/>
      <c r="H16" s="18"/>
      <c r="I16" s="18"/>
      <c r="J16" s="18"/>
      <c r="K16" s="18"/>
      <c r="L16" s="18"/>
      <c r="M16" s="18"/>
      <c r="N16" s="18"/>
      <c r="O16" s="18"/>
      <c r="P16" s="18"/>
      <c r="Q16" s="18"/>
      <c r="R16" s="18"/>
      <c r="S16" s="18"/>
      <c r="T16" s="18"/>
      <c r="U16" s="18"/>
      <c r="V16" s="18"/>
      <c r="W16" s="18"/>
      <c r="X16" s="18"/>
      <c r="Y16" s="18"/>
      <c r="Z16" s="18"/>
      <c r="AA16" s="18"/>
      <c r="AB16" s="18"/>
      <c r="AC16" s="18"/>
      <c r="AD16" s="18"/>
      <c r="AE16" s="18"/>
      <c r="AF16" s="18"/>
      <c r="AG16" s="18"/>
      <c r="AH16" s="18"/>
      <c r="AI16" s="18"/>
      <c r="AJ16" s="18"/>
      <c r="AK16" s="18"/>
      <c r="AL16" s="18"/>
      <c r="AM16" s="18"/>
    </row>
    <row r="17" spans="4:39" x14ac:dyDescent="0.35">
      <c r="D17" s="18"/>
      <c r="E17" s="18"/>
      <c r="F17" s="18"/>
      <c r="G17" s="18"/>
      <c r="H17" s="18"/>
      <c r="I17" s="18"/>
      <c r="J17" s="18"/>
      <c r="K17" s="18"/>
      <c r="L17" s="18"/>
      <c r="M17" s="18"/>
      <c r="N17" s="18"/>
      <c r="O17" s="18"/>
      <c r="P17" s="18"/>
      <c r="Q17" s="18"/>
      <c r="R17" s="18"/>
      <c r="S17" s="18"/>
      <c r="T17" s="18"/>
      <c r="U17" s="18"/>
      <c r="V17" s="18"/>
      <c r="W17" s="18"/>
      <c r="X17" s="18"/>
      <c r="Y17" s="18"/>
      <c r="Z17" s="18"/>
      <c r="AA17" s="18"/>
      <c r="AB17" s="18"/>
      <c r="AC17" s="18"/>
      <c r="AD17" s="18"/>
      <c r="AE17" s="18"/>
      <c r="AF17" s="18"/>
      <c r="AG17" s="18"/>
      <c r="AH17" s="18"/>
      <c r="AI17" s="18"/>
      <c r="AJ17" s="18"/>
      <c r="AK17" s="18"/>
      <c r="AL17" s="18"/>
      <c r="AM17" s="18"/>
    </row>
    <row r="18" spans="4:39" x14ac:dyDescent="0.35">
      <c r="D18" s="18"/>
      <c r="E18" s="18"/>
      <c r="F18" s="18"/>
      <c r="G18" s="18"/>
      <c r="H18" s="18"/>
      <c r="I18" s="18"/>
      <c r="J18" s="18"/>
      <c r="K18" s="18"/>
      <c r="L18" s="18"/>
      <c r="M18" s="18"/>
      <c r="N18" s="18"/>
      <c r="O18" s="18"/>
      <c r="P18" s="18"/>
      <c r="Q18" s="18"/>
      <c r="R18" s="18"/>
      <c r="S18" s="18"/>
      <c r="T18" s="18"/>
      <c r="U18" s="18"/>
      <c r="V18" s="18"/>
      <c r="W18" s="18"/>
      <c r="X18" s="18"/>
      <c r="Y18" s="18"/>
      <c r="Z18" s="18"/>
      <c r="AA18" s="18"/>
      <c r="AB18" s="18"/>
      <c r="AC18" s="18"/>
      <c r="AD18" s="18"/>
      <c r="AE18" s="18"/>
      <c r="AF18" s="18"/>
      <c r="AG18" s="18"/>
      <c r="AH18" s="18"/>
      <c r="AI18" s="18"/>
      <c r="AJ18" s="18"/>
      <c r="AK18" s="18"/>
      <c r="AL18" s="18"/>
      <c r="AM18" s="18"/>
    </row>
    <row r="19" spans="4:39" x14ac:dyDescent="0.35">
      <c r="D19" s="18"/>
      <c r="E19" s="18"/>
      <c r="F19" s="18"/>
      <c r="G19" s="18"/>
      <c r="H19" s="18"/>
      <c r="I19" s="18"/>
      <c r="J19" s="18"/>
      <c r="K19" s="18"/>
      <c r="L19" s="18"/>
      <c r="M19" s="18"/>
      <c r="N19" s="18"/>
      <c r="O19" s="18"/>
      <c r="P19" s="18"/>
      <c r="Q19" s="18"/>
      <c r="R19" s="18"/>
      <c r="S19" s="18"/>
      <c r="T19" s="18"/>
      <c r="U19" s="18"/>
      <c r="V19" s="18"/>
      <c r="W19" s="18"/>
      <c r="X19" s="18"/>
      <c r="Y19" s="18"/>
      <c r="Z19" s="18"/>
      <c r="AA19" s="18"/>
      <c r="AB19" s="18"/>
      <c r="AC19" s="18"/>
      <c r="AD19" s="18"/>
      <c r="AE19" s="18"/>
      <c r="AF19" s="18"/>
      <c r="AG19" s="18"/>
      <c r="AH19" s="18"/>
      <c r="AI19" s="18"/>
      <c r="AJ19" s="18"/>
      <c r="AK19" s="18"/>
      <c r="AL19" s="18"/>
      <c r="AM19" s="18"/>
    </row>
    <row r="20" spans="4:39" x14ac:dyDescent="0.35">
      <c r="D20" s="18"/>
      <c r="E20" s="18"/>
      <c r="F20" s="18"/>
      <c r="G20" s="18"/>
      <c r="H20" s="18"/>
      <c r="I20" s="18"/>
      <c r="J20" s="18"/>
      <c r="K20" s="18"/>
      <c r="L20" s="18"/>
      <c r="M20" s="18"/>
      <c r="N20" s="18"/>
      <c r="O20" s="18"/>
      <c r="P20" s="18"/>
      <c r="Q20" s="18"/>
      <c r="R20" s="18"/>
      <c r="S20" s="18"/>
      <c r="T20" s="18"/>
      <c r="U20" s="18"/>
      <c r="V20" s="18"/>
      <c r="W20" s="18"/>
      <c r="X20" s="18"/>
      <c r="Y20" s="18"/>
      <c r="Z20" s="18"/>
      <c r="AA20" s="18"/>
      <c r="AB20" s="18"/>
      <c r="AC20" s="18"/>
      <c r="AD20" s="18"/>
      <c r="AE20" s="18"/>
      <c r="AF20" s="18"/>
      <c r="AG20" s="18"/>
      <c r="AH20" s="18"/>
      <c r="AI20" s="18"/>
      <c r="AJ20" s="18"/>
      <c r="AK20" s="18"/>
      <c r="AL20" s="18"/>
      <c r="AM20" s="18"/>
    </row>
    <row r="21" spans="4:39" x14ac:dyDescent="0.35">
      <c r="D21" s="18"/>
      <c r="E21" s="18"/>
      <c r="F21" s="18"/>
      <c r="G21" s="18"/>
      <c r="H21" s="18"/>
      <c r="I21" s="18"/>
      <c r="J21" s="18"/>
      <c r="K21" s="18"/>
      <c r="L21" s="18"/>
      <c r="M21" s="18"/>
      <c r="N21" s="18"/>
      <c r="O21" s="18"/>
      <c r="P21" s="18"/>
      <c r="Q21" s="18"/>
      <c r="R21" s="18"/>
      <c r="S21" s="18"/>
      <c r="T21" s="18"/>
      <c r="U21" s="18"/>
      <c r="V21" s="18"/>
      <c r="W21" s="18"/>
      <c r="X21" s="18"/>
      <c r="Y21" s="18"/>
      <c r="Z21" s="18"/>
      <c r="AA21" s="18"/>
      <c r="AB21" s="18"/>
      <c r="AC21" s="18"/>
      <c r="AD21" s="18"/>
      <c r="AE21" s="18"/>
      <c r="AF21" s="18"/>
      <c r="AG21" s="18"/>
      <c r="AH21" s="18"/>
      <c r="AI21" s="18"/>
      <c r="AJ21" s="18"/>
      <c r="AK21" s="18"/>
      <c r="AL21" s="18"/>
      <c r="AM21" s="18"/>
    </row>
    <row r="22" spans="4:39" x14ac:dyDescent="0.35">
      <c r="D22" s="18"/>
      <c r="E22" s="18"/>
      <c r="F22" s="18"/>
      <c r="G22" s="18"/>
      <c r="H22" s="18"/>
      <c r="I22" s="18"/>
      <c r="J22" s="18"/>
      <c r="K22" s="18"/>
      <c r="L22" s="18"/>
      <c r="M22" s="18"/>
      <c r="N22" s="18"/>
      <c r="O22" s="18"/>
      <c r="P22" s="18"/>
      <c r="Q22" s="18"/>
      <c r="R22" s="18"/>
      <c r="S22" s="18"/>
      <c r="T22" s="18"/>
      <c r="U22" s="18"/>
      <c r="V22" s="18"/>
      <c r="W22" s="18"/>
      <c r="X22" s="18"/>
      <c r="Y22" s="18"/>
      <c r="Z22" s="18"/>
      <c r="AA22" s="18"/>
      <c r="AB22" s="18"/>
      <c r="AC22" s="18"/>
      <c r="AD22" s="18"/>
      <c r="AE22" s="18"/>
      <c r="AF22" s="18"/>
      <c r="AG22" s="18"/>
      <c r="AH22" s="18"/>
      <c r="AI22" s="18"/>
      <c r="AJ22" s="18"/>
      <c r="AK22" s="18"/>
      <c r="AL22" s="18"/>
      <c r="AM22" s="18"/>
    </row>
    <row r="23" spans="4:39" x14ac:dyDescent="0.35">
      <c r="D23" s="18"/>
      <c r="E23" s="18"/>
      <c r="F23" s="18"/>
      <c r="G23" s="18"/>
      <c r="H23" s="18"/>
      <c r="I23" s="18"/>
      <c r="J23" s="18"/>
      <c r="K23" s="18"/>
      <c r="L23" s="18"/>
      <c r="M23" s="18"/>
      <c r="N23" s="18"/>
      <c r="O23" s="18"/>
      <c r="P23" s="18"/>
      <c r="Q23" s="18"/>
      <c r="R23" s="18"/>
      <c r="S23" s="18"/>
      <c r="T23" s="18"/>
      <c r="U23" s="18"/>
      <c r="V23" s="18"/>
      <c r="W23" s="18"/>
      <c r="X23" s="18"/>
      <c r="Y23" s="18"/>
      <c r="Z23" s="18"/>
      <c r="AA23" s="18"/>
      <c r="AB23" s="18"/>
      <c r="AC23" s="18"/>
      <c r="AD23" s="18"/>
      <c r="AE23" s="18"/>
      <c r="AF23" s="18"/>
      <c r="AG23" s="18"/>
      <c r="AH23" s="18"/>
      <c r="AI23" s="18"/>
      <c r="AJ23" s="18"/>
      <c r="AK23" s="18"/>
      <c r="AL23" s="18"/>
      <c r="AM23" s="18"/>
    </row>
    <row r="24" spans="4:39" x14ac:dyDescent="0.35">
      <c r="D24" s="18"/>
      <c r="E24" s="18"/>
      <c r="F24" s="18"/>
      <c r="G24" s="18"/>
      <c r="H24" s="18"/>
      <c r="I24" s="18"/>
      <c r="J24" s="18"/>
      <c r="K24" s="18"/>
      <c r="L24" s="18"/>
      <c r="M24" s="18"/>
      <c r="N24" s="18"/>
      <c r="O24" s="18"/>
      <c r="P24" s="18"/>
      <c r="Q24" s="18"/>
      <c r="R24" s="18"/>
      <c r="S24" s="18"/>
      <c r="T24" s="18"/>
      <c r="U24" s="18"/>
      <c r="V24" s="18"/>
      <c r="W24" s="18"/>
      <c r="X24" s="18"/>
      <c r="Y24" s="18"/>
      <c r="Z24" s="18"/>
      <c r="AA24" s="18"/>
      <c r="AB24" s="18"/>
      <c r="AC24" s="18"/>
      <c r="AD24" s="18"/>
      <c r="AE24" s="18"/>
      <c r="AF24" s="18"/>
      <c r="AG24" s="18"/>
      <c r="AH24" s="18"/>
      <c r="AI24" s="18"/>
      <c r="AJ24" s="18"/>
      <c r="AK24" s="18"/>
      <c r="AL24" s="18"/>
      <c r="AM24" s="18"/>
    </row>
    <row r="25" spans="4:39" x14ac:dyDescent="0.35">
      <c r="D25" s="18"/>
      <c r="E25" s="18"/>
      <c r="F25" s="18"/>
      <c r="G25" s="18"/>
      <c r="H25" s="18"/>
      <c r="I25" s="18"/>
      <c r="J25" s="18"/>
      <c r="K25" s="18"/>
      <c r="L25" s="18"/>
      <c r="M25" s="18"/>
      <c r="N25" s="18"/>
      <c r="O25" s="18"/>
      <c r="P25" s="18"/>
      <c r="Q25" s="18"/>
      <c r="R25" s="18"/>
      <c r="S25" s="18"/>
      <c r="T25" s="18"/>
      <c r="U25" s="18"/>
      <c r="V25" s="18"/>
      <c r="W25" s="18"/>
      <c r="X25" s="18"/>
      <c r="Y25" s="18"/>
      <c r="Z25" s="18"/>
      <c r="AA25" s="18"/>
      <c r="AB25" s="18"/>
      <c r="AC25" s="18"/>
      <c r="AD25" s="18"/>
      <c r="AE25" s="18"/>
      <c r="AF25" s="18"/>
      <c r="AG25" s="18"/>
      <c r="AH25" s="18"/>
      <c r="AI25" s="18"/>
      <c r="AJ25" s="18"/>
      <c r="AK25" s="18"/>
      <c r="AL25" s="18"/>
      <c r="AM25" s="18"/>
    </row>
    <row r="26" spans="4:39" x14ac:dyDescent="0.35">
      <c r="D26" s="18"/>
      <c r="E26" s="18"/>
      <c r="F26" s="18"/>
      <c r="G26" s="18"/>
      <c r="H26" s="18"/>
      <c r="I26" s="18"/>
      <c r="J26" s="18"/>
      <c r="K26" s="18"/>
      <c r="L26" s="18"/>
      <c r="M26" s="18"/>
      <c r="N26" s="18"/>
      <c r="O26" s="18"/>
      <c r="P26" s="18"/>
      <c r="Q26" s="18"/>
      <c r="R26" s="18"/>
      <c r="S26" s="18"/>
      <c r="T26" s="18"/>
      <c r="U26" s="18"/>
      <c r="V26" s="18"/>
      <c r="W26" s="18"/>
      <c r="X26" s="18"/>
      <c r="Y26" s="18"/>
      <c r="Z26" s="18"/>
      <c r="AA26" s="18"/>
      <c r="AB26" s="18"/>
      <c r="AC26" s="18"/>
      <c r="AD26" s="18"/>
      <c r="AE26" s="18"/>
      <c r="AF26" s="18"/>
      <c r="AG26" s="18"/>
      <c r="AH26" s="18"/>
      <c r="AI26" s="18"/>
      <c r="AJ26" s="18"/>
      <c r="AK26" s="18"/>
      <c r="AL26" s="18"/>
      <c r="AM26" s="18"/>
    </row>
    <row r="27" spans="4:39" x14ac:dyDescent="0.35">
      <c r="D27" s="18"/>
      <c r="E27" s="18"/>
      <c r="F27" s="18"/>
      <c r="G27" s="18"/>
      <c r="H27" s="18"/>
      <c r="I27" s="18"/>
      <c r="J27" s="18"/>
      <c r="K27" s="18"/>
      <c r="L27" s="18"/>
      <c r="M27" s="18"/>
      <c r="N27" s="18"/>
      <c r="O27" s="18"/>
      <c r="P27" s="18"/>
      <c r="Q27" s="18"/>
      <c r="R27" s="18"/>
      <c r="S27" s="18"/>
      <c r="T27" s="18"/>
      <c r="U27" s="18"/>
      <c r="V27" s="18"/>
      <c r="W27" s="18"/>
      <c r="X27" s="18"/>
      <c r="Y27" s="18"/>
      <c r="Z27" s="18"/>
      <c r="AA27" s="18"/>
      <c r="AB27" s="18"/>
      <c r="AC27" s="18"/>
      <c r="AD27" s="18"/>
      <c r="AE27" s="18"/>
      <c r="AF27" s="18"/>
      <c r="AG27" s="18"/>
      <c r="AH27" s="18"/>
      <c r="AI27" s="18"/>
      <c r="AJ27" s="18"/>
      <c r="AK27" s="18"/>
      <c r="AL27" s="18"/>
      <c r="AM27" s="18"/>
    </row>
    <row r="28" spans="4:39" x14ac:dyDescent="0.35">
      <c r="D28" s="18"/>
      <c r="E28" s="18"/>
      <c r="F28" s="18"/>
      <c r="G28" s="18"/>
      <c r="H28" s="18"/>
      <c r="I28" s="18"/>
      <c r="J28" s="18"/>
      <c r="K28" s="18"/>
      <c r="L28" s="18"/>
      <c r="M28" s="18"/>
      <c r="N28" s="18"/>
      <c r="O28" s="18"/>
      <c r="P28" s="18"/>
      <c r="Q28" s="18"/>
      <c r="R28" s="18"/>
      <c r="S28" s="18"/>
      <c r="T28" s="18"/>
      <c r="U28" s="18"/>
      <c r="V28" s="18"/>
      <c r="W28" s="18"/>
      <c r="X28" s="18"/>
      <c r="Y28" s="18"/>
      <c r="Z28" s="18"/>
      <c r="AA28" s="18"/>
      <c r="AB28" s="18"/>
      <c r="AC28" s="18"/>
      <c r="AD28" s="18"/>
      <c r="AE28" s="18"/>
      <c r="AF28" s="18"/>
      <c r="AG28" s="18"/>
      <c r="AH28" s="18"/>
      <c r="AI28" s="18"/>
      <c r="AJ28" s="18"/>
      <c r="AK28" s="18"/>
      <c r="AL28" s="18"/>
      <c r="AM28" s="18"/>
    </row>
    <row r="29" spans="4:39" x14ac:dyDescent="0.35">
      <c r="D29" s="18"/>
      <c r="E29" s="18"/>
      <c r="F29" s="18"/>
      <c r="G29" s="18"/>
      <c r="H29" s="18"/>
      <c r="I29" s="18"/>
      <c r="J29" s="18"/>
      <c r="K29" s="18"/>
      <c r="L29" s="18"/>
      <c r="M29" s="18"/>
      <c r="N29" s="18"/>
      <c r="O29" s="18"/>
      <c r="P29" s="18"/>
      <c r="Q29" s="18"/>
      <c r="R29" s="18"/>
      <c r="S29" s="18"/>
      <c r="T29" s="18"/>
      <c r="U29" s="18"/>
      <c r="V29" s="18"/>
      <c r="W29" s="18"/>
      <c r="X29" s="18"/>
      <c r="Y29" s="18"/>
      <c r="Z29" s="18"/>
      <c r="AA29" s="18"/>
      <c r="AB29" s="18"/>
      <c r="AC29" s="18"/>
      <c r="AD29" s="18"/>
      <c r="AE29" s="18"/>
      <c r="AF29" s="18"/>
      <c r="AG29" s="18"/>
      <c r="AH29" s="18"/>
      <c r="AI29" s="18"/>
      <c r="AJ29" s="18"/>
      <c r="AK29" s="18"/>
      <c r="AL29" s="18"/>
      <c r="AM29" s="18"/>
    </row>
    <row r="30" spans="4:39" x14ac:dyDescent="0.35">
      <c r="D30" s="18"/>
      <c r="E30" s="18"/>
      <c r="F30" s="18"/>
      <c r="G30" s="18"/>
      <c r="H30" s="18"/>
      <c r="I30" s="18"/>
      <c r="J30" s="18"/>
      <c r="K30" s="18"/>
      <c r="L30" s="18"/>
      <c r="M30" s="18"/>
      <c r="N30" s="18"/>
      <c r="O30" s="18"/>
      <c r="P30" s="18"/>
      <c r="Q30" s="18"/>
      <c r="R30" s="18"/>
      <c r="S30" s="18"/>
      <c r="T30" s="18"/>
      <c r="U30" s="18"/>
      <c r="V30" s="18"/>
      <c r="W30" s="18"/>
      <c r="X30" s="18"/>
      <c r="Y30" s="18"/>
      <c r="Z30" s="18"/>
      <c r="AA30" s="18"/>
      <c r="AB30" s="18"/>
      <c r="AC30" s="18"/>
      <c r="AD30" s="18"/>
      <c r="AE30" s="18"/>
      <c r="AF30" s="18"/>
      <c r="AG30" s="18"/>
      <c r="AH30" s="18"/>
      <c r="AI30" s="18"/>
      <c r="AJ30" s="18"/>
      <c r="AK30" s="18"/>
      <c r="AL30" s="18"/>
      <c r="AM30" s="18"/>
    </row>
    <row r="31" spans="4:39" x14ac:dyDescent="0.35">
      <c r="D31" s="18"/>
      <c r="E31" s="18"/>
      <c r="F31" s="18"/>
      <c r="G31" s="18"/>
      <c r="H31" s="18"/>
      <c r="I31" s="18"/>
      <c r="J31" s="18"/>
      <c r="K31" s="18"/>
      <c r="L31" s="18"/>
      <c r="M31" s="18"/>
      <c r="N31" s="18"/>
      <c r="O31" s="18"/>
      <c r="P31" s="18"/>
      <c r="Q31" s="18"/>
      <c r="R31" s="18"/>
      <c r="S31" s="18"/>
      <c r="T31" s="18"/>
      <c r="U31" s="18"/>
      <c r="V31" s="18"/>
      <c r="W31" s="18"/>
      <c r="X31" s="18"/>
      <c r="Y31" s="18"/>
      <c r="Z31" s="18"/>
      <c r="AA31" s="18"/>
      <c r="AB31" s="18"/>
      <c r="AC31" s="18"/>
      <c r="AD31" s="18"/>
      <c r="AE31" s="18"/>
      <c r="AF31" s="18"/>
      <c r="AG31" s="18"/>
      <c r="AH31" s="18"/>
      <c r="AI31" s="18"/>
      <c r="AJ31" s="18"/>
      <c r="AK31" s="18"/>
      <c r="AL31" s="18"/>
      <c r="AM31" s="18"/>
    </row>
    <row r="32" spans="4:39" x14ac:dyDescent="0.35">
      <c r="D32" s="18"/>
      <c r="E32" s="18"/>
      <c r="F32" s="18"/>
      <c r="G32" s="18"/>
      <c r="H32" s="18"/>
      <c r="I32" s="18"/>
      <c r="J32" s="18"/>
      <c r="K32" s="18"/>
      <c r="L32" s="18"/>
      <c r="M32" s="18"/>
      <c r="N32" s="18"/>
      <c r="O32" s="18"/>
      <c r="P32" s="18"/>
      <c r="Q32" s="18"/>
      <c r="R32" s="18"/>
      <c r="S32" s="18"/>
      <c r="T32" s="18"/>
      <c r="U32" s="18"/>
      <c r="V32" s="18"/>
      <c r="W32" s="18"/>
      <c r="X32" s="18"/>
      <c r="Y32" s="18"/>
      <c r="Z32" s="18"/>
      <c r="AA32" s="18"/>
      <c r="AB32" s="18"/>
      <c r="AC32" s="18"/>
      <c r="AD32" s="18"/>
      <c r="AE32" s="18"/>
      <c r="AF32" s="18"/>
      <c r="AG32" s="18"/>
      <c r="AH32" s="18"/>
      <c r="AI32" s="18"/>
      <c r="AJ32" s="18"/>
      <c r="AK32" s="18"/>
      <c r="AL32" s="18"/>
      <c r="AM32" s="18"/>
    </row>
    <row r="33" spans="4:39" x14ac:dyDescent="0.35">
      <c r="D33" s="18"/>
      <c r="E33" s="18"/>
      <c r="F33" s="18"/>
      <c r="G33" s="18"/>
      <c r="H33" s="18"/>
      <c r="I33" s="18"/>
      <c r="J33" s="18"/>
      <c r="K33" s="18"/>
      <c r="L33" s="18"/>
      <c r="M33" s="18"/>
      <c r="N33" s="18"/>
      <c r="O33" s="18"/>
      <c r="P33" s="18"/>
      <c r="Q33" s="18"/>
      <c r="R33" s="18"/>
      <c r="S33" s="18"/>
      <c r="T33" s="18"/>
      <c r="U33" s="18"/>
      <c r="V33" s="18"/>
      <c r="W33" s="18"/>
      <c r="X33" s="18"/>
      <c r="Y33" s="18"/>
      <c r="Z33" s="18"/>
      <c r="AA33" s="18"/>
      <c r="AB33" s="18"/>
      <c r="AC33" s="18"/>
      <c r="AD33" s="18"/>
      <c r="AE33" s="18"/>
      <c r="AF33" s="18"/>
      <c r="AG33" s="18"/>
      <c r="AH33" s="18"/>
      <c r="AI33" s="18"/>
      <c r="AJ33" s="18"/>
      <c r="AK33" s="18"/>
      <c r="AL33" s="18"/>
      <c r="AM33" s="18"/>
    </row>
    <row r="34" spans="4:39" x14ac:dyDescent="0.35">
      <c r="D34" s="18"/>
      <c r="E34" s="18"/>
      <c r="F34" s="18"/>
      <c r="G34" s="18"/>
      <c r="H34" s="18"/>
      <c r="I34" s="18"/>
      <c r="J34" s="18"/>
      <c r="K34" s="18"/>
      <c r="L34" s="18"/>
      <c r="M34" s="18"/>
      <c r="N34" s="18"/>
      <c r="O34" s="18"/>
      <c r="P34" s="18"/>
      <c r="Q34" s="18"/>
      <c r="R34" s="18"/>
      <c r="S34" s="18"/>
      <c r="T34" s="18"/>
      <c r="U34" s="18"/>
      <c r="V34" s="18"/>
      <c r="W34" s="18"/>
      <c r="X34" s="18"/>
      <c r="Y34" s="18"/>
      <c r="Z34" s="18"/>
      <c r="AA34" s="18"/>
      <c r="AB34" s="18"/>
      <c r="AC34" s="18"/>
      <c r="AD34" s="18"/>
      <c r="AE34" s="18"/>
      <c r="AF34" s="18"/>
      <c r="AG34" s="18"/>
      <c r="AH34" s="18"/>
      <c r="AI34" s="18"/>
      <c r="AJ34" s="18"/>
      <c r="AK34" s="18"/>
      <c r="AL34" s="18"/>
      <c r="AM34" s="18"/>
    </row>
    <row r="35" spans="4:39" x14ac:dyDescent="0.35">
      <c r="D35" s="18"/>
      <c r="E35" s="18"/>
      <c r="F35" s="18"/>
      <c r="G35" s="18"/>
      <c r="H35" s="18"/>
      <c r="I35" s="18"/>
      <c r="J35" s="18"/>
      <c r="K35" s="18"/>
      <c r="L35" s="18"/>
      <c r="M35" s="18"/>
      <c r="N35" s="18"/>
      <c r="O35" s="18"/>
      <c r="P35" s="18"/>
      <c r="Q35" s="18"/>
      <c r="R35" s="18"/>
      <c r="S35" s="18"/>
      <c r="T35" s="18"/>
      <c r="U35" s="18"/>
      <c r="V35" s="18"/>
      <c r="W35" s="18"/>
      <c r="X35" s="18"/>
      <c r="Y35" s="18"/>
      <c r="Z35" s="18"/>
      <c r="AA35" s="18"/>
      <c r="AB35" s="18"/>
      <c r="AC35" s="18"/>
      <c r="AD35" s="18"/>
      <c r="AE35" s="18"/>
      <c r="AF35" s="18"/>
      <c r="AG35" s="18"/>
      <c r="AH35" s="18"/>
      <c r="AI35" s="18"/>
      <c r="AJ35" s="18"/>
      <c r="AK35" s="18"/>
      <c r="AL35" s="18"/>
      <c r="AM35" s="18"/>
    </row>
    <row r="36" spans="4:39" x14ac:dyDescent="0.35">
      <c r="D36" s="18"/>
      <c r="E36" s="18"/>
      <c r="F36" s="18"/>
      <c r="G36" s="18"/>
      <c r="H36" s="18"/>
      <c r="I36" s="18"/>
      <c r="J36" s="18"/>
      <c r="K36" s="18"/>
      <c r="L36" s="18"/>
      <c r="M36" s="18"/>
      <c r="N36" s="18"/>
      <c r="O36" s="18"/>
      <c r="P36" s="18"/>
      <c r="Q36" s="18"/>
      <c r="R36" s="18"/>
      <c r="S36" s="18"/>
      <c r="T36" s="18"/>
      <c r="U36" s="18"/>
      <c r="V36" s="18"/>
      <c r="W36" s="18"/>
      <c r="X36" s="18"/>
      <c r="Y36" s="18"/>
      <c r="Z36" s="18"/>
      <c r="AA36" s="18"/>
      <c r="AB36" s="18"/>
      <c r="AC36" s="18"/>
      <c r="AD36" s="18"/>
      <c r="AE36" s="18"/>
      <c r="AF36" s="18"/>
      <c r="AG36" s="18"/>
      <c r="AH36" s="18"/>
      <c r="AI36" s="18"/>
      <c r="AJ36" s="18"/>
      <c r="AK36" s="18"/>
      <c r="AL36" s="18"/>
      <c r="AM36" s="18"/>
    </row>
    <row r="37" spans="4:39" x14ac:dyDescent="0.35">
      <c r="D37" s="18"/>
      <c r="E37" s="18"/>
      <c r="F37" s="18"/>
      <c r="G37" s="18"/>
      <c r="H37" s="18"/>
      <c r="I37" s="18"/>
      <c r="J37" s="18"/>
      <c r="K37" s="18"/>
      <c r="L37" s="18"/>
      <c r="M37" s="18"/>
      <c r="N37" s="18"/>
      <c r="O37" s="18"/>
      <c r="P37" s="18"/>
      <c r="Q37" s="18"/>
      <c r="R37" s="18"/>
      <c r="S37" s="18"/>
      <c r="T37" s="18"/>
      <c r="U37" s="18"/>
      <c r="V37" s="18"/>
      <c r="W37" s="18"/>
      <c r="X37" s="18"/>
      <c r="Y37" s="18"/>
      <c r="Z37" s="18"/>
      <c r="AA37" s="18"/>
      <c r="AB37" s="18"/>
      <c r="AC37" s="18"/>
      <c r="AD37" s="18"/>
      <c r="AE37" s="18"/>
      <c r="AF37" s="18"/>
      <c r="AG37" s="18"/>
      <c r="AH37" s="18"/>
      <c r="AI37" s="18"/>
      <c r="AJ37" s="18"/>
      <c r="AK37" s="18"/>
      <c r="AL37" s="18"/>
      <c r="AM37" s="18"/>
    </row>
    <row r="38" spans="4:39" x14ac:dyDescent="0.35">
      <c r="D38" s="18"/>
      <c r="E38" s="18"/>
      <c r="F38" s="18"/>
      <c r="G38" s="18"/>
      <c r="H38" s="18"/>
      <c r="I38" s="18"/>
      <c r="J38" s="18"/>
      <c r="K38" s="18"/>
      <c r="L38" s="18"/>
      <c r="M38" s="18"/>
      <c r="N38" s="18"/>
      <c r="O38" s="18"/>
      <c r="P38" s="18"/>
      <c r="Q38" s="18"/>
      <c r="R38" s="18"/>
      <c r="S38" s="18"/>
      <c r="T38" s="18"/>
      <c r="U38" s="18"/>
      <c r="V38" s="18"/>
      <c r="W38" s="18"/>
      <c r="X38" s="18"/>
      <c r="Y38" s="18"/>
      <c r="Z38" s="18"/>
      <c r="AA38" s="18"/>
      <c r="AB38" s="18"/>
      <c r="AC38" s="18"/>
      <c r="AD38" s="18"/>
      <c r="AE38" s="18"/>
      <c r="AF38" s="18"/>
      <c r="AG38" s="18"/>
      <c r="AH38" s="18"/>
      <c r="AI38" s="18"/>
      <c r="AJ38" s="18"/>
      <c r="AK38" s="18"/>
      <c r="AL38" s="18"/>
      <c r="AM38" s="18"/>
    </row>
    <row r="39" spans="4:39" x14ac:dyDescent="0.35">
      <c r="D39" s="18"/>
      <c r="E39" s="18"/>
      <c r="F39" s="18"/>
      <c r="G39" s="18"/>
      <c r="H39" s="18"/>
      <c r="I39" s="18"/>
      <c r="J39" s="18"/>
      <c r="K39" s="18"/>
      <c r="L39" s="18"/>
      <c r="M39" s="18"/>
      <c r="N39" s="18"/>
      <c r="O39" s="18"/>
      <c r="P39" s="18"/>
      <c r="Q39" s="18"/>
      <c r="R39" s="18"/>
      <c r="S39" s="18"/>
      <c r="T39" s="18"/>
      <c r="U39" s="18"/>
      <c r="V39" s="18"/>
      <c r="W39" s="18"/>
      <c r="X39" s="18"/>
      <c r="Y39" s="18"/>
      <c r="Z39" s="18"/>
      <c r="AA39" s="18"/>
      <c r="AB39" s="18"/>
      <c r="AC39" s="18"/>
      <c r="AD39" s="18"/>
      <c r="AE39" s="18"/>
      <c r="AF39" s="18"/>
      <c r="AG39" s="18"/>
      <c r="AH39" s="18"/>
      <c r="AI39" s="18"/>
      <c r="AJ39" s="18"/>
      <c r="AK39" s="18"/>
      <c r="AL39" s="18"/>
      <c r="AM39" s="18"/>
    </row>
    <row r="40" spans="4:39" x14ac:dyDescent="0.35">
      <c r="D40" s="18"/>
      <c r="E40" s="18"/>
      <c r="F40" s="18"/>
      <c r="G40" s="18"/>
      <c r="H40" s="18"/>
      <c r="I40" s="18"/>
      <c r="J40" s="18"/>
      <c r="K40" s="18"/>
      <c r="L40" s="18"/>
      <c r="M40" s="18"/>
      <c r="N40" s="18"/>
      <c r="O40" s="18"/>
      <c r="P40" s="18"/>
      <c r="Q40" s="18"/>
      <c r="R40" s="18"/>
      <c r="S40" s="18"/>
      <c r="T40" s="18"/>
      <c r="U40" s="18"/>
      <c r="V40" s="18"/>
      <c r="W40" s="18"/>
      <c r="X40" s="18"/>
      <c r="Y40" s="18"/>
      <c r="Z40" s="18"/>
      <c r="AA40" s="18"/>
      <c r="AB40" s="18"/>
      <c r="AC40" s="18"/>
      <c r="AD40" s="18"/>
      <c r="AE40" s="18"/>
      <c r="AF40" s="18"/>
      <c r="AG40" s="18"/>
      <c r="AH40" s="18"/>
      <c r="AI40" s="18"/>
      <c r="AJ40" s="18"/>
      <c r="AK40" s="18"/>
      <c r="AL40" s="18"/>
      <c r="AM40" s="18"/>
    </row>
    <row r="41" spans="4:39" x14ac:dyDescent="0.35">
      <c r="D41" s="18"/>
      <c r="E41" s="18"/>
      <c r="F41" s="18"/>
      <c r="G41" s="18"/>
      <c r="H41" s="18"/>
      <c r="I41" s="18"/>
      <c r="J41" s="18"/>
      <c r="K41" s="18"/>
      <c r="L41" s="18"/>
      <c r="M41" s="18"/>
      <c r="N41" s="18"/>
      <c r="O41" s="18"/>
      <c r="P41" s="18"/>
      <c r="Q41" s="18"/>
      <c r="R41" s="18"/>
      <c r="S41" s="18"/>
      <c r="T41" s="18"/>
      <c r="U41" s="18"/>
      <c r="V41" s="18"/>
      <c r="W41" s="18"/>
      <c r="X41" s="18"/>
      <c r="Y41" s="18"/>
      <c r="Z41" s="18"/>
      <c r="AA41" s="18"/>
      <c r="AB41" s="18"/>
      <c r="AC41" s="18"/>
      <c r="AD41" s="18"/>
      <c r="AE41" s="18"/>
      <c r="AF41" s="18"/>
      <c r="AG41" s="18"/>
      <c r="AH41" s="18"/>
      <c r="AI41" s="18"/>
      <c r="AJ41" s="18"/>
      <c r="AK41" s="18"/>
      <c r="AL41" s="18"/>
      <c r="AM41" s="18"/>
    </row>
    <row r="42" spans="4:39" x14ac:dyDescent="0.35">
      <c r="D42" s="18"/>
      <c r="E42" s="18"/>
      <c r="F42" s="18"/>
      <c r="G42" s="18"/>
      <c r="H42" s="18"/>
      <c r="I42" s="18"/>
      <c r="J42" s="18"/>
      <c r="K42" s="18"/>
      <c r="L42" s="18"/>
      <c r="M42" s="18"/>
      <c r="N42" s="18"/>
      <c r="O42" s="18"/>
      <c r="P42" s="18"/>
      <c r="Q42" s="18"/>
      <c r="R42" s="18"/>
      <c r="S42" s="18"/>
      <c r="T42" s="18"/>
      <c r="U42" s="18"/>
      <c r="V42" s="18"/>
      <c r="W42" s="18"/>
      <c r="X42" s="18"/>
      <c r="Y42" s="18"/>
      <c r="Z42" s="18"/>
      <c r="AA42" s="18"/>
      <c r="AB42" s="18"/>
      <c r="AC42" s="18"/>
      <c r="AD42" s="18"/>
      <c r="AE42" s="18"/>
      <c r="AF42" s="18"/>
      <c r="AG42" s="18"/>
      <c r="AH42" s="18"/>
      <c r="AI42" s="18"/>
      <c r="AJ42" s="18"/>
      <c r="AK42" s="18"/>
      <c r="AL42" s="18"/>
      <c r="AM42" s="18"/>
    </row>
    <row r="43" spans="4:39" x14ac:dyDescent="0.35">
      <c r="D43" s="18"/>
      <c r="E43" s="18"/>
      <c r="F43" s="18"/>
      <c r="G43" s="18"/>
      <c r="H43" s="18"/>
      <c r="I43" s="18"/>
      <c r="J43" s="18"/>
      <c r="K43" s="18"/>
      <c r="L43" s="18"/>
      <c r="M43" s="18"/>
      <c r="N43" s="18"/>
      <c r="O43" s="18"/>
      <c r="P43" s="18"/>
      <c r="Q43" s="18"/>
      <c r="R43" s="18"/>
      <c r="S43" s="18"/>
      <c r="T43" s="18"/>
      <c r="U43" s="18"/>
      <c r="V43" s="18"/>
      <c r="W43" s="18"/>
      <c r="X43" s="18"/>
      <c r="Y43" s="18"/>
      <c r="Z43" s="18"/>
      <c r="AA43" s="18"/>
      <c r="AB43" s="18"/>
      <c r="AC43" s="18"/>
      <c r="AD43" s="18"/>
      <c r="AE43" s="18"/>
      <c r="AF43" s="18"/>
      <c r="AG43" s="18"/>
      <c r="AH43" s="18"/>
      <c r="AI43" s="18"/>
      <c r="AJ43" s="18"/>
      <c r="AK43" s="18"/>
      <c r="AL43" s="18"/>
      <c r="AM43" s="18"/>
    </row>
    <row r="44" spans="4:39" x14ac:dyDescent="0.35">
      <c r="D44" s="18"/>
      <c r="E44" s="18"/>
      <c r="F44" s="18"/>
      <c r="G44" s="18"/>
      <c r="H44" s="18"/>
      <c r="I44" s="18"/>
      <c r="J44" s="18"/>
      <c r="K44" s="18"/>
      <c r="L44" s="18"/>
      <c r="M44" s="18"/>
      <c r="N44" s="18"/>
      <c r="O44" s="18"/>
      <c r="P44" s="18"/>
      <c r="Q44" s="18"/>
      <c r="R44" s="18"/>
      <c r="S44" s="18"/>
      <c r="T44" s="18"/>
      <c r="U44" s="18"/>
      <c r="V44" s="18"/>
      <c r="W44" s="18"/>
      <c r="X44" s="18"/>
      <c r="Y44" s="18"/>
      <c r="Z44" s="18"/>
      <c r="AA44" s="18"/>
      <c r="AB44" s="18"/>
      <c r="AC44" s="18"/>
      <c r="AD44" s="18"/>
      <c r="AE44" s="18"/>
      <c r="AF44" s="18"/>
      <c r="AG44" s="18"/>
      <c r="AH44" s="18"/>
      <c r="AI44" s="18"/>
      <c r="AJ44" s="18"/>
      <c r="AK44" s="18"/>
      <c r="AL44" s="18"/>
      <c r="AM44" s="18"/>
    </row>
    <row r="45" spans="4:39" x14ac:dyDescent="0.35">
      <c r="D45" s="18"/>
      <c r="E45" s="18"/>
      <c r="F45" s="18"/>
      <c r="G45" s="18"/>
      <c r="H45" s="18"/>
      <c r="I45" s="18"/>
      <c r="J45" s="18"/>
      <c r="K45" s="18"/>
      <c r="L45" s="18"/>
      <c r="M45" s="18"/>
      <c r="N45" s="18"/>
      <c r="O45" s="18"/>
      <c r="P45" s="18"/>
      <c r="Q45" s="18"/>
      <c r="R45" s="18"/>
      <c r="S45" s="18"/>
      <c r="T45" s="18"/>
      <c r="U45" s="18"/>
      <c r="V45" s="18"/>
      <c r="W45" s="18"/>
      <c r="X45" s="18"/>
      <c r="Y45" s="18"/>
      <c r="Z45" s="18"/>
      <c r="AA45" s="18"/>
      <c r="AB45" s="18"/>
      <c r="AC45" s="18"/>
      <c r="AD45" s="18"/>
      <c r="AE45" s="18"/>
      <c r="AF45" s="18"/>
      <c r="AG45" s="18"/>
      <c r="AH45" s="18"/>
      <c r="AI45" s="18"/>
      <c r="AJ45" s="18"/>
      <c r="AK45" s="18"/>
      <c r="AL45" s="18"/>
      <c r="AM45" s="18"/>
    </row>
    <row r="46" spans="4:39" x14ac:dyDescent="0.35">
      <c r="D46" s="18"/>
      <c r="E46" s="18"/>
      <c r="F46" s="18"/>
      <c r="G46" s="18"/>
      <c r="H46" s="18"/>
      <c r="I46" s="18"/>
      <c r="J46" s="18"/>
      <c r="K46" s="18"/>
      <c r="L46" s="18"/>
      <c r="M46" s="18"/>
      <c r="N46" s="18"/>
      <c r="O46" s="18"/>
      <c r="P46" s="18"/>
      <c r="Q46" s="18"/>
      <c r="R46" s="18"/>
      <c r="S46" s="18"/>
      <c r="T46" s="18"/>
      <c r="U46" s="18"/>
      <c r="V46" s="18"/>
      <c r="W46" s="18"/>
      <c r="X46" s="18"/>
      <c r="Y46" s="18"/>
      <c r="Z46" s="18"/>
      <c r="AA46" s="18"/>
      <c r="AB46" s="18"/>
      <c r="AC46" s="18"/>
      <c r="AD46" s="18"/>
      <c r="AE46" s="18"/>
      <c r="AF46" s="18"/>
      <c r="AG46" s="18"/>
      <c r="AH46" s="18"/>
      <c r="AI46" s="18"/>
      <c r="AJ46" s="18"/>
      <c r="AK46" s="18"/>
      <c r="AL46" s="18"/>
      <c r="AM46" s="18"/>
    </row>
    <row r="47" spans="4:39" x14ac:dyDescent="0.35">
      <c r="D47" s="18"/>
      <c r="E47" s="18"/>
      <c r="F47" s="18"/>
      <c r="G47" s="18"/>
      <c r="H47" s="18"/>
      <c r="I47" s="18"/>
      <c r="J47" s="18"/>
      <c r="K47" s="18"/>
      <c r="L47" s="18"/>
      <c r="M47" s="18"/>
      <c r="N47" s="18"/>
      <c r="O47" s="18"/>
      <c r="P47" s="18"/>
      <c r="Q47" s="18"/>
      <c r="R47" s="18"/>
      <c r="S47" s="18"/>
      <c r="T47" s="18"/>
      <c r="U47" s="18"/>
      <c r="V47" s="18"/>
      <c r="W47" s="18"/>
      <c r="X47" s="18"/>
      <c r="Y47" s="18"/>
      <c r="Z47" s="18"/>
      <c r="AA47" s="18"/>
      <c r="AB47" s="18"/>
      <c r="AC47" s="18"/>
      <c r="AD47" s="18"/>
      <c r="AE47" s="18"/>
      <c r="AF47" s="18"/>
      <c r="AG47" s="18"/>
      <c r="AH47" s="18"/>
      <c r="AI47" s="18"/>
      <c r="AJ47" s="18"/>
      <c r="AK47" s="18"/>
      <c r="AL47" s="18"/>
      <c r="AM47" s="18"/>
    </row>
    <row r="48" spans="4:39" x14ac:dyDescent="0.35">
      <c r="D48" s="18"/>
      <c r="E48" s="18"/>
      <c r="F48" s="18"/>
      <c r="G48" s="18"/>
      <c r="H48" s="18"/>
      <c r="I48" s="18"/>
      <c r="J48" s="18"/>
      <c r="K48" s="18"/>
      <c r="L48" s="18"/>
      <c r="M48" s="18"/>
      <c r="N48" s="18"/>
      <c r="O48" s="18"/>
      <c r="P48" s="18"/>
      <c r="Q48" s="18"/>
      <c r="R48" s="18"/>
      <c r="S48" s="18"/>
      <c r="T48" s="18"/>
      <c r="U48" s="18"/>
      <c r="V48" s="18"/>
      <c r="W48" s="18"/>
      <c r="X48" s="18"/>
      <c r="Y48" s="18"/>
      <c r="Z48" s="18"/>
      <c r="AA48" s="18"/>
      <c r="AB48" s="18"/>
      <c r="AC48" s="18"/>
      <c r="AD48" s="18"/>
      <c r="AE48" s="18"/>
      <c r="AF48" s="18"/>
      <c r="AG48" s="18"/>
      <c r="AH48" s="18"/>
      <c r="AI48" s="18"/>
      <c r="AJ48" s="18"/>
      <c r="AK48" s="18"/>
      <c r="AL48" s="18"/>
      <c r="AM48" s="18"/>
    </row>
    <row r="49" spans="4:39" x14ac:dyDescent="0.35">
      <c r="D49" s="18"/>
      <c r="E49" s="18"/>
      <c r="F49" s="18"/>
      <c r="G49" s="18"/>
      <c r="H49" s="18"/>
      <c r="I49" s="18"/>
      <c r="J49" s="18"/>
      <c r="K49" s="18"/>
      <c r="L49" s="18"/>
      <c r="M49" s="18"/>
      <c r="N49" s="18"/>
      <c r="O49" s="18"/>
      <c r="P49" s="18"/>
      <c r="Q49" s="18"/>
      <c r="R49" s="18"/>
      <c r="S49" s="18"/>
      <c r="T49" s="18"/>
      <c r="U49" s="18"/>
      <c r="V49" s="18"/>
      <c r="W49" s="18"/>
      <c r="X49" s="18"/>
      <c r="Y49" s="18"/>
      <c r="Z49" s="18"/>
      <c r="AA49" s="18"/>
      <c r="AB49" s="18"/>
      <c r="AC49" s="18"/>
      <c r="AD49" s="18"/>
      <c r="AE49" s="18"/>
      <c r="AF49" s="18"/>
      <c r="AG49" s="18"/>
      <c r="AH49" s="18"/>
      <c r="AI49" s="18"/>
      <c r="AJ49" s="18"/>
      <c r="AK49" s="18"/>
      <c r="AL49" s="18"/>
      <c r="AM49" s="18"/>
    </row>
    <row r="50" spans="4:39" x14ac:dyDescent="0.35">
      <c r="D50" s="18"/>
      <c r="E50" s="18"/>
      <c r="F50" s="18"/>
      <c r="G50" s="18"/>
      <c r="H50" s="18"/>
      <c r="I50" s="18"/>
      <c r="J50" s="18"/>
      <c r="K50" s="18"/>
      <c r="L50" s="18"/>
      <c r="M50" s="18"/>
      <c r="N50" s="18"/>
      <c r="O50" s="18"/>
      <c r="P50" s="18"/>
      <c r="Q50" s="18"/>
      <c r="R50" s="18"/>
      <c r="S50" s="18"/>
      <c r="T50" s="18"/>
      <c r="U50" s="18"/>
      <c r="V50" s="18"/>
      <c r="W50" s="18"/>
      <c r="X50" s="18"/>
      <c r="Y50" s="18"/>
      <c r="Z50" s="18"/>
      <c r="AA50" s="18"/>
      <c r="AB50" s="18"/>
      <c r="AC50" s="18"/>
      <c r="AD50" s="18"/>
      <c r="AE50" s="18"/>
      <c r="AF50" s="18"/>
      <c r="AG50" s="18"/>
      <c r="AH50" s="18"/>
      <c r="AI50" s="18"/>
      <c r="AJ50" s="18"/>
      <c r="AK50" s="18"/>
      <c r="AL50" s="18"/>
      <c r="AM50" s="18"/>
    </row>
    <row r="51" spans="4:39" x14ac:dyDescent="0.35">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c r="AH51" s="18"/>
      <c r="AI51" s="18"/>
      <c r="AJ51" s="18"/>
      <c r="AK51" s="18"/>
      <c r="AL51" s="18"/>
      <c r="AM51" s="18"/>
    </row>
    <row r="52" spans="4:39" x14ac:dyDescent="0.35">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c r="AH52" s="18"/>
      <c r="AI52" s="18"/>
      <c r="AJ52" s="18"/>
      <c r="AK52" s="18"/>
      <c r="AL52" s="18"/>
      <c r="AM52" s="18"/>
    </row>
    <row r="53" spans="4:39" x14ac:dyDescent="0.35">
      <c r="D53" s="18"/>
      <c r="E53" s="18"/>
      <c r="F53" s="18"/>
      <c r="G53" s="18"/>
      <c r="H53" s="18"/>
      <c r="I53" s="18"/>
      <c r="J53" s="18"/>
      <c r="K53" s="18"/>
      <c r="L53" s="18"/>
      <c r="M53" s="18"/>
      <c r="N53" s="18"/>
      <c r="O53" s="18"/>
      <c r="P53" s="18"/>
      <c r="Q53" s="18"/>
      <c r="R53" s="18"/>
      <c r="S53" s="18"/>
      <c r="T53" s="18"/>
      <c r="U53" s="18"/>
      <c r="V53" s="18"/>
      <c r="W53" s="18"/>
      <c r="X53" s="18"/>
      <c r="Y53" s="18"/>
      <c r="Z53" s="18"/>
      <c r="AA53" s="18"/>
      <c r="AB53" s="18"/>
      <c r="AC53" s="18"/>
      <c r="AD53" s="18"/>
      <c r="AE53" s="18"/>
      <c r="AF53" s="18"/>
      <c r="AG53" s="18"/>
      <c r="AH53" s="18"/>
      <c r="AI53" s="18"/>
      <c r="AJ53" s="18"/>
      <c r="AK53" s="18"/>
      <c r="AL53" s="18"/>
      <c r="AM53" s="18"/>
    </row>
    <row r="54" spans="4:39" x14ac:dyDescent="0.35">
      <c r="D54" s="18"/>
      <c r="E54" s="18"/>
      <c r="F54" s="18"/>
      <c r="G54" s="18"/>
      <c r="H54" s="18"/>
      <c r="I54" s="18"/>
      <c r="J54" s="18"/>
      <c r="K54" s="18"/>
      <c r="L54" s="18"/>
      <c r="M54" s="18"/>
      <c r="N54" s="18"/>
      <c r="O54" s="18"/>
      <c r="P54" s="18"/>
      <c r="Q54" s="18"/>
      <c r="R54" s="18"/>
      <c r="S54" s="18"/>
      <c r="T54" s="18"/>
      <c r="U54" s="18"/>
      <c r="V54" s="18"/>
      <c r="W54" s="18"/>
      <c r="X54" s="18"/>
      <c r="Y54" s="18"/>
      <c r="Z54" s="18"/>
      <c r="AA54" s="18"/>
      <c r="AB54" s="18"/>
      <c r="AC54" s="18"/>
      <c r="AD54" s="18"/>
      <c r="AE54" s="18"/>
      <c r="AF54" s="18"/>
      <c r="AG54" s="18"/>
      <c r="AH54" s="18"/>
      <c r="AI54" s="18"/>
      <c r="AJ54" s="18"/>
      <c r="AK54" s="18"/>
      <c r="AL54" s="18"/>
      <c r="AM54" s="18"/>
    </row>
    <row r="55" spans="4:39" x14ac:dyDescent="0.35">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c r="AE55" s="18"/>
      <c r="AF55" s="18"/>
      <c r="AG55" s="18"/>
      <c r="AH55" s="18"/>
      <c r="AI55" s="18"/>
      <c r="AJ55" s="18"/>
      <c r="AK55" s="18"/>
      <c r="AL55" s="18"/>
      <c r="AM55" s="18"/>
    </row>
    <row r="56" spans="4:39" x14ac:dyDescent="0.35">
      <c r="D56" s="18"/>
      <c r="E56" s="18"/>
      <c r="F56" s="18"/>
      <c r="G56" s="18"/>
      <c r="H56" s="18"/>
      <c r="I56" s="18"/>
      <c r="J56" s="18"/>
      <c r="K56" s="18"/>
      <c r="L56" s="18"/>
      <c r="M56" s="18"/>
      <c r="N56" s="18"/>
      <c r="O56" s="18"/>
      <c r="P56" s="18"/>
      <c r="Q56" s="18"/>
      <c r="R56" s="18"/>
      <c r="S56" s="18"/>
      <c r="T56" s="18"/>
      <c r="U56" s="18"/>
      <c r="V56" s="18"/>
      <c r="W56" s="18"/>
      <c r="X56" s="18"/>
      <c r="Y56" s="18"/>
      <c r="Z56" s="18"/>
      <c r="AA56" s="18"/>
      <c r="AB56" s="18"/>
      <c r="AC56" s="18"/>
      <c r="AD56" s="18"/>
      <c r="AE56" s="18"/>
      <c r="AF56" s="18"/>
      <c r="AG56" s="18"/>
      <c r="AH56" s="18"/>
      <c r="AI56" s="18"/>
      <c r="AJ56" s="18"/>
      <c r="AK56" s="18"/>
      <c r="AL56" s="18"/>
      <c r="AM56" s="18"/>
    </row>
    <row r="57" spans="4:39" x14ac:dyDescent="0.35">
      <c r="D57" s="18"/>
      <c r="E57" s="18"/>
      <c r="F57" s="18"/>
      <c r="G57" s="18"/>
      <c r="H57" s="18"/>
      <c r="I57" s="18"/>
      <c r="J57" s="18"/>
      <c r="K57" s="18"/>
      <c r="L57" s="18"/>
      <c r="M57" s="18"/>
      <c r="N57" s="18"/>
      <c r="O57" s="18"/>
      <c r="P57" s="18"/>
      <c r="Q57" s="18"/>
      <c r="R57" s="18"/>
      <c r="S57" s="18"/>
      <c r="T57" s="18"/>
      <c r="U57" s="18"/>
      <c r="V57" s="18"/>
      <c r="W57" s="18"/>
      <c r="X57" s="18"/>
      <c r="Y57" s="18"/>
      <c r="Z57" s="18"/>
      <c r="AA57" s="18"/>
      <c r="AB57" s="18"/>
      <c r="AC57" s="18"/>
      <c r="AD57" s="18"/>
      <c r="AE57" s="18"/>
      <c r="AF57" s="18"/>
      <c r="AG57" s="18"/>
      <c r="AH57" s="18"/>
      <c r="AI57" s="18"/>
      <c r="AJ57" s="18"/>
      <c r="AK57" s="18"/>
      <c r="AL57" s="18"/>
      <c r="AM57" s="18"/>
    </row>
    <row r="58" spans="4:39" x14ac:dyDescent="0.35">
      <c r="D58" s="18"/>
      <c r="E58" s="18"/>
      <c r="F58" s="18"/>
      <c r="G58" s="18"/>
      <c r="H58" s="18"/>
      <c r="I58" s="18"/>
      <c r="J58" s="18"/>
      <c r="K58" s="18"/>
      <c r="L58" s="18"/>
      <c r="M58" s="18"/>
      <c r="N58" s="18"/>
      <c r="O58" s="18"/>
      <c r="P58" s="18"/>
      <c r="Q58" s="18"/>
      <c r="R58" s="18"/>
      <c r="S58" s="18"/>
      <c r="T58" s="18"/>
      <c r="U58" s="18"/>
      <c r="V58" s="18"/>
      <c r="W58" s="18"/>
      <c r="X58" s="18"/>
      <c r="Y58" s="18"/>
      <c r="Z58" s="18"/>
      <c r="AA58" s="18"/>
      <c r="AB58" s="18"/>
      <c r="AC58" s="18"/>
      <c r="AD58" s="18"/>
      <c r="AE58" s="18"/>
      <c r="AF58" s="18"/>
      <c r="AG58" s="18"/>
      <c r="AH58" s="18"/>
      <c r="AI58" s="18"/>
      <c r="AJ58" s="18"/>
      <c r="AK58" s="18"/>
      <c r="AL58" s="18"/>
      <c r="AM58" s="18"/>
    </row>
    <row r="59" spans="4:39" x14ac:dyDescent="0.35">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c r="AH59" s="18"/>
      <c r="AI59" s="18"/>
      <c r="AJ59" s="18"/>
      <c r="AK59" s="18"/>
      <c r="AL59" s="18"/>
      <c r="AM59" s="18"/>
    </row>
    <row r="60" spans="4:39" x14ac:dyDescent="0.35">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c r="AH60" s="18"/>
      <c r="AI60" s="18"/>
      <c r="AJ60" s="18"/>
      <c r="AK60" s="18"/>
      <c r="AL60" s="18"/>
      <c r="AM60" s="18"/>
    </row>
    <row r="61" spans="4:39" x14ac:dyDescent="0.35">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c r="AE61" s="18"/>
      <c r="AF61" s="18"/>
      <c r="AG61" s="18"/>
      <c r="AH61" s="18"/>
      <c r="AI61" s="18"/>
      <c r="AJ61" s="18"/>
      <c r="AK61" s="18"/>
      <c r="AL61" s="18"/>
      <c r="AM61" s="18"/>
    </row>
    <row r="62" spans="4:39" x14ac:dyDescent="0.35">
      <c r="D62" s="18"/>
      <c r="E62" s="18"/>
      <c r="F62" s="18"/>
      <c r="G62" s="18"/>
      <c r="H62" s="18"/>
      <c r="I62" s="18"/>
      <c r="J62" s="18"/>
      <c r="K62" s="18"/>
      <c r="L62" s="18"/>
      <c r="M62" s="18"/>
      <c r="N62" s="18"/>
      <c r="O62" s="18"/>
      <c r="P62" s="18"/>
      <c r="Q62" s="18"/>
      <c r="R62" s="18"/>
      <c r="S62" s="18"/>
      <c r="T62" s="18"/>
      <c r="U62" s="18"/>
      <c r="V62" s="18"/>
      <c r="W62" s="18"/>
      <c r="X62" s="18"/>
      <c r="Y62" s="18"/>
      <c r="Z62" s="18"/>
      <c r="AA62" s="18"/>
      <c r="AB62" s="18"/>
      <c r="AC62" s="18"/>
      <c r="AD62" s="18"/>
      <c r="AE62" s="18"/>
      <c r="AF62" s="18"/>
      <c r="AG62" s="18"/>
      <c r="AH62" s="18"/>
      <c r="AI62" s="18"/>
      <c r="AJ62" s="18"/>
      <c r="AK62" s="18"/>
      <c r="AL62" s="18"/>
      <c r="AM62" s="18"/>
    </row>
    <row r="63" spans="4:39" x14ac:dyDescent="0.35">
      <c r="D63" s="18"/>
      <c r="E63" s="18"/>
      <c r="F63" s="18"/>
      <c r="G63" s="18"/>
      <c r="H63" s="18"/>
      <c r="I63" s="18"/>
      <c r="J63" s="18"/>
      <c r="K63" s="18"/>
      <c r="L63" s="18"/>
      <c r="M63" s="18"/>
      <c r="N63" s="18"/>
      <c r="O63" s="18"/>
      <c r="P63" s="18"/>
      <c r="Q63" s="18"/>
      <c r="R63" s="18"/>
      <c r="S63" s="18"/>
      <c r="T63" s="18"/>
      <c r="U63" s="18"/>
      <c r="V63" s="18"/>
      <c r="W63" s="18"/>
      <c r="X63" s="18"/>
      <c r="Y63" s="18"/>
      <c r="Z63" s="18"/>
      <c r="AA63" s="18"/>
      <c r="AB63" s="18"/>
      <c r="AC63" s="18"/>
      <c r="AD63" s="18"/>
      <c r="AE63" s="18"/>
      <c r="AF63" s="18"/>
      <c r="AG63" s="18"/>
      <c r="AH63" s="18"/>
      <c r="AI63" s="18"/>
      <c r="AJ63" s="18"/>
      <c r="AK63" s="18"/>
      <c r="AL63" s="18"/>
      <c r="AM63" s="18"/>
    </row>
    <row r="64" spans="4:39" x14ac:dyDescent="0.35">
      <c r="D64" s="18"/>
      <c r="E64" s="18"/>
      <c r="F64" s="18"/>
      <c r="G64" s="18"/>
      <c r="H64" s="18"/>
      <c r="I64" s="18"/>
      <c r="J64" s="18"/>
      <c r="K64" s="18"/>
      <c r="L64" s="18"/>
      <c r="M64" s="18"/>
      <c r="N64" s="18"/>
      <c r="O64" s="18"/>
      <c r="P64" s="18"/>
      <c r="Q64" s="18"/>
      <c r="R64" s="18"/>
      <c r="S64" s="18"/>
      <c r="T64" s="18"/>
      <c r="U64" s="18"/>
      <c r="V64" s="18"/>
      <c r="W64" s="18"/>
      <c r="X64" s="18"/>
      <c r="Y64" s="18"/>
      <c r="Z64" s="18"/>
      <c r="AA64" s="18"/>
      <c r="AB64" s="18"/>
      <c r="AC64" s="18"/>
      <c r="AD64" s="18"/>
      <c r="AE64" s="18"/>
      <c r="AF64" s="18"/>
      <c r="AG64" s="18"/>
      <c r="AH64" s="18"/>
      <c r="AI64" s="18"/>
      <c r="AJ64" s="18"/>
      <c r="AK64" s="18"/>
      <c r="AL64" s="18"/>
      <c r="AM64" s="18"/>
    </row>
    <row r="65" spans="4:39" x14ac:dyDescent="0.35">
      <c r="D65" s="18"/>
      <c r="E65" s="18"/>
      <c r="F65" s="18"/>
      <c r="G65" s="18"/>
      <c r="H65" s="18"/>
      <c r="I65" s="18"/>
      <c r="J65" s="18"/>
      <c r="K65" s="18"/>
      <c r="L65" s="18"/>
      <c r="M65" s="18"/>
      <c r="N65" s="18"/>
      <c r="O65" s="18"/>
      <c r="P65" s="18"/>
      <c r="Q65" s="18"/>
      <c r="R65" s="18"/>
      <c r="S65" s="18"/>
      <c r="T65" s="18"/>
      <c r="U65" s="18"/>
      <c r="V65" s="18"/>
      <c r="W65" s="18"/>
      <c r="X65" s="18"/>
      <c r="Y65" s="18"/>
      <c r="Z65" s="18"/>
      <c r="AA65" s="18"/>
      <c r="AB65" s="18"/>
      <c r="AC65" s="18"/>
      <c r="AD65" s="18"/>
      <c r="AE65" s="18"/>
      <c r="AF65" s="18"/>
      <c r="AG65" s="18"/>
      <c r="AH65" s="18"/>
      <c r="AI65" s="18"/>
      <c r="AJ65" s="18"/>
      <c r="AK65" s="18"/>
      <c r="AL65" s="18"/>
      <c r="AM65" s="18"/>
    </row>
    <row r="66" spans="4:39" x14ac:dyDescent="0.35">
      <c r="D66" s="18"/>
      <c r="E66" s="18"/>
      <c r="F66" s="18"/>
      <c r="G66" s="18"/>
      <c r="H66" s="18"/>
      <c r="I66" s="18"/>
      <c r="J66" s="18"/>
      <c r="K66" s="18"/>
      <c r="L66" s="18"/>
      <c r="M66" s="18"/>
      <c r="N66" s="18"/>
      <c r="O66" s="18"/>
      <c r="P66" s="18"/>
      <c r="Q66" s="18"/>
      <c r="R66" s="18"/>
      <c r="S66" s="18"/>
      <c r="T66" s="18"/>
      <c r="U66" s="18"/>
      <c r="V66" s="18"/>
      <c r="W66" s="18"/>
      <c r="X66" s="18"/>
      <c r="Y66" s="18"/>
      <c r="Z66" s="18"/>
      <c r="AA66" s="18"/>
      <c r="AB66" s="18"/>
      <c r="AC66" s="18"/>
      <c r="AD66" s="18"/>
      <c r="AE66" s="18"/>
      <c r="AF66" s="18"/>
      <c r="AG66" s="18"/>
      <c r="AH66" s="18"/>
      <c r="AI66" s="18"/>
      <c r="AJ66" s="18"/>
      <c r="AK66" s="18"/>
      <c r="AL66" s="18"/>
      <c r="AM66" s="18"/>
    </row>
    <row r="67" spans="4:39" x14ac:dyDescent="0.35">
      <c r="D67" s="18"/>
      <c r="E67" s="18"/>
      <c r="F67" s="18"/>
      <c r="G67" s="18"/>
      <c r="H67" s="18"/>
      <c r="I67" s="18"/>
      <c r="J67" s="18"/>
      <c r="K67" s="18"/>
      <c r="L67" s="18"/>
      <c r="M67" s="18"/>
      <c r="N67" s="18"/>
      <c r="O67" s="18"/>
      <c r="P67" s="18"/>
      <c r="Q67" s="18"/>
      <c r="R67" s="18"/>
      <c r="S67" s="18"/>
      <c r="T67" s="18"/>
      <c r="U67" s="18"/>
      <c r="V67" s="18"/>
      <c r="W67" s="18"/>
      <c r="X67" s="18"/>
      <c r="Y67" s="18"/>
      <c r="Z67" s="18"/>
      <c r="AA67" s="18"/>
      <c r="AB67" s="18"/>
      <c r="AC67" s="18"/>
      <c r="AD67" s="18"/>
      <c r="AE67" s="18"/>
      <c r="AF67" s="18"/>
      <c r="AG67" s="18"/>
      <c r="AH67" s="18"/>
      <c r="AI67" s="18"/>
      <c r="AJ67" s="18"/>
      <c r="AK67" s="18"/>
      <c r="AL67" s="18"/>
      <c r="AM67" s="18"/>
    </row>
    <row r="68" spans="4:39" x14ac:dyDescent="0.35">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c r="AE68" s="18"/>
      <c r="AF68" s="18"/>
      <c r="AG68" s="18"/>
      <c r="AH68" s="18"/>
      <c r="AI68" s="18"/>
      <c r="AJ68" s="18"/>
      <c r="AK68" s="18"/>
      <c r="AL68" s="18"/>
      <c r="AM68" s="18"/>
    </row>
    <row r="69" spans="4:39" x14ac:dyDescent="0.35">
      <c r="D69" s="18"/>
      <c r="E69" s="18"/>
      <c r="F69" s="18"/>
      <c r="G69" s="18"/>
      <c r="H69" s="18"/>
      <c r="I69" s="18"/>
      <c r="J69" s="18"/>
      <c r="K69" s="18"/>
      <c r="L69" s="18"/>
      <c r="M69" s="18"/>
      <c r="N69" s="18"/>
      <c r="O69" s="18"/>
      <c r="P69" s="18"/>
      <c r="Q69" s="18"/>
      <c r="R69" s="18"/>
      <c r="S69" s="18"/>
      <c r="T69" s="18"/>
      <c r="U69" s="18"/>
      <c r="V69" s="18"/>
      <c r="W69" s="18"/>
      <c r="X69" s="18"/>
      <c r="Y69" s="18"/>
      <c r="Z69" s="18"/>
      <c r="AA69" s="18"/>
      <c r="AB69" s="18"/>
      <c r="AC69" s="18"/>
      <c r="AD69" s="18"/>
      <c r="AE69" s="18"/>
      <c r="AF69" s="18"/>
      <c r="AG69" s="18"/>
      <c r="AH69" s="18"/>
      <c r="AI69" s="18"/>
      <c r="AJ69" s="18"/>
      <c r="AK69" s="18"/>
      <c r="AL69" s="18"/>
      <c r="AM69" s="18"/>
    </row>
    <row r="70" spans="4:39" x14ac:dyDescent="0.35">
      <c r="D70" s="18"/>
      <c r="E70" s="18"/>
      <c r="F70" s="18"/>
      <c r="G70" s="18"/>
      <c r="H70" s="18"/>
      <c r="I70" s="18"/>
      <c r="J70" s="18"/>
      <c r="K70" s="18"/>
      <c r="L70" s="18"/>
      <c r="M70" s="18"/>
      <c r="N70" s="18"/>
      <c r="O70" s="18"/>
      <c r="P70" s="18"/>
      <c r="Q70" s="18"/>
      <c r="R70" s="18"/>
      <c r="S70" s="18"/>
      <c r="T70" s="18"/>
      <c r="U70" s="18"/>
      <c r="V70" s="18"/>
      <c r="W70" s="18"/>
      <c r="X70" s="18"/>
      <c r="Y70" s="18"/>
      <c r="Z70" s="18"/>
      <c r="AA70" s="18"/>
      <c r="AB70" s="18"/>
      <c r="AC70" s="18"/>
      <c r="AD70" s="18"/>
      <c r="AE70" s="18"/>
      <c r="AF70" s="18"/>
      <c r="AG70" s="18"/>
      <c r="AH70" s="18"/>
      <c r="AI70" s="18"/>
      <c r="AJ70" s="18"/>
      <c r="AK70" s="18"/>
      <c r="AL70" s="18"/>
      <c r="AM70" s="18"/>
    </row>
    <row r="71" spans="4:39" x14ac:dyDescent="0.35">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c r="AE71" s="18"/>
      <c r="AF71" s="18"/>
      <c r="AG71" s="18"/>
      <c r="AH71" s="18"/>
      <c r="AI71" s="18"/>
      <c r="AJ71" s="18"/>
      <c r="AK71" s="18"/>
      <c r="AL71" s="18"/>
      <c r="AM71" s="18"/>
    </row>
    <row r="72" spans="4:39" x14ac:dyDescent="0.35">
      <c r="D72" s="18"/>
      <c r="E72" s="18"/>
      <c r="F72" s="18"/>
      <c r="G72" s="18"/>
      <c r="H72" s="18"/>
      <c r="I72" s="18"/>
      <c r="J72" s="18"/>
      <c r="K72" s="18"/>
      <c r="L72" s="18"/>
      <c r="M72" s="18"/>
      <c r="N72" s="18"/>
      <c r="O72" s="18"/>
      <c r="P72" s="18"/>
      <c r="Q72" s="18"/>
      <c r="R72" s="18"/>
      <c r="S72" s="18"/>
      <c r="T72" s="18"/>
      <c r="U72" s="18"/>
      <c r="V72" s="18"/>
      <c r="W72" s="18"/>
      <c r="X72" s="18"/>
      <c r="Y72" s="18"/>
      <c r="Z72" s="18"/>
      <c r="AA72" s="18"/>
      <c r="AB72" s="18"/>
      <c r="AC72" s="18"/>
      <c r="AD72" s="18"/>
      <c r="AE72" s="18"/>
      <c r="AF72" s="18"/>
      <c r="AG72" s="18"/>
      <c r="AH72" s="18"/>
      <c r="AI72" s="18"/>
      <c r="AJ72" s="18"/>
      <c r="AK72" s="18"/>
      <c r="AL72" s="18"/>
      <c r="AM72" s="18"/>
    </row>
    <row r="73" spans="4:39" x14ac:dyDescent="0.35">
      <c r="D73" s="18"/>
      <c r="E73" s="18"/>
      <c r="F73" s="18"/>
      <c r="G73" s="18"/>
      <c r="H73" s="18"/>
      <c r="I73" s="18"/>
      <c r="J73" s="18"/>
      <c r="K73" s="18"/>
      <c r="L73" s="18"/>
      <c r="M73" s="18"/>
      <c r="N73" s="18"/>
      <c r="O73" s="18"/>
      <c r="P73" s="18"/>
      <c r="Q73" s="18"/>
      <c r="R73" s="18"/>
      <c r="S73" s="18"/>
      <c r="T73" s="18"/>
      <c r="U73" s="18"/>
      <c r="V73" s="18"/>
      <c r="W73" s="18"/>
      <c r="X73" s="18"/>
      <c r="Y73" s="18"/>
      <c r="Z73" s="18"/>
      <c r="AA73" s="18"/>
      <c r="AB73" s="18"/>
      <c r="AC73" s="18"/>
      <c r="AD73" s="18"/>
      <c r="AE73" s="18"/>
      <c r="AF73" s="18"/>
      <c r="AG73" s="18"/>
      <c r="AH73" s="18"/>
      <c r="AI73" s="18"/>
      <c r="AJ73" s="18"/>
      <c r="AK73" s="18"/>
      <c r="AL73" s="18"/>
      <c r="AM73" s="18"/>
    </row>
    <row r="74" spans="4:39" x14ac:dyDescent="0.35">
      <c r="D74" s="18"/>
      <c r="E74" s="18"/>
      <c r="F74" s="18"/>
      <c r="G74" s="18"/>
      <c r="H74" s="18"/>
      <c r="I74" s="18"/>
      <c r="J74" s="18"/>
      <c r="K74" s="18"/>
      <c r="L74" s="18"/>
      <c r="M74" s="18"/>
      <c r="N74" s="18"/>
      <c r="O74" s="18"/>
      <c r="P74" s="18"/>
      <c r="Q74" s="18"/>
      <c r="R74" s="18"/>
      <c r="S74" s="18"/>
      <c r="T74" s="18"/>
      <c r="U74" s="18"/>
      <c r="V74" s="18"/>
      <c r="W74" s="18"/>
      <c r="X74" s="18"/>
      <c r="Y74" s="18"/>
      <c r="Z74" s="18"/>
      <c r="AA74" s="18"/>
      <c r="AB74" s="18"/>
      <c r="AC74" s="18"/>
      <c r="AD74" s="18"/>
      <c r="AE74" s="18"/>
      <c r="AF74" s="18"/>
      <c r="AG74" s="18"/>
      <c r="AH74" s="18"/>
      <c r="AI74" s="18"/>
      <c r="AJ74" s="18"/>
      <c r="AK74" s="18"/>
      <c r="AL74" s="18"/>
      <c r="AM74" s="18"/>
    </row>
    <row r="75" spans="4:39" x14ac:dyDescent="0.35">
      <c r="D75" s="18"/>
      <c r="E75" s="18"/>
      <c r="F75" s="18"/>
      <c r="G75" s="18"/>
      <c r="H75" s="18"/>
      <c r="I75" s="18"/>
      <c r="J75" s="18"/>
      <c r="K75" s="18"/>
      <c r="L75" s="18"/>
      <c r="M75" s="18"/>
      <c r="N75" s="18"/>
      <c r="O75" s="18"/>
      <c r="P75" s="18"/>
      <c r="Q75" s="18"/>
      <c r="R75" s="18"/>
      <c r="S75" s="18"/>
      <c r="T75" s="18"/>
      <c r="U75" s="18"/>
      <c r="V75" s="18"/>
      <c r="W75" s="18"/>
      <c r="X75" s="18"/>
      <c r="Y75" s="18"/>
      <c r="Z75" s="18"/>
      <c r="AA75" s="18"/>
      <c r="AB75" s="18"/>
      <c r="AC75" s="18"/>
      <c r="AD75" s="18"/>
      <c r="AE75" s="18"/>
      <c r="AF75" s="18"/>
      <c r="AG75" s="18"/>
      <c r="AH75" s="18"/>
      <c r="AI75" s="18"/>
      <c r="AJ75" s="18"/>
      <c r="AK75" s="18"/>
      <c r="AL75" s="18"/>
      <c r="AM75" s="18"/>
    </row>
    <row r="76" spans="4:39" x14ac:dyDescent="0.35">
      <c r="D76" s="18"/>
      <c r="E76" s="18"/>
      <c r="F76" s="18"/>
      <c r="G76" s="18"/>
      <c r="H76" s="18"/>
      <c r="I76" s="18"/>
      <c r="J76" s="18"/>
      <c r="K76" s="18"/>
      <c r="L76" s="18"/>
      <c r="M76" s="18"/>
      <c r="N76" s="18"/>
      <c r="O76" s="18"/>
      <c r="P76" s="18"/>
      <c r="Q76" s="18"/>
      <c r="R76" s="18"/>
      <c r="S76" s="18"/>
      <c r="T76" s="18"/>
      <c r="U76" s="18"/>
      <c r="V76" s="18"/>
      <c r="W76" s="18"/>
      <c r="X76" s="18"/>
      <c r="Y76" s="18"/>
      <c r="Z76" s="18"/>
      <c r="AA76" s="18"/>
      <c r="AB76" s="18"/>
      <c r="AC76" s="18"/>
      <c r="AD76" s="18"/>
      <c r="AE76" s="18"/>
      <c r="AF76" s="18"/>
      <c r="AG76" s="18"/>
      <c r="AH76" s="18"/>
      <c r="AI76" s="18"/>
      <c r="AJ76" s="18"/>
      <c r="AK76" s="18"/>
      <c r="AL76" s="18"/>
      <c r="AM76" s="18"/>
    </row>
    <row r="77" spans="4:39" x14ac:dyDescent="0.35">
      <c r="D77" s="18"/>
      <c r="E77" s="18"/>
      <c r="F77" s="18"/>
      <c r="G77" s="18"/>
      <c r="H77" s="18"/>
      <c r="I77" s="18"/>
      <c r="J77" s="18"/>
      <c r="K77" s="18"/>
      <c r="L77" s="18"/>
      <c r="M77" s="18"/>
      <c r="N77" s="18"/>
      <c r="O77" s="18"/>
      <c r="P77" s="18"/>
      <c r="Q77" s="18"/>
      <c r="R77" s="18"/>
      <c r="S77" s="18"/>
      <c r="T77" s="18"/>
      <c r="U77" s="18"/>
      <c r="V77" s="18"/>
      <c r="W77" s="18"/>
      <c r="X77" s="18"/>
      <c r="Y77" s="18"/>
      <c r="Z77" s="18"/>
      <c r="AA77" s="18"/>
      <c r="AB77" s="18"/>
      <c r="AC77" s="18"/>
      <c r="AD77" s="18"/>
      <c r="AE77" s="18"/>
      <c r="AF77" s="18"/>
      <c r="AG77" s="18"/>
      <c r="AH77" s="18"/>
      <c r="AI77" s="18"/>
      <c r="AJ77" s="18"/>
      <c r="AK77" s="18"/>
      <c r="AL77" s="18"/>
      <c r="AM77" s="18"/>
    </row>
    <row r="78" spans="4:39" x14ac:dyDescent="0.35">
      <c r="D78" s="18"/>
      <c r="E78" s="18"/>
      <c r="F78" s="18"/>
      <c r="G78" s="18"/>
      <c r="H78" s="18"/>
      <c r="I78" s="18"/>
      <c r="J78" s="18"/>
      <c r="K78" s="18"/>
      <c r="L78" s="18"/>
      <c r="M78" s="18"/>
      <c r="N78" s="18"/>
      <c r="O78" s="18"/>
      <c r="P78" s="18"/>
      <c r="Q78" s="18"/>
      <c r="R78" s="18"/>
      <c r="S78" s="18"/>
      <c r="T78" s="18"/>
      <c r="U78" s="18"/>
      <c r="V78" s="18"/>
      <c r="W78" s="18"/>
      <c r="X78" s="18"/>
      <c r="Y78" s="18"/>
      <c r="Z78" s="18"/>
      <c r="AA78" s="18"/>
      <c r="AB78" s="18"/>
      <c r="AC78" s="18"/>
      <c r="AD78" s="18"/>
      <c r="AE78" s="18"/>
      <c r="AF78" s="18"/>
      <c r="AG78" s="18"/>
      <c r="AH78" s="18"/>
      <c r="AI78" s="18"/>
      <c r="AJ78" s="18"/>
      <c r="AK78" s="18"/>
      <c r="AL78" s="18"/>
      <c r="AM78" s="18"/>
    </row>
    <row r="79" spans="4:39" x14ac:dyDescent="0.35">
      <c r="D79" s="18"/>
      <c r="E79" s="18"/>
      <c r="F79" s="18"/>
      <c r="G79" s="18"/>
      <c r="H79" s="18"/>
      <c r="I79" s="18"/>
      <c r="J79" s="18"/>
      <c r="K79" s="18"/>
      <c r="L79" s="18"/>
      <c r="M79" s="18"/>
      <c r="N79" s="18"/>
      <c r="O79" s="18"/>
      <c r="P79" s="18"/>
      <c r="Q79" s="18"/>
      <c r="R79" s="18"/>
      <c r="S79" s="18"/>
      <c r="T79" s="18"/>
      <c r="U79" s="18"/>
      <c r="V79" s="18"/>
      <c r="W79" s="18"/>
      <c r="X79" s="18"/>
      <c r="Y79" s="18"/>
      <c r="Z79" s="18"/>
      <c r="AA79" s="18"/>
      <c r="AB79" s="18"/>
      <c r="AC79" s="18"/>
      <c r="AD79" s="18"/>
      <c r="AE79" s="18"/>
      <c r="AF79" s="18"/>
      <c r="AG79" s="18"/>
      <c r="AH79" s="18"/>
      <c r="AI79" s="18"/>
      <c r="AJ79" s="18"/>
      <c r="AK79" s="18"/>
      <c r="AL79" s="18"/>
      <c r="AM79" s="18"/>
    </row>
    <row r="80" spans="4:39" x14ac:dyDescent="0.35">
      <c r="D80" s="18"/>
      <c r="E80" s="18"/>
      <c r="F80" s="18"/>
      <c r="G80" s="18"/>
      <c r="H80" s="18"/>
      <c r="I80" s="18"/>
      <c r="J80" s="18"/>
      <c r="K80" s="18"/>
      <c r="L80" s="18"/>
      <c r="M80" s="18"/>
      <c r="N80" s="18"/>
      <c r="O80" s="18"/>
      <c r="P80" s="18"/>
      <c r="Q80" s="18"/>
      <c r="R80" s="18"/>
      <c r="S80" s="18"/>
      <c r="T80" s="18"/>
      <c r="U80" s="18"/>
      <c r="V80" s="18"/>
      <c r="W80" s="18"/>
      <c r="X80" s="18"/>
      <c r="Y80" s="18"/>
      <c r="Z80" s="18"/>
      <c r="AA80" s="18"/>
      <c r="AB80" s="18"/>
      <c r="AC80" s="18"/>
      <c r="AD80" s="18"/>
      <c r="AE80" s="18"/>
      <c r="AF80" s="18"/>
      <c r="AG80" s="18"/>
      <c r="AH80" s="18"/>
      <c r="AI80" s="18"/>
      <c r="AJ80" s="18"/>
      <c r="AK80" s="18"/>
      <c r="AL80" s="18"/>
      <c r="AM80" s="18"/>
    </row>
    <row r="81" spans="4:39" x14ac:dyDescent="0.35">
      <c r="D81" s="18"/>
      <c r="E81" s="18"/>
      <c r="F81" s="18"/>
      <c r="G81" s="18"/>
      <c r="H81" s="18"/>
      <c r="I81" s="18"/>
      <c r="J81" s="18"/>
      <c r="K81" s="18"/>
      <c r="L81" s="18"/>
      <c r="M81" s="18"/>
      <c r="N81" s="18"/>
      <c r="O81" s="18"/>
      <c r="P81" s="18"/>
      <c r="Q81" s="18"/>
      <c r="R81" s="18"/>
      <c r="S81" s="18"/>
      <c r="T81" s="18"/>
      <c r="U81" s="18"/>
      <c r="V81" s="18"/>
      <c r="W81" s="18"/>
      <c r="X81" s="18"/>
      <c r="Y81" s="18"/>
      <c r="Z81" s="18"/>
      <c r="AA81" s="18"/>
      <c r="AB81" s="18"/>
      <c r="AC81" s="18"/>
      <c r="AD81" s="18"/>
      <c r="AE81" s="18"/>
      <c r="AF81" s="18"/>
      <c r="AG81" s="18"/>
      <c r="AH81" s="18"/>
      <c r="AI81" s="18"/>
      <c r="AJ81" s="18"/>
      <c r="AK81" s="18"/>
      <c r="AL81" s="18"/>
      <c r="AM81" s="18"/>
    </row>
    <row r="82" spans="4:39" x14ac:dyDescent="0.35">
      <c r="D82" s="18"/>
      <c r="E82" s="18"/>
      <c r="F82" s="18"/>
      <c r="G82" s="18"/>
      <c r="H82" s="18"/>
      <c r="I82" s="18"/>
      <c r="J82" s="18"/>
      <c r="K82" s="18"/>
      <c r="L82" s="18"/>
      <c r="M82" s="18"/>
      <c r="N82" s="18"/>
      <c r="O82" s="18"/>
      <c r="P82" s="18"/>
      <c r="Q82" s="18"/>
      <c r="R82" s="18"/>
      <c r="S82" s="18"/>
      <c r="T82" s="18"/>
      <c r="U82" s="18"/>
      <c r="V82" s="18"/>
      <c r="W82" s="18"/>
      <c r="X82" s="18"/>
      <c r="Y82" s="18"/>
      <c r="Z82" s="18"/>
      <c r="AA82" s="18"/>
      <c r="AB82" s="18"/>
      <c r="AC82" s="18"/>
      <c r="AD82" s="18"/>
      <c r="AE82" s="18"/>
      <c r="AF82" s="18"/>
      <c r="AG82" s="18"/>
      <c r="AH82" s="18"/>
      <c r="AI82" s="18"/>
      <c r="AJ82" s="18"/>
      <c r="AK82" s="18"/>
      <c r="AL82" s="18"/>
      <c r="AM82" s="18"/>
    </row>
    <row r="83" spans="4:39" x14ac:dyDescent="0.35">
      <c r="D83" s="18"/>
      <c r="E83" s="18"/>
      <c r="F83" s="18"/>
      <c r="G83" s="18"/>
      <c r="H83" s="18"/>
      <c r="I83" s="18"/>
      <c r="J83" s="18"/>
      <c r="K83" s="18"/>
      <c r="L83" s="18"/>
      <c r="M83" s="18"/>
      <c r="N83" s="18"/>
      <c r="O83" s="18"/>
      <c r="P83" s="18"/>
      <c r="Q83" s="18"/>
      <c r="R83" s="18"/>
      <c r="S83" s="18"/>
      <c r="T83" s="18"/>
      <c r="U83" s="18"/>
      <c r="V83" s="18"/>
      <c r="W83" s="18"/>
      <c r="X83" s="18"/>
      <c r="Y83" s="18"/>
      <c r="Z83" s="18"/>
      <c r="AA83" s="18"/>
      <c r="AB83" s="18"/>
      <c r="AC83" s="18"/>
      <c r="AD83" s="18"/>
      <c r="AE83" s="18"/>
      <c r="AF83" s="18"/>
      <c r="AG83" s="18"/>
      <c r="AH83" s="18"/>
      <c r="AI83" s="18"/>
      <c r="AJ83" s="18"/>
      <c r="AK83" s="18"/>
      <c r="AL83" s="18"/>
      <c r="AM83" s="18"/>
    </row>
  </sheetData>
  <mergeCells count="4">
    <mergeCell ref="D12:AI65"/>
    <mergeCell ref="D66:AI83"/>
    <mergeCell ref="AJ11:AM83"/>
    <mergeCell ref="B4:AO8"/>
  </mergeCells>
  <pageMargins left="0.7" right="0.7" top="0.75" bottom="0.75" header="0.3" footer="0.3"/>
  <pageSetup scale="14" orientation="portrait" r:id="rId1"/>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Home</vt:lpstr>
      <vt:lpstr>original dataset</vt:lpstr>
      <vt:lpstr>clean check</vt:lpstr>
      <vt:lpstr>cleaned data</vt:lpstr>
      <vt:lpstr>cleaned data miss check</vt:lpstr>
      <vt:lpstr>data prep for analysis</vt:lpstr>
      <vt:lpstr>Performance Evaluation</vt:lpstr>
      <vt:lpstr>Performance Evaluation(Club)</vt:lpstr>
      <vt:lpstr>Impact Analysis</vt:lpstr>
      <vt:lpstr>Impact analysis club</vt:lpstr>
      <vt:lpstr>Consistency Measurement yr</vt:lpstr>
      <vt:lpstr>Scoring Technique Analysis</vt:lpstr>
      <vt:lpstr>Scoring Technique Analysis(cr7)</vt:lpstr>
      <vt:lpstr>Scoring Technique(lm10)</vt:lpstr>
      <vt:lpstr>Time Analysis</vt:lpstr>
      <vt:lpstr>Opponent Analysis</vt:lpstr>
      <vt:lpstr>Opponent Analysis(cr7)</vt:lpstr>
      <vt:lpstr>Opponent Analysis(lm10)</vt:lpstr>
      <vt:lpstr>Playing Position Analysis</vt:lpstr>
      <vt:lpstr>performance evaluation league</vt:lpstr>
      <vt:lpstr>Performance Evaluation matchday</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Sasank Lakimsetti</dc:creator>
  <cp:lastModifiedBy>Sasank Lakimsetti</cp:lastModifiedBy>
  <dcterms:created xsi:type="dcterms:W3CDTF">2024-03-29T05:37:28Z</dcterms:created>
  <dcterms:modified xsi:type="dcterms:W3CDTF">2024-03-31T08:09:07Z</dcterms:modified>
</cp:coreProperties>
</file>